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Chat" sheetId="1" r:id="rId5"/>
    <sheet state="visible" name="Message data" sheetId="2" r:id="rId6"/>
    <sheet state="visible" name="User data" sheetId="3" r:id="rId7"/>
  </sheets>
  <definedNames/>
  <calcPr/>
</workbook>
</file>

<file path=xl/sharedStrings.xml><?xml version="1.0" encoding="utf-8"?>
<sst xmlns="http://schemas.openxmlformats.org/spreadsheetml/2006/main" count="3176" uniqueCount="1100">
  <si>
    <t>id</t>
  </si>
  <si>
    <t>managedAt</t>
  </si>
  <si>
    <t>name</t>
  </si>
  <si>
    <t>title</t>
  </si>
  <si>
    <t>description</t>
  </si>
  <si>
    <t>summarizedMessage</t>
  </si>
  <si>
    <t>tags</t>
  </si>
  <si>
    <t>priority</t>
  </si>
  <si>
    <t>direction</t>
  </si>
  <si>
    <t>sync</t>
  </si>
  <si>
    <t>page</t>
  </si>
  <si>
    <t>userId</t>
  </si>
  <si>
    <t>assigneeId</t>
  </si>
  <si>
    <t>firstAssigneeId</t>
  </si>
  <si>
    <t>assigneeIdAtFirstClose</t>
  </si>
  <si>
    <t>managerIds</t>
  </si>
  <si>
    <t>teamId</t>
  </si>
  <si>
    <t>mediumType</t>
  </si>
  <si>
    <t>mediumName</t>
  </si>
  <si>
    <t>mediumSenderName</t>
  </si>
  <si>
    <t>state</t>
  </si>
  <si>
    <t>missedReason</t>
  </si>
  <si>
    <t>goalState</t>
  </si>
  <si>
    <t>goalCheckedAt</t>
  </si>
  <si>
    <t>everOpened</t>
  </si>
  <si>
    <t>reopened</t>
  </si>
  <si>
    <t>reassigned</t>
  </si>
  <si>
    <t>workflowTriggered</t>
  </si>
  <si>
    <t>alfTriggered</t>
  </si>
  <si>
    <t>replyCount</t>
  </si>
  <si>
    <t>replyCountInOperation</t>
  </si>
  <si>
    <t>reopenCount</t>
  </si>
  <si>
    <t>reassignmentCount</t>
  </si>
  <si>
    <t>createdAt</t>
  </si>
  <si>
    <t>updatedAt</t>
  </si>
  <si>
    <t>firstWorkflowStartedAt</t>
  </si>
  <si>
    <t>firstAskedAt</t>
  </si>
  <si>
    <t>firstAlfStartedAt</t>
  </si>
  <si>
    <t>firstAlfEndedAt</t>
  </si>
  <si>
    <t>firstWorkflowEndedAt</t>
  </si>
  <si>
    <t>firstQueueInAt</t>
  </si>
  <si>
    <t>queuedAt</t>
  </si>
  <si>
    <t>firstQueueOutAt</t>
  </si>
  <si>
    <t>firstOpenedAt</t>
  </si>
  <si>
    <t>openedAt</t>
  </si>
  <si>
    <t>firstMissedAt</t>
  </si>
  <si>
    <t>missedAt</t>
  </si>
  <si>
    <t>firstAssignedAt</t>
  </si>
  <si>
    <t>firstActiveAt</t>
  </si>
  <si>
    <t>firstAnsweredAt</t>
  </si>
  <si>
    <t>repliedAt</t>
  </si>
  <si>
    <t>snoozedAt</t>
  </si>
  <si>
    <t>firstClosedAt</t>
  </si>
  <si>
    <t>closedAt</t>
  </si>
  <si>
    <t>totalReplyTime</t>
  </si>
  <si>
    <t>totalReplyTimeInOperation</t>
  </si>
  <si>
    <t>avgReplyTime</t>
  </si>
  <si>
    <t>avgReplyTimeInOperation</t>
  </si>
  <si>
    <t>totalSnoozedTime</t>
  </si>
  <si>
    <t>totalSnoozedTimeInOperation</t>
  </si>
  <si>
    <t>firstQueueTime</t>
  </si>
  <si>
    <t>firstQueueTimeInOperation</t>
  </si>
  <si>
    <t>timeToFirstAssignment</t>
  </si>
  <si>
    <t>timeToFirstAssignmentInOperation</t>
  </si>
  <si>
    <t>timeToFirstAnswer</t>
  </si>
  <si>
    <t>timeToFirstAnswerInOperation</t>
  </si>
  <si>
    <t>timeFromFirstAskToFirstAnswer</t>
  </si>
  <si>
    <t>timeFromFirstAskToFirstAnswerInOperation</t>
  </si>
  <si>
    <t>timeFromFirstAssignmentToFirstAnswer</t>
  </si>
  <si>
    <t>timeFromFirstAssignmentToFirstAnswerInOperation</t>
  </si>
  <si>
    <t>timeFromFirstActiveToFirstAnswer</t>
  </si>
  <si>
    <t>timeFromFirstActiveToFirstAnswerInOperation</t>
  </si>
  <si>
    <t>timeFromFirstOpenToFirstAnswer</t>
  </si>
  <si>
    <t>timeFromFirstOpenToFirstAnswerInOperation</t>
  </si>
  <si>
    <t>timeToFirstClose</t>
  </si>
  <si>
    <t>timeToFirstCloseInOperation</t>
  </si>
  <si>
    <t>timeToClose</t>
  </si>
  <si>
    <t>timeToCloseInOperation</t>
  </si>
  <si>
    <t>timeFromFirstAskToFirstClose</t>
  </si>
  <si>
    <t>timeFromFirstAskToFirstCloseInOperation</t>
  </si>
  <si>
    <t>timeFromFirstAssignmentToFirstClose</t>
  </si>
  <si>
    <t>timeFromFirstAssignmentToFirstCloseInOperation</t>
  </si>
  <si>
    <t>timeFromFirstActiveToFirstClose</t>
  </si>
  <si>
    <t>timeFromFirstActiveToFirstCloseInOperation</t>
  </si>
  <si>
    <t>timeFromFirstOpenToFirstClose</t>
  </si>
  <si>
    <t>timeFromFirstOpenToFirstCloseInOperation</t>
  </si>
  <si>
    <t>memberHandlingTime</t>
  </si>
  <si>
    <t>memberHandlingTimeInOperation</t>
  </si>
  <si>
    <t>firstMemberHandlingTime</t>
  </si>
  <si>
    <t>firstMemberHandlingTimeInOperation</t>
  </si>
  <si>
    <t>workflowHandlingTime</t>
  </si>
  <si>
    <t>alfHandlingTime</t>
  </si>
  <si>
    <t>alfCxScore</t>
  </si>
  <si>
    <t>url</t>
  </si>
  <si>
    <t>profile.csat</t>
  </si>
  <si>
    <t>profile.csatComment</t>
  </si>
  <si>
    <t>699c15ee87f491a78844</t>
  </si>
  <si>
    <t>양희정</t>
  </si>
  <si>
    <t>medium</t>
  </si>
  <si>
    <t>INBOUND</t>
  </si>
  <si>
    <t>https://www.gowid.com</t>
  </si>
  <si>
    <t>66cec0bd68168428f937</t>
  </si>
  <si>
    <t>native</t>
  </si>
  <si>
    <t>opened</t>
  </si>
  <si>
    <t>waiting</t>
  </si>
  <si>
    <t>https://desk.channel.io/gowid/user-chats/699c15ee87f491a78844</t>
  </si>
  <si>
    <t>699c13f091221b1fb30a</t>
  </si>
  <si>
    <t>서하본</t>
  </si>
  <si>
    <t>669a31ad0d1d90ad049c</t>
  </si>
  <si>
    <t>https://desk.channel.io/gowid/user-chats/699c13f091221b1fb30a</t>
  </si>
  <si>
    <t>699c0afabf6d13f1242d</t>
  </si>
  <si>
    <t>이호준</t>
  </si>
  <si>
    <t>공동인증서(오류)</t>
  </si>
  <si>
    <t>699c07a9b2c0cd353c37</t>
  </si>
  <si>
    <t>none</t>
  </si>
  <si>
    <t>https://desk.channel.io/gowid/user-chats/699c0afabf6d13f1242d</t>
  </si>
  <si>
    <t>699c04141facd53e77e2</t>
  </si>
  <si>
    <t>서문교</t>
  </si>
  <si>
    <t>[상담요약]
 - 고객사: Butfit Seoul
 - 문의요약: API Key 발급 요청 및 지출 관리 방법 문의
 - 문의유형: 기술 지원
 - impact: L2
 - 처리내용: API 발급 방법 안내, 필요한 정보 요청
 - 결과: 요청한 API 데이터 및 사유 수집 완료
 - 후속조치: 이메일로 안내 예정</t>
  </si>
  <si>
    <t>지출관리/API연동문의</t>
  </si>
  <si>
    <t>https://docs.channel.io/gowid-guide/ko/articles/고위드-API-서비스-94d722d6#api-인증-방식</t>
  </si>
  <si>
    <t>699c031c307338d5ad49</t>
  </si>
  <si>
    <t>574085, 607950</t>
  </si>
  <si>
    <t>closed</t>
  </si>
  <si>
    <t>https://desk.channel.io/gowid/user-chats/699c04141facd53e77e2</t>
  </si>
  <si>
    <t>699bf67075fbc34673f6</t>
  </si>
  <si>
    <t>안미소</t>
  </si>
  <si>
    <t>경비회계정책(오류)</t>
  </si>
  <si>
    <t>67761b4a09f73e63c039</t>
  </si>
  <si>
    <t>https://desk.channel.io/gowid/user-chats/699bf67075fbc34673f6</t>
  </si>
  <si>
    <t>699be86d2153e9aee952</t>
  </si>
  <si>
    <t>정연희</t>
  </si>
  <si>
    <t>요약할 내용이 없습니다.</t>
  </si>
  <si>
    <t>698d583ca30f694faf55</t>
  </si>
  <si>
    <t>https://desk.channel.io/gowid/user-chats/699be86d2153e9aee952</t>
  </si>
  <si>
    <t>699be400c35a3f2dd9b9</t>
  </si>
  <si>
    <t>김정형</t>
  </si>
  <si>
    <t>[상담요약]
 - 고객사: 식스티헤르츠
 - 문의요약: API 키 발급 절차 문의
 - 문의유형: 기술 지원
 - impact: L2
 - 처리내용: API 키 발급 안내 및 요청 정보 확인
 - 결과: 요청 받은 정보 전달 후 관련부서에 API 키 요청 진행
 - 후속조치: 이메일로 안내 예정, 소요시간 익일 중</t>
  </si>
  <si>
    <t>68d5ffe54e1002826650</t>
  </si>
  <si>
    <t>506375, 607950</t>
  </si>
  <si>
    <t>https://desk.channel.io/gowid/user-chats/699be400c35a3f2dd9b9</t>
  </si>
  <si>
    <t>699be361319cbb8ef5aa</t>
  </si>
  <si>
    <t>강혜민</t>
  </si>
  <si>
    <t>지출관리/경비회계정책/단순문의</t>
  </si>
  <si>
    <t>64cafa284b95358659b9</t>
  </si>
  <si>
    <t>https://desk.channel.io/gowid/user-chats/699be361319cbb8ef5aa</t>
  </si>
  <si>
    <t>699be0da466365c2157f</t>
  </si>
  <si>
    <t>이선용</t>
  </si>
  <si>
    <t>[상담요약]
 - 고객사: 구글
 - 문의요약: 라이센스 추가 요청 확인
 - 문의유형: 기타 문의
 - impact: L2
 - 처리내용: 라이센스 이전 여부 확인 요청
 - 결과: 문제 해결
 - 후속조치: 없음</t>
  </si>
  <si>
    <t>구독/GWS</t>
  </si>
  <si>
    <t>6964c223d0feb4f62369</t>
  </si>
  <si>
    <t>526753, 533671, 594863, 78191</t>
  </si>
  <si>
    <t>https://desk.channel.io/gowid/user-chats/699be0da466365c2157f</t>
  </si>
  <si>
    <t>699bde697173f9b8a00f</t>
  </si>
  <si>
    <t>허서연</t>
  </si>
  <si>
    <t>[상담요약]
 - 고객사: 일반카드
 - 문의요약: 한도 상향 요청
 - 문의유형: 상담
 - impact: L2
 - 처리내용: 한도 상향 가능여부 확인 요청
 - 결과: 상담 종료
 - 후속조치: 추가 문의 시 새로운 창에서 문의 요청</t>
  </si>
  <si>
    <t>카드/한도상하향</t>
  </si>
  <si>
    <t>65e55fa61affbd7aa58a</t>
  </si>
  <si>
    <t>https://desk.channel.io/gowid/user-chats/699bde697173f9b8a00f</t>
  </si>
  <si>
    <t>699bdb14852e59a71c94</t>
  </si>
  <si>
    <t>고지연</t>
  </si>
  <si>
    <t>[상담요약]
 - 고객사: 일반카드
 - 문의요약: 카드 승인 내역 캡쳐 문의
 - 문의유형: 영수증 첨부 방법
 - impact: L2
 - 처리내용: 카드사에서 결제내역 확인 및 캡쳐 방법 안내
 - 결과: 고객이 요구하는 정보 제공
 - 후속조치: 추가 문의 가능 안내</t>
  </si>
  <si>
    <t>지출관리</t>
  </si>
  <si>
    <t>69268d23227ad1e75f87</t>
  </si>
  <si>
    <t>https://desk.channel.io/gowid/user-chats/699bdb14852e59a71c94</t>
  </si>
  <si>
    <t>699bc92cd46a636f68bc</t>
  </si>
  <si>
    <t>이선호</t>
  </si>
  <si>
    <t>[상담요약]
 - 고객사: 고위드
 - 문의요약: 광고 이메일 수신에 대한 문의
 - 문의유형: 마케팅 수신 동의 관련
 - impact: L2
 - 처리내용: 수신 설정 확인 미비로 인한 이메일 발송 사과
 - 결과: 내부 오류 확인 및 재발 방지 조치
 - 후속조치: 고객에게 양해 요청</t>
  </si>
  <si>
    <t>구독</t>
  </si>
  <si>
    <t>659ce4f8b6ff46d38b27</t>
  </si>
  <si>
    <t>https://desk.channel.io/gowid/user-chats/699bc92cd46a636f68bc</t>
  </si>
  <si>
    <t>699bc5714edabed18f72</t>
  </si>
  <si>
    <t>박준형</t>
  </si>
  <si>
    <t>[상담요약]
 - 고객사: 라이언로켓
 - 문의요약: 구글워크스페이스 라이센스 수 축소 요청
 - 문의유형: 서비스 변경
 - impact: L1
 - 처리내용: 현재 57개에서 30개로 자동 조정 안내
 - 결과: 라이센스 수 조정 확인
 - 후속조치: 고위드 홈페이지에서 라이센스 수 변경 가능</t>
  </si>
  <si>
    <t>68e793ea0a888adc73fd</t>
  </si>
  <si>
    <t>https://desk.channel.io/gowid/user-chats/699bc5714edabed18f72</t>
  </si>
  <si>
    <t>699bc135379ad55a0b1f</t>
  </si>
  <si>
    <t>지소영</t>
  </si>
  <si>
    <t>[상담요약]
 - 고객사: 헬로스킨 롯데카드
 - 문의요약: 카드 최초 발급 진행 현황 확인 및 심사 지연
 - 문의유형: 카드 발급
 - impact: L2
 - 처리내용: 카드 신청 완료일 안내, 배송 소요 시간 안내
 - 결과: 고객이 발급 가능 시점에 대한 정보 제공
 - 후속조치: 추가 문의 시 재상담 안내</t>
  </si>
  <si>
    <t>발급진행일정문의</t>
  </si>
  <si>
    <t>696db3205e96892e8e31</t>
  </si>
  <si>
    <t>https://desk.channel.io/gowid/user-chats/699bc135379ad55a0b1f</t>
  </si>
  <si>
    <t>699bbf8ecb0d78e626c9</t>
  </si>
  <si>
    <t>윤미영</t>
  </si>
  <si>
    <t>[상담요약]
 - 고객사: 로지스핏 주식회사
 - 문의요약: FUEL 카드 등록 및 관리 방법
 - 문의유형: 기타 문의
 - impact: L2
 - 처리내용: FUEL 카드 등록을 위한 신한카드 계정 연동 요청 안내, 카드 별칭 변경 방법 설명
 - 결과: 카드 등록 방법 및 별칭 변경 방법 안내 완료
 - 후속조치: 추가 문의시 재연락 요청</t>
  </si>
  <si>
    <t>FUEL</t>
  </si>
  <si>
    <t>67ee034a1f87b57df5b2</t>
  </si>
  <si>
    <t>543287, 566275, 607950</t>
  </si>
  <si>
    <t>https://desk.channel.io/gowid/user-chats/699bbf8ecb0d78e626c9</t>
  </si>
  <si>
    <t>699bbc6ecec3e68cf68d</t>
  </si>
  <si>
    <t>조재영</t>
  </si>
  <si>
    <t>- 고객사: 주식회사 오토피디아
 - 문의요약: 고위드 API를 이용한 영수증 자동 처리 문의
 - 문의유형: API 발급 관련
 - impact: L2
 - 처리내용: API 키 발급 안내 및 필요한 정보 요청
 - 결과: API 발급 진행 중, 기능 사용 불가 안내
 - 후속조치: API 발급 메일 전송 예정, 고객 의견 개선 사항으로 반영</t>
  </si>
  <si>
    <t>https://docs.channel.io/gowid-guide/ko/articles/고위드-API-서비스-94d722d6</t>
  </si>
  <si>
    <t>699bbc2c2f1ff12d5d14</t>
  </si>
  <si>
    <t>https://desk.channel.io/gowid/user-chats/699bbc6ecec3e68cf68d</t>
  </si>
  <si>
    <t>699bbc97121bac4377ee</t>
  </si>
  <si>
    <t>이윤수</t>
  </si>
  <si>
    <t>[상담요약]
 - 고객사: 고위드
 - 문의요약: 카드 추가 발급 상태 문의
 - 문의유형: 카드 발급
 - impact: L2
 - 처리내용: 카드 심사 진행 중 안내
 - 결과: 추가 발급 심사 중
 - 후속조치: 추가 문의 시 새로운 창에서 요청</t>
  </si>
  <si>
    <t>695e04f9e085dd3cfa29</t>
  </si>
  <si>
    <t>https://desk.channel.io/gowid/user-chats/699bbc97121bac4377ee</t>
  </si>
  <si>
    <t>699bb101a2cedae2667a</t>
  </si>
  <si>
    <t>이광배</t>
  </si>
  <si>
    <t>[상담요약]
 - 고객사: 일반카드
 - 문의요약: 광고 이메일 수신 거부 요청
 - 문의유형: 서비스 문제
 - impact: L2
 - 처리내용: 광고성 이메일 수신 거부 요청 접수
 - 결과: 요청 즉시 처리 예정
 - 후속조치: 추가 문의 시 새로운 창에서 문의 부탁</t>
  </si>
  <si>
    <t>https://docs.channel.io/gowid-guide/ko</t>
  </si>
  <si>
    <t>663982221e69086ebcd2</t>
  </si>
  <si>
    <t>574085, 594863</t>
  </si>
  <si>
    <t>https://desk.channel.io/gowid/user-chats/699bb101a2cedae2667a</t>
  </si>
  <si>
    <t>699ba9321637a3c11d7d</t>
  </si>
  <si>
    <t>김규리</t>
  </si>
  <si>
    <t>[상담요약]
 - 고객사: 주식회사 피코브
 - 문의요약: 이메일 주소 변경 요청
 - 문의유형: 계정 관리
 - impact: L1
 - 처리내용: 담당자 성명과 이메일 주소 확인 후 변경 지원
 - 결과: 이메일 주소 변경 완료
 - 후속조치: 추가 문의 없음</t>
  </si>
  <si>
    <t>멤버관리(정보변경)</t>
  </si>
  <si>
    <t>6711ce721af21fb742a0</t>
  </si>
  <si>
    <t>506375, 594863, 607950</t>
  </si>
  <si>
    <t>https://desk.channel.io/gowid/user-chats/699ba9321637a3c11d7d</t>
  </si>
  <si>
    <t>699ae8f369d2ed51bfcc</t>
  </si>
  <si>
    <t>김일경</t>
  </si>
  <si>
    <t>[상담요약]
 - 고객사: 구글
 - 문의요약: IT기기 및 커피머신 구독 서비스 네고위드 프로모션 문의
 - 문의유형: 서비스 변경
 - impact: L2
 - 처리내용: 수령일 및 장소 변경 요청 처리
 - 결과: 상담원 연결 완료
 - 후속조치: 없음</t>
  </si>
  <si>
    <t>6998329bb4eda3b022d4</t>
  </si>
  <si>
    <t>https://desk.channel.io/gowid/user-chats/699ae8f369d2ed51bfcc</t>
  </si>
  <si>
    <t>69982ed3197bf477a42b</t>
  </si>
  <si>
    <t>윤수경</t>
  </si>
  <si>
    <t>[상담요약]
 - 고객사: 일반카드
 - 문의요약: 무기명 카드 추가 발급 배송 일정 문의
 - 문의유형: 카드 발급
 - impact: L2
 - 처리내용: 실물 카드 발급 소요 기간 안내
 - 결과: 영업일 기준 3~5일 소요 안내
 - 후속조치: 추가 문의 가능 안내</t>
  </si>
  <si>
    <t>카드/진행일정</t>
  </si>
  <si>
    <t>698a8781130ef7ac506f</t>
  </si>
  <si>
    <t>https://desk.channel.io/gowid/user-chats/69982ed3197bf477a42b</t>
  </si>
  <si>
    <t>699822a7cfaee632483b</t>
  </si>
  <si>
    <t>다비</t>
  </si>
  <si>
    <t>지출관리/경비회계정책/오류</t>
  </si>
  <si>
    <t>6997e771a5d0e6e0adef</t>
  </si>
  <si>
    <t>540030, 567580, 574085, 595545, 607950</t>
  </si>
  <si>
    <t>https://desk.channel.io/gowid/user-chats/699822a7cfaee632483b</t>
  </si>
  <si>
    <t>69981b125b6379d0cc7e</t>
  </si>
  <si>
    <t>이종훈</t>
  </si>
  <si>
    <t>[상담요약]
 - 고객사: 일반카드
 - 문의요약: 법인 정보 입력 시 주주명부 양식 사용 여부 및 필요한 정보
 - 문의유형: 카드 최초 발급
 - impact: L2
 - 처리내용: 주주명부 제출 시 모든 주주의 영문 성명, 생년월일 또는 법인등록번호 필요
 - 결과: 법규상 요구사항 안내 완료
 - 후속조치: 추가 문의 시 새로운 창에서 상담 요청</t>
  </si>
  <si>
    <t>카드/도입신청서·회원가입</t>
  </si>
  <si>
    <t>69965f677238c600fd16</t>
  </si>
  <si>
    <t>https://desk.channel.io/gowid/user-chats/69981b125b6379d0cc7e</t>
  </si>
  <si>
    <t>69981a2cf000c95cb7e5</t>
  </si>
  <si>
    <t>장준하</t>
  </si>
  <si>
    <t>[상담요약]
 - 고객사: 투자 계약 고객
 - 문의요약: 카드 발급 가능성 및 한도 설정 여부
 - 문의유형: 카드 발급
 - impact: L2
 - 처리내용: 투자금 입금 전에도 카드 발급 심사 가능, 매출 규모 관계없이 자금 운용 계획과 증빙 명확 시 높은 한도 부여 가능성 안내
 - 결과: 카드 발급과 한도에 대한 가능성 설명
 - 후속조치: 추가 문의 시 새 창에서 상담 요청</t>
  </si>
  <si>
    <t>도입문의</t>
  </si>
  <si>
    <t>6991edb8cecf9bd80c2f</t>
  </si>
  <si>
    <t>https://desk.channel.io/gowid/user-chats/69981a2cf000c95cb7e5</t>
  </si>
  <si>
    <t>699819d87fd6dec1fbca</t>
  </si>
  <si>
    <t>Teddy</t>
  </si>
  <si>
    <t>692d091c53fa88a6576c</t>
  </si>
  <si>
    <t>https://desk.channel.io/gowid/user-chats/699819d87fd6dec1fbca</t>
  </si>
  <si>
    <t>699819b2d749e931d9bd</t>
  </si>
  <si>
    <t>임형진</t>
  </si>
  <si>
    <t>[상담요약]
 - 고객사: 고위드
 - 문의요약: 월별 이용내역 엑셀 다운로드 방법 문의
 - 문의유형: 일반카드
 - impact: L2
 - 처리내용: 이용 내역 엑셀 다운로드 방법 안내
 - 결과: 문의 해결
 - 후속조치: 추가 문의 시 연락 요청</t>
  </si>
  <si>
    <t>6787a2c3046a519de259</t>
  </si>
  <si>
    <t>https://desk.channel.io/gowid/user-chats/699819b2d749e931d9bd</t>
  </si>
  <si>
    <t>6997febfedf5e2dcfbf9</t>
  </si>
  <si>
    <t>신혜서</t>
  </si>
  <si>
    <t>[상담요약]
 - 고객사: 일반카드
 - 문의요약: 카드 승인 제출 시 댓글 글자 수 제한 여부
 - 문의유형: 카드 이용 관련
 - impact: L2
 - 처리내용: 댓글 글자 수 제한에 대한 문의
 - 결과: 100글자 이상 댓글 입력 불가
 - 후속조치: 추가 안내 필요</t>
  </si>
  <si>
    <t>686b52afe94e86d525a9</t>
  </si>
  <si>
    <t>https://desk.channel.io/gowid/user-chats/6997febfedf5e2dcfbf9</t>
  </si>
  <si>
    <t>6997f667710032dae0c2</t>
  </si>
  <si>
    <t>허민수</t>
  </si>
  <si>
    <t>[상담요약]
 - 고객사: 주식회사 티라노
 - 문의요약: 해외 광고 페이백 가능 카드 문의
 - 문의유형: 카드 발급 상담
 - impact: L2
 - 처리내용: 신한 광고비 특화카드 정보 제공, 신청 방법 안내
 - 결과: 고객 신청서 제출 완료
 - 후속조치: 카드 발급 진행 중, 추가 문의시 안내 제공</t>
  </si>
  <si>
    <t>신규발급(광고비특화카드)</t>
  </si>
  <si>
    <t>66c41d06aa695197f484</t>
  </si>
  <si>
    <t>https://desk.channel.io/gowid/user-chats/6997f667710032dae0c2</t>
  </si>
  <si>
    <t>6997ebadc291e9488977</t>
  </si>
  <si>
    <t>박윤희</t>
  </si>
  <si>
    <t>[상담요약]
 - 고객사: 고위드
 - 문의요약: BC카드 신규 발급 인증 오류 해결
 - 문의유형: 기술 지원
 - impact: L2
 - 처리내용: 등기부등본 정보 정상 업데이트
 - 결과: 오류 해결 및 발급 절차 정상 진행 확인
 - 후속조치: 문제 재발 시 추가 지원 약속</t>
  </si>
  <si>
    <t>6997dcedee95cd111a15</t>
  </si>
  <si>
    <t>https://desk.channel.io/gowid/user-chats/6997ebadc291e9488977</t>
  </si>
  <si>
    <t>6997e455e8a269e31e28</t>
  </si>
  <si>
    <t>김도경</t>
  </si>
  <si>
    <t>[상담요약]
 - 고객사: 메디스트림
 - 문의요약: 로그인이 되지 않음, 비밀번호 변경 요청
 - 문의유형: 기술 지원
 - impact: L2
 - 처리내용: 법인 담당자 입회 절차 미완료 확인, 초대메일 재발송 안내
 - 결과: 초대메일 재발송 안내
 - 후속조치: 초대메일 재발송 후 재로그인 시도 권장</t>
  </si>
  <si>
    <t>멤버관리(단순문의)</t>
  </si>
  <si>
    <t>6997e2a3d2d32485c02c</t>
  </si>
  <si>
    <t>https://desk.channel.io/gowid/user-chats/6997e455e8a269e31e28</t>
  </si>
  <si>
    <t>6997db5c91e7e2b6789e</t>
  </si>
  <si>
    <t>이석찬</t>
  </si>
  <si>
    <t>[상담요약]
 - 고객사: 고위드
 - 문의요약: 1TB 추가 스토리지 구매 요청
 - 문의유형: 스토리지 추가
 - impact: L2
 - 처리내용: 스토리지 복수 사용 가능 여부 확인 중
 - 결과: 확인 중
 - 후속조치: 유선 상담 예정</t>
  </si>
  <si>
    <t>68d6a6782e49a5d5b04b</t>
  </si>
  <si>
    <t>https://desk.channel.io/gowid/user-chats/6997db5c91e7e2b6789e</t>
  </si>
  <si>
    <t>6997d986429a595a8584</t>
  </si>
  <si>
    <t>무지개 421</t>
  </si>
  <si>
    <t>6997d92c6816e8f76496</t>
  </si>
  <si>
    <t>initial</t>
  </si>
  <si>
    <t>https://desk.channel.io/gowid/user-chats/6997d986429a595a8584</t>
  </si>
  <si>
    <t>6997d96344c1ad241edc</t>
  </si>
  <si>
    <t>경영지원팀</t>
  </si>
  <si>
    <t>656701c0dacebc1504f8</t>
  </si>
  <si>
    <t>https://desk.channel.io/gowid/user-chats/6997d96344c1ad241edc</t>
  </si>
  <si>
    <t>6997ca4f3ceabe1bfc17</t>
  </si>
  <si>
    <t>정수경</t>
  </si>
  <si>
    <t>667e543811565cc7718f</t>
  </si>
  <si>
    <t>https://desk.channel.io/gowid/user-chats/6997ca4f3ceabe1bfc17</t>
  </si>
  <si>
    <t>6997c617adec181e18e5</t>
  </si>
  <si>
    <t>하지윤</t>
  </si>
  <si>
    <t>6617934f9f0d639f6220</t>
  </si>
  <si>
    <t>https://desk.channel.io/gowid/user-chats/6997c617adec181e18e5</t>
  </si>
  <si>
    <t>6997c60e5e10d3d98763</t>
  </si>
  <si>
    <t>[상담요약]
 - 고객사: 고위드
 - 문의요약: 롯데 법인카드 신규 발급 요청
 - 문의유형: 카드 신규 발급
 - impact: L1
 - 처리내용: 신규 카드 발급 절차 안내, 필요한 서류와 유의사항 설명
 - 결과: 발급 방법 안내 완료
 - 후속조치: 슈퍼관리자 계정으로 진행 필요 안내</t>
  </si>
  <si>
    <t>카드/신규발급</t>
  </si>
  <si>
    <t>https://desk.channel.io/gowid/user-chats/6997c60e5e10d3d98763</t>
  </si>
  <si>
    <t>6997c5366464c4bf8cbe</t>
  </si>
  <si>
    <t>김세은</t>
  </si>
  <si>
    <t>675bdf406f140e957913</t>
  </si>
  <si>
    <t>https://desk.channel.io/gowid/user-chats/6997c5366464c4bf8cbe</t>
  </si>
  <si>
    <t>6997c4d3d84a0d4884b1</t>
  </si>
  <si>
    <t>강미덥</t>
  </si>
  <si>
    <t>697990a46bb55e715bf8</t>
  </si>
  <si>
    <t>https://desk.channel.io/gowid/user-chats/6997c4d3d84a0d4884b1</t>
  </si>
  <si>
    <t>6997bbc456e2027f1ef2</t>
  </si>
  <si>
    <t>정성훈</t>
  </si>
  <si>
    <t>675bd73ab74b90598fa2</t>
  </si>
  <si>
    <t>https://desk.channel.io/gowid/user-chats/6997bbc456e2027f1ef2</t>
  </si>
  <si>
    <t>6997bb6c88341dadece4</t>
  </si>
  <si>
    <t>https://desk.channel.io/gowid/user-chats/6997bb6c88341dadece4</t>
  </si>
  <si>
    <t>6997b73121ae67c8a184</t>
  </si>
  <si>
    <t>이인지</t>
  </si>
  <si>
    <t>[상담요약]
 - 고객사: 비씨카드
 - 문의요약: 카드 해지 후 연회비 및 전산처리 문의
 - 문의유형: 카드 해지
 - impact: L2
 - 처리내용: 해지된 카드 연회비와 환급 여부 설명
 - 결과: 카드사 고객센터 통해 확인 필요 안내
 - 후속조치: 추가 문의시 새로운 창에서 문의 요청</t>
  </si>
  <si>
    <t>카드/기타</t>
  </si>
  <si>
    <t>6911571eae4ca29ab413</t>
  </si>
  <si>
    <t>https://desk.channel.io/gowid/user-chats/6997b73121ae67c8a184</t>
  </si>
  <si>
    <t>6997b642b549ceb59d42</t>
  </si>
  <si>
    <t>이미현</t>
  </si>
  <si>
    <t>698d681bb282c59cf776</t>
  </si>
  <si>
    <t>https://desk.channel.io/gowid/user-chats/6997b642b549ceb59d42</t>
  </si>
  <si>
    <t>6997b521e64c0fc135dd</t>
  </si>
  <si>
    <t>김이수</t>
  </si>
  <si>
    <t>[상담요약]
 - 고객사: 제미나이
 - 문의요약: 구글 워크스페이스 제미나이 사용 중 채팅 기록 사라짐
 - 문의유형: 기술 문제
 - impact: L2
 - 처리내용: 고객 계정 고위드 관리 확인, 구글에 버그 보고, 초기화된 화면 이미지 요청
 - 결과: 구글 엔지니어링 팀에서 문제 검토 중, 해결 시점 미정
 - 후속조치: 구글 답변 수신 후 고객에게 연락 예정</t>
  </si>
  <si>
    <t>694352a7e586d44c1c55</t>
  </si>
  <si>
    <t>https://desk.channel.io/gowid/user-chats/6997b521e64c0fc135dd</t>
  </si>
  <si>
    <t>6997a93b5dfa59e4cbfc</t>
  </si>
  <si>
    <t>권경렬</t>
  </si>
  <si>
    <t>695b791a4b51acccd606</t>
  </si>
  <si>
    <t>https://desk.channel.io/gowid/user-chats/6997a93b5dfa59e4cbfc</t>
  </si>
  <si>
    <t>6997a89bc90cfbdb6dec</t>
  </si>
  <si>
    <t>여유리</t>
  </si>
  <si>
    <t>695cdbd6d781a82919d5</t>
  </si>
  <si>
    <t>https://desk.channel.io/gowid/user-chats/6997a89bc90cfbdb6dec</t>
  </si>
  <si>
    <t>6997a5d560ef5f61436a</t>
  </si>
  <si>
    <t>https://desk.channel.io/gowid/user-chats/6997a5d560ef5f61436a</t>
  </si>
  <si>
    <t>6997a3c176237c6b4920</t>
  </si>
  <si>
    <t>최진주</t>
  </si>
  <si>
    <t>66ff8767d4d6e250abff</t>
  </si>
  <si>
    <t>https://desk.channel.io/gowid/user-chats/6997a3c176237c6b4920</t>
  </si>
  <si>
    <t>6997a2833a133878ae66</t>
  </si>
  <si>
    <t>이세진</t>
  </si>
  <si>
    <t>6997a20c211643f5c697</t>
  </si>
  <si>
    <t>https://desk.channel.io/gowid/user-chats/6997a2833a133878ae66</t>
  </si>
  <si>
    <t>69979b2034a01596b8e1</t>
  </si>
  <si>
    <t>[상담요약]
 - 고객사: 제미나이
 - 문의요약: 대화 기록 사라짐, 상담원 연결 요청
 - 문의유형: 기술 지원
 - impact: L2
 - 처리내용: 고위드가 결제 관할 리셀러인 점 안내, 추가 정보 요청
 - 결과: 다른 상담 채널로 안내 예정
 - 후속조치: 도메인 주소 및 초기화 화면 이미지 요청</t>
  </si>
  <si>
    <t>699798daf3ac3dfd9205</t>
  </si>
  <si>
    <t>https://desk.channel.io/gowid/user-chats/69979b2034a01596b8e1</t>
  </si>
  <si>
    <t>chatId</t>
  </si>
  <si>
    <t>personType</t>
  </si>
  <si>
    <t>personId</t>
  </si>
  <si>
    <t>plainText</t>
  </si>
  <si>
    <t>isPrivate</t>
  </si>
  <si>
    <t>user</t>
  </si>
  <si>
    <t>상담원연결</t>
  </si>
  <si>
    <t>제미나이에 문제가 생겼는데 이렇게 안내메세지가 옴 상담웜 연결해줘</t>
  </si>
  <si>
    <t>안녕하세요 제미나이 사용 중인데 대화 기록이 전부 사라져서 구글에 문의를 하니까 이렇게 떠서요 
 회사 계정 사용 중이고 
 isoo@ameli.co.kr 입니다 
 고위드는 회사에서 사용하고 있는 건데.. 뭔 상관인가요?</t>
  </si>
  <si>
    <t>manager</t>
  </si>
  <si>
    <t>안녕하세요 김이수님 ☺️
 고위드 김일경 매니저입니다.
 고위드가 고객님의 결제를 관할하는 리셀러이기 때문에 고위드에 문의 하라는 안내를 받으신 것으로 확인 했어요!
 보다 빠른 조치를 위해 아래 내용을 요청 드립니다.
 1. 사용 중이신 도메인 주소
 2. 초기화 된 화면 이미지
 감사합니다.</t>
  </si>
  <si>
    <t>해당 내용 다른 상담 채널에서 안내 드릴 수 있도록 하겠습니다. :)</t>
  </si>
  <si>
    <t>1년치 이용내역</t>
  </si>
  <si>
    <t>고위드 지출관리</t>
  </si>
  <si>
    <t>구글 워크스페이스</t>
  </si>
  <si>
    <t>구글 워크스페이스를 기존에 직접 결제로 사용하고 있습니다. 고위드에서 신청하면 결제는 어떻게 진행되는지, 언제부터 고위드에서 결제가 되는건지 궁금합니다.</t>
  </si>
  <si>
    <t>계정 갯수 조정이 기존과 동일하게 구글 워크스페이스 콘솔에서 가능한지요?</t>
  </si>
  <si>
    <t>인증서 만료 안내로 등록했는데 계속 메세지가 뜸니다 확인부탁드립니다.</t>
  </si>
  <si>
    <t>노트북 구독신청했는데 배달오는 날과 시간을 확인하고싶어요</t>
  </si>
  <si>
    <t>구독관리 IT 장비 여기까지 들어왔어요</t>
  </si>
  <si>
    <t>기타정보에 아무것도 안떠</t>
  </si>
  <si>
    <t>기기정보 구독정보 기타정보가 뜨는데 배송정보에 대해서는 안떠</t>
  </si>
  <si>
    <t>전화해서 물어볼께</t>
  </si>
  <si>
    <t>전화번호 ㅇㄹ려줘</t>
  </si>
  <si>
    <t>5인 미만 사업장은 BC카드 신청이 안되나요?</t>
  </si>
  <si>
    <t>제미나이 때문에 문의 사항이 있습니다. 상담원 연결 해주세요.</t>
  </si>
  <si>
    <t>맞아요.</t>
  </si>
  <si>
    <t>연결해주세요</t>
  </si>
  <si>
    <t>안녕하세요 김이수님 ☺️
 고위드 김일경 매니저입니다.
 무엇을 도와드릴까요?</t>
  </si>
  <si>
    <t>구글을 워크 스페이스를 기업으로 사용 중이고, 제미나이 사용 중에 문제가 생겨서 고객센터에 연락을 했는데 
 제 계정이 고위드에서 관리하고 있다고 안내 받아서요. 맞나요?</t>
  </si>
  <si>
    <t>답변 더 기다려야할까요?</t>
  </si>
  <si>
    <t>안녕하세요 김이수님 ☺️
 고위드 김일경 매니저입니다.
 고위드가 고객님의 결제를 관할하는 리셀러이기 때문에 고위드에 문의 하라는 안내를 받으신 것으로 확인 했어요!
 보다 빠른 조치를 위해 아래 내용을 요청 드립니다.
 1. 초기화 된 화면 이미지
 감사합니다.</t>
  </si>
  <si>
    <t>원래 50개는 넘게 있었는데 다 사라졌어요</t>
  </si>
  <si>
    <t>활동내역은 없어지지 않았어요</t>
  </si>
  <si>
    <t>해당 내용은 구글에 문의를 해야하는 건이라 시간이 다소 소요 될 수 있는 점 양해 부탁 드립니다. 해당 내용 답변 받는대로 안내 도와드리겠습니다.</t>
  </si>
  <si>
    <t>네 알겠습니다 제가 업무로 활용하고 있는 부분이라 꼭 복구가 되어야합니다 ㅠㅠ 회사 계정으로 로그인한 게 확실해서, 확인 좀 부탁드리겠습니다</t>
  </si>
  <si>
    <t>네, 해당 내용 최대한 도와드릴 수 있도록 하겠습니다. 다만, 구글에서 답변이 오는데 시간이 소요 되는 점은 양해 부탁 드립니다. 감사합니다.</t>
  </si>
  <si>
    <t>넵 감사합니다 답변 오면 푸시알람이 올까요?</t>
  </si>
  <si>
    <t>유선으로 안내 도와드리겠습니다! 전화번호 남겨주시겠어요?</t>
  </si>
  <si>
    <t>010-6766-3050 김이수 입니다</t>
  </si>
  <si>
    <t>번호가 어떤거로 걸려올까요?</t>
  </si>
  <si>
    <t>010-3791-7467 번호로 연락 드릴 예정입니다. 감사합니다. :)</t>
  </si>
  <si>
    <t>네 알겠습니다!</t>
  </si>
  <si>
    <t>담당자님! 구글 측에 답변 받아 안내 드립니다.
 답변
 - Gemini 사이드 패널의 채팅 기록이 사라지는 문제는 현재 구글 엔지니어링 팀에 보고되어 있으며, 문제 해결을 위한 검토가 진행 중인 상태입니다.
 - 다만 현시점에서 정확한 해결 시점은 안내가 어려운 상황이라고 합니다. 구글 측에서 추가 피드백을 받는 대로 바로 안내드리겠습니다.
 업무에 활용하고 계신 만큼 불편하신 점 충분히 이해합니다. 빠르게 해결될 수 있도록 구글 측에도 지속적으로 팔로업 하겠습니다.
 감사합니다.</t>
  </si>
  <si>
    <t>사이드 패널의 채팅 기록이 사라지는 게 저 뿐만이 아니라 버그인가요?</t>
  </si>
  <si>
    <t>네, 버그로 확인 되고 있습니다.
 구글 측에서도 상황을 살피는 중이라고 전달 받았습니다. 불편을 드려 죄송합니다.</t>
  </si>
  <si>
    <t>네 알겠습니다 감사합니다 팔로업 부탁드릴게요!</t>
  </si>
  <si>
    <t>네, 관련 업데이트 소식 있으면 010-6766-3050 번호로 회신 드릴 수 있도록 하겠습니다. 너른 양해 해주셔서 감사 드립니다.</t>
  </si>
  <si>
    <t>감사합니다.
 이번 상담은 여기서 종료하도록 하겠습니다.
 다른 문의가 있으시면 새로운 창에서 문의 부탁드립니다.
 좋은 하루 되시길 바랍니다 :)</t>
  </si>
  <si>
    <t>안녕하세요</t>
  </si>
  <si>
    <t>네네 지금 한도가 나와서카드 신청하려고 하는데
 롯데카드로 신청하려고 하는데
 현재 비대면 발급이 어려워 고개센터로 무의주세요
 라고 되어있어서요</t>
  </si>
  <si>
    <t>카드해지</t>
  </si>
  <si>
    <t>비씨</t>
  </si>
  <si>
    <t>상담사 연결</t>
  </si>
  <si>
    <t>안녕하세요, 고위드 신현덕입니다. 문의주신 내용 확인중에 있습니다. 잠시만 기다려주시면 감사하겠습니다. 😀</t>
  </si>
  <si>
    <t>반갑습니다.
 현재 법인카드 1개를 해지를 하였습니다.
 이에 따라 연회비 및 전산처리가 어떻게 되는지 문의드립니다.</t>
  </si>
  <si>
    <t>네 담당자님, 롯데, 비씨 사용 중이신 것으로 확인되는데요, 혹시 해지 처리 진행하신 카드사가 어느 카드사일까요?</t>
  </si>
  <si>
    <t>비씨 카드입니다.
 3774-7414-6511-351</t>
  </si>
  <si>
    <t>네 고객님, BC카드 연회비의 경우 1년 차에 한해 카드 1매당 5,000원의 발급 비용(기본 연회비 형태)이 부과됩니다. 이미 납부하신 발급 비용의 환급 여부는 카드사 고객센터를 통해 일할 계산 적용 대상을 확인하시는 것이 정확합니다.
  해지 신청이 완료되면 각 카드사 홈페이지의 관리자 페이지에서 처리 현황을 확인하실 수 있습니다.</t>
  </si>
  <si>
    <t>확인해주셔서 감사합니다.
 카드사에 확인해보도록 하겠습니다.</t>
  </si>
  <si>
    <t>네 감사합니다. 😀
 저희가 추가로 도움 드릴 내용이 있으실까요?</t>
  </si>
  <si>
    <t>감사합니다. 답변이 없으셔서 이번 상담은 여기서 종료하도록 하겠습니다.
 다른 문의가 있으시면 새로운 창에서 문의 부탁드립니다.
 좋은 하루 되시길 바랍니다 :)</t>
  </si>
  <si>
    <t>안녕하세요, 구글 워크스페이스 구독 이용중인데,
 고위드 상 표시되는 이용자 수와, 구글에서 표시되는 이용자 수가 달라 문의 드리고자 합니다!</t>
  </si>
  <si>
    <t>혹시 ai가 아닌 사람이랑 상담할 수 있어?</t>
  </si>
  <si>
    <t>현재 고위드 상 라이선스 수 36명, 이용자 수가 35명으로 표시되는데, 구글 워크스페이스에서는 이용자 수가 34명으로 표시되.</t>
  </si>
  <si>
    <t>이유를 확인했어! 상담 종료해도 돼</t>
  </si>
  <si>
    <t>카드 조회</t>
  </si>
  <si>
    <t>카드신규발급</t>
  </si>
  <si>
    <t>신규카드발급하려고요</t>
  </si>
  <si>
    <t>신한 이용중이고요 롯데 신규발급할라공</t>
  </si>
  <si>
    <t>그런거 안보이는뎀</t>
  </si>
  <si>
    <t>네네</t>
  </si>
  <si>
    <t>신한 이용중인데 롯데 법인카드 신규발급</t>
  </si>
  <si>
    <t>상담사연결</t>
  </si>
  <si>
    <t>안녕하세요 !</t>
  </si>
  <si>
    <t>신한카드 고위드 사용중인데, 롯데 신규(발급)하고싶어서요</t>
  </si>
  <si>
    <t>네 감사해요</t>
  </si>
  <si>
    <t>기다려주셔서 감사합니다. 
 고위드에서 신한카드를 이용 중이신 상태에서 롯데 법인카드를 신규로 추가 발급받으시는 방법은 다음과 같습니다.
 1. 신청 단계 및 방법
 고위드 서비스 내 카드사 입회·한도 상향 페이지에서 한도 조회하기 버튼을 클릭한 후, 신규 카드 발급을 선택하여 진행하시면 됩니다. 이후 카드 선택 단계에서 '롯데카드'를 선택해 주세요.
 2. 준비물
 원활한 신청을 위해 다음 서류와 인증 수단을 미리 준비해 주세요:
 - 법인의 공동인증서: 국세청 홈택스 및 금융기관에 연동된 인증서가 필요합니다.
 - 법인 주주명부 파일: 법인 인감이 날인된 최근 3개월 이내의 주주명부(JPG, JPEG, PDF)가 필요합니다.
 - 대표자 신분증 및 휴대폰: 본인 인증을 위해 필요합니다.
 - 카드 신청 담당자 신분증: 대표자가 아닌 직원이 신청할 경우 담당자의 신분증이 필요합니다.
 - 실제 소유자 확인서: 롯데카드는 추가 업로드가 필요합니다.
 3. 유의 사항
 - 기존 롯데카드 사용 여부: 만약 고위드를 통하지 않은 기존 롯데 법인카드를 이미 사용 중이시라면, 롯데카드 고객센터(1599-8800)를 통해 전체 카드를 해지(탈회)하신 후 고위드에서 신규 신청이 가능합니다.
 - 최초 발급 형태: 최초 발급 시에는 무기명 카드로만 신청하실 수 있습니다.
 - 지점 사업자: 사업자번호 가운데 자리가 84 또는 85인 지점 사업자의 경우, 고위드 고객센터를 통한 별도 상담이 필요합니다.
 추가로 신청 과정에서 어려움이 있으시면 말씀해 주세요!</t>
  </si>
  <si>
    <t>어.. 고위드 홈페이지에서</t>
  </si>
  <si>
    <t>카드사 입회,한도 상향페이지가 어딜까요?</t>
  </si>
  <si>
    <t>제 권한으로는 안보이는걸까요?</t>
  </si>
  <si>
    <t>슈퍼관리자만 보이나요 ?</t>
  </si>
  <si>
    <t>네 담당자님, 고위드 웹 페이지 왼쪽 사이드바에 '카드사 입회 . 한도신청' 확인이 안되실까요?</t>
  </si>
  <si>
    <t>네, 저는 카드 총괄관리자로만</t>
  </si>
  <si>
    <t>되어있어서 안보이나 싶어서요,</t>
  </si>
  <si>
    <t>네 담당자님, 법인카드 신규 발급 신청의 경우 슈퍼관리자 및 최초가입자(법인 담당자) 계정으로 가능한 점 안내드립니다.</t>
  </si>
  <si>
    <t>아하, 넵 감사해요. 슈퍼관리자로 하겠습니다.</t>
  </si>
  <si>
    <t>네 감사합니다. 저희가 추가로 도움 드릴 내용이 있으실까요?</t>
  </si>
  <si>
    <t>카드 총괄관리자인데, 한도 상향 신청을 하려고 하는데 해당 페이지를 조회할 권한이 없다고 뜹니다</t>
  </si>
  <si>
    <t>카드 사용 팀 확인 어디서 확인 가능한가요?</t>
  </si>
  <si>
    <t>그럼 사용 팀구성원은 어디서 확안해?</t>
  </si>
  <si>
    <t>열람자는 어디서봐?</t>
  </si>
  <si>
    <t>고위드 카드 새로 발급되서왔는데 어떻게 등록해</t>
  </si>
  <si>
    <t>메일 용량이 가득차서 조정 필요</t>
  </si>
  <si>
    <t>안녕하세요.</t>
  </si>
  <si>
    <t>구글 메일 용량을 늘리고 싶어서</t>
  </si>
  <si>
    <t>연락 드렸습니다.</t>
  </si>
  <si>
    <t>안녕하세요 이석찬님 ☺️
 고위드 김일경 매니저입니다.
 100GB 단위로 추가할 수 있습니다. 얼마나 추가를 도와드리면 될까요? :)</t>
  </si>
  <si>
    <t>현재 총 3개(300GB) 구독 중에 있으십니다! :)</t>
  </si>
  <si>
    <t>고객님, 해당 상담은 바로 종료되지 않고 보류 상태로 유지될 예정입니다.
 추가 확인이 필요하실 경우를 고려하여, 24시간 후 자동으로 종료될 예정이니 참고 부탁드립니다.
 그 전에 추가로 궁금하신 사항이나 도움이 필요하시면
 언제든지 편하게 문의해 주시면 신속히 도와드리겠습니다.
 감사합니다. 😀</t>
  </si>
  <si>
    <t>안녕하세요. 1TB 추가 구매 (Storage Add-on): Business Starter 등 저장공간이 부족한 경우, 관리자가 1TB 단위(월 미화 약 40달러 등)로 추가 스토리지 구매 가능. 한걸로 알고있어서 100기가 짜리 말고 1테라짜리를 희망합니다.</t>
  </si>
  <si>
    <t>혹시 불가능하면 리셀러해지를 요청드립니다. 구글을 통해 직접 구매하는게 저렴하다고 판단됩니다.</t>
  </si>
  <si>
    <t>안녕하세요 이석찬님 ☺️
 고위드 김일경 매니저입니다.
 현재 스토리지 상품군을 복수로 사용이 가능한지에 대한 여부를 구글 측에 확인 중에 있습니다.
 답변 받는대로 유선 상담 도와드리겠습니다. 감사합니다.</t>
  </si>
  <si>
    <t>안녕하세요. 로그인이 되지 않아 문의드립니다.</t>
  </si>
  <si>
    <t>비밀번호 변경 또한 진행되지 않아 사유 확인 요청드립니다.</t>
  </si>
  <si>
    <t>안녕하세요, 문의주신 내용 확인중에 있습니다. 잠시만 기다려주시면 감사하겠습니다. 😀</t>
  </si>
  <si>
    <t>네 담당자님, 정확한 확인을 위해 법인명과 사업자번호, 이메일 함께 주시면 확인 진행하도록 하겠습니다.</t>
  </si>
  <si>
    <t>메디스트림,315-87-02992, dokyung.kim@medistream.co.kr 입니다</t>
  </si>
  <si>
    <t>기다려주셔서 감사합니다. 현재 주식회사 메디스트림의 경우 법인 담당자께서 입회 절차를 모두 마치지 않은 것으로 확인됩니다. 혹시 법인담당자님께 해당 부분 확인해주실 수 있으실까요?</t>
  </si>
  <si>
    <t>저희 회사에서 고위드 사용하고 있는데 저만 로그인이 안되어서요~
 혹시 주식회사 인티그레이션으로 확인해봐주실 수 있을까요?</t>
  </si>
  <si>
    <t>네 고객님, 사업자 번호 함께 부탁드립니다.</t>
  </si>
  <si>
    <t>784-87-01184 입니다</t>
  </si>
  <si>
    <t>네 고객님, 초대메일을 받고 로그인을 시도 하고 계신 상황이실까요?</t>
  </si>
  <si>
    <t>로그인 시도하면 초대만 받은 사용자라고 뜨는데, 이메일을 확인하기가 어렵습니다. 초대메일 재발송을 요청드려야 할까요?</t>
  </si>
  <si>
    <t>네 고객님, 초대메일 재발송 이후 재로그인 시도를 권장드립니다. 혹여나 동일한 오류가 발생하는 경우 말씀주시면 조치 지원드리도록 하겠습니다.</t>
  </si>
  <si>
    <t>고객님, 혹시 말씀주신 문제는 해결되었을까요? 😀
 장시간 답변이 없으실 경우 상담이 종료될 예정입니다. 
 추가 문의 있으시면 언제든지 문의 부탁드립니다.</t>
  </si>
  <si>
    <t>티아이 이미지 피티이 엘티디 / 677-84-00038
 BC 카드를 신규로 발급하고자 하는데, 대표자 인증에서 막혀서 신청이 불가능합니다.</t>
  </si>
  <si>
    <t>캡쳐본도 함께 첨부합니다.</t>
  </si>
  <si>
    <t>연락처 확인했습니다.</t>
  </si>
  <si>
    <t>@ALF 아래 템플릿으로 고객문의 정리해줘.
 최대한 간명하게 작성해주되, 문제요약은 구체적으로 이해하기 쉽게 고위드 용어로 작성해줘. * 표시는 다 안 들어가도록 빼줘.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</si>
  <si>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bot</t>
  </si>
  <si>
    <t>ALF-434</t>
  </si>
  <si>
    <t>• 법인명: 티아이 이미지 피티이 엘티디
 • 사업자번호: 677-84-00038
 • 문의 경로: 채널톡
 • 문의 고객 성함 및 이메일: 박윤희 (이메일은 대화 내역에서 확인되지 않습니다.)
 • 문의 인입 일시: 2026-02-20 14:37:41 (상담 열린 시간 기준)
 • 문제 요약: BC 카드 신규 발급 신청 중 대표자 인증 단계에서 진행이 불가합니다. 화면에 '연결된 공동인증서를 기반으로 인증이 필요한 대표자 정보를 확인하고 있어요...', '아직 공동인증서를 연동하지 않으셨다면 먼저 연동을 완료해 주세요.', '아직 입력이 완료되지 않은 필수 항목이 있어요.' 메시지가 표시됩니다.
 • 발생 시점: 현재 신규 카드 발급 신청 진행 중 발생한 현상입니다.
 • 고객영향도: 상</t>
  </si>
  <si>
    <t>고객님, 혹시 페이지 완전 종료 후 재시도하셔도 동일한 현상이 발생하고 있을까요?</t>
  </si>
  <si>
    <t>네네 맞습니다</t>
  </si>
  <si>
    <t>네 고객님, 관련부서에 해당 내용 확인하여 해결 후 재안내 드릴 수 있도록 하겠습니다. 조금만 시간 양해 부탁드립니다.</t>
  </si>
  <si>
    <t>넵 부탁드립니다. 감사합니다.</t>
  </si>
  <si>
    <t>[법인정보] 등기부등본 조회시 에러발생</t>
  </si>
  <si>
    <t>이렇게 화면 하단에 안내가 뜹니다.</t>
  </si>
  <si>
    <t>네 고객님, 말씀주셔서 감사합니다. 해당 정보 함께 전달드리겠습니다.</t>
  </si>
  <si>
    <t>네 감사합니다.</t>
  </si>
  <si>
    <t>안녕하세요, 고위드입니다. 문의 주신 BC카드 신규 발급 대표자 인증 오류 건 확인 후 조치 완료했습니다.
 현재 등기부등본 정보를 정상 업데이트하여 오류가 해결되었습니다. 번거로우시겠지만 다시 접속하셔서 BC카드 신규 발급 절차를 재진행 부탁드립니다. 동일한 문제가 재발하면 바로 답장 주세요. 신속히 도와드리겠습니다.</t>
  </si>
  <si>
    <t>빠르게 조치해주셔서 감사합니다. 발급 절차 정상적으로 진행되는 것으로 확인했습니다. 감사합니다!</t>
  </si>
  <si>
    <t>네 감사합니다, 고객님, 저희가 추가로 도움 드릴 내용이 있으실까요?</t>
  </si>
  <si>
    <t>아니요, 없습니다. 감사합니다.</t>
  </si>
  <si>
    <t>주식회사 티라노 / 627-81-01609
 현재 고위드 롯데카드 광고비 전용 카드 이용중이며 페이백도 받고 있습니다.
 혹시 롯데카드 이외에 해외광고 (특히 메타 광고) 페이백이 가능한 카드를 고위드를 통해 만들수 있을까요?</t>
  </si>
  <si>
    <t>네, 알겠습니다. 참고로 현재 저희는 롯데에서 해외 광고비의 2%를 페이백 받고 있습니다.</t>
  </si>
  <si>
    <t>네 담당자님, 기다려주셔서 감사합니다.
 신한 광고비 특화카드는 국내 광고비 및 해외 결제 지출 시 일정 금액을 환급(페이백)받을 수 있는 법인 체크카드 상품입니다. 
 1. 주요 특징 및 장점
 - 결제 구조: 법인계좌 연동형으로, 지정된 입출금 계좌에서 결제액이 즉시 차감됩니다.
 - 연동 가능 계좌: 신한, 우체국, 제주, 기업(IBK), 농협(NH) 계좌만 연동 가능합니다.
 - 비용 절감: 연회비와 전월 실적 조건이 없으며, 광고비 및 해외 결제 금액 환급을 통해 운영 비용을 절감할 수 있습니다.
 2. 환급 대상 가맹점
 국내외 주요 광고 매체 및 온라인 서비스 결제 시 혜택이 적용됩니다.
 - 국내: 네이버, 구글(국내 결제), 다음, 카카오, 밴드, 오픈마켓(G마켓, 옥션, 11번가 등)
 - 해외: 유튜브, 페이스북, 인스타그램, 틱톡, MSN, 야후 등
 3. 신청 및 관리 가이드
 - 신청 방법:
 - 고위드 광고비 특화카드 신청서를 접수합니다.
 - 안내에 따라 신한카드 법인 홈페이지를 통해 비대면으로 신청합니다.
 - 카드 발급까지 약 2~3주가 소요됩니다.
 - 혜택 유지 조건: 소기업 혜택은 제출하신 확인서의 유효기간 동안만 적용됩니다. 유효기간 만료 시 0.5% 적립으로 자동 변경되므로, 만료 전 서류를 재제출해야 합니다.
 신한 광고비 특화카드는 매월 마케팅 또는 해외 결제 비용으로 1,000만 원 이상 지출하는 기업에 특히 추천드립니다. 추가로 궁금하신 점이 있다면 말씀해 주세요!
 4. 페이벡
 - 소기업 인증 법인:해외 결제 시 **2.3%**가 적립되며, 국내 결제에 대한 페이백은 없습니다.
 - 소기업 미인증 법인: 국내외 결제 모두 **0.5%**로 페이백률이 제한됩니다.</t>
  </si>
  <si>
    <t>안내 감사합니다. 바로 신청서 제출했습니다.</t>
  </si>
  <si>
    <t>네 감사합니다. 최대한 빠르게 진행될 수 있도록 관련부서에 전달드리도록 하겠습니다. 😀
 저희가 추가로 도움드릴 내용이 있으실까요?</t>
  </si>
  <si>
    <t>아뇨 괜찮습니다.</t>
  </si>
  <si>
    <t>카드 승인 제출할 때 댓글을 100글자 이상으로는 못하나요?</t>
  </si>
  <si>
    <t>월별 이용내역 전체 엑셀 다운로드 메뉴</t>
  </si>
  <si>
    <t>메뉴 찾앗습니다. 상담종료</t>
  </si>
  <si>
    <t>경비 정책에서 세부입력항목을 선택으로 세팅하여도 유저가 올릴때 필수항목으로 보이며 입력 안할 시 상신이 되지 않습니다.</t>
  </si>
  <si>
    <t>고객님, 기다려주셔서 감사합니다. 혹시 동일한 상황이 지속되는지 확인해주실 수 있으실까요?</t>
  </si>
  <si>
    <t>계속 안됩니다</t>
  </si>
  <si>
    <t>테스트로 회식비의 사전품의를 선택사항으로 변경하였는데</t>
  </si>
  <si>
    <t>앱에는 여전히 필수정보로 뜨고, 입력안하고 올리면 오류가 발생합니다</t>
  </si>
  <si>
    <t>고객 문의 내용을 아래 템플릿에 맞춰 정리했습니다.
 - 법인명: (정보 없음)
 - 사업자번호: (정보 없음)
 - 문의 경로: 채널톡
 - 문의 고객 성함 및 이메일: Teddy / (이메일 없음)
 - 문의 인입 일시: 2026-02-23 10:07:23
 - 문제 요약: 경비 정책(용도: 회식비)에서 '사전 품의 링크 기재' 세부 입력 항목을 '선택'으로 설정했으나, 사용자 앱 영수증 작성 화면에서 해당 항목이 '필수정보'로 표시되며, 미입력 시 상신 불가 및 "일시적인 오류가 발생했습니다. 잠시 후 다시 시도해주세요." 오류 메시지가 발생함.
 - 발생 시점: 지속적으로 발생함
 - 고객영향도: 상</t>
  </si>
  <si>
    <t>@ALF 이거 문의 타이틀도 알려줘</t>
  </si>
  <si>
    <t>문의 타이틀은 다음과 같습니다.
 경비 정책 세부입력항목 '선택' 설정에도 앱에서 '필수'로 표시 및 오류 발생</t>
  </si>
  <si>
    <t>네 담당자님 기다려주셔서 감사합니다. 현재 관련부서에 확인 요청 진행하였으며, 해결되는 즉시 재안내드리도록 하겠습니다.
 일정 시간 소요될 수 있는 점 너른 양해 부탁드립니다.</t>
  </si>
  <si>
    <t>투자 계약은 체결했지만 아직 투자금이 입금되지 않은 상태입니다. 이런 상황에서도 카드 발급이 가능하고, 충분한 한도 설정이 가능한지 궁금합니다.
 또한 현재 매출 규모가 크지 않아 운영자금 집행을 투자금 중심으로 진행하려고 하는데, 이 경우에도 높은 한도 부여가 가능한지 안내 부탁드립니다.</t>
  </si>
  <si>
    <t>안녕하세요. 문의 주신 내용 답변드립니다.
 투자 계약 체결 상태만으로 카드 발급/한도가 자동 확정되지는 않지만, 투자금 입금 전에도 발급 심사 진행은 가능합니다.
 또한 매출 규모가 크지 않더라도, 회사의 자금 운용 계획과 증빙이 명확하면 의미 있는 한도 부여가 가능한 케이스가 있습니다.
 다만 한도는 일괄 기준이 아니라 회사별 심사 결과에 따라 달라지며, 특히 실제 자금 여력(계좌 잔고/현금흐름), 재무 안정성, 제출 서류
 등을 종합해 결정됩니다.</t>
  </si>
  <si>
    <t>발급을 위한 법인 정보 입력시 주주명부는 꼭 첨부된 양식만 사용해야 하나요?</t>
  </si>
  <si>
    <t>모든 주주의 영문 성명과 생년월일 법인등록번호가 필요한지도 궁금합니다</t>
  </si>
  <si>
    <t>단순한 카드 추가 발급이라 하더라도 법규상 '실제 소유자 확인'을 위해 모든 주주의 영문 성명, 생년월일(또는 법인번호)이 포함된 주주명부 제출이 필요한 점 안내드립니다.</t>
  </si>
  <si>
    <t>사용내역에 영수증 사진을 첨부하면 '[영수증 업로드] 지출내역을 찾을 수 없습니다' 라는 오류문구가 떠요</t>
  </si>
  <si>
    <t>네</t>
  </si>
  <si>
    <t>저번주에 무기명 카드 추가 발급을 신청했는데 실물 카드는 언제 배송이 되나요?</t>
  </si>
  <si>
    <t>네 고객님, 기다려주셔서 감사합니다. 카드사 측 실물 발급 완료까지 영업일 기준 3~5일 가량 소요될 수 있는 점 안내드리며, 연휴로 인해 일정시간 지연될 수 있습니다.</t>
  </si>
  <si>
    <t>상담원 연결 테스트 (일경)</t>
  </si>
  <si>
    <t>주식회사 피코브 228-87-01059 
 슈퍼관리자 메일 변경 가능한지 문의드립니다.</t>
  </si>
  <si>
    <t>네 담당자님, 변경을 원하시는 담당자의 성명과 이메일 주소 알려주시면 변경 지원드리겠습니다.</t>
  </si>
  <si>
    <t>최우재 / hello@pcob.kr 로 변경요청드립니다.</t>
  </si>
  <si>
    <t>네 담당자님, 변경완료 되었습니다. 추가로 문의주실 내용 있으실까요?</t>
  </si>
  <si>
    <t>추가로 문의 주실 내용이 있으실까요?</t>
  </si>
  <si>
    <t>감사합니다. 문의를 종료하겠습니다.</t>
  </si>
  <si>
    <t>698da27cb019935590c5</t>
  </si>
  <si>
    <t>광고 이메일 수신 거부</t>
  </si>
  <si>
    <t>kwangbae@gitt.co 메일 주소 대상으로 한 광고 이메일 수신을 거부합니다. 즉각 처리 부탁드립니다. 
 더불어, 이메일 본문 내 광고 수신 거부 링크를 찾을 수 없습니다. 
 정보통신망 이용촉진 및 정보보호 등에 관한 법률 제50조(영리목적의 광고성 정보 전송 제한)의 위반으로 보입니다. 
 상담 바로가기 링크에서도 광고성 이메일 수신 거부에 대한 메뉴를 찾을 수 없습니다. 
 향후 동일 상황 발생 시 한국인터넷진흥원(KISA) 신고될 수 있음을 알려드립니다.</t>
  </si>
  <si>
    <t>안녕하세요 이광배님 ☺️
 고위드 김일경 매니저입니다.
 서비스 이용에 불편 드려 죄송합니다.
 kwangbae@gitt.co 주소로 발송된 광고성 이메일의 수신 거부 요청을 접수하였으며, 동일 상황 발행하지 않도록 즉시 처리하겠습니다.
 감사합니다.</t>
  </si>
  <si>
    <t>고맙습니다.</t>
  </si>
  <si>
    <t>너른 양해 해주셔서 감사합니다.
 이번 상담은 여기서 종료하도록 하겠습니다.
 다른 문의가 있으시면 새로운 창에서 문의 부탁드립니다.
 좋은 하루 되시길 바랍니다 :)</t>
  </si>
  <si>
    <t>안녕하세요. 오토피디아 조재영입니다. 내부적으로 영수증 자동 처리를 위해 고위드 API를 사용해보려고 합니다. 슬랙에 영수증 사진을 촬영해서 올리면, 자동으로 고위드 지출 내역에 API로 항목과 영수증 파일을 첨부하는 형태로 워크플로우를 만들려고 하는데요. 혹시 API 키를 어디서 발급 받는지 알 수 있을까요?</t>
  </si>
  <si>
    <t>넵!</t>
  </si>
  <si>
    <t>네 고객님, 혹시 내부적으로 어떤 회계 프로그램 사용하고 계신지 확인해주실 수 있으실까요?</t>
  </si>
  <si>
    <t>내부적으로는 더존 사용하고 있는 것으로 알고 있습니다</t>
  </si>
  <si>
    <t>네 담당자님, 우선적으로 API 키 발급 안내 드립니다.
 슈퍼관리자 계정 메일로만 api 발송이 가능합니다.
 한도상향/신규카드사 입회가 가능한 슈퍼관리자 분께 내부 협의 후 해당 이메일 전달 부탁드립니다!
 우선적으로, 해당 상담창에 API Key 발급을 위해 아래 내용 전달 부탁드립니다!
 - 법인명/사업자번호
 - 담당자 성함/직책/메일:
 (해당 담당자는 슈퍼관리자 권한 부여 必)
 - 필요한 API 데이터(예시: 지출내역 조회):
 - 요청사유(예시: 법인카드 지출 내역을 ERP에 연동):
 정보 확인 후 담당자 님이 안내 메일 드릴 예정입니다.
 참고하실 수 있는 가이드도 첨부 드립니다.
 감사합니다.</t>
  </si>
  <si>
    <t>- 법인명 : 주식회사 오토피디아 / 사업번호 : 236-86-01261
 - 담당자 : 김수연 / 직책 : 팀장 / email : suyeon.kim@autopediacar.com
 - 필요한 API 데이터 : 지출 내역 조회 및 지출 증빙 자료 업로드
 - 요청사유 : 사내 메신저 플랫폼을 통해 법카 지출 내역 고위드 연동</t>
  </si>
  <si>
    <t>그리고 현재 API 목록을 보면 영수증 증빙 파일 업로드 첨부 및 수정은 불가능한 것 같은데 혹시 이게 가능한지 문의해봐주실 수 있으신가요?</t>
  </si>
  <si>
    <t>네 함께 답변드리도록 하겠습니다. 잠시만 시간 양해 부탁드립니다.</t>
  </si>
  <si>
    <t>네 고객님, 현재는 영수증 증빙 파일 업로드 첨부 및 수정은 불가능한 점 안내드립니다. 혹시 해당 기능 사용 빈도가 높은 상황이실지, 어떤 상황에서 주로 사용하게 되는지 말씀 부탁드려도 될까요? 개선의견으로 전달 드리도록 하겠습니다. 😀</t>
  </si>
  <si>
    <t>현재 팀 내에서 다양한 플랫폼에서 다양한 유저가 결제가 발생하고 있는 상황이어서, 기존에는 영수증 증빙이 지연되거나 자주 누락되는 상황이 있었습니다.</t>
  </si>
  <si>
    <t>이러한 문제를 해결하기 위해서 현재 저희 내부적으로는 어떤 플랫폼이든 결제가 발생하면 일단 다 슬랙 채널에 자동으로 업로드 되고,</t>
  </si>
  <si>
    <t>오프라인 결제건도 영수증을 사진촬영해서 슬랙 채널에 업로드하는 경우가 있습니다</t>
  </si>
  <si>
    <t>이렇게 하나의 채널로 다 모으고 난 뒤에는 각 영수증 혹은 구매 내역 증빙 자료가 고위드 결제 내역 중에 어떤 건에 해당하는지 API를 통해 조회 후 매칭되는 결제건을 찾고</t>
  </si>
  <si>
    <t>매칭된 고위드 결제 항목에 자동으로 사용 내역, 사용자 및 영수증을 업로드하려는 유즈 케이스를 가지고 있습니다</t>
  </si>
  <si>
    <t>저희가 규모는 작아서 약 10명 정도 같이 쓸 예정이며 한 달에 약 백건 정도 처리하려는 상황입니다</t>
  </si>
  <si>
    <t>네 고객님, 소중한 의견 감사합니다 우선 API발급의 경우 메일로 해당 내용을 전달드리고 있어, 금일 혹은 익일 중으로 받아보실 수 있으십니다. 
 말씀주신 부분은 저희 개선 사항으로 남겨 빠른 시일 내. 제품에 반영될 수 있도록 하겠습니다. 
 감사합니다.</t>
  </si>
  <si>
    <t>넵 감사합니다! 슈퍼관리자분께도 상황 말씀드려놨습니다. 메일 주시면 회신드리겠습니다</t>
  </si>
  <si>
    <t>네 감사합니다. 추가 질의가 있으시다면 이메일 회신 주시면 빠르게 도움드리겠습니다.
 추가로 문의 주실 내용이 있으실까요?</t>
  </si>
  <si>
    <t>안녕하세요. 카드 추가 발급을 위한, 한도를 지난주에 신청을 했었었는데요!</t>
  </si>
  <si>
    <t>진행은 어떻게 되고 있는지 문의드립니다 : )</t>
  </si>
  <si>
    <t>롯데카드 추가로 발급받고자 합니다.</t>
  </si>
  <si>
    <t>네 담당자님, 기다려주셔서 감사합니다. 현재 내부적으로 심사 과정 중에 있는 것으로 확인되며, 영업일 기준 최대 5일 가량 소요될 수 있는 점 안내드리며, 빠른 확인 요청 드리겠습니다. 😀</t>
  </si>
  <si>
    <t>아하~ 심사중이군요! 감사합니다~</t>
  </si>
  <si>
    <t>네 감사합니다. 추가로 도움 드릴 내용이 있으실까요? 😀</t>
  </si>
  <si>
    <t>로지스핏 주식회사
 186-88-02334
 윤미영</t>
  </si>
  <si>
    <t>안녕하세요. 문의주신 내용 확인중에 있습니다. 잠시만 기다려주시면 감사하겠습니다.</t>
  </si>
  <si>
    <t>담당자님 기다려주셔서 감사합니다. 현재 담당자님께서는 FUEL 카드 등록하시려고 하는 상황이신 것으로 확인됩니다. 
 우선 신한카드 계정 연동이 먼저 필요한 상황으로 확인되며, 신한카드 계정 연동은 차문일 대표님께서 가진 권한으로 진행이 가능하십니다.
 대표님께 신한카드 연동 우선 진행 요청 주시면 감사하겠습니다.</t>
  </si>
  <si>
    <t>고객님, 혹시 말씀주신 문제는 해결되었을까요? 
 장시간 답변이 없으실 경우 상담이 종료될 예정입니다. 
 추가 문의 있으시면 언제든지 문의 부탁드립니다.</t>
  </si>
  <si>
    <t>카드 별칭은 어디에서 변경 가능한가요??</t>
  </si>
  <si>
    <t>네 담당자님 카드 별칭 변경 방법 안내드립니다. 
 - 고위드 웹사이트의 [카드 관리] 메뉴로 접속합니다.
 - 카드 리스트 상단의 [설정 일괄 수정] 버튼을 클릭합니다.
 - 각 카드의 별칭 영역을 클릭하여 원하는 명칭(예: 제품팀, SaaS 결제용 등)을 입력합니다.
 - 입력 후 [수정 완료] 버튼을 누르면 설정이 저장됩니다.</t>
  </si>
  <si>
    <t>안녕하세요 헬로스킨 롯데카드 한도 안내 전화로 고위드에서 안내 받았습니다. 언제 발급이 가능한건가요?</t>
  </si>
  <si>
    <t>네 담당자님 2월 20일에 신청완료가 된 것으로 확인됩니다. 카드사 측 진행 - 배송완료까지 영업일 기준 최대 3~5일 가량 소요될 수 있는 점 안내드립니다.</t>
  </si>
  <si>
    <t>구글 워크스페이스 현재 57 개 사용하고 있는데 35 개로 줄이고자 합니다!</t>
  </si>
  <si>
    <t>연락처는 맞습니다!</t>
  </si>
  <si>
    <t>정정합니다. 57 개에서 33 개로 축소입니다!</t>
  </si>
  <si>
    <t>안녕하세요 박준형님 ☺️
 고위드 김일경 매니저입니다.
 현재 라이언로켓께서 사용하시는 '연간요금제'의 경우, '탄력요금제'보다 가격이 다소 저렴하나, 라이센스 수를 늘리기만 가능한 요금제 입니다.
 이미 늘린 요금제를 지금 쓰는 인원에 맞게 조정하기 위해서는 1년 단위로 갱신 될 때 수가 자동으로 줄어드니 참고 부탁 드립니다.
 간단한 예시 함께 안내 드립니다.
 작년 12월: 직원 10명으로 시작(연간요금제 10개 구매)
 올해 3월: 직원 5명 증원 → 15개로 즉시 증가 가능
 올해 6월: 직원 3명 퇴사 → 12명만 사용 중이지만 15개 요금 그대로 과금
 올해 12월 갱신 시점: 실제 사용 중인 12개로 자동 조정되어 갱신됩니다.</t>
  </si>
  <si>
    <t>다행히도 라이언로켓께서는 이틀 뒤인 2월 25일에 재계약(갱신)이 진행 될 예정이며, 현재 사용 중이신 30명 분의 라이선스로 수가 조정 될 예정이니 참고 부탁 드립니다. :)</t>
  </si>
  <si>
    <t>30명 분의 라이선스 수로 조정이 된 후, 고위드 홈페이지의 구글 워크스페이스 관리 페이지에서 5개 수를 늘려주시면 됩니다. 감사합니다. :)</t>
  </si>
  <si>
    <t>아하 자동으로 30 개로 조정이되는 군요 확인했습니다!</t>
  </si>
  <si>
    <t>마케팅 수신 동의가 꺼져있는데 왜 광고 이메일이 왔나요?</t>
  </si>
  <si>
    <t>안녕하세요 이선호님 ☺️
 고위드 김일경 매니저입니다.
 고객님의 수신 설정을 확인하지 못하고 발송된 점 진심으로 사과드립니다. 
 내부 발송 프로세스 오류로 확인되었으며, 동일한 일이 재발하지 않도록 조치하겠습니다.
 너른 양해 부탁 드립니다.
 감사합니다.</t>
  </si>
  <si>
    <t>영수증 확인</t>
  </si>
  <si>
    <t>영수증 사진첨부해야하는데, 실제 영수증 없을때 결제내역 캡쳐후 업로드 하고싶습니다.</t>
  </si>
  <si>
    <t>고객님, 혹시 오류가 발생한 상황이신지 확인해주실 수 있으실까요? 확인 가능한 화면을 캡쳐해주시면 더욱 정확하게 확인이 가능합니다.</t>
  </si>
  <si>
    <t>잠시만요!</t>
  </si>
  <si>
    <t>영수증 대신 첨부할수있는 카드승인 내역을 확인하고싶은데, 어디서 가능한지에 대한 문의입니다!</t>
  </si>
  <si>
    <t>네 고객님, 고위드가 아닌 사용하시는 카드사 측에서 결제내역을 확인 및 캡쳐 후 첨부하시면 되겠습니다.</t>
  </si>
  <si>
    <t>네 고객님, 혹시 어떤 문의이실까요?</t>
  </si>
  <si>
    <t>한도상향으로 전에 연락주셨었는데</t>
  </si>
  <si>
    <t>담당자분께 다시 가능여부 확인 가능할까요?</t>
  </si>
  <si>
    <t>고객님, 혹시 웹페이지에서 한도상향 절차를 진행해주셨을까요?</t>
  </si>
  <si>
    <t>안녕하세요.
 혹시 저희 저번에 라이센스 추가 요청했던 사항이 있는데</t>
  </si>
  <si>
    <t>해당 라이센스가 이전에 다른 라이센스와 다른것이 있는지 확인요청드리고자합니다!</t>
  </si>
  <si>
    <t>아 해결되었습니다.</t>
  </si>
  <si>
    <t>감사합니다</t>
  </si>
  <si>
    <t>거래 상태 취소 건 사용자 확인 가능여부</t>
  </si>
  <si>
    <t>안녕하세요,
 이용 내역 중 거래 상태가 '전체 취소' 건인 경우 
 관리자에게만 해당 건 노출되는 걸까요?
 카드 소지자에게는 확인 되지 않는다고 합니다</t>
  </si>
  <si>
    <t>네 담당자님, 취소건은 관리자에게만 노출되는 정책은 아닙니다. 아래와 같은 경우 확인되지 않을 수 있는데요, 확인 부탁드립니다.
 - 조회. 기간/필터에서 전체 취소가 제외된 경우
 - 해당 사용자가 현재 카드. 소지자(또는 공동 소지자 할당 기간) 범위에 없는. 경우
 - 열람 권한 설정이 변경된 경우
 혹여나 찾기 어려우신 경우 말씀주시면 지원드리겠습니다.</t>
  </si>
  <si>
    <t>1. 필터는 초기화 후, 필터가 적용되지 않은 상태였음에도 불구하고 확인되지 않았습니다.
 2. 카드 소지자 로 지정되어 있습니다.</t>
  </si>
  <si>
    <t>3번의 경우 안내하여주시면 확인 해보겠습니다 !</t>
  </si>
  <si>
    <t>다음은 요청하신 템플릿에 따라 고객 문의를 정리한 내용입니다.
 - 법인명 :
 - 사업자번호 :
 - 문의 경로: 채널톡
 - 문의 고객 성함 및 이메일: 강혜민
 - 문의 인입 일시: 2026-02-23 16:26:21
 - 문제 요약: '승인 내 영수증 제출' 화면에서 카드 소지자(손태근)가 본인 카드의 '전체 취소' 상태 거래 내역을 확인할 수 없음. 필터 초기화 및 카드 소지자 지정 상태에도 불구하고 해당 취소 건 확인 불가.
 - 발생 시점: 현재 발생 중
 - 고객영향도: 중</t>
  </si>
  <si>
    <t>식스티헤르츠 / 87-888-01768
 관리자 계정의 api key 발급 절차에 대한 문의
 안녕하세요 apikey를 이용하여 사내에서 개발을 하고자 합니다. 홈페이지 및 다른 어디에도 해당 부분에 안내된것이 없어서 도움을 받고자 합니다. 절차를 안내해주시면 관리자님께 절차를 전달 드리고자합니다</t>
  </si>
  <si>
    <t>안녕하세요, 고위드입니다.
 우선적으로 API 키 발급 안내 드립니다.
 슈퍼관리자 계정 메일로만 api 발송이 가능합니다.
 한도상향/신규카드사 입회가 가능한 슈퍼관리자 분께 내부 협의 후 해당 이메일 전달 부탁드립니다!
 우선적으로, 해당 상담창에 API Key 발급을 위해 아래 내용 전달 부탁드립니다!
 - 법인명/사업자번호
 - 담당자 성함/직책/메일:
 (해당 담당자는 슈퍼관리자 권한 부여 必)
 - 필요한 API 데이터(예시: 지출내역 조회):
 - 요청사유(예시: 법인카드 지출 내역을 ERP에 연동):
 정보 확인 후 담당자 님이 안내 메일 드릴 예정입니다.
 참고하실 수 있는 가이드도 첨부 드립니다.
 감사합니다.</t>
  </si>
  <si>
    <t>- 식스티헤르츠 / 87-888-01768
 - 이수경/매니저/sk.lee@60hz.io
 - api 문서상 조회성의 모든 api
 - 사내 hr 시스템과의 연계 시스템 구축
 요청하신 내용 전달드립니다</t>
  </si>
  <si>
    <t>네 고객님, 혹시 사내에서 사용하고 계신 회계프로그램은 어떤 프로그램인지 알려주실 수 있으실까요? 😀</t>
  </si>
  <si>
    <t>hiworks입니다</t>
  </si>
  <si>
    <t>hiworks 상에 출장관련 보고서를 작성해야하는데, 보고서관련 작업을 자동화하는 서비스를 기획하고 개발 중에 있습니다.</t>
  </si>
  <si>
    <t>네 감사합니다. API key 요청은 관련부서에 진행드렸으며, 이메일로 안내드릴 예정입니다. 소요시간은 익일 중으로 진행될 예정입니다. 
 추가로 문의 주실 내용이 있으실까요?</t>
  </si>
  <si>
    <t>아니요 없습니다 도와주셔서 감사합니다</t>
  </si>
  <si>
    <t>안녕하세요 
 2월 월별청구내역서 상 금액은 2,821,868원인데
 2월달 카드값 총 금액 (실출금액)은 2,822,545원이 나왔습니다. 차액 677원을 찾으려고 하는데 환불인지.. 어떤내용인지 도무지 알수 없어서 문의드립니다 확인후 답변/메일 부탁드립니다. !</t>
  </si>
  <si>
    <t>네 담당자님, 
 - 해외 결제 환율/환가료 확정 반영
 - 수수료/이자성 항목 별도 합산
 - 전월 이월 또는 취소/환불 반영 시점 차이 
 위에 해당 하는 경우 일정 차액이 발생할 수 있는데요, 정확한 금액 확인의 경우 카드사 측 확인을 권장 드리고 있습니다.</t>
  </si>
  <si>
    <t>저희 내부적으로도 확인 진행해볼텐데요, 조금만 시간 양해 부탁드립니다.</t>
  </si>
  <si>
    <t>• 법인명 : 정보 없음
 • 사업자번호 : 정보 없음
 • 문의 경로: 채널톡
 • 문의 고객 성함 및 이메일: 안미소 / 이메일 정보 없음
 • 문의 인입 일시: 2026-02-23 16:24:07
 • 문제 요약: 2월 월별청구내역서 상 금액(2,821,868원)과 2월 실제 카드값(2,822,545원) 사이에 677원의 차액이 발생하여 그 원인과 내용 확인을 요청합니다.
 • 발생 시점: 2월 청구 건
 • 고객영향도: 상</t>
  </si>
  <si>
    <t>네 확인후 답변 부탁드리겠습니다 감사합니다 ~!</t>
  </si>
  <si>
    <t>API Key 발급받고싶습니다.</t>
  </si>
  <si>
    <t>법인명/사업자번호: 548-81-01437 
 담당자 성함/직책/메일: 서문교 / DX개발 팀장 / munkyo@butfitseoul.com
 필요한 API 데이터(예시: 지출내역 조회): 지출내역 조회
 요청사유(예시: 법인카드 지출 내역을 ERP에 연동): 내부 지출내역 프로그램에 연동 (ERP)</t>
  </si>
  <si>
    <t>그럼 이메일로 안내 기다리겠습니다.</t>
  </si>
  <si>
    <t>네 고객님, 전달 완료되었습니다. 이메일로 안내 드릴 예정입니다. 
 추가로 문의 주실 내용이 있으실까요?</t>
  </si>
  <si>
    <t>공동인증서 연동 에러</t>
  </si>
  <si>
    <t>담당자님 혹시 어떤 오류가 확인되셨을까요?</t>
  </si>
  <si>
    <t>안녕하세요!</t>
  </si>
  <si>
    <t>카드 신청하려고 하는데, 법인 확인이 어렵다고 합니다 ㅠㅠ</t>
  </si>
  <si>
    <t>어떻게 해결할 수 있을까 싶어서 문의드려봅니다!</t>
  </si>
  <si>
    <t>네 담당자님, 혹시 사업자번호와 법인명 알려주실 수 있으실까요?</t>
  </si>
  <si>
    <t>위니브 546-86-01737 입니다</t>
  </si>
  <si>
    <t>네 고객님, 혹시 한도 조회를 하는 과정에서 공인인증서 연동이 안되는 상황이실까요?</t>
  </si>
  <si>
    <t>네, [카드사 입회/한도 신청] - [한도확인] 버튼 클릭했는데 심사신청실패 팝업이 뜹니다!</t>
  </si>
  <si>
    <t>고객님 혹시 심사신청은 대략 어느 시간대에 진행해주셨을까요?</t>
  </si>
  <si>
    <t>이전에 심사신청 한 이력이 있을까요?
 만약 있었다면 다른 담당자분께서 하셨던 것 같은데, 제가 전달받은게 없어서 신규신청으로 생각하고 있었습니다.</t>
  </si>
  <si>
    <t>금일 4시 50분 경에 시도해주신 것으로 확인되는데요, 담당자님께서 시도하신게 맞으실까요?</t>
  </si>
  <si>
    <t>넵 맞습니다</t>
  </si>
  <si>
    <t>고객님, 혹시 심사신청실패 과정에서 보이는 화면을 저희에게 공유해주실 수 있으실까요?</t>
  </si>
  <si>
    <t>요청하신 고객 문의를 아래 템플릿에 따라 정리했습니다.
 - 법인명: 위니브
 - 사업자번호: 546-86-01737
 - 문의 경로: 채널톡 (데스크 링크는 현재 정보로 확인할 수 없습니다.)
 - 문의 고객 성함 및 이메일: 이호준
 - 문의 인입 일시: 2026-02-23 17:36:42
 - 문제 요약: 카드사 입회/한도 신청 화면에서 [한도확인] 버튼 클릭 시 "심사 신청 실패" 팝업이 발생하여 한도 심사를 진행할 수 없음
 - 발생 시점: 금일 16시 50분경 시도 시 발생
 - 고객영향도: 중</t>
  </si>
  <si>
    <t>네 고객님, 해당 부분에 대해 관련부서에 문의 요청 드렸으며, 답변 받는 즉시 재안내 드리도록 하겠습니다.</t>
  </si>
  <si>
    <t>네, paul-lab@naver.com 으로 안내 부탁드립니다. 감사합니다</t>
  </si>
  <si>
    <t>고객님, 혹시 회원가입을 진행해주신 상황이실까요?</t>
  </si>
  <si>
    <t>1. 도입신청서 링크로 회원가입을 했는지, 
 - ㄹ
 - 옜날에 가입만 하고 이탈 한 고객일지도?
 2. 이호준 대리해서 진행을 하고 있는 상황인지 
 - 큰 차인느 없으나 23년도에 비해 데이터가 꼬여서
 - 우리가 해줄 수 있는 조치
 - 김민승 &gt; 도입신청서 작성자 이름</t>
  </si>
  <si>
    <t>@ALF 아래 템플릿으로 고객문의 정리해줘.
 최대한 간명하게 작성해주되, 문제요약은 구체적으로 이해하기 쉽게 고위드 용어로 작성해줘. * 표시는 다 안 들어가도록 빼줘.
 - 타이틀 :
 • 법인명 :
 • 사업자번호 :
 • 문의 경로*: 채널톡 ​( 데스크 링크 첨부)
 • 문의 고객 성함 및 이메일: ​
 • 문의 인입 일시: (상담 열린 시간)
 • 문제 요약: ​(한줄로, 어떤 화면/기능에서 어떤 현상인지. 고객의 문의 내용을 그대로 참고하길 부탁.)
 • 발생 시점: ​(예시: 언제부터 발생했는지, 반복된 현상이었는지 등의 여부)
 • 고객영향도: ​(예 - 톤앤매너 보고 민감도 상/중/하 중 하나 기재)</t>
  </si>
  <si>
    <t>요청하신 고객 문의를 아래 템플릿에 따라 정리했습니다.
 - 타이틀: 카드 심사 신청 실패 문의 (법인 확인 불가)
 - 법인명: 위니브
 - 사업자번호: 546-86-01737
 - 문의 경로: 채널톡 (데스크 링크는 현재 정보로 확인할 수 없습니다.)
 - 문의 고객 성함 및 이메일: 이호준 / paul-lab@naver.com
 - 문의 인입 일시: 2026-02-23 17:36:42
 - 문제 요약: 카드사 입회/한도 신청 화면에서 [한도확인] 버튼 클릭 시 "심사 신청 실패" 팝업이 발생하여 한도 심사를 진행할 수 없음.
 - 발생 시점: 금일 16시 50분경 시도 시 발생
 - 고객영향도: 중</t>
  </si>
  <si>
    <t>주식회사 알케미랩/115-86-01358
 한도 유지를 위해 1500만원 보증금을 넣어둔 상태인데, 1000만원을 빼고 한도를 500만원으로 하려고 합니다.</t>
  </si>
  <si>
    <t>서덕민
 010-5897-2347 로 연락부탁드립니다.</t>
  </si>
  <si>
    <t>사업장 주소 변경</t>
  </si>
  <si>
    <t>사업장 주소 변경
 (카드 수령지 변경)</t>
  </si>
  <si>
    <t>profile.name</t>
  </si>
  <si>
    <t>profile.authorities</t>
  </si>
  <si>
    <t>profile.companyname</t>
  </si>
  <si>
    <t>profile.corp_number</t>
  </si>
  <si>
    <t>profile.coregroup</t>
  </si>
  <si>
    <t>profile.profile</t>
  </si>
  <si>
    <t>profile.email</t>
  </si>
  <si>
    <t>profile.mobileNumber</t>
  </si>
  <si>
    <t>profile.landlineNumber</t>
  </si>
  <si>
    <t>profile.description</t>
  </si>
  <si>
    <t>profile.firstName</t>
  </si>
  <si>
    <t>profile.lastName</t>
  </si>
  <si>
    <t>memberId</t>
  </si>
  <si>
    <t>member</t>
  </si>
  <si>
    <t>sessionsCount</t>
  </si>
  <si>
    <t>city</t>
  </si>
  <si>
    <t>province</t>
  </si>
  <si>
    <t>country</t>
  </si>
  <si>
    <t>timeZone</t>
  </si>
  <si>
    <t>hasPushToken</t>
  </si>
  <si>
    <t>language</t>
  </si>
  <si>
    <t>lastSeenAt</t>
  </si>
  <si>
    <t>profile.회사명</t>
  </si>
  <si>
    <t>mobile.appName</t>
  </si>
  <si>
    <t>mobile.appVersion</t>
  </si>
  <si>
    <t>mobile.device</t>
  </si>
  <si>
    <t>mobile.lastSeenAt</t>
  </si>
  <si>
    <t>mobile.os</t>
  </si>
  <si>
    <t>mobile.osName</t>
  </si>
  <si>
    <t>mobile.sessionsCount</t>
  </si>
  <si>
    <t>unsubscribeEmail</t>
  </si>
  <si>
    <t>unsubscribeTexting</t>
  </si>
  <si>
    <t>web.browser</t>
  </si>
  <si>
    <t>web.browserName</t>
  </si>
  <si>
    <t>web.device</t>
  </si>
  <si>
    <t>web.lastSeenAt</t>
  </si>
  <si>
    <t>web.os</t>
  </si>
  <si>
    <t>web.osName</t>
  </si>
  <si>
    <t>web.sessionsCount</t>
  </si>
  <si>
    <t>profile.lastCheckoutCompletedAt</t>
  </si>
  <si>
    <t>profile.profileuserid</t>
  </si>
  <si>
    <t>profile.referrer</t>
  </si>
  <si>
    <t>profile.utmCampaign</t>
  </si>
  <si>
    <t>profile.utmContent</t>
  </si>
  <si>
    <t>profile.utmMedium</t>
  </si>
  <si>
    <t>profile.utmSource</t>
  </si>
  <si>
    <t>profile.utmTerm</t>
  </si>
  <si>
    <t>profile.kakaoProfileAgree</t>
  </si>
  <si>
    <t>profile.ageRange</t>
  </si>
  <si>
    <t>profile.birthday</t>
  </si>
  <si>
    <t>profile.gender</t>
  </si>
  <si>
    <t>hasChat</t>
  </si>
  <si>
    <t>profile.lastUtmSource</t>
  </si>
  <si>
    <t>profile.lastUtmMedium</t>
  </si>
  <si>
    <t>profile.lastUtmCampaign</t>
  </si>
  <si>
    <t>profile.lastUtmContent</t>
  </si>
  <si>
    <t>profile.lastUtmTerm</t>
  </si>
  <si>
    <t>profile.lastReferrer</t>
  </si>
  <si>
    <t>userImportTags</t>
  </si>
  <si>
    <t>EXPENSE:카드 총괄관리자 / CARD:카드 총괄관리자</t>
  </si>
  <si>
    <t>주식회사 스티커스코퍼레이션</t>
  </si>
  <si>
    <t>737-81-01527</t>
  </si>
  <si>
    <t>기가입회원/관리자/기존</t>
  </si>
  <si>
    <t>h_s820@drmamma.co.kr</t>
  </si>
  <si>
    <t>부산시 기장군</t>
  </si>
  <si>
    <t>KR</t>
  </si>
  <si>
    <t>Asia/Seoul</t>
  </si>
  <si>
    <t>2025-07-07T04:53:03.955Z</t>
  </si>
  <si>
    <t>ko</t>
  </si>
  <si>
    <t>2026-02-23T04:02:37.829Z</t>
  </si>
  <si>
    <t>2026-02-23T04:02:37.830Z</t>
  </si>
  <si>
    <t>Edge 145</t>
  </si>
  <si>
    <t>Edge</t>
  </si>
  <si>
    <t>Desktop</t>
  </si>
  <si>
    <t>Windows &gt;=10</t>
  </si>
  <si>
    <t>Windows NT</t>
  </si>
  <si>
    <t>https://gowid.com/</t>
  </si>
  <si>
    <t>EXPENSE:슈퍼관리자 / SUBSCRIPTION:구독 총괄 관리자 / CARD:슈퍼관리자</t>
  </si>
  <si>
    <t>주식회사 오아시스비즈니스</t>
  </si>
  <si>
    <t>194-87-01232</t>
  </si>
  <si>
    <t>sc.lee@oasisbusiness.co.kr</t>
  </si>
  <si>
    <t>경기도 성남시 분당구</t>
  </si>
  <si>
    <t>2025-09-26T14:43:04.189Z</t>
  </si>
  <si>
    <t>2026-02-22T02:59:10.131Z</t>
  </si>
  <si>
    <t>2026-02-22T02:59:10.132Z</t>
  </si>
  <si>
    <t>Chrome 145</t>
  </si>
  <si>
    <t>Chrome</t>
  </si>
  <si>
    <t>Apple Macintosh</t>
  </si>
  <si>
    <t>Mac OS &gt;=10.15.7</t>
  </si>
  <si>
    <t>Mac OS</t>
  </si>
  <si>
    <t>https://www.google.com/</t>
  </si>
  <si>
    <t>2025_11_11_channcel_talk_user</t>
  </si>
  <si>
    <t>EXPENSE:일반 멤버 / SUBSCRIPTION:일반 멤버 / CARD:일반 멤버</t>
  </si>
  <si>
    <t>주식회사 아멜리글로벌</t>
  </si>
  <si>
    <t>487-88-01427</t>
  </si>
  <si>
    <t>isoo@ameli.co.kr</t>
  </si>
  <si>
    <t>서울시 성동구</t>
  </si>
  <si>
    <t>2025-12-18T01:02:31.940Z</t>
  </si>
  <si>
    <t>2026-02-20T03:05:04.043Z</t>
  </si>
  <si>
    <t>com.gowid.expense</t>
  </si>
  <si>
    <t>2.8.4</t>
  </si>
  <si>
    <t>Apple iPhone</t>
  </si>
  <si>
    <t>2026-02-05T00:55:32.562Z</t>
  </si>
  <si>
    <t>iOS 26.1</t>
  </si>
  <si>
    <t>iOS</t>
  </si>
  <si>
    <t>2026-02-20T03:05:04.044Z</t>
  </si>
  <si>
    <t>주식회사 알케미랩</t>
  </si>
  <si>
    <t>115-86-01358</t>
  </si>
  <si>
    <t>기가입회원/소지자, 기가입회원/관리자/기존</t>
  </si>
  <si>
    <t>bonnie.seo@alchemilab.com</t>
  </si>
  <si>
    <t>서울시 강서구</t>
  </si>
  <si>
    <t>2024-07-19T09:28:13.054Z</t>
  </si>
  <si>
    <t>2026-02-23T09:25:30.951Z</t>
  </si>
  <si>
    <t>2.7.1</t>
  </si>
  <si>
    <t>2025-11-17T10:14:54.825Z</t>
  </si>
  <si>
    <t>iOS 26.0.1</t>
  </si>
  <si>
    <t>2026-02-23T09:25:30.953Z</t>
  </si>
  <si>
    <t>EXPENSE:슈퍼관리자 / SUBSCRIPTION:일반 멤버 / CARD:슈퍼관리자</t>
  </si>
  <si>
    <t>(주) 미스터멘션</t>
  </si>
  <si>
    <t>359-88-00176</t>
  </si>
  <si>
    <t>롯데</t>
  </si>
  <si>
    <t>기가입회원/관리자/기존, 코어그룹(12월)</t>
  </si>
  <si>
    <t>mr-tax@mrmention.co.kr</t>
  </si>
  <si>
    <t>부산시 해운대구</t>
  </si>
  <si>
    <t>2023-11-29T09:17:52.895Z</t>
  </si>
  <si>
    <t>2026-02-20T08:18:23.956Z</t>
  </si>
  <si>
    <t>2026-02-20T08:18:23.957Z</t>
  </si>
  <si>
    <t>Windows NT ??</t>
  </si>
  <si>
    <t>https://search.naver.com/search.naver?where=nexearch&amp;sm=top_hty&amp;fbm=0&amp;ie=utf8&amp;query=15519020</t>
  </si>
  <si>
    <t>주식회사 미켈로로보틱스 (Michelo Robotics Inc.)</t>
  </si>
  <si>
    <t>353-87-02451</t>
  </si>
  <si>
    <t>Tecton.Lee@michelorobotics.com</t>
  </si>
  <si>
    <t>서울시 강남구</t>
  </si>
  <si>
    <t>2025-11-10T03:08:14.713Z</t>
  </si>
  <si>
    <t>2026-02-23T15:17:49.186Z</t>
  </si>
  <si>
    <t>Samsung SM-S921N</t>
  </si>
  <si>
    <t>Android 16</t>
  </si>
  <si>
    <t>Android</t>
  </si>
  <si>
    <t>2026-02-23T15:17:49.187Z</t>
  </si>
  <si>
    <t>2026-02-20T09:13:35.463Z</t>
  </si>
  <si>
    <t>authority-01-2026</t>
  </si>
  <si>
    <t>gowid-card-image</t>
  </si>
  <si>
    <t>paid-search</t>
  </si>
  <si>
    <t>google</t>
  </si>
  <si>
    <t>법인카드</t>
  </si>
  <si>
    <t>CARD:슈퍼관리자</t>
  </si>
  <si>
    <t>주식회사 르젯</t>
  </si>
  <si>
    <t>633-88-03542</t>
  </si>
  <si>
    <t>비회원</t>
  </si>
  <si>
    <t>leo@celon.ai</t>
  </si>
  <si>
    <t>세종시</t>
  </si>
  <si>
    <t>2026-02-15T16:00:56.847Z</t>
  </si>
  <si>
    <t>2026-02-23T04:36:07.524Z</t>
  </si>
  <si>
    <t>2026-02-23T04:36:07.525Z</t>
  </si>
  <si>
    <t>EXPENSE:일반 멤버 / CARD:일반 멤버</t>
  </si>
  <si>
    <t>식스티헤르츠 주식회사</t>
  </si>
  <si>
    <t>878-88-01768</t>
  </si>
  <si>
    <t>기가입회원/소지자</t>
  </si>
  <si>
    <t>jh.kim0128@60hz.io</t>
  </si>
  <si>
    <t>2025-09-26T02:52:21.319Z</t>
  </si>
  <si>
    <t>2026-02-23T06:53:17.477Z</t>
  </si>
  <si>
    <t>2026-02-20T05:12:46.101Z</t>
  </si>
  <si>
    <t>iOS 26.2.1</t>
  </si>
  <si>
    <t>2026-02-23T06:53:17.478Z</t>
  </si>
  <si>
    <t>주식회사 발렌라이프</t>
  </si>
  <si>
    <t>728-81-02541</t>
  </si>
  <si>
    <t>기가입회원/관리자/신규</t>
  </si>
  <si>
    <t>sk.youn@valen-life.com</t>
  </si>
  <si>
    <t>서울시 중구</t>
  </si>
  <si>
    <t>2026-02-10T01:18:57.077Z</t>
  </si>
  <si>
    <t>2026-02-23T02:47:27.298Z</t>
  </si>
  <si>
    <t>2026-02-23T02:47:47.123Z</t>
  </si>
  <si>
    <t>https://gowid.channel.io/</t>
  </si>
  <si>
    <t>주식회사 포터리</t>
  </si>
  <si>
    <t>504-88-01834</t>
  </si>
  <si>
    <t>yuri@ptry.co.kr</t>
  </si>
  <si>
    <t>2026-01-06T09:54:30.883Z</t>
  </si>
  <si>
    <t>2026-02-23T04:55:35.280Z</t>
  </si>
  <si>
    <t>Samsung SM-S936N</t>
  </si>
  <si>
    <t>2026-02-19T09:07:40.112Z</t>
  </si>
  <si>
    <t>2026-02-23T04:55:35.281Z</t>
  </si>
  <si>
    <t>EXPENSE:슈퍼관리자 / CARD:슈퍼관리자</t>
  </si>
  <si>
    <t>주식회사 연지트레이드</t>
  </si>
  <si>
    <t>671-86-01877</t>
  </si>
  <si>
    <t>fkzm0662@gmail.com</t>
  </si>
  <si>
    <t>부산시 동래구</t>
  </si>
  <si>
    <t>2026-02-19T23:51:40.135Z</t>
  </si>
  <si>
    <t>2026-02-19T23:51:51.421Z</t>
  </si>
  <si>
    <t>Chrome 144</t>
  </si>
  <si>
    <t>https://search.naver.com/</t>
  </si>
  <si>
    <t>a0b1b8c6-7c2d-4140-9510-5f2351514818</t>
  </si>
  <si>
    <t>2026-02-19T23:12:26.997Z</t>
  </si>
  <si>
    <t>2026-02-19T23:23:00.714Z</t>
  </si>
  <si>
    <t>Safari 26.1</t>
  </si>
  <si>
    <t>Safari</t>
  </si>
  <si>
    <t>https://support.cloud.google.com/</t>
  </si>
  <si>
    <t>주식회사 펄스애드</t>
  </si>
  <si>
    <t>406-81-66742</t>
  </si>
  <si>
    <t>기가입회원/관리자/신규, 비회원, 기가입회원/관리자/기존</t>
  </si>
  <si>
    <t>aiden.lee@pulsead.io</t>
  </si>
  <si>
    <t>2026-01-07T07:02:17.920Z</t>
  </si>
  <si>
    <t>2026-02-23T09:09:11.196Z</t>
  </si>
  <si>
    <t>2026-02-23T09:09:11.197Z</t>
  </si>
  <si>
    <t>스타트업법인카드</t>
  </si>
  <si>
    <t>naver</t>
  </si>
  <si>
    <t>powerlink-12-2025</t>
  </si>
  <si>
    <t>startup-corporatecard</t>
  </si>
  <si>
    <t>주식회사 티라노</t>
  </si>
  <si>
    <t>627-81-01609</t>
  </si>
  <si>
    <t>기가입회원/관리자/신규, 기가입회원/관리자/기존</t>
  </si>
  <si>
    <t>baeksekorea@naver.com</t>
  </si>
  <si>
    <t>서울시 송파구</t>
  </si>
  <si>
    <t>2024-08-20T04:35:18.697Z</t>
  </si>
  <si>
    <t>2026-02-20T05:50:48.361Z</t>
  </si>
  <si>
    <t>2026-02-20T05:51:37.479Z</t>
  </si>
  <si>
    <t>주식회사 스킨스탠다드</t>
  </si>
  <si>
    <t>110-86-06168</t>
  </si>
  <si>
    <t>비회원, 기가입회원/관리자/신규</t>
  </si>
  <si>
    <t>yhjung@skinstandard.com</t>
  </si>
  <si>
    <t>서울시 마포구</t>
  </si>
  <si>
    <t>2026-02-12T04:34:04.667Z</t>
  </si>
  <si>
    <t>2026-02-23T09:55:49.566Z</t>
  </si>
  <si>
    <t>2026-02-23T10:07:29.573Z</t>
  </si>
  <si>
    <t>https://docs.channel.io/</t>
  </si>
  <si>
    <t>닥터블릿헬스케어 주식회사</t>
  </si>
  <si>
    <t>382-88-01869</t>
  </si>
  <si>
    <t>r_omp@naver.com</t>
  </si>
  <si>
    <t>2025-11-26T05:16:19.141Z</t>
  </si>
  <si>
    <t>2026-02-23T09:30:10.391Z</t>
  </si>
  <si>
    <t>iOS 18.2</t>
  </si>
  <si>
    <t>2026-02-23T09:30:10.392Z</t>
  </si>
  <si>
    <t>2026-02-23T04:40:15.823Z</t>
  </si>
  <si>
    <t>EXPENSE:슈퍼관리자 / CARD:슈퍼관리자 / SUBSCRIPTION:구독 총괄 관리자</t>
  </si>
  <si>
    <t>주식회사 스쿼드엑스</t>
  </si>
  <si>
    <t>623-88-02380</t>
  </si>
  <si>
    <t>pearl@squadx.pro</t>
  </si>
  <si>
    <t>2024-10-04T06:12:55.871Z</t>
  </si>
  <si>
    <t>2026-02-20T04:46:00.999Z</t>
  </si>
  <si>
    <t>2026-02-20T04:46:01Z</t>
  </si>
  <si>
    <t>주식회사 벤디트(VENDIT Inc.)</t>
  </si>
  <si>
    <t>865-87-02013</t>
  </si>
  <si>
    <t>신한</t>
  </si>
  <si>
    <t>leesh2916@vendit.co.kr</t>
  </si>
  <si>
    <t>2024-01-09T06:17:28.749Z</t>
  </si>
  <si>
    <t>2026-02-23T05:31:21.320Z</t>
  </si>
  <si>
    <t>A001</t>
  </si>
  <si>
    <t>2026-02-03T04:04:25.796Z</t>
  </si>
  <si>
    <t>https://payment-gateway.tosspayments.com/</t>
  </si>
  <si>
    <t>paul-lab@naver.com</t>
  </si>
  <si>
    <t>경남 창원시 성산구</t>
  </si>
  <si>
    <t>2026-02-23T07:54:17.732Z</t>
  </si>
  <si>
    <t>2026-02-23T08:00:21.118Z</t>
  </si>
  <si>
    <t>2026-02-23T08:08:28.823Z</t>
  </si>
  <si>
    <t>주식회사 링크업(Link-up Co.,Ltd.)</t>
  </si>
  <si>
    <t>475-81-00921</t>
  </si>
  <si>
    <t>goodshop5300@naver.com</t>
  </si>
  <si>
    <t>경기도 부천시 원미구</t>
  </si>
  <si>
    <t>2024-08-28T06:16:29.426Z</t>
  </si>
  <si>
    <t>2026-02-23T08:27:04.742Z</t>
  </si>
  <si>
    <t>2026-02-20T09:00:17.958Z</t>
  </si>
  <si>
    <t>2026-02-23T08:27:04.743Z</t>
  </si>
  <si>
    <t>https://search.naver.com/search.naver?where=nexearch&amp;sm=top_hty&amp;fbm=0&amp;ie=utf8&amp;query=%EA%B3%A0%EC%9C%84%EB%93%9C</t>
  </si>
  <si>
    <t>kevin.jo@autopediacar.com</t>
  </si>
  <si>
    <t>c76dd069-950d-44c7-bf1f-9ffe983d6130</t>
  </si>
  <si>
    <t>대전시 서구</t>
  </si>
  <si>
    <t>2026-02-23T02:32:12.193Z</t>
  </si>
  <si>
    <t>2026-02-23T06:39:23.113Z</t>
  </si>
  <si>
    <t>2026-02-23T06:39:23.114Z</t>
  </si>
  <si>
    <t>주식회사 인티그레이션</t>
  </si>
  <si>
    <t>784-87-01184</t>
  </si>
  <si>
    <t>dokyung.kim@medistream.co.kr</t>
  </si>
  <si>
    <t>2026-02-20T04:27:15.863Z</t>
  </si>
  <si>
    <t>2026-02-20T09:41:16.867Z</t>
  </si>
  <si>
    <t>2026-02-20T09:41:31.294Z</t>
  </si>
  <si>
    <t>CARD:슈퍼관리자 / EXPENSE:슈퍼관리자</t>
  </si>
  <si>
    <t>헬로스킨 주식회사(HELLO SKIN Co.,Ltd.)</t>
  </si>
  <si>
    <t>888-88-00596</t>
  </si>
  <si>
    <t>비회원, 기가입회원/관리자/기존</t>
  </si>
  <si>
    <t>jsy@jumiso.co.kr</t>
  </si>
  <si>
    <t>2026-01-19T04:29:20.387Z</t>
  </si>
  <si>
    <t>2026-02-23T23:02:52.095Z</t>
  </si>
  <si>
    <t>2026-02-23T23:02:52.096Z</t>
  </si>
  <si>
    <t>EXPENSE:일반 멤버 / VWS:일반 멤버 / SUBSCRIPTION:구독 총괄 관리자 / CARD:일반 멤버</t>
  </si>
  <si>
    <t>주식회사 스매치코퍼레이션</t>
  </si>
  <si>
    <t>197-88-01844</t>
  </si>
  <si>
    <t>sunghun.jung@smatch.kr</t>
  </si>
  <si>
    <t>경남 양산시</t>
  </si>
  <si>
    <t>2024-12-13T06:42:02.750Z</t>
  </si>
  <si>
    <t>2026-02-20T06:20:25.338Z</t>
  </si>
  <si>
    <t>2026-02-20T06:20:25.339Z</t>
  </si>
  <si>
    <t>Chrome 142</t>
  </si>
  <si>
    <t>EXPENSE:일반 멤버 / FUEL:일반 멤버 / SUBSCRIPTION:일반 멤버 / CARD:일반 멤버</t>
  </si>
  <si>
    <t>주식회사 넥스트플레이어</t>
  </si>
  <si>
    <t>201-86-33675</t>
  </si>
  <si>
    <t>코어그룹(12월)</t>
  </si>
  <si>
    <t>darby.lee@nextplayer.com</t>
  </si>
  <si>
    <t>서울시 성북구</t>
  </si>
  <si>
    <t>2026-02-20T04:47:45.679Z</t>
  </si>
  <si>
    <t>2026-02-23T22:49:00.268Z</t>
  </si>
  <si>
    <t>iOS 26.3</t>
  </si>
  <si>
    <t>2026-02-23T09:52:14.850Z</t>
  </si>
  <si>
    <t>CARD:슈퍼관리자 / SUBSCRIPTION:구독 총괄 관리자 / EXPENSE:슈퍼관리자</t>
  </si>
  <si>
    <t>주식회사 썸머유니버스</t>
  </si>
  <si>
    <t>316-81-31256</t>
  </si>
  <si>
    <t>official@summerholic.kr</t>
  </si>
  <si>
    <t>2026-01-05T08:40:58.309Z</t>
  </si>
  <si>
    <t>2026-02-20T08:16:34.214Z</t>
  </si>
  <si>
    <t>2026-02-20T08:16:34.215Z</t>
  </si>
  <si>
    <t>commerce-lead-form-02-2026</t>
  </si>
  <si>
    <t>stibee-email-sequence-step1</t>
  </si>
  <si>
    <t>paid-social</t>
  </si>
  <si>
    <t>facebook</t>
  </si>
  <si>
    <t>28e187e9-7e77-4e04-8939-adf19c8d7ec1</t>
  </si>
  <si>
    <t>2026-02-20T10:08:27.740Z</t>
  </si>
  <si>
    <t>2026-02-23T03:19:56.629Z</t>
  </si>
  <si>
    <t>2026-02-23T03:19:56.630Z</t>
  </si>
  <si>
    <t>negoking</t>
  </si>
  <si>
    <t>주식회사 더블유디지</t>
  </si>
  <si>
    <t>379-87-00682</t>
  </si>
  <si>
    <t>wdg_leenol@wdgesports.com</t>
  </si>
  <si>
    <t>2026-02-19T00:55:03.468Z</t>
  </si>
  <si>
    <t>2026-02-20T08:54:09.688Z</t>
  </si>
  <si>
    <t>2026-02-20T08:54:09.690Z</t>
  </si>
  <si>
    <t>commerce-homepage-02-2026</t>
  </si>
  <si>
    <t>misung-commerce-video-v2</t>
  </si>
  <si>
    <t>120242835466260606</t>
  </si>
  <si>
    <t>이마고웍스 주식회사</t>
  </si>
  <si>
    <t>460-81-01758</t>
  </si>
  <si>
    <t>기가입회원/관리자/기존, 코어그룹, 비회원</t>
  </si>
  <si>
    <t>hmkang@imagoworks.ai</t>
  </si>
  <si>
    <t>2023-08-03T00:51:52.309Z</t>
  </si>
  <si>
    <t>2026-02-23T06:53:31.238Z</t>
  </si>
  <si>
    <t>2026-02-16T08:37:45.200Z</t>
  </si>
  <si>
    <t>2026-02-23T06:53:31.239Z</t>
  </si>
  <si>
    <t>https://admin.stepbaas.com/</t>
  </si>
  <si>
    <t>267c241e-f781-46db-9e65-b656b20c25a3</t>
  </si>
  <si>
    <t>2026-02-20T03:46:52.426Z</t>
  </si>
  <si>
    <t>2026-02-20T09:43:29.919Z</t>
  </si>
  <si>
    <t>2026-02-20T09:43:29.920Z</t>
  </si>
  <si>
    <t>Chrome Webview 128.0.0.0</t>
  </si>
  <si>
    <t>Chrome Webview</t>
  </si>
  <si>
    <t>Samsung SM-F721N</t>
  </si>
  <si>
    <t>Android 15</t>
  </si>
  <si>
    <t>https://m.search.naver.com/</t>
  </si>
  <si>
    <t>card-apply</t>
  </si>
  <si>
    <t>MO-light-251117-NBS-V1</t>
  </si>
  <si>
    <t>고위드</t>
  </si>
  <si>
    <t>EXPENSE:카드 총괄관리자 / SUBSCRIPTION:일반 멤버 / CARD:카드 총괄관리자</t>
  </si>
  <si>
    <t>래티스</t>
  </si>
  <si>
    <t>575-81-02914</t>
  </si>
  <si>
    <t>seonyong@lattice.im</t>
  </si>
  <si>
    <t>서울시 동작구</t>
  </si>
  <si>
    <t>2026-01-12T09:42:59.855Z</t>
  </si>
  <si>
    <t>2026-02-23T05:08:36.984Z</t>
  </si>
  <si>
    <t>Samsung SM-F946N</t>
  </si>
  <si>
    <t>2026-02-20T03:44:07.717Z</t>
  </si>
  <si>
    <t>2026-02-23T05:09:13.568Z</t>
  </si>
  <si>
    <t>주식회사 다이버 (DiiVER Co.,Ltd.)</t>
  </si>
  <si>
    <t>747-87-01899</t>
  </si>
  <si>
    <t>skjung@diiver.kr</t>
  </si>
  <si>
    <t>서울시 서대문구</t>
  </si>
  <si>
    <t>2024-06-28T06:12:08.074Z</t>
  </si>
  <si>
    <t>2026-02-23T07:18:33.649Z</t>
  </si>
  <si>
    <t>2026-02-16T03:18:24.977Z</t>
  </si>
  <si>
    <t>2026-02-23T07:18:35.857Z</t>
  </si>
  <si>
    <t>https://ntp.msn.com/</t>
  </si>
  <si>
    <t>(주)미들스튜디오</t>
  </si>
  <si>
    <t>520-86-01394</t>
  </si>
  <si>
    <t>miso@middlestudio.net</t>
  </si>
  <si>
    <t>2025-01-02T04:51:22.041Z</t>
  </si>
  <si>
    <t>2026-02-23T07:15:33.428Z</t>
  </si>
  <si>
    <t>라이언로켓</t>
  </si>
  <si>
    <t>217-87-01122</t>
  </si>
  <si>
    <t>jun@lionrocket.ai</t>
  </si>
  <si>
    <t>2025-10-09T10:52:26.043Z</t>
  </si>
  <si>
    <t>2026-02-23T03:07:10.435Z</t>
  </si>
  <si>
    <t>2026-02-23T03:13:49.285Z</t>
  </si>
  <si>
    <t>Chrome 143</t>
  </si>
  <si>
    <t>주식회사 윗유</t>
  </si>
  <si>
    <t>498-81-01637</t>
  </si>
  <si>
    <t>hjlim@witu.co.kr</t>
  </si>
  <si>
    <t>서울시 관악구</t>
  </si>
  <si>
    <t>2025-01-15T11:57:55.018Z</t>
  </si>
  <si>
    <t>2026-02-23T15:39:17.830Z</t>
  </si>
  <si>
    <t>Samsung SM-S938N</t>
  </si>
  <si>
    <t>2026-02-23T15:39:17.831Z</t>
  </si>
  <si>
    <t>2026-02-20T08:18:11.431Z</t>
  </si>
  <si>
    <t>주식회사 파릇</t>
  </si>
  <si>
    <t>732-86-01885</t>
  </si>
  <si>
    <t>gkwldbs8011@naver.com</t>
  </si>
  <si>
    <t>서울시 종로구</t>
  </si>
  <si>
    <t>2024-04-11T07:37:51.651Z</t>
  </si>
  <si>
    <t>2026-02-23T08:04:32.768Z</t>
  </si>
  <si>
    <t>2.8.0</t>
  </si>
  <si>
    <t>2026-01-07T10:04:23.233Z</t>
  </si>
  <si>
    <t>2026-02-23T08:04:32.769Z</t>
  </si>
  <si>
    <t>https://search.naver.com/search.naver?sm=tab_hty.top&amp;where=nexearch&amp;ssc=tab.nx.all&amp;query=%EA%B3%A0%EC%9C%84%EB%93%9C&amp;oquery=%EB%B9%84%EC%A6%88%EB%B6%81%EC%8A%A4&amp;tqi=imPfIsqo1awsslZjuC0ssssst2G-495685</t>
  </si>
  <si>
    <t>주식회사 뤼튼테크놀로지스</t>
  </si>
  <si>
    <t>202-81-67042</t>
  </si>
  <si>
    <t>teddy@wrtn.io</t>
  </si>
  <si>
    <t>경기도 광주시</t>
  </si>
  <si>
    <t>2025-12-01T03:18:52.344Z</t>
  </si>
  <si>
    <t>2026-02-23T03:40:45.170Z</t>
  </si>
  <si>
    <t>Samsung SM-F966N</t>
  </si>
  <si>
    <t>2026-02-23T03:40:45.171Z</t>
  </si>
  <si>
    <t>2026-02-23T01:02:51.980Z</t>
  </si>
  <si>
    <t>주식회사 깃컴퍼니</t>
  </si>
  <si>
    <t>157-86-00367</t>
  </si>
  <si>
    <t>기가입회원/관리자/기존, 비회원</t>
  </si>
  <si>
    <t>kwangbae@gitt.co</t>
  </si>
  <si>
    <t>2024-05-07T01:21:38.124Z</t>
  </si>
  <si>
    <t>2026-02-23T01:50:09.695Z</t>
  </si>
  <si>
    <t>2025-12-31T14:05:29.023Z</t>
  </si>
  <si>
    <t>2026-02-23T01:50:09.696Z</t>
  </si>
  <si>
    <t>주식회사 벤치링크</t>
  </si>
  <si>
    <t>323-87-02784</t>
  </si>
  <si>
    <t>기가입회원/관리자/신규, 비회원</t>
  </si>
  <si>
    <t>eric@benchlink.io</t>
  </si>
  <si>
    <t>서울시 영등포구</t>
  </si>
  <si>
    <t>2026-01-28T04:29:24.441Z</t>
  </si>
  <si>
    <t>2026-02-23T06:41:20.921Z</t>
  </si>
  <si>
    <t>2026-02-23T06:41:20.922Z</t>
  </si>
  <si>
    <t>티아이 이미지 피티이 엘티디 (영업소)</t>
  </si>
  <si>
    <t>677-84-00038</t>
  </si>
  <si>
    <t>yunhee.park@tiimage.com</t>
  </si>
  <si>
    <t>2026-02-20T04:02:53.978Z</t>
  </si>
  <si>
    <t>2026-02-23T06:52:41.708Z</t>
  </si>
  <si>
    <t>2026-02-23T06:52:41.709Z</t>
  </si>
  <si>
    <t>main-header-bar</t>
  </si>
  <si>
    <t>organic-search</t>
  </si>
  <si>
    <t>blog</t>
  </si>
  <si>
    <t>promo</t>
  </si>
  <si>
    <t>센트럴코리아 주식회사</t>
  </si>
  <si>
    <t>327-86-02251</t>
  </si>
  <si>
    <t>tjdus109@naver.com</t>
  </si>
  <si>
    <t>2024-03-04T05:44:06.114Z</t>
  </si>
  <si>
    <t>2026-02-23T04:57:54.254Z</t>
  </si>
  <si>
    <t>2026-02-23T04:58:19.468Z</t>
  </si>
  <si>
    <t>EXPENSE:카드 총괄관리자 / SUBSCRIPTION:구독 총괄 관리자 / CARD:카드 총괄관리자</t>
  </si>
  <si>
    <t>(주)피코브</t>
  </si>
  <si>
    <t>228-87-01059</t>
  </si>
  <si>
    <t>gyu9981@pcob.kr</t>
  </si>
  <si>
    <t>2024-10-18T02:56:50.110Z</t>
  </si>
  <si>
    <t>2026-02-23T01:10:07.613Z</t>
  </si>
  <si>
    <t>2026-02-23T01:10:07.614Z</t>
  </si>
  <si>
    <t>주식회사 유모델러</t>
  </si>
  <si>
    <t>813-88-01285</t>
  </si>
  <si>
    <t>accounting@tripolygon.com</t>
  </si>
  <si>
    <t>경남 거제시</t>
  </si>
  <si>
    <t>2024-12-13T07:16:16.455Z</t>
  </si>
  <si>
    <t>2026-02-20T02:21:33.308Z</t>
  </si>
  <si>
    <t>2026-02-20T02:21:33.309Z</t>
  </si>
  <si>
    <t>(주) 휘트</t>
  </si>
  <si>
    <t>614-88-03084</t>
  </si>
  <si>
    <t>visualowner@gmail.com</t>
  </si>
  <si>
    <t>2026-02-12T05:41:47.731Z</t>
  </si>
  <si>
    <t>2026-02-20T05:52:09.080Z</t>
  </si>
  <si>
    <t>munkyo@butfitseoul.com</t>
  </si>
  <si>
    <t>0d27a120-15d1-4cec-80fb-2f8f5dcd88b9</t>
  </si>
  <si>
    <t>2026-02-23T07:34:52.197Z</t>
  </si>
  <si>
    <t>2026-02-23T07:40:18.835Z</t>
  </si>
  <si>
    <t>Safari 26.3</t>
  </si>
  <si>
    <t>로지스핏 주식회사</t>
  </si>
  <si>
    <t>186-88-02334</t>
  </si>
  <si>
    <t>myyoon@logisfit.co.kr</t>
  </si>
  <si>
    <t>경기도 김포시</t>
  </si>
  <si>
    <t>2025-04-03T03:40:58.128Z</t>
  </si>
  <si>
    <t>2026-02-23T04:55:34.847Z</t>
  </si>
  <si>
    <t>2026-02-23T04:55:34.848Z</t>
  </si>
  <si>
    <t>Edge 144</t>
  </si>
  <si>
    <t>https://search.naver.com/search.naver?where=nexearch&amp;sm=top_hty&amp;fbm=0&amp;ie=utf8&amp;query=%EA%B3%A0%EC%9C%84%EB%93%9C&amp;ackey=uemjwxnz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</si>
</sst>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sz val="11.0"/>
      <color rgb="FF000000"/>
      <name val="&quot;맑은 고딕&quot;"/>
    </font>
    <font>
      <u/>
      <sz val="11.0"/>
      <color rgb="FF000000"/>
      <name val="&quot;맑은 고딕&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164" xfId="0" applyAlignment="1" applyFont="1" applyNumberFormat="1">
      <alignment readingOrder="0" shrinkToFit="0" wrapText="0"/>
    </xf>
    <xf borderId="0" fillId="0" fontId="1" numFmtId="0" xfId="0" applyAlignment="1" applyFont="1">
      <alignment shrinkToFit="0" wrapText="0"/>
    </xf>
    <xf borderId="0" fillId="0" fontId="2" numFmtId="0" xfId="0" applyAlignment="1" applyFont="1">
      <alignment readingOrder="0" shrinkToFit="0" wrapText="0"/>
    </xf>
    <xf borderId="0" fillId="0" fontId="1" numFmtId="0" xfId="0" applyAlignment="1" applyFont="1">
      <alignment horizontal="righ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sk.channel.io/gowid/user-chats/69982ed3197bf477a42b" TargetMode="External"/><Relationship Id="rId42" Type="http://schemas.openxmlformats.org/officeDocument/2006/relationships/hyperlink" Target="https://desk.channel.io/gowid/user-chats/699822a7cfaee632483b" TargetMode="External"/><Relationship Id="rId41" Type="http://schemas.openxmlformats.org/officeDocument/2006/relationships/hyperlink" Target="https://www.gowid.com" TargetMode="External"/><Relationship Id="rId44" Type="http://schemas.openxmlformats.org/officeDocument/2006/relationships/hyperlink" Target="https://desk.channel.io/gowid/user-chats/69981b125b6379d0cc7e" TargetMode="External"/><Relationship Id="rId43" Type="http://schemas.openxmlformats.org/officeDocument/2006/relationships/hyperlink" Target="https://www.gowid.com" TargetMode="External"/><Relationship Id="rId46" Type="http://schemas.openxmlformats.org/officeDocument/2006/relationships/hyperlink" Target="https://desk.channel.io/gowid/user-chats/69981a2cf000c95cb7e5" TargetMode="External"/><Relationship Id="rId45" Type="http://schemas.openxmlformats.org/officeDocument/2006/relationships/hyperlink" Target="https://www.gowid.com" TargetMode="External"/><Relationship Id="rId48" Type="http://schemas.openxmlformats.org/officeDocument/2006/relationships/hyperlink" Target="https://desk.channel.io/gowid/user-chats/699819d87fd6dec1fbca" TargetMode="External"/><Relationship Id="rId47" Type="http://schemas.openxmlformats.org/officeDocument/2006/relationships/hyperlink" Target="https://www.gowid.com" TargetMode="External"/><Relationship Id="rId49" Type="http://schemas.openxmlformats.org/officeDocument/2006/relationships/hyperlink" Target="https://www.gowid.com" TargetMode="External"/><Relationship Id="rId31" Type="http://schemas.openxmlformats.org/officeDocument/2006/relationships/hyperlink" Target="https://www.gowid.com" TargetMode="External"/><Relationship Id="rId30" Type="http://schemas.openxmlformats.org/officeDocument/2006/relationships/hyperlink" Target="https://desk.channel.io/gowid/user-chats/699bbc6ecec3e68cf68d" TargetMode="External"/><Relationship Id="rId33" Type="http://schemas.openxmlformats.org/officeDocument/2006/relationships/hyperlink" Target="https://docs.channel.io/gowid-guide/ko" TargetMode="External"/><Relationship Id="rId32" Type="http://schemas.openxmlformats.org/officeDocument/2006/relationships/hyperlink" Target="https://desk.channel.io/gowid/user-chats/699bbc97121bac4377ee" TargetMode="External"/><Relationship Id="rId35" Type="http://schemas.openxmlformats.org/officeDocument/2006/relationships/hyperlink" Target="https://www.gowid.com" TargetMode="External"/><Relationship Id="rId34" Type="http://schemas.openxmlformats.org/officeDocument/2006/relationships/hyperlink" Target="https://desk.channel.io/gowid/user-chats/699bb101a2cedae2667a" TargetMode="External"/><Relationship Id="rId37" Type="http://schemas.openxmlformats.org/officeDocument/2006/relationships/hyperlink" Target="https://docs.channel.io/gowid-guide/ko" TargetMode="External"/><Relationship Id="rId36" Type="http://schemas.openxmlformats.org/officeDocument/2006/relationships/hyperlink" Target="https://desk.channel.io/gowid/user-chats/699ba9321637a3c11d7d" TargetMode="External"/><Relationship Id="rId39" Type="http://schemas.openxmlformats.org/officeDocument/2006/relationships/hyperlink" Target="https://www.gowid.com" TargetMode="External"/><Relationship Id="rId38" Type="http://schemas.openxmlformats.org/officeDocument/2006/relationships/hyperlink" Target="https://desk.channel.io/gowid/user-chats/699ae8f369d2ed51bfcc" TargetMode="External"/><Relationship Id="rId20" Type="http://schemas.openxmlformats.org/officeDocument/2006/relationships/hyperlink" Target="https://www.gowid.com" TargetMode="External"/><Relationship Id="rId22" Type="http://schemas.openxmlformats.org/officeDocument/2006/relationships/hyperlink" Target="https://www.gowid.com" TargetMode="External"/><Relationship Id="rId21" Type="http://schemas.openxmlformats.org/officeDocument/2006/relationships/hyperlink" Target="https://desk.channel.io/gowid/user-chats/699bdb14852e59a71c94" TargetMode="External"/><Relationship Id="rId24" Type="http://schemas.openxmlformats.org/officeDocument/2006/relationships/hyperlink" Target="https://www.gowid.com" TargetMode="External"/><Relationship Id="rId23" Type="http://schemas.openxmlformats.org/officeDocument/2006/relationships/hyperlink" Target="https://desk.channel.io/gowid/user-chats/699bc92cd46a636f68bc" TargetMode="External"/><Relationship Id="rId26" Type="http://schemas.openxmlformats.org/officeDocument/2006/relationships/hyperlink" Target="https://www.gowid.com" TargetMode="External"/><Relationship Id="rId25" Type="http://schemas.openxmlformats.org/officeDocument/2006/relationships/hyperlink" Target="https://desk.channel.io/gowid/user-chats/699bc5714edabed18f72" TargetMode="External"/><Relationship Id="rId28" Type="http://schemas.openxmlformats.org/officeDocument/2006/relationships/hyperlink" Target="https://www.gowid.com" TargetMode="External"/><Relationship Id="rId27" Type="http://schemas.openxmlformats.org/officeDocument/2006/relationships/hyperlink" Target="https://desk.channel.io/gowid/user-chats/699bc135379ad55a0b1f" TargetMode="External"/><Relationship Id="rId29" Type="http://schemas.openxmlformats.org/officeDocument/2006/relationships/hyperlink" Target="https://desk.channel.io/gowid/user-chats/699bbf8ecb0d78e626c9" TargetMode="External"/><Relationship Id="rId95" Type="http://schemas.openxmlformats.org/officeDocument/2006/relationships/hyperlink" Target="https://www.gowid.com" TargetMode="External"/><Relationship Id="rId94" Type="http://schemas.openxmlformats.org/officeDocument/2006/relationships/hyperlink" Target="https://desk.channel.io/gowid/user-chats/6997a2833a133878ae66" TargetMode="External"/><Relationship Id="rId97" Type="http://schemas.openxmlformats.org/officeDocument/2006/relationships/drawing" Target="../drawings/drawing1.xml"/><Relationship Id="rId96" Type="http://schemas.openxmlformats.org/officeDocument/2006/relationships/hyperlink" Target="https://desk.channel.io/gowid/user-chats/69979b2034a01596b8e1" TargetMode="External"/><Relationship Id="rId11" Type="http://schemas.openxmlformats.org/officeDocument/2006/relationships/hyperlink" Target="https://desk.channel.io/gowid/user-chats/699be86d2153e9aee952" TargetMode="External"/><Relationship Id="rId10" Type="http://schemas.openxmlformats.org/officeDocument/2006/relationships/hyperlink" Target="https://www.gowid.com" TargetMode="External"/><Relationship Id="rId13" Type="http://schemas.openxmlformats.org/officeDocument/2006/relationships/hyperlink" Target="https://desk.channel.io/gowid/user-chats/699be400c35a3f2dd9b9" TargetMode="External"/><Relationship Id="rId12" Type="http://schemas.openxmlformats.org/officeDocument/2006/relationships/hyperlink" Target="https://www.gowid.com" TargetMode="External"/><Relationship Id="rId91" Type="http://schemas.openxmlformats.org/officeDocument/2006/relationships/hyperlink" Target="https://www.gowid.com" TargetMode="External"/><Relationship Id="rId90" Type="http://schemas.openxmlformats.org/officeDocument/2006/relationships/hyperlink" Target="https://desk.channel.io/gowid/user-chats/6997a5d560ef5f61436a" TargetMode="External"/><Relationship Id="rId93" Type="http://schemas.openxmlformats.org/officeDocument/2006/relationships/hyperlink" Target="https://www.gowid.com" TargetMode="External"/><Relationship Id="rId92" Type="http://schemas.openxmlformats.org/officeDocument/2006/relationships/hyperlink" Target="https://desk.channel.io/gowid/user-chats/6997a3c176237c6b4920" TargetMode="External"/><Relationship Id="rId15" Type="http://schemas.openxmlformats.org/officeDocument/2006/relationships/hyperlink" Target="https://desk.channel.io/gowid/user-chats/699be361319cbb8ef5aa" TargetMode="External"/><Relationship Id="rId14" Type="http://schemas.openxmlformats.org/officeDocument/2006/relationships/hyperlink" Target="https://www.gowid.com" TargetMode="External"/><Relationship Id="rId17" Type="http://schemas.openxmlformats.org/officeDocument/2006/relationships/hyperlink" Target="https://desk.channel.io/gowid/user-chats/699be0da466365c2157f" TargetMode="External"/><Relationship Id="rId16" Type="http://schemas.openxmlformats.org/officeDocument/2006/relationships/hyperlink" Target="https://www.gowid.com" TargetMode="External"/><Relationship Id="rId19" Type="http://schemas.openxmlformats.org/officeDocument/2006/relationships/hyperlink" Target="https://desk.channel.io/gowid/user-chats/699bde697173f9b8a00f" TargetMode="External"/><Relationship Id="rId18" Type="http://schemas.openxmlformats.org/officeDocument/2006/relationships/hyperlink" Target="https://www.gowid.com" TargetMode="External"/><Relationship Id="rId84" Type="http://schemas.openxmlformats.org/officeDocument/2006/relationships/hyperlink" Target="https://desk.channel.io/gowid/user-chats/6997b521e64c0fc135dd" TargetMode="External"/><Relationship Id="rId83" Type="http://schemas.openxmlformats.org/officeDocument/2006/relationships/hyperlink" Target="https://www.gowid.com" TargetMode="External"/><Relationship Id="rId86" Type="http://schemas.openxmlformats.org/officeDocument/2006/relationships/hyperlink" Target="https://desk.channel.io/gowid/user-chats/6997a93b5dfa59e4cbfc" TargetMode="External"/><Relationship Id="rId85" Type="http://schemas.openxmlformats.org/officeDocument/2006/relationships/hyperlink" Target="https://www.gowid.com" TargetMode="External"/><Relationship Id="rId88" Type="http://schemas.openxmlformats.org/officeDocument/2006/relationships/hyperlink" Target="https://desk.channel.io/gowid/user-chats/6997a89bc90cfbdb6dec" TargetMode="External"/><Relationship Id="rId87" Type="http://schemas.openxmlformats.org/officeDocument/2006/relationships/hyperlink" Target="https://www.gowid.com" TargetMode="External"/><Relationship Id="rId89" Type="http://schemas.openxmlformats.org/officeDocument/2006/relationships/hyperlink" Target="https://www.gowid.com" TargetMode="External"/><Relationship Id="rId80" Type="http://schemas.openxmlformats.org/officeDocument/2006/relationships/hyperlink" Target="https://desk.channel.io/gowid/user-chats/6997b73121ae67c8a184" TargetMode="External"/><Relationship Id="rId82" Type="http://schemas.openxmlformats.org/officeDocument/2006/relationships/hyperlink" Target="https://desk.channel.io/gowid/user-chats/6997b642b549ceb59d42" TargetMode="External"/><Relationship Id="rId81" Type="http://schemas.openxmlformats.org/officeDocument/2006/relationships/hyperlink" Target="https://www.gowid.com" TargetMode="External"/><Relationship Id="rId1" Type="http://schemas.openxmlformats.org/officeDocument/2006/relationships/hyperlink" Target="https://www.gowid.com" TargetMode="External"/><Relationship Id="rId2" Type="http://schemas.openxmlformats.org/officeDocument/2006/relationships/hyperlink" Target="https://desk.channel.io/gowid/user-chats/699c15ee87f491a78844" TargetMode="External"/><Relationship Id="rId3" Type="http://schemas.openxmlformats.org/officeDocument/2006/relationships/hyperlink" Target="https://www.gowid.com" TargetMode="External"/><Relationship Id="rId4" Type="http://schemas.openxmlformats.org/officeDocument/2006/relationships/hyperlink" Target="https://desk.channel.io/gowid/user-chats/699c13f091221b1fb30a" TargetMode="External"/><Relationship Id="rId9" Type="http://schemas.openxmlformats.org/officeDocument/2006/relationships/hyperlink" Target="https://desk.channel.io/gowid/user-chats/699bf67075fbc34673f6" TargetMode="External"/><Relationship Id="rId5" Type="http://schemas.openxmlformats.org/officeDocument/2006/relationships/hyperlink" Target="https://www.gowid.com" TargetMode="External"/><Relationship Id="rId6" Type="http://schemas.openxmlformats.org/officeDocument/2006/relationships/hyperlink" Target="https://desk.channel.io/gowid/user-chats/699c0afabf6d13f1242d" TargetMode="External"/><Relationship Id="rId7" Type="http://schemas.openxmlformats.org/officeDocument/2006/relationships/hyperlink" Target="https://desk.channel.io/gowid/user-chats/699c04141facd53e77e2" TargetMode="External"/><Relationship Id="rId8" Type="http://schemas.openxmlformats.org/officeDocument/2006/relationships/hyperlink" Target="https://www.gowid.com" TargetMode="External"/><Relationship Id="rId73" Type="http://schemas.openxmlformats.org/officeDocument/2006/relationships/hyperlink" Target="https://www.gowid.com" TargetMode="External"/><Relationship Id="rId72" Type="http://schemas.openxmlformats.org/officeDocument/2006/relationships/hyperlink" Target="https://desk.channel.io/gowid/user-chats/6997c5366464c4bf8cbe" TargetMode="External"/><Relationship Id="rId75" Type="http://schemas.openxmlformats.org/officeDocument/2006/relationships/hyperlink" Target="https://www.gowid.com" TargetMode="External"/><Relationship Id="rId74" Type="http://schemas.openxmlformats.org/officeDocument/2006/relationships/hyperlink" Target="https://desk.channel.io/gowid/user-chats/6997c4d3d84a0d4884b1" TargetMode="External"/><Relationship Id="rId77" Type="http://schemas.openxmlformats.org/officeDocument/2006/relationships/hyperlink" Target="https://www.gowid.com" TargetMode="External"/><Relationship Id="rId76" Type="http://schemas.openxmlformats.org/officeDocument/2006/relationships/hyperlink" Target="https://desk.channel.io/gowid/user-chats/6997bbc456e2027f1ef2" TargetMode="External"/><Relationship Id="rId79" Type="http://schemas.openxmlformats.org/officeDocument/2006/relationships/hyperlink" Target="https://www.gowid.com" TargetMode="External"/><Relationship Id="rId78" Type="http://schemas.openxmlformats.org/officeDocument/2006/relationships/hyperlink" Target="https://desk.channel.io/gowid/user-chats/6997bb6c88341dadece4" TargetMode="External"/><Relationship Id="rId71" Type="http://schemas.openxmlformats.org/officeDocument/2006/relationships/hyperlink" Target="https://www.gowid.com" TargetMode="External"/><Relationship Id="rId70" Type="http://schemas.openxmlformats.org/officeDocument/2006/relationships/hyperlink" Target="https://desk.channel.io/gowid/user-chats/6997c60e5e10d3d98763" TargetMode="External"/><Relationship Id="rId62" Type="http://schemas.openxmlformats.org/officeDocument/2006/relationships/hyperlink" Target="https://desk.channel.io/gowid/user-chats/6997d986429a595a8584" TargetMode="External"/><Relationship Id="rId61" Type="http://schemas.openxmlformats.org/officeDocument/2006/relationships/hyperlink" Target="https://www.gowid.com" TargetMode="External"/><Relationship Id="rId64" Type="http://schemas.openxmlformats.org/officeDocument/2006/relationships/hyperlink" Target="https://desk.channel.io/gowid/user-chats/6997d96344c1ad241edc" TargetMode="External"/><Relationship Id="rId63" Type="http://schemas.openxmlformats.org/officeDocument/2006/relationships/hyperlink" Target="https://www.gowid.com" TargetMode="External"/><Relationship Id="rId66" Type="http://schemas.openxmlformats.org/officeDocument/2006/relationships/hyperlink" Target="https://desk.channel.io/gowid/user-chats/6997ca4f3ceabe1bfc17" TargetMode="External"/><Relationship Id="rId65" Type="http://schemas.openxmlformats.org/officeDocument/2006/relationships/hyperlink" Target="https://www.gowid.com" TargetMode="External"/><Relationship Id="rId68" Type="http://schemas.openxmlformats.org/officeDocument/2006/relationships/hyperlink" Target="https://desk.channel.io/gowid/user-chats/6997c617adec181e18e5" TargetMode="External"/><Relationship Id="rId67" Type="http://schemas.openxmlformats.org/officeDocument/2006/relationships/hyperlink" Target="https://www.gowid.com" TargetMode="External"/><Relationship Id="rId60" Type="http://schemas.openxmlformats.org/officeDocument/2006/relationships/hyperlink" Target="https://desk.channel.io/gowid/user-chats/6997db5c91e7e2b6789e" TargetMode="External"/><Relationship Id="rId69" Type="http://schemas.openxmlformats.org/officeDocument/2006/relationships/hyperlink" Target="https://www.gowid.com" TargetMode="External"/><Relationship Id="rId51" Type="http://schemas.openxmlformats.org/officeDocument/2006/relationships/hyperlink" Target="https://www.gowid.com" TargetMode="External"/><Relationship Id="rId50" Type="http://schemas.openxmlformats.org/officeDocument/2006/relationships/hyperlink" Target="https://desk.channel.io/gowid/user-chats/699819b2d749e931d9bd" TargetMode="External"/><Relationship Id="rId53" Type="http://schemas.openxmlformats.org/officeDocument/2006/relationships/hyperlink" Target="https://www.gowid.com" TargetMode="External"/><Relationship Id="rId52" Type="http://schemas.openxmlformats.org/officeDocument/2006/relationships/hyperlink" Target="https://desk.channel.io/gowid/user-chats/6997febfedf5e2dcfbf9" TargetMode="External"/><Relationship Id="rId55" Type="http://schemas.openxmlformats.org/officeDocument/2006/relationships/hyperlink" Target="https://www.gowid.com" TargetMode="External"/><Relationship Id="rId54" Type="http://schemas.openxmlformats.org/officeDocument/2006/relationships/hyperlink" Target="https://desk.channel.io/gowid/user-chats/6997f667710032dae0c2" TargetMode="External"/><Relationship Id="rId57" Type="http://schemas.openxmlformats.org/officeDocument/2006/relationships/hyperlink" Target="https://www.gowid.com" TargetMode="External"/><Relationship Id="rId56" Type="http://schemas.openxmlformats.org/officeDocument/2006/relationships/hyperlink" Target="https://desk.channel.io/gowid/user-chats/6997ebadc291e9488977" TargetMode="External"/><Relationship Id="rId59" Type="http://schemas.openxmlformats.org/officeDocument/2006/relationships/hyperlink" Target="https://www.gowid.com" TargetMode="External"/><Relationship Id="rId58" Type="http://schemas.openxmlformats.org/officeDocument/2006/relationships/hyperlink" Target="https://desk.channel.io/gowid/user-chats/6997e455e8a269e31e2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 TargetMode="External"/><Relationship Id="rId42" Type="http://schemas.openxmlformats.org/officeDocument/2006/relationships/hyperlink" Target="https://www.google.com/" TargetMode="External"/><Relationship Id="rId41" Type="http://schemas.openxmlformats.org/officeDocument/2006/relationships/hyperlink" Target="https://www.google.com/" TargetMode="External"/><Relationship Id="rId44" Type="http://schemas.openxmlformats.org/officeDocument/2006/relationships/hyperlink" Target="https://docs.channel.io/" TargetMode="External"/><Relationship Id="rId43" Type="http://schemas.openxmlformats.org/officeDocument/2006/relationships/hyperlink" Target="https://www.google.com/" TargetMode="External"/><Relationship Id="rId46" Type="http://schemas.openxmlformats.org/officeDocument/2006/relationships/hyperlink" Target="https://search.naver.com/" TargetMode="External"/><Relationship Id="rId45" Type="http://schemas.openxmlformats.org/officeDocument/2006/relationships/hyperlink" Target="https://www.google.com/" TargetMode="External"/><Relationship Id="rId48" Type="http://schemas.openxmlformats.org/officeDocument/2006/relationships/hyperlink" Target="https://www.google.com/" TargetMode="External"/><Relationship Id="rId47" Type="http://schemas.openxmlformats.org/officeDocument/2006/relationships/hyperlink" Target="https://search.naver.com/" TargetMode="External"/><Relationship Id="rId49" Type="http://schemas.openxmlformats.org/officeDocument/2006/relationships/hyperlink" Target="https://admin.stepbaas.com/" TargetMode="External"/><Relationship Id="rId31" Type="http://schemas.openxmlformats.org/officeDocument/2006/relationships/hyperlink" Target="https://www.google.com/" TargetMode="External"/><Relationship Id="rId30" Type="http://schemas.openxmlformats.org/officeDocument/2006/relationships/hyperlink" Target="https://www.google.com/" TargetMode="External"/><Relationship Id="rId33" Type="http://schemas.openxmlformats.org/officeDocument/2006/relationships/hyperlink" Target="https://payment-gateway.tosspayments.com/" TargetMode="External"/><Relationship Id="rId32" Type="http://schemas.openxmlformats.org/officeDocument/2006/relationships/hyperlink" Target="https://www.google.com/" TargetMode="External"/><Relationship Id="rId35" Type="http://schemas.openxmlformats.org/officeDocument/2006/relationships/hyperlink" Target="https://www.google.com/" TargetMode="External"/><Relationship Id="rId34" Type="http://schemas.openxmlformats.org/officeDocument/2006/relationships/hyperlink" Target="https://www.google.com/" TargetMode="External"/><Relationship Id="rId37" Type="http://schemas.openxmlformats.org/officeDocument/2006/relationships/hyperlink" Target="https://payment-gateway.tosspayments.com/" TargetMode="External"/><Relationship Id="rId36" Type="http://schemas.openxmlformats.org/officeDocument/2006/relationships/hyperlink" Target="https://search.naver.com/search.naver?where=nexearch&amp;sm=top_hty&amp;fbm=0&amp;ie=utf8&amp;query=%EA%B3%A0%EC%9C%84%EB%93%9C" TargetMode="External"/><Relationship Id="rId39" Type="http://schemas.openxmlformats.org/officeDocument/2006/relationships/hyperlink" Target="https://www.google.com/" TargetMode="External"/><Relationship Id="rId38" Type="http://schemas.openxmlformats.org/officeDocument/2006/relationships/hyperlink" Target="https://www.google.com/" TargetMode="External"/><Relationship Id="rId20" Type="http://schemas.openxmlformats.org/officeDocument/2006/relationships/hyperlink" Target="https://search.naver.com/" TargetMode="External"/><Relationship Id="rId22" Type="http://schemas.openxmlformats.org/officeDocument/2006/relationships/hyperlink" Target="https://support.cloud.google.com/" TargetMode="External"/><Relationship Id="rId21" Type="http://schemas.openxmlformats.org/officeDocument/2006/relationships/hyperlink" Target="https://search.naver.com/" TargetMode="External"/><Relationship Id="rId24" Type="http://schemas.openxmlformats.org/officeDocument/2006/relationships/hyperlink" Target="https://www.google.com/" TargetMode="External"/><Relationship Id="rId23" Type="http://schemas.openxmlformats.org/officeDocument/2006/relationships/hyperlink" Target="https://support.cloud.google.com/" TargetMode="External"/><Relationship Id="rId26" Type="http://schemas.openxmlformats.org/officeDocument/2006/relationships/hyperlink" Target="https://www.google.com/" TargetMode="External"/><Relationship Id="rId25" Type="http://schemas.openxmlformats.org/officeDocument/2006/relationships/hyperlink" Target="https://www.google.com/" TargetMode="External"/><Relationship Id="rId28" Type="http://schemas.openxmlformats.org/officeDocument/2006/relationships/hyperlink" Target="https://www.google.com/" TargetMode="External"/><Relationship Id="rId27" Type="http://schemas.openxmlformats.org/officeDocument/2006/relationships/hyperlink" Target="https://www.google.com/" TargetMode="External"/><Relationship Id="rId29" Type="http://schemas.openxmlformats.org/officeDocument/2006/relationships/hyperlink" Target="https://docs.channel.io/" TargetMode="External"/><Relationship Id="rId11" Type="http://schemas.openxmlformats.org/officeDocument/2006/relationships/hyperlink" Target="https://www.google.com/" TargetMode="External"/><Relationship Id="rId10" Type="http://schemas.openxmlformats.org/officeDocument/2006/relationships/hyperlink" Target="https://www.google.com/" TargetMode="External"/><Relationship Id="rId13" Type="http://schemas.openxmlformats.org/officeDocument/2006/relationships/hyperlink" Target="https://www.google.com/" TargetMode="External"/><Relationship Id="rId12" Type="http://schemas.openxmlformats.org/officeDocument/2006/relationships/hyperlink" Target="https://www.google.com/" TargetMode="External"/><Relationship Id="rId15" Type="http://schemas.openxmlformats.org/officeDocument/2006/relationships/hyperlink" Target="https://www.google.com/" TargetMode="External"/><Relationship Id="rId14" Type="http://schemas.openxmlformats.org/officeDocument/2006/relationships/hyperlink" Target="https://www.google.com/" TargetMode="External"/><Relationship Id="rId17" Type="http://schemas.openxmlformats.org/officeDocument/2006/relationships/hyperlink" Target="https://gowid.channel.io/" TargetMode="External"/><Relationship Id="rId16" Type="http://schemas.openxmlformats.org/officeDocument/2006/relationships/hyperlink" Target="https://gowid.com/" TargetMode="External"/><Relationship Id="rId19" Type="http://schemas.openxmlformats.org/officeDocument/2006/relationships/hyperlink" Target="https://www.google.com/" TargetMode="External"/><Relationship Id="rId18" Type="http://schemas.openxmlformats.org/officeDocument/2006/relationships/hyperlink" Target="https://www.google.com/" TargetMode="External"/><Relationship Id="rId1" Type="http://schemas.openxmlformats.org/officeDocument/2006/relationships/hyperlink" Target="http://profile.name" TargetMode="External"/><Relationship Id="rId2" Type="http://schemas.openxmlformats.org/officeDocument/2006/relationships/hyperlink" Target="https://gowid.com/" TargetMode="External"/><Relationship Id="rId3" Type="http://schemas.openxmlformats.org/officeDocument/2006/relationships/hyperlink" Target="https://gowid.com/" TargetMode="External"/><Relationship Id="rId4" Type="http://schemas.openxmlformats.org/officeDocument/2006/relationships/hyperlink" Target="https://www.google.com/" TargetMode="External"/><Relationship Id="rId9" Type="http://schemas.openxmlformats.org/officeDocument/2006/relationships/hyperlink" Target="https://www.google.com/" TargetMode="External"/><Relationship Id="rId5" Type="http://schemas.openxmlformats.org/officeDocument/2006/relationships/hyperlink" Target="https://www.google.com/" TargetMode="External"/><Relationship Id="rId6" Type="http://schemas.openxmlformats.org/officeDocument/2006/relationships/hyperlink" Target="https://www.google.com/" TargetMode="External"/><Relationship Id="rId7" Type="http://schemas.openxmlformats.org/officeDocument/2006/relationships/hyperlink" Target="https://www.google.com/" TargetMode="External"/><Relationship Id="rId8" Type="http://schemas.openxmlformats.org/officeDocument/2006/relationships/hyperlink" Target="https://search.naver.com/search.naver?where=nexearch&amp;sm=top_hty&amp;fbm=0&amp;ie=utf8&amp;query=15519020" TargetMode="External"/><Relationship Id="rId73" Type="http://schemas.openxmlformats.org/officeDocument/2006/relationships/hyperlink" Target="https://www.google.com/" TargetMode="External"/><Relationship Id="rId72" Type="http://schemas.openxmlformats.org/officeDocument/2006/relationships/hyperlink" Target="https://www.google.com/" TargetMode="External"/><Relationship Id="rId75" Type="http://schemas.openxmlformats.org/officeDocument/2006/relationships/hyperlink" Target="https://ntp.msn.com/" TargetMode="External"/><Relationship Id="rId74" Type="http://schemas.openxmlformats.org/officeDocument/2006/relationships/hyperlink" Target="https://search.naver.com/search.naver?where=nexearch&amp;sm=top_hty&amp;fbm=0&amp;ie=utf8&amp;query=%EA%B3%A0%EC%9C%84%EB%93%9C&amp;ackey=uemjwxnz" TargetMode="External"/><Relationship Id="rId76" Type="http://schemas.openxmlformats.org/officeDocument/2006/relationships/drawing" Target="../drawings/drawing3.xml"/><Relationship Id="rId71" Type="http://schemas.openxmlformats.org/officeDocument/2006/relationships/hyperlink" Target="https://payment-gateway.tosspayments.com/" TargetMode="External"/><Relationship Id="rId70" Type="http://schemas.openxmlformats.org/officeDocument/2006/relationships/hyperlink" Target="https://payment-gateway.tosspayments.com/" TargetMode="External"/><Relationship Id="rId62" Type="http://schemas.openxmlformats.org/officeDocument/2006/relationships/hyperlink" Target="https://search.naver.com/search.naver?sm=tab_hty.top&amp;where=nexearch&amp;ssc=tab.nx.all&amp;query=%EA%B3%A0%EC%9C%84%EB%93%9C&amp;oquery=%EB%B9%84%EC%A6%88%EB%B6%81%EC%8A%A4&amp;tqi=imPfIsqo1awsslZjuC0ssssst2G-495685" TargetMode="External"/><Relationship Id="rId61" Type="http://schemas.openxmlformats.org/officeDocument/2006/relationships/hyperlink" Target="https://www.google.com/" TargetMode="External"/><Relationship Id="rId64" Type="http://schemas.openxmlformats.org/officeDocument/2006/relationships/hyperlink" Target="https://www.google.com/" TargetMode="External"/><Relationship Id="rId63" Type="http://schemas.openxmlformats.org/officeDocument/2006/relationships/hyperlink" Target="https://docs.channel.io/" TargetMode="External"/><Relationship Id="rId66" Type="http://schemas.openxmlformats.org/officeDocument/2006/relationships/hyperlink" Target="https://docs.channel.io/" TargetMode="External"/><Relationship Id="rId65" Type="http://schemas.openxmlformats.org/officeDocument/2006/relationships/hyperlink" Target="https://www.google.com/" TargetMode="External"/><Relationship Id="rId68" Type="http://schemas.openxmlformats.org/officeDocument/2006/relationships/hyperlink" Target="https://search.naver.com/search.naver?where=nexearch&amp;sm=top_hty&amp;fbm=0&amp;ie=utf8&amp;query=%EA%B3%A0%EC%9C%84%EB%93%9C" TargetMode="External"/><Relationship Id="rId67" Type="http://schemas.openxmlformats.org/officeDocument/2006/relationships/hyperlink" Target="https://docs.channel.io/" TargetMode="External"/><Relationship Id="rId60" Type="http://schemas.openxmlformats.org/officeDocument/2006/relationships/hyperlink" Target="https://www.google.com/" TargetMode="External"/><Relationship Id="rId69" Type="http://schemas.openxmlformats.org/officeDocument/2006/relationships/hyperlink" Target="https://www.google.com/" TargetMode="External"/><Relationship Id="rId51" Type="http://schemas.openxmlformats.org/officeDocument/2006/relationships/hyperlink" Target="https://m.search.naver.com/" TargetMode="External"/><Relationship Id="rId50" Type="http://schemas.openxmlformats.org/officeDocument/2006/relationships/hyperlink" Target="https://m.search.naver.com/" TargetMode="External"/><Relationship Id="rId53" Type="http://schemas.openxmlformats.org/officeDocument/2006/relationships/hyperlink" Target="https://www.google.com/" TargetMode="External"/><Relationship Id="rId52" Type="http://schemas.openxmlformats.org/officeDocument/2006/relationships/hyperlink" Target="https://www.google.com/" TargetMode="External"/><Relationship Id="rId55" Type="http://schemas.openxmlformats.org/officeDocument/2006/relationships/hyperlink" Target="https://ntp.msn.com/" TargetMode="External"/><Relationship Id="rId54" Type="http://schemas.openxmlformats.org/officeDocument/2006/relationships/hyperlink" Target="https://search.naver.com/search.naver?where=nexearch&amp;sm=top_hty&amp;fbm=0&amp;ie=utf8&amp;query=%EA%B3%A0%EC%9C%84%EB%93%9C" TargetMode="External"/><Relationship Id="rId57" Type="http://schemas.openxmlformats.org/officeDocument/2006/relationships/hyperlink" Target="https://www.google.com/" TargetMode="External"/><Relationship Id="rId56" Type="http://schemas.openxmlformats.org/officeDocument/2006/relationships/hyperlink" Target="https://www.google.com/" TargetMode="External"/><Relationship Id="rId59" Type="http://schemas.openxmlformats.org/officeDocument/2006/relationships/hyperlink" Target="https://www.google.com/" TargetMode="External"/><Relationship Id="rId58" Type="http://schemas.openxmlformats.org/officeDocument/2006/relationships/hyperlink" Target="https://www.googl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row>
    <row r="2">
      <c r="A2" s="1" t="s">
        <v>96</v>
      </c>
      <c r="B2" s="2">
        <v>46076.74733796297</v>
      </c>
      <c r="C2" s="1" t="s">
        <v>97</v>
      </c>
      <c r="D2" s="3"/>
      <c r="E2" s="3"/>
      <c r="F2" s="3"/>
      <c r="G2" s="3"/>
      <c r="H2" s="1" t="s">
        <v>98</v>
      </c>
      <c r="I2" s="1" t="s">
        <v>99</v>
      </c>
      <c r="J2" s="1" t="b">
        <v>0</v>
      </c>
      <c r="K2" s="4" t="s">
        <v>100</v>
      </c>
      <c r="L2" s="1" t="s">
        <v>101</v>
      </c>
      <c r="M2" s="1">
        <v>607950.0</v>
      </c>
      <c r="N2" s="1">
        <v>607950.0</v>
      </c>
      <c r="O2" s="3"/>
      <c r="P2" s="1">
        <v>607950.0</v>
      </c>
      <c r="Q2" s="1">
        <v>13285.0</v>
      </c>
      <c r="R2" s="1" t="s">
        <v>102</v>
      </c>
      <c r="S2" s="3"/>
      <c r="T2" s="3"/>
      <c r="U2" s="1" t="s">
        <v>103</v>
      </c>
      <c r="V2" s="3"/>
      <c r="W2" s="1" t="s">
        <v>104</v>
      </c>
      <c r="X2" s="3"/>
      <c r="Y2" s="1" t="b">
        <v>1</v>
      </c>
      <c r="Z2" s="1" t="b">
        <v>0</v>
      </c>
      <c r="AA2" s="1" t="b">
        <v>0</v>
      </c>
      <c r="AB2" s="1" t="b">
        <v>1</v>
      </c>
      <c r="AC2" s="1" t="b">
        <v>1</v>
      </c>
      <c r="AD2" s="3"/>
      <c r="AE2" s="3"/>
      <c r="AF2" s="3"/>
      <c r="AG2" s="3"/>
      <c r="AH2" s="2">
        <v>46076.74664351852</v>
      </c>
      <c r="AI2" s="2">
        <v>46076.74767361111</v>
      </c>
      <c r="AJ2" s="2">
        <v>46076.74664351852</v>
      </c>
      <c r="AK2" s="2">
        <v>46076.746666666666</v>
      </c>
      <c r="AL2" s="2">
        <v>46076.74733796297</v>
      </c>
      <c r="AM2" s="2">
        <v>46076.74733796297</v>
      </c>
      <c r="AN2" s="2">
        <v>46076.74733796297</v>
      </c>
      <c r="AO2" s="2">
        <v>46076.74733796297</v>
      </c>
      <c r="AP2" s="2">
        <v>46076.74733796297</v>
      </c>
      <c r="AQ2" s="2">
        <v>46076.747349537036</v>
      </c>
      <c r="AR2" s="2">
        <v>46076.74733796297</v>
      </c>
      <c r="AS2" s="2">
        <v>46076.747349537036</v>
      </c>
      <c r="AU2" s="3"/>
      <c r="AV2" s="2">
        <v>46076.747349537036</v>
      </c>
      <c r="AW2" s="2">
        <v>46076.747349537036</v>
      </c>
      <c r="AY2" s="3"/>
      <c r="AZ2" s="3"/>
      <c r="BA2" s="3"/>
      <c r="BB2" s="3"/>
      <c r="BC2" s="3"/>
      <c r="BD2" s="3"/>
      <c r="BE2" s="3"/>
      <c r="BF2" s="3"/>
      <c r="BG2" s="3"/>
      <c r="BH2" s="3"/>
      <c r="BI2" s="5">
        <v>0.0</v>
      </c>
      <c r="BJ2" s="5">
        <v>0.0</v>
      </c>
      <c r="BK2" s="5">
        <v>0.0</v>
      </c>
      <c r="BL2" s="5">
        <v>0.0</v>
      </c>
      <c r="BM2" s="3"/>
      <c r="BN2" s="3"/>
      <c r="BO2" s="3"/>
      <c r="BP2" s="3"/>
      <c r="BQ2" s="3"/>
      <c r="BR2" s="3"/>
      <c r="BS2" s="3"/>
      <c r="BT2" s="3"/>
      <c r="BU2" s="3"/>
      <c r="BV2" s="3"/>
      <c r="BW2" s="3"/>
      <c r="BX2" s="3"/>
      <c r="BY2" s="3"/>
      <c r="BZ2" s="3"/>
      <c r="CA2" s="3"/>
      <c r="CB2" s="3"/>
      <c r="CC2" s="3"/>
      <c r="CD2" s="3"/>
      <c r="CE2" s="3"/>
      <c r="CF2" s="3"/>
      <c r="CG2" s="3"/>
      <c r="CH2" s="3"/>
      <c r="CI2" s="3"/>
      <c r="CJ2" s="3"/>
      <c r="CK2" s="3"/>
      <c r="CL2" s="3"/>
      <c r="CM2" s="5">
        <v>59.0</v>
      </c>
      <c r="CN2" s="5">
        <v>0.0</v>
      </c>
      <c r="CO2" s="3"/>
      <c r="CP2" s="4" t="s">
        <v>105</v>
      </c>
    </row>
    <row r="3">
      <c r="A3" s="1" t="s">
        <v>106</v>
      </c>
      <c r="B3" s="2">
        <v>46076.74190972222</v>
      </c>
      <c r="C3" s="1" t="s">
        <v>107</v>
      </c>
      <c r="D3" s="3"/>
      <c r="E3" s="3"/>
      <c r="F3" s="3"/>
      <c r="G3" s="3"/>
      <c r="H3" s="1" t="s">
        <v>98</v>
      </c>
      <c r="I3" s="1" t="s">
        <v>99</v>
      </c>
      <c r="J3" s="1" t="b">
        <v>0</v>
      </c>
      <c r="K3" s="4" t="s">
        <v>100</v>
      </c>
      <c r="L3" s="1" t="s">
        <v>108</v>
      </c>
      <c r="N3" s="3"/>
      <c r="O3" s="3"/>
      <c r="P3" s="3"/>
      <c r="Q3" s="1">
        <v>13286.0</v>
      </c>
      <c r="R3" s="1" t="s">
        <v>102</v>
      </c>
      <c r="S3" s="3"/>
      <c r="T3" s="3"/>
      <c r="U3" s="1" t="s">
        <v>103</v>
      </c>
      <c r="V3" s="3"/>
      <c r="W3" s="1" t="s">
        <v>104</v>
      </c>
      <c r="X3" s="3"/>
      <c r="Y3" s="1" t="b">
        <v>1</v>
      </c>
      <c r="Z3" s="1" t="b">
        <v>0</v>
      </c>
      <c r="AA3" s="1" t="b">
        <v>0</v>
      </c>
      <c r="AB3" s="1" t="b">
        <v>1</v>
      </c>
      <c r="AC3" s="1" t="b">
        <v>0</v>
      </c>
      <c r="AD3" s="3"/>
      <c r="AE3" s="3"/>
      <c r="AF3" s="3"/>
      <c r="AG3" s="3"/>
      <c r="AH3" s="2">
        <v>46076.74074074074</v>
      </c>
      <c r="AI3" s="2">
        <v>46076.742372685185</v>
      </c>
      <c r="AJ3" s="2">
        <v>46076.74074074074</v>
      </c>
      <c r="AK3" s="2">
        <v>46076.740798611114</v>
      </c>
      <c r="AM3" s="3"/>
      <c r="AN3" s="2">
        <v>46076.74125</v>
      </c>
      <c r="AP3" s="3"/>
      <c r="AQ3" s="3"/>
      <c r="AR3" s="2">
        <v>46076.74190972222</v>
      </c>
      <c r="AS3" s="2">
        <v>46076.74190972222</v>
      </c>
      <c r="AU3" s="3"/>
      <c r="AV3" s="3"/>
      <c r="AW3" s="2">
        <v>46076.74190972222</v>
      </c>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5">
        <v>44.0</v>
      </c>
      <c r="CN3" s="3"/>
      <c r="CO3" s="3"/>
      <c r="CP3" s="4" t="s">
        <v>109</v>
      </c>
    </row>
    <row r="4">
      <c r="A4" s="1" t="s">
        <v>110</v>
      </c>
      <c r="B4" s="2">
        <v>46076.71461805556</v>
      </c>
      <c r="C4" s="1" t="s">
        <v>111</v>
      </c>
      <c r="D4" s="3"/>
      <c r="E4" s="3"/>
      <c r="F4" s="3"/>
      <c r="G4" s="1" t="s">
        <v>112</v>
      </c>
      <c r="H4" s="1" t="s">
        <v>98</v>
      </c>
      <c r="I4" s="1" t="s">
        <v>99</v>
      </c>
      <c r="J4" s="1" t="b">
        <v>0</v>
      </c>
      <c r="K4" s="4" t="s">
        <v>100</v>
      </c>
      <c r="L4" s="1" t="s">
        <v>113</v>
      </c>
      <c r="M4" s="1">
        <v>607950.0</v>
      </c>
      <c r="N4" s="1">
        <v>607950.0</v>
      </c>
      <c r="O4" s="3"/>
      <c r="P4" s="1">
        <v>607950.0</v>
      </c>
      <c r="Q4" s="1">
        <v>13285.0</v>
      </c>
      <c r="R4" s="1" t="s">
        <v>102</v>
      </c>
      <c r="S4" s="3"/>
      <c r="T4" s="3"/>
      <c r="U4" s="1" t="s">
        <v>103</v>
      </c>
      <c r="V4" s="3"/>
      <c r="W4" s="1" t="s">
        <v>114</v>
      </c>
      <c r="X4" s="3"/>
      <c r="Y4" s="1" t="b">
        <v>1</v>
      </c>
      <c r="Z4" s="1" t="b">
        <v>0</v>
      </c>
      <c r="AA4" s="1" t="b">
        <v>0</v>
      </c>
      <c r="AB4" s="1" t="b">
        <v>1</v>
      </c>
      <c r="AC4" s="1" t="b">
        <v>1</v>
      </c>
      <c r="AD4" s="5">
        <v>8.0</v>
      </c>
      <c r="AE4" s="3"/>
      <c r="AF4" s="3"/>
      <c r="AG4" s="3"/>
      <c r="AH4" s="2">
        <v>46076.71418981482</v>
      </c>
      <c r="AI4" s="2">
        <v>46076.76563657408</v>
      </c>
      <c r="AJ4" s="2">
        <v>46076.71418981482</v>
      </c>
      <c r="AK4" s="2">
        <v>46076.714212962965</v>
      </c>
      <c r="AL4" s="2">
        <v>46076.71461805556</v>
      </c>
      <c r="AM4" s="2">
        <v>46076.71462962963</v>
      </c>
      <c r="AN4" s="2">
        <v>46076.71462962963</v>
      </c>
      <c r="AO4" s="2">
        <v>46076.71462962963</v>
      </c>
      <c r="AP4" s="2">
        <v>46076.71462962963</v>
      </c>
      <c r="AQ4" s="2">
        <v>46076.71465277778</v>
      </c>
      <c r="AR4" s="2">
        <v>46076.71462962963</v>
      </c>
      <c r="AS4" s="2">
        <v>46076.71465277778</v>
      </c>
      <c r="AU4" s="3"/>
      <c r="AV4" s="2">
        <v>46076.71465277778</v>
      </c>
      <c r="AW4" s="2">
        <v>46076.71465277778</v>
      </c>
      <c r="AX4" s="2">
        <v>46076.71525462963</v>
      </c>
      <c r="AY4" s="2">
        <v>46076.74380787037</v>
      </c>
      <c r="BA4" s="3"/>
      <c r="BB4" s="3"/>
      <c r="BC4" s="5">
        <v>1821.0</v>
      </c>
      <c r="BD4" s="3"/>
      <c r="BE4" s="5">
        <v>227.0</v>
      </c>
      <c r="BF4" s="3"/>
      <c r="BG4" s="3"/>
      <c r="BH4" s="3"/>
      <c r="BI4" s="5">
        <v>1.0</v>
      </c>
      <c r="BJ4" s="5">
        <v>0.0</v>
      </c>
      <c r="BK4" s="5">
        <v>2.0</v>
      </c>
      <c r="BL4" s="5">
        <v>0.0</v>
      </c>
      <c r="BM4" s="5">
        <v>54.0</v>
      </c>
      <c r="BN4" s="5">
        <v>0.0</v>
      </c>
      <c r="BO4" s="5">
        <v>90.0</v>
      </c>
      <c r="BP4" s="5">
        <v>0.0</v>
      </c>
      <c r="BQ4" s="5">
        <v>52.0</v>
      </c>
      <c r="BR4" s="5">
        <v>0.0</v>
      </c>
      <c r="BS4" s="5">
        <v>52.0</v>
      </c>
      <c r="BT4" s="5">
        <v>0.0</v>
      </c>
      <c r="BU4" s="5">
        <v>54.0</v>
      </c>
      <c r="BV4" s="5">
        <v>0.0</v>
      </c>
      <c r="BW4" s="3"/>
      <c r="BX4" s="3"/>
      <c r="BY4" s="3"/>
      <c r="BZ4" s="3"/>
      <c r="CA4" s="3"/>
      <c r="CB4" s="3"/>
      <c r="CC4" s="3"/>
      <c r="CD4" s="3"/>
      <c r="CE4" s="3"/>
      <c r="CF4" s="3"/>
      <c r="CG4" s="3"/>
      <c r="CH4" s="3"/>
      <c r="CI4" s="3"/>
      <c r="CJ4" s="3"/>
      <c r="CK4" s="3"/>
      <c r="CL4" s="3"/>
      <c r="CM4" s="5">
        <v>37.0</v>
      </c>
      <c r="CN4" s="5">
        <v>0.0</v>
      </c>
      <c r="CO4" s="3"/>
      <c r="CP4" s="4" t="s">
        <v>115</v>
      </c>
    </row>
    <row r="5">
      <c r="A5" s="1" t="s">
        <v>116</v>
      </c>
      <c r="B5" s="2">
        <v>46076.69446759259</v>
      </c>
      <c r="C5" s="1" t="s">
        <v>117</v>
      </c>
      <c r="D5" s="3"/>
      <c r="E5" s="3"/>
      <c r="F5" s="1" t="s">
        <v>118</v>
      </c>
      <c r="G5" s="1" t="s">
        <v>119</v>
      </c>
      <c r="H5" s="1" t="s">
        <v>98</v>
      </c>
      <c r="I5" s="1" t="s">
        <v>99</v>
      </c>
      <c r="J5" s="1" t="b">
        <v>0</v>
      </c>
      <c r="K5" s="1" t="s">
        <v>120</v>
      </c>
      <c r="L5" s="1" t="s">
        <v>121</v>
      </c>
      <c r="M5" s="1">
        <v>607950.0</v>
      </c>
      <c r="N5" s="1">
        <v>574085.0</v>
      </c>
      <c r="O5" s="1">
        <v>607950.0</v>
      </c>
      <c r="P5" s="1" t="s">
        <v>122</v>
      </c>
      <c r="Q5" s="1">
        <v>13285.0</v>
      </c>
      <c r="R5" s="1" t="s">
        <v>102</v>
      </c>
      <c r="S5" s="3"/>
      <c r="T5" s="3"/>
      <c r="U5" s="1" t="s">
        <v>123</v>
      </c>
      <c r="V5" s="3"/>
      <c r="W5" s="1" t="s">
        <v>114</v>
      </c>
      <c r="X5" s="3"/>
      <c r="Y5" s="1" t="b">
        <v>1</v>
      </c>
      <c r="Z5" s="1" t="b">
        <v>0</v>
      </c>
      <c r="AA5" s="1" t="b">
        <v>1</v>
      </c>
      <c r="AB5" s="1" t="b">
        <v>1</v>
      </c>
      <c r="AC5" s="1" t="b">
        <v>1</v>
      </c>
      <c r="AD5" s="5">
        <v>2.0</v>
      </c>
      <c r="AE5" s="5">
        <v>1.0</v>
      </c>
      <c r="AF5" s="3"/>
      <c r="AG5" s="5">
        <v>1.0</v>
      </c>
      <c r="AH5" s="2">
        <v>46076.69375</v>
      </c>
      <c r="AI5" s="2">
        <v>46076.7578125</v>
      </c>
      <c r="AJ5" s="2">
        <v>46076.69375</v>
      </c>
      <c r="AK5" s="2">
        <v>46076.69378472222</v>
      </c>
      <c r="AL5" s="2">
        <v>46076.69446759259</v>
      </c>
      <c r="AM5" s="2">
        <v>46076.69446759259</v>
      </c>
      <c r="AN5" s="2">
        <v>46076.69446759259</v>
      </c>
      <c r="AO5" s="2">
        <v>46076.69466435185</v>
      </c>
      <c r="AQ5" s="2">
        <v>46076.69467592592</v>
      </c>
      <c r="AR5" s="2">
        <v>46076.69466435185</v>
      </c>
      <c r="AS5" s="2">
        <v>46076.69467592592</v>
      </c>
      <c r="AU5" s="3"/>
      <c r="AV5" s="2">
        <v>46076.69467592592</v>
      </c>
      <c r="AW5" s="2">
        <v>46076.69467592592</v>
      </c>
      <c r="AX5" s="2">
        <v>46076.69478009259</v>
      </c>
      <c r="AY5" s="2">
        <v>46076.71402777778</v>
      </c>
      <c r="BA5" s="2">
        <v>46076.71613425926</v>
      </c>
      <c r="BB5" s="2">
        <v>46076.71613425926</v>
      </c>
      <c r="BC5" s="5">
        <v>1552.0</v>
      </c>
      <c r="BD5" s="5">
        <v>9.0</v>
      </c>
      <c r="BE5" s="5">
        <v>776.0</v>
      </c>
      <c r="BF5" s="5">
        <v>9.0</v>
      </c>
      <c r="BG5" s="3"/>
      <c r="BH5" s="3"/>
      <c r="BI5" s="5">
        <v>0.0</v>
      </c>
      <c r="BJ5" s="5">
        <v>0.0</v>
      </c>
      <c r="BK5" s="5">
        <v>18.0</v>
      </c>
      <c r="BL5" s="5">
        <v>18.0</v>
      </c>
      <c r="BM5" s="5">
        <v>27.0</v>
      </c>
      <c r="BN5" s="5">
        <v>27.0</v>
      </c>
      <c r="BO5" s="5">
        <v>86.0</v>
      </c>
      <c r="BP5" s="5">
        <v>86.0</v>
      </c>
      <c r="BQ5" s="5">
        <v>8.0</v>
      </c>
      <c r="BR5" s="5">
        <v>8.0</v>
      </c>
      <c r="BS5" s="5">
        <v>8.0</v>
      </c>
      <c r="BT5" s="5">
        <v>8.0</v>
      </c>
      <c r="BU5" s="5">
        <v>9.0</v>
      </c>
      <c r="BV5" s="5">
        <v>9.0</v>
      </c>
      <c r="BW5" s="5">
        <v>1872.0</v>
      </c>
      <c r="BX5" s="5">
        <v>1197.0</v>
      </c>
      <c r="BY5" s="5">
        <v>1872.0</v>
      </c>
      <c r="BZ5" s="5">
        <v>1197.0</v>
      </c>
      <c r="CA5" s="5">
        <v>1931.0</v>
      </c>
      <c r="CB5" s="5">
        <v>1256.0</v>
      </c>
      <c r="CC5" s="5">
        <v>1853.0</v>
      </c>
      <c r="CD5" s="5">
        <v>1179.0</v>
      </c>
      <c r="CE5" s="5">
        <v>1853.0</v>
      </c>
      <c r="CF5" s="5">
        <v>1179.0</v>
      </c>
      <c r="CG5" s="5">
        <v>1854.0</v>
      </c>
      <c r="CH5" s="5">
        <v>1180.0</v>
      </c>
      <c r="CI5" s="5">
        <v>1853.0</v>
      </c>
      <c r="CJ5" s="5">
        <v>1179.0</v>
      </c>
      <c r="CK5" s="5">
        <v>1853.0</v>
      </c>
      <c r="CL5" s="5">
        <v>1179.0</v>
      </c>
      <c r="CM5" s="5">
        <v>62.0</v>
      </c>
      <c r="CN5" s="5">
        <v>0.0</v>
      </c>
      <c r="CO5" s="3"/>
      <c r="CP5" s="4" t="s">
        <v>124</v>
      </c>
      <c r="CQ5" s="5">
        <v>5.0</v>
      </c>
      <c r="CR5" s="3"/>
    </row>
    <row r="6">
      <c r="A6" s="1" t="s">
        <v>125</v>
      </c>
      <c r="B6" s="2">
        <v>46076.65494212963</v>
      </c>
      <c r="C6" s="1" t="s">
        <v>126</v>
      </c>
      <c r="D6" s="3"/>
      <c r="E6" s="3"/>
      <c r="F6" s="3"/>
      <c r="G6" s="1" t="s">
        <v>127</v>
      </c>
      <c r="H6" s="1" t="s">
        <v>98</v>
      </c>
      <c r="I6" s="1" t="s">
        <v>99</v>
      </c>
      <c r="J6" s="1" t="b">
        <v>0</v>
      </c>
      <c r="K6" s="4" t="s">
        <v>100</v>
      </c>
      <c r="L6" s="1" t="s">
        <v>128</v>
      </c>
      <c r="M6" s="1">
        <v>607950.0</v>
      </c>
      <c r="N6" s="1">
        <v>574085.0</v>
      </c>
      <c r="O6" s="3"/>
      <c r="P6" s="1" t="s">
        <v>122</v>
      </c>
      <c r="Q6" s="1">
        <v>13285.0</v>
      </c>
      <c r="R6" s="1" t="s">
        <v>102</v>
      </c>
      <c r="S6" s="3"/>
      <c r="T6" s="3"/>
      <c r="U6" s="1" t="s">
        <v>103</v>
      </c>
      <c r="V6" s="3"/>
      <c r="W6" s="1" t="s">
        <v>114</v>
      </c>
      <c r="X6" s="3"/>
      <c r="Y6" s="1" t="b">
        <v>1</v>
      </c>
      <c r="Z6" s="1" t="b">
        <v>0</v>
      </c>
      <c r="AA6" s="1" t="b">
        <v>1</v>
      </c>
      <c r="AB6" s="1" t="b">
        <v>1</v>
      </c>
      <c r="AC6" s="1" t="b">
        <v>1</v>
      </c>
      <c r="AD6" s="5">
        <v>1.0</v>
      </c>
      <c r="AE6" s="5">
        <v>1.0</v>
      </c>
      <c r="AF6" s="3"/>
      <c r="AG6" s="5">
        <v>1.0</v>
      </c>
      <c r="AH6" s="2">
        <v>46076.653333333335</v>
      </c>
      <c r="AI6" s="2">
        <v>46076.697858796295</v>
      </c>
      <c r="AJ6" s="2">
        <v>46076.653333333335</v>
      </c>
      <c r="AK6" s="2">
        <v>46076.65341435185</v>
      </c>
      <c r="AL6" s="2">
        <v>46076.65494212963</v>
      </c>
      <c r="AM6" s="2">
        <v>46076.65494212963</v>
      </c>
      <c r="AN6" s="2">
        <v>46076.65494212963</v>
      </c>
      <c r="AO6" s="2">
        <v>46076.65494212963</v>
      </c>
      <c r="AP6" s="2">
        <v>46076.65494212963</v>
      </c>
      <c r="AQ6" s="2">
        <v>46076.654953703706</v>
      </c>
      <c r="AR6" s="2">
        <v>46076.65494212963</v>
      </c>
      <c r="AS6" s="2">
        <v>46076.654953703706</v>
      </c>
      <c r="AU6" s="3"/>
      <c r="AV6" s="2">
        <v>46076.654953703706</v>
      </c>
      <c r="AW6" s="2">
        <v>46076.654953703706</v>
      </c>
      <c r="AX6" s="2">
        <v>46076.65998842593</v>
      </c>
      <c r="AY6" s="2">
        <v>46076.65998842593</v>
      </c>
      <c r="BA6" s="3"/>
      <c r="BB6" s="3"/>
      <c r="BC6" s="5">
        <v>435.0</v>
      </c>
      <c r="BD6" s="5">
        <v>435.0</v>
      </c>
      <c r="BE6" s="5">
        <v>435.0</v>
      </c>
      <c r="BF6" s="5">
        <v>435.0</v>
      </c>
      <c r="BG6" s="3"/>
      <c r="BH6" s="3"/>
      <c r="BI6" s="5">
        <v>0.0</v>
      </c>
      <c r="BJ6" s="5">
        <v>0.0</v>
      </c>
      <c r="BK6" s="5">
        <v>0.0</v>
      </c>
      <c r="BL6" s="5">
        <v>0.0</v>
      </c>
      <c r="BM6" s="5">
        <v>435.0</v>
      </c>
      <c r="BN6" s="5">
        <v>435.0</v>
      </c>
      <c r="BO6" s="5">
        <v>568.0</v>
      </c>
      <c r="BP6" s="5">
        <v>568.0</v>
      </c>
      <c r="BQ6" s="5">
        <v>435.0</v>
      </c>
      <c r="BR6" s="5">
        <v>435.0</v>
      </c>
      <c r="BS6" s="5">
        <v>435.0</v>
      </c>
      <c r="BT6" s="5">
        <v>435.0</v>
      </c>
      <c r="BU6" s="5">
        <v>435.0</v>
      </c>
      <c r="BV6" s="5">
        <v>435.0</v>
      </c>
      <c r="BW6" s="3"/>
      <c r="BX6" s="3"/>
      <c r="BY6" s="3"/>
      <c r="BZ6" s="3"/>
      <c r="CA6" s="3"/>
      <c r="CB6" s="3"/>
      <c r="CC6" s="3"/>
      <c r="CD6" s="3"/>
      <c r="CE6" s="3"/>
      <c r="CF6" s="3"/>
      <c r="CG6" s="3"/>
      <c r="CH6" s="3"/>
      <c r="CI6" s="3"/>
      <c r="CJ6" s="3"/>
      <c r="CK6" s="3"/>
      <c r="CL6" s="3"/>
      <c r="CM6" s="5">
        <v>139.0</v>
      </c>
      <c r="CN6" s="5">
        <v>0.0</v>
      </c>
      <c r="CO6" s="3"/>
      <c r="CP6" s="4" t="s">
        <v>129</v>
      </c>
    </row>
    <row r="7">
      <c r="A7" s="1" t="s">
        <v>130</v>
      </c>
      <c r="B7" s="2">
        <v>46076.61232638889</v>
      </c>
      <c r="C7" s="1" t="s">
        <v>131</v>
      </c>
      <c r="D7" s="3"/>
      <c r="E7" s="3"/>
      <c r="F7" s="1" t="s">
        <v>132</v>
      </c>
      <c r="H7" s="1" t="s">
        <v>98</v>
      </c>
      <c r="I7" s="1" t="s">
        <v>99</v>
      </c>
      <c r="J7" s="1" t="b">
        <v>0</v>
      </c>
      <c r="K7" s="4" t="s">
        <v>100</v>
      </c>
      <c r="L7" s="1" t="s">
        <v>133</v>
      </c>
      <c r="M7" s="1">
        <v>574085.0</v>
      </c>
      <c r="N7" s="1">
        <v>574085.0</v>
      </c>
      <c r="O7" s="1">
        <v>574085.0</v>
      </c>
      <c r="P7" s="1">
        <v>574085.0</v>
      </c>
      <c r="Q7" s="1">
        <v>13285.0</v>
      </c>
      <c r="R7" s="1" t="s">
        <v>102</v>
      </c>
      <c r="S7" s="3"/>
      <c r="T7" s="3"/>
      <c r="U7" s="1" t="s">
        <v>123</v>
      </c>
      <c r="V7" s="3"/>
      <c r="W7" s="1" t="s">
        <v>104</v>
      </c>
      <c r="X7" s="3"/>
      <c r="Y7" s="1" t="b">
        <v>1</v>
      </c>
      <c r="Z7" s="1" t="b">
        <v>0</v>
      </c>
      <c r="AA7" s="1" t="b">
        <v>0</v>
      </c>
      <c r="AB7" s="1" t="b">
        <v>1</v>
      </c>
      <c r="AC7" s="1" t="b">
        <v>1</v>
      </c>
      <c r="AD7" s="3"/>
      <c r="AE7" s="3"/>
      <c r="AF7" s="3"/>
      <c r="AG7" s="3"/>
      <c r="AH7" s="2">
        <v>46076.61181712963</v>
      </c>
      <c r="AI7" s="2">
        <v>46076.65425925926</v>
      </c>
      <c r="AJ7" s="2">
        <v>46076.61181712963</v>
      </c>
      <c r="AK7" s="2">
        <v>46076.6118287037</v>
      </c>
      <c r="AL7" s="2">
        <v>46076.61232638889</v>
      </c>
      <c r="AM7" s="2">
        <v>46076.61232638889</v>
      </c>
      <c r="AN7" s="2">
        <v>46076.61232638889</v>
      </c>
      <c r="AO7" s="2">
        <v>46076.61232638889</v>
      </c>
      <c r="AQ7" s="2">
        <v>46076.612337962964</v>
      </c>
      <c r="AR7" s="2">
        <v>46076.61232638889</v>
      </c>
      <c r="AS7" s="2">
        <v>46076.612337962964</v>
      </c>
      <c r="AU7" s="3"/>
      <c r="AV7" s="2">
        <v>46076.612337962964</v>
      </c>
      <c r="AW7" s="2">
        <v>46076.612337962964</v>
      </c>
      <c r="AY7" s="3"/>
      <c r="AZ7" s="3"/>
      <c r="BA7" s="2">
        <v>46076.61258101852</v>
      </c>
      <c r="BB7" s="2">
        <v>46076.61258101852</v>
      </c>
      <c r="BD7" s="3"/>
      <c r="BE7" s="3"/>
      <c r="BF7" s="3"/>
      <c r="BG7" s="3"/>
      <c r="BH7" s="3"/>
      <c r="BI7" s="5">
        <v>1.0</v>
      </c>
      <c r="BJ7" s="5">
        <v>1.0</v>
      </c>
      <c r="BK7" s="5">
        <v>1.0</v>
      </c>
      <c r="BL7" s="5">
        <v>1.0</v>
      </c>
      <c r="BM7" s="3"/>
      <c r="BN7" s="3"/>
      <c r="BO7" s="3"/>
      <c r="BP7" s="3"/>
      <c r="BQ7" s="3"/>
      <c r="BR7" s="3"/>
      <c r="BS7" s="3"/>
      <c r="BT7" s="3"/>
      <c r="BU7" s="3"/>
      <c r="BV7" s="3"/>
      <c r="BW7" s="5">
        <v>22.0</v>
      </c>
      <c r="BX7" s="5">
        <v>22.0</v>
      </c>
      <c r="BY7" s="5">
        <v>22.0</v>
      </c>
      <c r="BZ7" s="5">
        <v>22.0</v>
      </c>
      <c r="CA7" s="5">
        <v>64.0</v>
      </c>
      <c r="CB7" s="5">
        <v>64.0</v>
      </c>
      <c r="CC7" s="5">
        <v>21.0</v>
      </c>
      <c r="CD7" s="5">
        <v>21.0</v>
      </c>
      <c r="CE7" s="5">
        <v>20.0</v>
      </c>
      <c r="CF7" s="5">
        <v>20.0</v>
      </c>
      <c r="CG7" s="5">
        <v>21.0</v>
      </c>
      <c r="CH7" s="5">
        <v>21.0</v>
      </c>
      <c r="CI7" s="5">
        <v>20.0</v>
      </c>
      <c r="CJ7" s="5">
        <v>20.0</v>
      </c>
      <c r="CK7" s="5">
        <v>20.0</v>
      </c>
      <c r="CL7" s="5">
        <v>20.0</v>
      </c>
      <c r="CM7" s="5">
        <v>44.0</v>
      </c>
      <c r="CN7" s="5">
        <v>0.0</v>
      </c>
      <c r="CO7" s="3"/>
      <c r="CP7" s="4" t="s">
        <v>134</v>
      </c>
    </row>
    <row r="8">
      <c r="A8" s="1" t="s">
        <v>135</v>
      </c>
      <c r="B8" s="2">
        <v>46076.59997685185</v>
      </c>
      <c r="C8" s="1" t="s">
        <v>136</v>
      </c>
      <c r="D8" s="3"/>
      <c r="E8" s="3"/>
      <c r="F8" s="1" t="s">
        <v>137</v>
      </c>
      <c r="G8" s="1" t="s">
        <v>119</v>
      </c>
      <c r="H8" s="1" t="s">
        <v>98</v>
      </c>
      <c r="I8" s="1" t="s">
        <v>99</v>
      </c>
      <c r="J8" s="1" t="b">
        <v>0</v>
      </c>
      <c r="K8" s="4" t="s">
        <v>100</v>
      </c>
      <c r="L8" s="1" t="s">
        <v>138</v>
      </c>
      <c r="M8" s="1">
        <v>506375.0</v>
      </c>
      <c r="N8" s="1">
        <v>506375.0</v>
      </c>
      <c r="O8" s="1">
        <v>506375.0</v>
      </c>
      <c r="P8" s="1" t="s">
        <v>139</v>
      </c>
      <c r="Q8" s="3"/>
      <c r="R8" s="1" t="s">
        <v>102</v>
      </c>
      <c r="S8" s="3"/>
      <c r="T8" s="3"/>
      <c r="U8" s="1" t="s">
        <v>123</v>
      </c>
      <c r="V8" s="3"/>
      <c r="W8" s="1" t="s">
        <v>114</v>
      </c>
      <c r="X8" s="3"/>
      <c r="Y8" s="1" t="b">
        <v>1</v>
      </c>
      <c r="Z8" s="1" t="b">
        <v>0</v>
      </c>
      <c r="AA8" s="1" t="b">
        <v>0</v>
      </c>
      <c r="AB8" s="1" t="b">
        <v>1</v>
      </c>
      <c r="AC8" s="1" t="b">
        <v>0</v>
      </c>
      <c r="AD8" s="5">
        <v>4.0</v>
      </c>
      <c r="AE8" s="5">
        <v>4.0</v>
      </c>
      <c r="AF8" s="3"/>
      <c r="AG8" s="3"/>
      <c r="AH8" s="2">
        <v>46076.598703703705</v>
      </c>
      <c r="AI8" s="2">
        <v>46076.72146990741</v>
      </c>
      <c r="AJ8" s="2">
        <v>46076.598703703705</v>
      </c>
      <c r="AK8" s="2">
        <v>46076.598807870374</v>
      </c>
      <c r="AM8" s="3"/>
      <c r="AN8" s="2">
        <v>46076.59909722222</v>
      </c>
      <c r="AP8" s="3"/>
      <c r="AQ8" s="3"/>
      <c r="AR8" s="2">
        <v>46076.59997685185</v>
      </c>
      <c r="AS8" s="2">
        <v>46076.59997685185</v>
      </c>
      <c r="AU8" s="3"/>
      <c r="AV8" s="2">
        <v>46076.59909722222</v>
      </c>
      <c r="AW8" s="2">
        <v>46076.59997685185</v>
      </c>
      <c r="AX8" s="2">
        <v>46076.620520833334</v>
      </c>
      <c r="AY8" s="2">
        <v>46076.679768518516</v>
      </c>
      <c r="BA8" s="2">
        <v>46076.67979166667</v>
      </c>
      <c r="BB8" s="2">
        <v>46076.67979166667</v>
      </c>
      <c r="BC8" s="5">
        <v>2512.0</v>
      </c>
      <c r="BD8" s="5">
        <v>2512.0</v>
      </c>
      <c r="BE8" s="5">
        <v>628.0</v>
      </c>
      <c r="BF8" s="5">
        <v>628.0</v>
      </c>
      <c r="BG8" s="3"/>
      <c r="BH8" s="3"/>
      <c r="BI8" s="3"/>
      <c r="BJ8" s="3"/>
      <c r="BK8" s="3"/>
      <c r="BL8" s="3"/>
      <c r="BM8" s="5">
        <v>1775.0</v>
      </c>
      <c r="BN8" s="5">
        <v>1775.0</v>
      </c>
      <c r="BO8" s="5">
        <v>1875.0</v>
      </c>
      <c r="BP8" s="5">
        <v>1875.0</v>
      </c>
      <c r="BQ8" s="5">
        <v>1850.0</v>
      </c>
      <c r="BR8" s="5">
        <v>1850.0</v>
      </c>
      <c r="BS8" s="5">
        <v>1775.0</v>
      </c>
      <c r="BT8" s="5">
        <v>1775.0</v>
      </c>
      <c r="BU8" s="5">
        <v>1775.0</v>
      </c>
      <c r="BV8" s="5">
        <v>1775.0</v>
      </c>
      <c r="BW8" s="5">
        <v>6896.0</v>
      </c>
      <c r="BX8" s="5">
        <v>6896.0</v>
      </c>
      <c r="BY8" s="5">
        <v>6896.0</v>
      </c>
      <c r="BZ8" s="5">
        <v>6896.0</v>
      </c>
      <c r="CA8" s="5">
        <v>6996.0</v>
      </c>
      <c r="CB8" s="5">
        <v>6996.0</v>
      </c>
      <c r="CC8" s="5">
        <v>6971.0</v>
      </c>
      <c r="CD8" s="5">
        <v>6971.0</v>
      </c>
      <c r="CE8" s="5">
        <v>6896.0</v>
      </c>
      <c r="CF8" s="5">
        <v>6896.0</v>
      </c>
      <c r="CG8" s="5">
        <v>6896.0</v>
      </c>
      <c r="CH8" s="5">
        <v>6896.0</v>
      </c>
      <c r="CI8" s="5">
        <v>6896.0</v>
      </c>
      <c r="CJ8" s="5">
        <v>6896.0</v>
      </c>
      <c r="CK8" s="5">
        <v>6896.0</v>
      </c>
      <c r="CL8" s="5">
        <v>6896.0</v>
      </c>
      <c r="CM8" s="5">
        <v>34.0</v>
      </c>
      <c r="CN8" s="3"/>
      <c r="CO8" s="3"/>
      <c r="CP8" s="4" t="s">
        <v>140</v>
      </c>
      <c r="CQ8" s="5">
        <v>5.0</v>
      </c>
      <c r="CR8" s="3"/>
    </row>
    <row r="9">
      <c r="A9" s="1" t="s">
        <v>141</v>
      </c>
      <c r="B9" s="2">
        <v>46076.597407407404</v>
      </c>
      <c r="C9" s="1" t="s">
        <v>142</v>
      </c>
      <c r="D9" s="3"/>
      <c r="E9" s="3"/>
      <c r="F9" s="3"/>
      <c r="G9" s="1" t="s">
        <v>143</v>
      </c>
      <c r="H9" s="1" t="s">
        <v>98</v>
      </c>
      <c r="I9" s="1" t="s">
        <v>99</v>
      </c>
      <c r="J9" s="1" t="b">
        <v>0</v>
      </c>
      <c r="K9" s="4" t="s">
        <v>100</v>
      </c>
      <c r="L9" s="1" t="s">
        <v>144</v>
      </c>
      <c r="M9" s="1">
        <v>607950.0</v>
      </c>
      <c r="N9" s="1">
        <v>574085.0</v>
      </c>
      <c r="O9" s="3"/>
      <c r="P9" s="1" t="s">
        <v>122</v>
      </c>
      <c r="Q9" s="1">
        <v>13285.0</v>
      </c>
      <c r="R9" s="1" t="s">
        <v>102</v>
      </c>
      <c r="S9" s="3"/>
      <c r="T9" s="3"/>
      <c r="U9" s="1" t="s">
        <v>103</v>
      </c>
      <c r="V9" s="3"/>
      <c r="W9" s="1" t="s">
        <v>114</v>
      </c>
      <c r="X9" s="3"/>
      <c r="Y9" s="1" t="b">
        <v>1</v>
      </c>
      <c r="Z9" s="1" t="b">
        <v>0</v>
      </c>
      <c r="AA9" s="1" t="b">
        <v>1</v>
      </c>
      <c r="AB9" s="1" t="b">
        <v>1</v>
      </c>
      <c r="AC9" s="1" t="b">
        <v>1</v>
      </c>
      <c r="AD9" s="5">
        <v>1.0</v>
      </c>
      <c r="AE9" s="5">
        <v>1.0</v>
      </c>
      <c r="AF9" s="3"/>
      <c r="AG9" s="5">
        <v>1.0</v>
      </c>
      <c r="AH9" s="2">
        <v>46076.596863425926</v>
      </c>
      <c r="AI9" s="2">
        <v>46076.69625</v>
      </c>
      <c r="AJ9" s="2">
        <v>46076.596863425926</v>
      </c>
      <c r="AK9" s="2">
        <v>46076.596875</v>
      </c>
      <c r="AL9" s="2">
        <v>46076.597407407404</v>
      </c>
      <c r="AM9" s="2">
        <v>46076.597407407404</v>
      </c>
      <c r="AN9" s="2">
        <v>46076.597407407404</v>
      </c>
      <c r="AO9" s="2">
        <v>46076.59741898148</v>
      </c>
      <c r="AP9" s="2">
        <v>46076.59741898148</v>
      </c>
      <c r="AQ9" s="2">
        <v>46076.59743055556</v>
      </c>
      <c r="AR9" s="2">
        <v>46076.59741898148</v>
      </c>
      <c r="AS9" s="2">
        <v>46076.59743055556</v>
      </c>
      <c r="AU9" s="3"/>
      <c r="AV9" s="2">
        <v>46076.59743055556</v>
      </c>
      <c r="AW9" s="2">
        <v>46076.59743055556</v>
      </c>
      <c r="AX9" s="2">
        <v>46076.620416666665</v>
      </c>
      <c r="AY9" s="2">
        <v>46076.620416666665</v>
      </c>
      <c r="BA9" s="3"/>
      <c r="BB9" s="3"/>
      <c r="BC9" s="5">
        <v>1987.0</v>
      </c>
      <c r="BD9" s="5">
        <v>1987.0</v>
      </c>
      <c r="BE9" s="5">
        <v>1987.0</v>
      </c>
      <c r="BF9" s="5">
        <v>1987.0</v>
      </c>
      <c r="BG9" s="3"/>
      <c r="BH9" s="3"/>
      <c r="BI9" s="5">
        <v>1.0</v>
      </c>
      <c r="BJ9" s="5">
        <v>1.0</v>
      </c>
      <c r="BK9" s="5">
        <v>1.0</v>
      </c>
      <c r="BL9" s="5">
        <v>1.0</v>
      </c>
      <c r="BM9" s="5">
        <v>1987.0</v>
      </c>
      <c r="BN9" s="5">
        <v>1987.0</v>
      </c>
      <c r="BO9" s="5">
        <v>2033.0</v>
      </c>
      <c r="BP9" s="5">
        <v>2033.0</v>
      </c>
      <c r="BQ9" s="5">
        <v>1986.0</v>
      </c>
      <c r="BR9" s="5">
        <v>1986.0</v>
      </c>
      <c r="BS9" s="5">
        <v>1986.0</v>
      </c>
      <c r="BT9" s="5">
        <v>1986.0</v>
      </c>
      <c r="BU9" s="5">
        <v>1987.0</v>
      </c>
      <c r="BV9" s="5">
        <v>1987.0</v>
      </c>
      <c r="BW9" s="3"/>
      <c r="BX9" s="3"/>
      <c r="BY9" s="3"/>
      <c r="BZ9" s="3"/>
      <c r="CA9" s="3"/>
      <c r="CB9" s="3"/>
      <c r="CC9" s="3"/>
      <c r="CD9" s="3"/>
      <c r="CE9" s="3"/>
      <c r="CF9" s="3"/>
      <c r="CG9" s="3"/>
      <c r="CH9" s="3"/>
      <c r="CI9" s="3"/>
      <c r="CJ9" s="3"/>
      <c r="CK9" s="3"/>
      <c r="CL9" s="3"/>
      <c r="CM9" s="5">
        <v>47.0</v>
      </c>
      <c r="CN9" s="5">
        <v>0.0</v>
      </c>
      <c r="CO9" s="3"/>
      <c r="CP9" s="4" t="s">
        <v>145</v>
      </c>
    </row>
    <row r="10">
      <c r="A10" s="1" t="s">
        <v>146</v>
      </c>
      <c r="B10" s="2">
        <v>46076.589953703704</v>
      </c>
      <c r="C10" s="1" t="s">
        <v>147</v>
      </c>
      <c r="D10" s="3"/>
      <c r="E10" s="3"/>
      <c r="F10" s="1" t="s">
        <v>148</v>
      </c>
      <c r="G10" s="1" t="s">
        <v>149</v>
      </c>
      <c r="H10" s="1" t="s">
        <v>98</v>
      </c>
      <c r="I10" s="1" t="s">
        <v>99</v>
      </c>
      <c r="J10" s="1" t="b">
        <v>0</v>
      </c>
      <c r="K10" s="4" t="s">
        <v>100</v>
      </c>
      <c r="L10" s="1" t="s">
        <v>150</v>
      </c>
      <c r="M10" s="1">
        <v>594863.0</v>
      </c>
      <c r="N10" s="1">
        <v>594863.0</v>
      </c>
      <c r="O10" s="1">
        <v>594863.0</v>
      </c>
      <c r="P10" s="1" t="s">
        <v>151</v>
      </c>
      <c r="Q10" s="1">
        <v>13288.0</v>
      </c>
      <c r="R10" s="1" t="s">
        <v>102</v>
      </c>
      <c r="S10" s="3"/>
      <c r="T10" s="3"/>
      <c r="U10" s="1" t="s">
        <v>123</v>
      </c>
      <c r="V10" s="3"/>
      <c r="W10" s="1" t="s">
        <v>104</v>
      </c>
      <c r="X10" s="3"/>
      <c r="Y10" s="1" t="b">
        <v>1</v>
      </c>
      <c r="Z10" s="1" t="b">
        <v>0</v>
      </c>
      <c r="AA10" s="1" t="b">
        <v>0</v>
      </c>
      <c r="AB10" s="1" t="b">
        <v>1</v>
      </c>
      <c r="AC10" s="1" t="b">
        <v>0</v>
      </c>
      <c r="AD10" s="3"/>
      <c r="AE10" s="3"/>
      <c r="AF10" s="3"/>
      <c r="AG10" s="3"/>
      <c r="AH10" s="2">
        <v>46076.589375</v>
      </c>
      <c r="AI10" s="2">
        <v>46076.64092592592</v>
      </c>
      <c r="AJ10" s="2">
        <v>46076.589375</v>
      </c>
      <c r="AK10" s="2">
        <v>46076.58939814815</v>
      </c>
      <c r="AM10" s="3"/>
      <c r="AN10" s="2">
        <v>46076.58976851852</v>
      </c>
      <c r="AP10" s="3"/>
      <c r="AQ10" s="3"/>
      <c r="AR10" s="2">
        <v>46076.589953703704</v>
      </c>
      <c r="AS10" s="2">
        <v>46076.589953703704</v>
      </c>
      <c r="AU10" s="3"/>
      <c r="AV10" s="2">
        <v>46076.589467592596</v>
      </c>
      <c r="AW10" s="2">
        <v>46076.589953703704</v>
      </c>
      <c r="AY10" s="3"/>
      <c r="AZ10" s="3"/>
      <c r="BA10" s="2">
        <v>46076.59924768518</v>
      </c>
      <c r="BB10" s="2">
        <v>46076.59924768518</v>
      </c>
      <c r="BD10" s="3"/>
      <c r="BE10" s="3"/>
      <c r="BF10" s="3"/>
      <c r="BG10" s="3"/>
      <c r="BH10" s="3"/>
      <c r="BI10" s="3"/>
      <c r="BJ10" s="3"/>
      <c r="BK10" s="3"/>
      <c r="BL10" s="3"/>
      <c r="BM10" s="3"/>
      <c r="BN10" s="3"/>
      <c r="BO10" s="3"/>
      <c r="BP10" s="3"/>
      <c r="BQ10" s="3"/>
      <c r="BR10" s="3"/>
      <c r="BS10" s="3"/>
      <c r="BT10" s="3"/>
      <c r="BU10" s="3"/>
      <c r="BV10" s="3"/>
      <c r="BW10" s="5">
        <v>802.0</v>
      </c>
      <c r="BX10" s="5">
        <v>802.0</v>
      </c>
      <c r="BY10" s="5">
        <v>802.0</v>
      </c>
      <c r="BZ10" s="5">
        <v>802.0</v>
      </c>
      <c r="CA10" s="5">
        <v>851.0</v>
      </c>
      <c r="CB10" s="5">
        <v>851.0</v>
      </c>
      <c r="CC10" s="5">
        <v>845.0</v>
      </c>
      <c r="CD10" s="5">
        <v>845.0</v>
      </c>
      <c r="CE10" s="5">
        <v>802.0</v>
      </c>
      <c r="CF10" s="5">
        <v>802.0</v>
      </c>
      <c r="CG10" s="5">
        <v>802.0</v>
      </c>
      <c r="CH10" s="5">
        <v>802.0</v>
      </c>
      <c r="CI10" s="5">
        <v>802.0</v>
      </c>
      <c r="CJ10" s="5">
        <v>802.0</v>
      </c>
      <c r="CK10" s="5">
        <v>802.0</v>
      </c>
      <c r="CL10" s="5">
        <v>802.0</v>
      </c>
      <c r="CM10" s="5">
        <v>34.0</v>
      </c>
      <c r="CN10" s="3"/>
      <c r="CO10" s="3"/>
      <c r="CP10" s="4" t="s">
        <v>152</v>
      </c>
    </row>
    <row r="11">
      <c r="A11" s="1" t="s">
        <v>153</v>
      </c>
      <c r="B11" s="2">
        <v>46076.58269675926</v>
      </c>
      <c r="C11" s="1" t="s">
        <v>154</v>
      </c>
      <c r="D11" s="3"/>
      <c r="E11" s="3"/>
      <c r="F11" s="1" t="s">
        <v>155</v>
      </c>
      <c r="G11" s="1" t="s">
        <v>156</v>
      </c>
      <c r="H11" s="1" t="s">
        <v>98</v>
      </c>
      <c r="I11" s="1" t="s">
        <v>99</v>
      </c>
      <c r="J11" s="1" t="b">
        <v>0</v>
      </c>
      <c r="K11" s="4" t="s">
        <v>100</v>
      </c>
      <c r="L11" s="1" t="s">
        <v>157</v>
      </c>
      <c r="M11" s="1">
        <v>574085.0</v>
      </c>
      <c r="N11" s="1">
        <v>574085.0</v>
      </c>
      <c r="O11" s="1">
        <v>574085.0</v>
      </c>
      <c r="P11" s="1" t="s">
        <v>122</v>
      </c>
      <c r="Q11" s="1">
        <v>13285.0</v>
      </c>
      <c r="R11" s="1" t="s">
        <v>102</v>
      </c>
      <c r="S11" s="3"/>
      <c r="T11" s="3"/>
      <c r="U11" s="1" t="s">
        <v>123</v>
      </c>
      <c r="V11" s="3"/>
      <c r="W11" s="1" t="s">
        <v>114</v>
      </c>
      <c r="X11" s="3"/>
      <c r="Y11" s="1" t="b">
        <v>1</v>
      </c>
      <c r="Z11" s="1" t="b">
        <v>0</v>
      </c>
      <c r="AA11" s="1" t="b">
        <v>0</v>
      </c>
      <c r="AB11" s="1" t="b">
        <v>1</v>
      </c>
      <c r="AC11" s="1" t="b">
        <v>1</v>
      </c>
      <c r="AD11" s="5">
        <v>2.0</v>
      </c>
      <c r="AE11" s="5">
        <v>2.0</v>
      </c>
      <c r="AF11" s="3"/>
      <c r="AG11" s="3"/>
      <c r="AH11" s="2">
        <v>46076.582141203704</v>
      </c>
      <c r="AI11" s="2">
        <v>46076.72515046296</v>
      </c>
      <c r="AJ11" s="2">
        <v>46076.582141203704</v>
      </c>
      <c r="AK11" s="2">
        <v>46076.58216435185</v>
      </c>
      <c r="AL11" s="2">
        <v>46076.58269675926</v>
      </c>
      <c r="AM11" s="2">
        <v>46076.58269675926</v>
      </c>
      <c r="AN11" s="2">
        <v>46076.58269675926</v>
      </c>
      <c r="AO11" s="2">
        <v>46076.58269675926</v>
      </c>
      <c r="AQ11" s="2">
        <v>46076.582708333335</v>
      </c>
      <c r="AR11" s="2">
        <v>46076.58269675926</v>
      </c>
      <c r="AS11" s="2">
        <v>46076.582708333335</v>
      </c>
      <c r="AU11" s="3"/>
      <c r="AV11" s="2">
        <v>46076.582708333335</v>
      </c>
      <c r="AW11" s="2">
        <v>46076.582708333335</v>
      </c>
      <c r="AX11" s="2">
        <v>46076.589224537034</v>
      </c>
      <c r="AY11" s="2">
        <v>46076.622094907405</v>
      </c>
      <c r="BA11" s="2">
        <v>46076.68347222222</v>
      </c>
      <c r="BB11" s="2">
        <v>46076.68347222222</v>
      </c>
      <c r="BC11" s="5">
        <v>3111.0</v>
      </c>
      <c r="BD11" s="5">
        <v>3111.0</v>
      </c>
      <c r="BE11" s="5">
        <v>1555.0</v>
      </c>
      <c r="BF11" s="5">
        <v>1555.0</v>
      </c>
      <c r="BG11" s="3"/>
      <c r="BH11" s="3"/>
      <c r="BI11" s="5">
        <v>0.0</v>
      </c>
      <c r="BJ11" s="5">
        <v>0.0</v>
      </c>
      <c r="BK11" s="5">
        <v>0.0</v>
      </c>
      <c r="BL11" s="5">
        <v>0.0</v>
      </c>
      <c r="BM11" s="5">
        <v>563.0</v>
      </c>
      <c r="BN11" s="5">
        <v>563.0</v>
      </c>
      <c r="BO11" s="5">
        <v>609.0</v>
      </c>
      <c r="BP11" s="5">
        <v>609.0</v>
      </c>
      <c r="BQ11" s="5">
        <v>562.0</v>
      </c>
      <c r="BR11" s="5">
        <v>562.0</v>
      </c>
      <c r="BS11" s="5">
        <v>562.0</v>
      </c>
      <c r="BT11" s="5">
        <v>562.0</v>
      </c>
      <c r="BU11" s="5">
        <v>563.0</v>
      </c>
      <c r="BV11" s="5">
        <v>563.0</v>
      </c>
      <c r="BW11" s="5">
        <v>8707.0</v>
      </c>
      <c r="BX11" s="5">
        <v>8707.0</v>
      </c>
      <c r="BY11" s="5">
        <v>8707.0</v>
      </c>
      <c r="BZ11" s="5">
        <v>8707.0</v>
      </c>
      <c r="CA11" s="5">
        <v>8753.0</v>
      </c>
      <c r="CB11" s="5">
        <v>8753.0</v>
      </c>
      <c r="CC11" s="5">
        <v>8706.0</v>
      </c>
      <c r="CD11" s="5">
        <v>8706.0</v>
      </c>
      <c r="CE11" s="5">
        <v>8706.0</v>
      </c>
      <c r="CF11" s="5">
        <v>8706.0</v>
      </c>
      <c r="CG11" s="5">
        <v>8706.0</v>
      </c>
      <c r="CH11" s="5">
        <v>8706.0</v>
      </c>
      <c r="CI11" s="5">
        <v>8706.0</v>
      </c>
      <c r="CJ11" s="5">
        <v>8706.0</v>
      </c>
      <c r="CK11" s="5">
        <v>8706.0</v>
      </c>
      <c r="CL11" s="5">
        <v>8706.0</v>
      </c>
      <c r="CM11" s="5">
        <v>48.0</v>
      </c>
      <c r="CN11" s="5">
        <v>0.0</v>
      </c>
      <c r="CO11" s="3"/>
      <c r="CP11" s="4" t="s">
        <v>158</v>
      </c>
    </row>
    <row r="12">
      <c r="A12" s="1" t="s">
        <v>159</v>
      </c>
      <c r="B12" s="2">
        <v>46076.57268518519</v>
      </c>
      <c r="C12" s="1" t="s">
        <v>160</v>
      </c>
      <c r="D12" s="3"/>
      <c r="E12" s="3"/>
      <c r="F12" s="1" t="s">
        <v>161</v>
      </c>
      <c r="G12" s="1" t="s">
        <v>162</v>
      </c>
      <c r="H12" s="1" t="s">
        <v>98</v>
      </c>
      <c r="I12" s="1" t="s">
        <v>99</v>
      </c>
      <c r="J12" s="1" t="b">
        <v>0</v>
      </c>
      <c r="K12" s="4" t="s">
        <v>100</v>
      </c>
      <c r="L12" s="1" t="s">
        <v>163</v>
      </c>
      <c r="M12" s="1">
        <v>574085.0</v>
      </c>
      <c r="N12" s="1">
        <v>574085.0</v>
      </c>
      <c r="O12" s="1">
        <v>574085.0</v>
      </c>
      <c r="P12" s="1" t="s">
        <v>122</v>
      </c>
      <c r="Q12" s="1">
        <v>13285.0</v>
      </c>
      <c r="R12" s="1" t="s">
        <v>102</v>
      </c>
      <c r="S12" s="3"/>
      <c r="T12" s="3"/>
      <c r="U12" s="1" t="s">
        <v>123</v>
      </c>
      <c r="V12" s="3"/>
      <c r="W12" s="1" t="s">
        <v>114</v>
      </c>
      <c r="X12" s="3"/>
      <c r="Y12" s="1" t="b">
        <v>1</v>
      </c>
      <c r="Z12" s="1" t="b">
        <v>0</v>
      </c>
      <c r="AA12" s="1" t="b">
        <v>0</v>
      </c>
      <c r="AB12" s="1" t="b">
        <v>1</v>
      </c>
      <c r="AC12" s="1" t="b">
        <v>1</v>
      </c>
      <c r="AD12" s="5">
        <v>2.0</v>
      </c>
      <c r="AE12" s="5">
        <v>2.0</v>
      </c>
      <c r="AF12" s="3"/>
      <c r="AG12" s="3"/>
      <c r="AH12" s="2">
        <v>46076.57226851852</v>
      </c>
      <c r="AI12" s="2">
        <v>46076.672326388885</v>
      </c>
      <c r="AJ12" s="2">
        <v>46076.57226851852</v>
      </c>
      <c r="AK12" s="2">
        <v>46076.572280092594</v>
      </c>
      <c r="AL12" s="2">
        <v>46076.57268518519</v>
      </c>
      <c r="AM12" s="2">
        <v>46076.57268518519</v>
      </c>
      <c r="AN12" s="2">
        <v>46076.57268518519</v>
      </c>
      <c r="AO12" s="2">
        <v>46076.57268518519</v>
      </c>
      <c r="AQ12" s="2">
        <v>46076.572696759256</v>
      </c>
      <c r="AR12" s="2">
        <v>46076.57268518519</v>
      </c>
      <c r="AS12" s="2">
        <v>46076.572696759256</v>
      </c>
      <c r="AU12" s="3"/>
      <c r="AV12" s="2">
        <v>46076.572696759256</v>
      </c>
      <c r="AW12" s="2">
        <v>46076.572696759256</v>
      </c>
      <c r="AX12" s="2">
        <v>46076.57619212963</v>
      </c>
      <c r="AY12" s="2">
        <v>46076.62142361111</v>
      </c>
      <c r="BA12" s="2">
        <v>46076.63064814815</v>
      </c>
      <c r="BB12" s="2">
        <v>46076.63064814815</v>
      </c>
      <c r="BC12" s="5">
        <v>3746.0</v>
      </c>
      <c r="BD12" s="5">
        <v>3746.0</v>
      </c>
      <c r="BE12" s="5">
        <v>1873.0</v>
      </c>
      <c r="BF12" s="5">
        <v>1873.0</v>
      </c>
      <c r="BG12" s="3"/>
      <c r="BH12" s="3"/>
      <c r="BI12" s="5">
        <v>0.0</v>
      </c>
      <c r="BJ12" s="5">
        <v>0.0</v>
      </c>
      <c r="BK12" s="5">
        <v>1.0</v>
      </c>
      <c r="BL12" s="5">
        <v>1.0</v>
      </c>
      <c r="BM12" s="5">
        <v>303.0</v>
      </c>
      <c r="BN12" s="5">
        <v>303.0</v>
      </c>
      <c r="BO12" s="5">
        <v>337.0</v>
      </c>
      <c r="BP12" s="5">
        <v>337.0</v>
      </c>
      <c r="BQ12" s="5">
        <v>302.0</v>
      </c>
      <c r="BR12" s="5">
        <v>302.0</v>
      </c>
      <c r="BS12" s="5">
        <v>302.0</v>
      </c>
      <c r="BT12" s="5">
        <v>302.0</v>
      </c>
      <c r="BU12" s="5">
        <v>303.0</v>
      </c>
      <c r="BV12" s="5">
        <v>303.0</v>
      </c>
      <c r="BW12" s="5">
        <v>5008.0</v>
      </c>
      <c r="BX12" s="5">
        <v>5008.0</v>
      </c>
      <c r="BY12" s="5">
        <v>5008.0</v>
      </c>
      <c r="BZ12" s="5">
        <v>5008.0</v>
      </c>
      <c r="CA12" s="5">
        <v>5042.0</v>
      </c>
      <c r="CB12" s="5">
        <v>5042.0</v>
      </c>
      <c r="CC12" s="5">
        <v>5007.0</v>
      </c>
      <c r="CD12" s="5">
        <v>5007.0</v>
      </c>
      <c r="CE12" s="5">
        <v>5007.0</v>
      </c>
      <c r="CF12" s="5">
        <v>5007.0</v>
      </c>
      <c r="CG12" s="5">
        <v>5008.0</v>
      </c>
      <c r="CH12" s="5">
        <v>5008.0</v>
      </c>
      <c r="CI12" s="5">
        <v>5007.0</v>
      </c>
      <c r="CJ12" s="5">
        <v>5007.0</v>
      </c>
      <c r="CK12" s="5">
        <v>5007.0</v>
      </c>
      <c r="CL12" s="5">
        <v>5007.0</v>
      </c>
      <c r="CM12" s="5">
        <v>35.0</v>
      </c>
      <c r="CN12" s="5">
        <v>0.0</v>
      </c>
      <c r="CO12" s="3"/>
      <c r="CP12" s="4" t="s">
        <v>164</v>
      </c>
    </row>
    <row r="13">
      <c r="A13" s="1" t="s">
        <v>165</v>
      </c>
      <c r="B13" s="2">
        <v>46076.54646990741</v>
      </c>
      <c r="C13" s="1" t="s">
        <v>166</v>
      </c>
      <c r="D13" s="3"/>
      <c r="E13" s="3"/>
      <c r="F13" s="1" t="s">
        <v>167</v>
      </c>
      <c r="G13" s="1" t="s">
        <v>168</v>
      </c>
      <c r="H13" s="1" t="s">
        <v>98</v>
      </c>
      <c r="I13" s="1" t="s">
        <v>99</v>
      </c>
      <c r="J13" s="1" t="b">
        <v>0</v>
      </c>
      <c r="K13" s="4" t="s">
        <v>100</v>
      </c>
      <c r="L13" s="1" t="s">
        <v>169</v>
      </c>
      <c r="M13" s="1">
        <v>594863.0</v>
      </c>
      <c r="N13" s="1">
        <v>594863.0</v>
      </c>
      <c r="O13" s="1">
        <v>594863.0</v>
      </c>
      <c r="P13" s="1">
        <v>594863.0</v>
      </c>
      <c r="Q13" s="3"/>
      <c r="R13" s="1" t="s">
        <v>102</v>
      </c>
      <c r="S13" s="3"/>
      <c r="T13" s="3"/>
      <c r="U13" s="1" t="s">
        <v>123</v>
      </c>
      <c r="V13" s="3"/>
      <c r="W13" s="1" t="s">
        <v>104</v>
      </c>
      <c r="X13" s="3"/>
      <c r="Y13" s="1" t="b">
        <v>1</v>
      </c>
      <c r="Z13" s="1" t="b">
        <v>0</v>
      </c>
      <c r="AA13" s="1" t="b">
        <v>0</v>
      </c>
      <c r="AB13" s="1" t="b">
        <v>1</v>
      </c>
      <c r="AC13" s="1" t="b">
        <v>0</v>
      </c>
      <c r="AD13" s="5">
        <v>1.0</v>
      </c>
      <c r="AE13" s="3"/>
      <c r="AF13" s="3"/>
      <c r="AG13" s="3"/>
      <c r="AH13" s="2">
        <v>46076.519212962965</v>
      </c>
      <c r="AI13" s="2">
        <v>46076.80547453704</v>
      </c>
      <c r="AJ13" s="2">
        <v>46076.519212962965</v>
      </c>
      <c r="AK13" s="2">
        <v>46076.51923611111</v>
      </c>
      <c r="AM13" s="3"/>
      <c r="AN13" s="2">
        <v>46076.54640046296</v>
      </c>
      <c r="AP13" s="3"/>
      <c r="AQ13" s="3"/>
      <c r="AR13" s="2">
        <v>46076.54646990741</v>
      </c>
      <c r="AS13" s="2">
        <v>46076.75152777778</v>
      </c>
      <c r="AU13" s="3"/>
      <c r="AV13" s="2">
        <v>46076.51931712963</v>
      </c>
      <c r="AW13" s="2">
        <v>46076.54646990741</v>
      </c>
      <c r="AX13" s="2">
        <v>46076.56896990741</v>
      </c>
      <c r="AY13" s="2">
        <v>46076.56896990741</v>
      </c>
      <c r="AZ13" s="2">
        <v>46076.584872685184</v>
      </c>
      <c r="BA13" s="2">
        <v>46076.7637962963</v>
      </c>
      <c r="BB13" s="2">
        <v>46076.7637962963</v>
      </c>
      <c r="BC13" s="5">
        <v>1931.0</v>
      </c>
      <c r="BD13" s="3"/>
      <c r="BE13" s="5">
        <v>1931.0</v>
      </c>
      <c r="BF13" s="3"/>
      <c r="BG13" s="5">
        <v>14399.0</v>
      </c>
      <c r="BH13" s="5">
        <v>10666.0</v>
      </c>
      <c r="BI13" s="3"/>
      <c r="BJ13" s="3"/>
      <c r="BK13" s="3"/>
      <c r="BL13" s="3"/>
      <c r="BM13" s="5">
        <v>1943.0</v>
      </c>
      <c r="BN13" s="5">
        <v>559.0</v>
      </c>
      <c r="BO13" s="5">
        <v>4296.0</v>
      </c>
      <c r="BP13" s="5">
        <v>696.0</v>
      </c>
      <c r="BQ13" s="5">
        <v>4289.0</v>
      </c>
      <c r="BR13" s="5">
        <v>689.0</v>
      </c>
      <c r="BS13" s="5">
        <v>1943.0</v>
      </c>
      <c r="BT13" s="5">
        <v>559.0</v>
      </c>
      <c r="BU13" s="5">
        <v>1943.0</v>
      </c>
      <c r="BV13" s="5">
        <v>559.0</v>
      </c>
      <c r="BW13" s="5">
        <v>18776.0</v>
      </c>
      <c r="BX13" s="5">
        <v>12600.0</v>
      </c>
      <c r="BY13" s="5">
        <v>18776.0</v>
      </c>
      <c r="BZ13" s="5">
        <v>12600.0</v>
      </c>
      <c r="CA13" s="5">
        <v>21129.0</v>
      </c>
      <c r="CB13" s="5">
        <v>12737.0</v>
      </c>
      <c r="CC13" s="5">
        <v>21122.0</v>
      </c>
      <c r="CD13" s="5">
        <v>12730.0</v>
      </c>
      <c r="CE13" s="5">
        <v>18776.0</v>
      </c>
      <c r="CF13" s="5">
        <v>12600.0</v>
      </c>
      <c r="CG13" s="5">
        <v>18776.0</v>
      </c>
      <c r="CH13" s="5">
        <v>12600.0</v>
      </c>
      <c r="CI13" s="5">
        <v>4377.0</v>
      </c>
      <c r="CJ13" s="5">
        <v>1933.0</v>
      </c>
      <c r="CK13" s="5">
        <v>4377.0</v>
      </c>
      <c r="CL13" s="5">
        <v>1933.0</v>
      </c>
      <c r="CM13" s="5">
        <v>2348.0</v>
      </c>
      <c r="CN13" s="3"/>
      <c r="CO13" s="3"/>
      <c r="CP13" s="4" t="s">
        <v>170</v>
      </c>
    </row>
    <row r="14">
      <c r="A14" s="1" t="s">
        <v>171</v>
      </c>
      <c r="B14" s="2">
        <v>46076.50989583333</v>
      </c>
      <c r="C14" s="1" t="s">
        <v>172</v>
      </c>
      <c r="D14" s="3"/>
      <c r="E14" s="3"/>
      <c r="F14" s="1" t="s">
        <v>173</v>
      </c>
      <c r="G14" s="1" t="s">
        <v>149</v>
      </c>
      <c r="H14" s="1" t="s">
        <v>98</v>
      </c>
      <c r="I14" s="1" t="s">
        <v>99</v>
      </c>
      <c r="J14" s="1" t="b">
        <v>0</v>
      </c>
      <c r="K14" s="4" t="s">
        <v>100</v>
      </c>
      <c r="L14" s="1" t="s">
        <v>174</v>
      </c>
      <c r="M14" s="1">
        <v>594863.0</v>
      </c>
      <c r="N14" s="1">
        <v>594863.0</v>
      </c>
      <c r="O14" s="1">
        <v>594863.0</v>
      </c>
      <c r="P14" s="1" t="s">
        <v>151</v>
      </c>
      <c r="Q14" s="1">
        <v>13288.0</v>
      </c>
      <c r="R14" s="1" t="s">
        <v>102</v>
      </c>
      <c r="S14" s="3"/>
      <c r="T14" s="3"/>
      <c r="U14" s="1" t="s">
        <v>123</v>
      </c>
      <c r="V14" s="3"/>
      <c r="W14" s="1" t="s">
        <v>114</v>
      </c>
      <c r="X14" s="3"/>
      <c r="Y14" s="1" t="b">
        <v>1</v>
      </c>
      <c r="Z14" s="1" t="b">
        <v>0</v>
      </c>
      <c r="AA14" s="1" t="b">
        <v>0</v>
      </c>
      <c r="AB14" s="1" t="b">
        <v>1</v>
      </c>
      <c r="AC14" s="1" t="b">
        <v>0</v>
      </c>
      <c r="AD14" s="5">
        <v>2.0</v>
      </c>
      <c r="AE14" s="5">
        <v>2.0</v>
      </c>
      <c r="AF14" s="3"/>
      <c r="AG14" s="3"/>
      <c r="AH14" s="2">
        <v>46076.50815972222</v>
      </c>
      <c r="AI14" s="2">
        <v>46076.556921296295</v>
      </c>
      <c r="AJ14" s="2">
        <v>46076.50815972222</v>
      </c>
      <c r="AK14" s="2">
        <v>46076.50818287037</v>
      </c>
      <c r="AM14" s="3"/>
      <c r="AN14" s="2">
        <v>46076.50962962963</v>
      </c>
      <c r="AP14" s="3"/>
      <c r="AQ14" s="3"/>
      <c r="AR14" s="2">
        <v>46076.50989583333</v>
      </c>
      <c r="AS14" s="2">
        <v>46076.50989583333</v>
      </c>
      <c r="AU14" s="3"/>
      <c r="AV14" s="2">
        <v>46076.508252314816</v>
      </c>
      <c r="AW14" s="2">
        <v>46076.50989583333</v>
      </c>
      <c r="AX14" s="2">
        <v>46076.51246527778</v>
      </c>
      <c r="AY14" s="2">
        <v>46076.51520833333</v>
      </c>
      <c r="BA14" s="2">
        <v>46076.51524305555</v>
      </c>
      <c r="BB14" s="2">
        <v>46076.51524305555</v>
      </c>
      <c r="BC14" s="5">
        <v>133.0</v>
      </c>
      <c r="BD14" s="5">
        <v>133.0</v>
      </c>
      <c r="BE14" s="5">
        <v>66.0</v>
      </c>
      <c r="BF14" s="5">
        <v>66.0</v>
      </c>
      <c r="BG14" s="3"/>
      <c r="BH14" s="3"/>
      <c r="BI14" s="3"/>
      <c r="BJ14" s="3"/>
      <c r="BK14" s="3"/>
      <c r="BL14" s="3"/>
      <c r="BM14" s="5">
        <v>222.0</v>
      </c>
      <c r="BN14" s="5">
        <v>222.0</v>
      </c>
      <c r="BO14" s="5">
        <v>370.0</v>
      </c>
      <c r="BP14" s="5">
        <v>370.0</v>
      </c>
      <c r="BQ14" s="5">
        <v>364.0</v>
      </c>
      <c r="BR14" s="5">
        <v>364.0</v>
      </c>
      <c r="BS14" s="5">
        <v>222.0</v>
      </c>
      <c r="BT14" s="5">
        <v>222.0</v>
      </c>
      <c r="BU14" s="5">
        <v>222.0</v>
      </c>
      <c r="BV14" s="5">
        <v>222.0</v>
      </c>
      <c r="BW14" s="5">
        <v>462.0</v>
      </c>
      <c r="BX14" s="5">
        <v>462.0</v>
      </c>
      <c r="BY14" s="5">
        <v>462.0</v>
      </c>
      <c r="BZ14" s="5">
        <v>462.0</v>
      </c>
      <c r="CA14" s="5">
        <v>610.0</v>
      </c>
      <c r="CB14" s="5">
        <v>610.0</v>
      </c>
      <c r="CC14" s="5">
        <v>604.0</v>
      </c>
      <c r="CD14" s="5">
        <v>604.0</v>
      </c>
      <c r="CE14" s="5">
        <v>462.0</v>
      </c>
      <c r="CF14" s="5">
        <v>462.0</v>
      </c>
      <c r="CG14" s="5">
        <v>462.0</v>
      </c>
      <c r="CH14" s="5">
        <v>462.0</v>
      </c>
      <c r="CI14" s="5">
        <v>462.0</v>
      </c>
      <c r="CJ14" s="5">
        <v>462.0</v>
      </c>
      <c r="CK14" s="5">
        <v>462.0</v>
      </c>
      <c r="CL14" s="5">
        <v>462.0</v>
      </c>
      <c r="CM14" s="5">
        <v>127.0</v>
      </c>
      <c r="CN14" s="3"/>
      <c r="CO14" s="3"/>
      <c r="CP14" s="4" t="s">
        <v>175</v>
      </c>
    </row>
    <row r="15">
      <c r="A15" s="1" t="s">
        <v>176</v>
      </c>
      <c r="B15" s="2">
        <v>46076.49636574074</v>
      </c>
      <c r="C15" s="1" t="s">
        <v>177</v>
      </c>
      <c r="D15" s="3"/>
      <c r="E15" s="3"/>
      <c r="F15" s="1" t="s">
        <v>178</v>
      </c>
      <c r="G15" s="1" t="s">
        <v>179</v>
      </c>
      <c r="H15" s="1" t="s">
        <v>98</v>
      </c>
      <c r="I15" s="1" t="s">
        <v>99</v>
      </c>
      <c r="J15" s="1" t="b">
        <v>0</v>
      </c>
      <c r="K15" s="4" t="s">
        <v>100</v>
      </c>
      <c r="L15" s="1" t="s">
        <v>180</v>
      </c>
      <c r="M15" s="1">
        <v>574085.0</v>
      </c>
      <c r="N15" s="1">
        <v>574085.0</v>
      </c>
      <c r="O15" s="1">
        <v>574085.0</v>
      </c>
      <c r="P15" s="1" t="s">
        <v>122</v>
      </c>
      <c r="Q15" s="1">
        <v>13285.0</v>
      </c>
      <c r="R15" s="1" t="s">
        <v>102</v>
      </c>
      <c r="S15" s="3"/>
      <c r="T15" s="3"/>
      <c r="U15" s="1" t="s">
        <v>123</v>
      </c>
      <c r="V15" s="3"/>
      <c r="W15" s="1" t="s">
        <v>114</v>
      </c>
      <c r="X15" s="3"/>
      <c r="Y15" s="1" t="b">
        <v>1</v>
      </c>
      <c r="Z15" s="1" t="b">
        <v>0</v>
      </c>
      <c r="AA15" s="1" t="b">
        <v>0</v>
      </c>
      <c r="AB15" s="1" t="b">
        <v>1</v>
      </c>
      <c r="AC15" s="1" t="b">
        <v>0</v>
      </c>
      <c r="AD15" s="5">
        <v>1.0</v>
      </c>
      <c r="AE15" s="5">
        <v>1.0</v>
      </c>
      <c r="AF15" s="3"/>
      <c r="AG15" s="3"/>
      <c r="AH15" s="2">
        <v>46076.49561342593</v>
      </c>
      <c r="AI15" s="2">
        <v>46076.55886574074</v>
      </c>
      <c r="AJ15" s="2">
        <v>46076.49561342593</v>
      </c>
      <c r="AK15" s="2">
        <v>46076.49564814815</v>
      </c>
      <c r="AM15" s="3"/>
      <c r="AN15" s="2">
        <v>46076.496099537035</v>
      </c>
      <c r="AO15" s="2">
        <v>46076.49636574074</v>
      </c>
      <c r="AQ15" s="2">
        <v>46076.49637731481</v>
      </c>
      <c r="AR15" s="2">
        <v>46076.49636574074</v>
      </c>
      <c r="AS15" s="2">
        <v>46076.49637731481</v>
      </c>
      <c r="AU15" s="3"/>
      <c r="AV15" s="2">
        <v>46076.49637731481</v>
      </c>
      <c r="AW15" s="2">
        <v>46076.49637731481</v>
      </c>
      <c r="AX15" s="2">
        <v>46076.49650462963</v>
      </c>
      <c r="AY15" s="2">
        <v>46076.49650462963</v>
      </c>
      <c r="BA15" s="2">
        <v>46076.5171875</v>
      </c>
      <c r="BB15" s="2">
        <v>46076.5171875</v>
      </c>
      <c r="BC15" s="5">
        <v>12.0</v>
      </c>
      <c r="BD15" s="5">
        <v>12.0</v>
      </c>
      <c r="BE15" s="5">
        <v>12.0</v>
      </c>
      <c r="BF15" s="5">
        <v>12.0</v>
      </c>
      <c r="BG15" s="3"/>
      <c r="BH15" s="3"/>
      <c r="BI15" s="5">
        <v>1.0</v>
      </c>
      <c r="BJ15" s="5">
        <v>1.0</v>
      </c>
      <c r="BK15" s="5">
        <v>0.0</v>
      </c>
      <c r="BL15" s="5">
        <v>0.0</v>
      </c>
      <c r="BM15" s="5">
        <v>12.0</v>
      </c>
      <c r="BN15" s="5">
        <v>12.0</v>
      </c>
      <c r="BO15" s="5">
        <v>73.0</v>
      </c>
      <c r="BP15" s="5">
        <v>73.0</v>
      </c>
      <c r="BQ15" s="5">
        <v>11.0</v>
      </c>
      <c r="BR15" s="5">
        <v>11.0</v>
      </c>
      <c r="BS15" s="5">
        <v>11.0</v>
      </c>
      <c r="BT15" s="5">
        <v>11.0</v>
      </c>
      <c r="BU15" s="5">
        <v>12.0</v>
      </c>
      <c r="BV15" s="5">
        <v>12.0</v>
      </c>
      <c r="BW15" s="5">
        <v>1799.0</v>
      </c>
      <c r="BX15" s="5">
        <v>1799.0</v>
      </c>
      <c r="BY15" s="5">
        <v>1799.0</v>
      </c>
      <c r="BZ15" s="5">
        <v>1799.0</v>
      </c>
      <c r="CA15" s="5">
        <v>1860.0</v>
      </c>
      <c r="CB15" s="5">
        <v>1860.0</v>
      </c>
      <c r="CC15" s="5">
        <v>1798.0</v>
      </c>
      <c r="CD15" s="5">
        <v>1798.0</v>
      </c>
      <c r="CE15" s="5">
        <v>1797.0</v>
      </c>
      <c r="CF15" s="5">
        <v>1797.0</v>
      </c>
      <c r="CG15" s="5">
        <v>1799.0</v>
      </c>
      <c r="CH15" s="5">
        <v>1799.0</v>
      </c>
      <c r="CI15" s="5">
        <v>1797.0</v>
      </c>
      <c r="CJ15" s="5">
        <v>1797.0</v>
      </c>
      <c r="CK15" s="5">
        <v>1797.0</v>
      </c>
      <c r="CL15" s="5">
        <v>1797.0</v>
      </c>
      <c r="CM15" s="5">
        <v>41.0</v>
      </c>
      <c r="CN15" s="3"/>
      <c r="CO15" s="3"/>
      <c r="CP15" s="4" t="s">
        <v>181</v>
      </c>
    </row>
    <row r="16">
      <c r="A16" s="1" t="s">
        <v>182</v>
      </c>
      <c r="B16" s="2">
        <v>46076.49150462963</v>
      </c>
      <c r="C16" s="1" t="s">
        <v>183</v>
      </c>
      <c r="D16" s="3"/>
      <c r="E16" s="3"/>
      <c r="F16" s="1" t="s">
        <v>184</v>
      </c>
      <c r="G16" s="1" t="s">
        <v>185</v>
      </c>
      <c r="H16" s="1" t="s">
        <v>98</v>
      </c>
      <c r="I16" s="1" t="s">
        <v>99</v>
      </c>
      <c r="J16" s="1" t="b">
        <v>0</v>
      </c>
      <c r="K16" s="4" t="s">
        <v>100</v>
      </c>
      <c r="L16" s="1" t="s">
        <v>186</v>
      </c>
      <c r="M16" s="1">
        <v>607950.0</v>
      </c>
      <c r="N16" s="1">
        <v>607950.0</v>
      </c>
      <c r="O16" s="1">
        <v>607950.0</v>
      </c>
      <c r="P16" s="1" t="s">
        <v>187</v>
      </c>
      <c r="Q16" s="1">
        <v>13287.0</v>
      </c>
      <c r="R16" s="1" t="s">
        <v>102</v>
      </c>
      <c r="S16" s="3"/>
      <c r="T16" s="3"/>
      <c r="U16" s="1" t="s">
        <v>123</v>
      </c>
      <c r="V16" s="3"/>
      <c r="W16" s="1" t="s">
        <v>114</v>
      </c>
      <c r="X16" s="3"/>
      <c r="Y16" s="1" t="b">
        <v>1</v>
      </c>
      <c r="Z16" s="1" t="b">
        <v>0</v>
      </c>
      <c r="AA16" s="1" t="b">
        <v>0</v>
      </c>
      <c r="AB16" s="1" t="b">
        <v>1</v>
      </c>
      <c r="AC16" s="1" t="b">
        <v>0</v>
      </c>
      <c r="AD16" s="5">
        <v>2.0</v>
      </c>
      <c r="AE16" s="5">
        <v>2.0</v>
      </c>
      <c r="AF16" s="3"/>
      <c r="AG16" s="3"/>
      <c r="AH16" s="2">
        <v>46076.49071759259</v>
      </c>
      <c r="AI16" s="2">
        <v>46076.72640046296</v>
      </c>
      <c r="AJ16" s="2">
        <v>46076.49071759259</v>
      </c>
      <c r="AK16" s="2">
        <v>46076.49077546296</v>
      </c>
      <c r="AM16" s="3"/>
      <c r="AN16" s="2">
        <v>46076.49128472222</v>
      </c>
      <c r="AP16" s="3"/>
      <c r="AQ16" s="3"/>
      <c r="AR16" s="2">
        <v>46076.49150462963</v>
      </c>
      <c r="AS16" s="2">
        <v>46076.49150462963</v>
      </c>
      <c r="AU16" s="3"/>
      <c r="AV16" s="2">
        <v>46076.49251157408</v>
      </c>
      <c r="AW16" s="2">
        <v>46076.49150462963</v>
      </c>
      <c r="AX16" s="2">
        <v>46076.49261574074</v>
      </c>
      <c r="AY16" s="2">
        <v>46076.628067129626</v>
      </c>
      <c r="BA16" s="2">
        <v>46076.68472222222</v>
      </c>
      <c r="BB16" s="2">
        <v>46076.68472222222</v>
      </c>
      <c r="BC16" s="5">
        <v>2611.0</v>
      </c>
      <c r="BD16" s="5">
        <v>2611.0</v>
      </c>
      <c r="BE16" s="5">
        <v>1305.0</v>
      </c>
      <c r="BF16" s="5">
        <v>1305.0</v>
      </c>
      <c r="BG16" s="3"/>
      <c r="BH16" s="3"/>
      <c r="BI16" s="3"/>
      <c r="BJ16" s="3"/>
      <c r="BK16" s="5">
        <v>86.0</v>
      </c>
      <c r="BL16" s="5">
        <v>86.0</v>
      </c>
      <c r="BM16" s="5">
        <v>95.0</v>
      </c>
      <c r="BN16" s="5">
        <v>95.0</v>
      </c>
      <c r="BO16" s="5">
        <v>158.0</v>
      </c>
      <c r="BP16" s="5">
        <v>158.0</v>
      </c>
      <c r="BQ16" s="5">
        <v>8.0</v>
      </c>
      <c r="BR16" s="5">
        <v>8.0</v>
      </c>
      <c r="BS16" s="5">
        <v>95.0</v>
      </c>
      <c r="BT16" s="5">
        <v>95.0</v>
      </c>
      <c r="BU16" s="5">
        <v>95.0</v>
      </c>
      <c r="BV16" s="5">
        <v>95.0</v>
      </c>
      <c r="BW16" s="5">
        <v>16693.0</v>
      </c>
      <c r="BX16" s="5">
        <v>13093.0</v>
      </c>
      <c r="BY16" s="5">
        <v>16693.0</v>
      </c>
      <c r="BZ16" s="5">
        <v>13093.0</v>
      </c>
      <c r="CA16" s="5">
        <v>16757.0</v>
      </c>
      <c r="CB16" s="5">
        <v>13157.0</v>
      </c>
      <c r="CC16" s="5">
        <v>16607.0</v>
      </c>
      <c r="CD16" s="5">
        <v>13007.0</v>
      </c>
      <c r="CE16" s="5">
        <v>16693.0</v>
      </c>
      <c r="CF16" s="5">
        <v>13093.0</v>
      </c>
      <c r="CG16" s="5">
        <v>16693.0</v>
      </c>
      <c r="CH16" s="5">
        <v>13093.0</v>
      </c>
      <c r="CI16" s="5">
        <v>16693.0</v>
      </c>
      <c r="CJ16" s="5">
        <v>13093.0</v>
      </c>
      <c r="CK16" s="5">
        <v>16693.0</v>
      </c>
      <c r="CL16" s="5">
        <v>13093.0</v>
      </c>
      <c r="CM16" s="5">
        <v>48.0</v>
      </c>
      <c r="CN16" s="3"/>
      <c r="CO16" s="3"/>
      <c r="CP16" s="4" t="s">
        <v>188</v>
      </c>
    </row>
    <row r="17">
      <c r="A17" s="1" t="s">
        <v>189</v>
      </c>
      <c r="B17" s="2">
        <v>46076.48303240741</v>
      </c>
      <c r="C17" s="1" t="s">
        <v>190</v>
      </c>
      <c r="D17" s="3"/>
      <c r="E17" s="3"/>
      <c r="F17" s="1" t="s">
        <v>191</v>
      </c>
      <c r="G17" s="1" t="s">
        <v>119</v>
      </c>
      <c r="H17" s="1" t="s">
        <v>98</v>
      </c>
      <c r="I17" s="1" t="s">
        <v>99</v>
      </c>
      <c r="J17" s="1" t="b">
        <v>0</v>
      </c>
      <c r="K17" s="1" t="s">
        <v>192</v>
      </c>
      <c r="L17" s="1" t="s">
        <v>193</v>
      </c>
      <c r="M17" s="1">
        <v>574085.0</v>
      </c>
      <c r="N17" s="1">
        <v>574085.0</v>
      </c>
      <c r="O17" s="1">
        <v>574085.0</v>
      </c>
      <c r="P17" s="1" t="s">
        <v>122</v>
      </c>
      <c r="Q17" s="1">
        <v>13285.0</v>
      </c>
      <c r="R17" s="1" t="s">
        <v>102</v>
      </c>
      <c r="S17" s="3"/>
      <c r="T17" s="3"/>
      <c r="U17" s="1" t="s">
        <v>123</v>
      </c>
      <c r="V17" s="3"/>
      <c r="W17" s="1" t="s">
        <v>114</v>
      </c>
      <c r="X17" s="3"/>
      <c r="Y17" s="1" t="b">
        <v>1</v>
      </c>
      <c r="Z17" s="1" t="b">
        <v>0</v>
      </c>
      <c r="AA17" s="1" t="b">
        <v>0</v>
      </c>
      <c r="AB17" s="1" t="b">
        <v>1</v>
      </c>
      <c r="AC17" s="1" t="b">
        <v>1</v>
      </c>
      <c r="AD17" s="5">
        <v>6.0</v>
      </c>
      <c r="AE17" s="5">
        <v>5.0</v>
      </c>
      <c r="AF17" s="3"/>
      <c r="AG17" s="3"/>
      <c r="AH17" s="2">
        <v>46076.481458333335</v>
      </c>
      <c r="AI17" s="2">
        <v>46076.67</v>
      </c>
      <c r="AJ17" s="2">
        <v>46076.481458333335</v>
      </c>
      <c r="AK17" s="2">
        <v>46076.48148148148</v>
      </c>
      <c r="AL17" s="2">
        <v>46076.48303240741</v>
      </c>
      <c r="AM17" s="2">
        <v>46076.48303240741</v>
      </c>
      <c r="AN17" s="2">
        <v>46076.48303240741</v>
      </c>
      <c r="AO17" s="2">
        <v>46076.483402777776</v>
      </c>
      <c r="AQ17" s="2">
        <v>46076.48341435185</v>
      </c>
      <c r="AR17" s="2">
        <v>46076.483402777776</v>
      </c>
      <c r="AS17" s="2">
        <v>46076.48341435185</v>
      </c>
      <c r="AU17" s="3"/>
      <c r="AV17" s="2">
        <v>46076.48341435185</v>
      </c>
      <c r="AW17" s="2">
        <v>46076.48341435185</v>
      </c>
      <c r="AX17" s="2">
        <v>46076.48358796296</v>
      </c>
      <c r="AY17" s="2">
        <v>46076.62490740741</v>
      </c>
      <c r="BA17" s="2">
        <v>46076.62832175926</v>
      </c>
      <c r="BB17" s="2">
        <v>46076.62832175926</v>
      </c>
      <c r="BC17" s="5">
        <v>9016.0</v>
      </c>
      <c r="BD17" s="5">
        <v>4544.0</v>
      </c>
      <c r="BE17" s="5">
        <v>1502.0</v>
      </c>
      <c r="BF17" s="5">
        <v>908.0</v>
      </c>
      <c r="BG17" s="3"/>
      <c r="BH17" s="3"/>
      <c r="BI17" s="5">
        <v>1.0</v>
      </c>
      <c r="BJ17" s="5">
        <v>1.0</v>
      </c>
      <c r="BK17" s="5">
        <v>32.0</v>
      </c>
      <c r="BL17" s="5">
        <v>32.0</v>
      </c>
      <c r="BM17" s="5">
        <v>48.0</v>
      </c>
      <c r="BN17" s="5">
        <v>48.0</v>
      </c>
      <c r="BO17" s="5">
        <v>182.0</v>
      </c>
      <c r="BP17" s="5">
        <v>182.0</v>
      </c>
      <c r="BQ17" s="5">
        <v>15.0</v>
      </c>
      <c r="BR17" s="5">
        <v>15.0</v>
      </c>
      <c r="BS17" s="5">
        <v>15.0</v>
      </c>
      <c r="BT17" s="5">
        <v>15.0</v>
      </c>
      <c r="BU17" s="5">
        <v>16.0</v>
      </c>
      <c r="BV17" s="5">
        <v>16.0</v>
      </c>
      <c r="BW17" s="5">
        <v>12552.0</v>
      </c>
      <c r="BX17" s="5">
        <v>8952.0</v>
      </c>
      <c r="BY17" s="5">
        <v>12552.0</v>
      </c>
      <c r="BZ17" s="5">
        <v>8952.0</v>
      </c>
      <c r="CA17" s="5">
        <v>12687.0</v>
      </c>
      <c r="CB17" s="5">
        <v>9087.0</v>
      </c>
      <c r="CC17" s="5">
        <v>12520.0</v>
      </c>
      <c r="CD17" s="5">
        <v>8920.0</v>
      </c>
      <c r="CE17" s="5">
        <v>12520.0</v>
      </c>
      <c r="CF17" s="5">
        <v>8920.0</v>
      </c>
      <c r="CG17" s="5">
        <v>12521.0</v>
      </c>
      <c r="CH17" s="5">
        <v>8921.0</v>
      </c>
      <c r="CI17" s="5">
        <v>12520.0</v>
      </c>
      <c r="CJ17" s="5">
        <v>8920.0</v>
      </c>
      <c r="CK17" s="5">
        <v>12520.0</v>
      </c>
      <c r="CL17" s="5">
        <v>8920.0</v>
      </c>
      <c r="CM17" s="5">
        <v>135.0</v>
      </c>
      <c r="CN17" s="5">
        <v>0.0</v>
      </c>
      <c r="CO17" s="3"/>
      <c r="CP17" s="4" t="s">
        <v>194</v>
      </c>
    </row>
    <row r="18">
      <c r="A18" s="1" t="s">
        <v>195</v>
      </c>
      <c r="B18" s="2">
        <v>46076.48222222222</v>
      </c>
      <c r="C18" s="1" t="s">
        <v>196</v>
      </c>
      <c r="D18" s="3"/>
      <c r="E18" s="3"/>
      <c r="F18" s="1" t="s">
        <v>197</v>
      </c>
      <c r="G18" s="1" t="s">
        <v>179</v>
      </c>
      <c r="H18" s="1" t="s">
        <v>98</v>
      </c>
      <c r="I18" s="1" t="s">
        <v>99</v>
      </c>
      <c r="J18" s="1" t="b">
        <v>0</v>
      </c>
      <c r="K18" s="4" t="s">
        <v>100</v>
      </c>
      <c r="L18" s="1" t="s">
        <v>198</v>
      </c>
      <c r="M18" s="1">
        <v>574085.0</v>
      </c>
      <c r="N18" s="1">
        <v>574085.0</v>
      </c>
      <c r="O18" s="1">
        <v>574085.0</v>
      </c>
      <c r="P18" s="1" t="s">
        <v>122</v>
      </c>
      <c r="Q18" s="1">
        <v>13285.0</v>
      </c>
      <c r="R18" s="1" t="s">
        <v>102</v>
      </c>
      <c r="S18" s="3"/>
      <c r="T18" s="3"/>
      <c r="U18" s="1" t="s">
        <v>123</v>
      </c>
      <c r="V18" s="3"/>
      <c r="W18" s="1" t="s">
        <v>114</v>
      </c>
      <c r="X18" s="3"/>
      <c r="Y18" s="1" t="b">
        <v>1</v>
      </c>
      <c r="Z18" s="1" t="b">
        <v>0</v>
      </c>
      <c r="AA18" s="1" t="b">
        <v>0</v>
      </c>
      <c r="AB18" s="1" t="b">
        <v>1</v>
      </c>
      <c r="AC18" s="1" t="b">
        <v>1</v>
      </c>
      <c r="AD18" s="5">
        <v>3.0</v>
      </c>
      <c r="AE18" s="5">
        <v>3.0</v>
      </c>
      <c r="AF18" s="3"/>
      <c r="AG18" s="3"/>
      <c r="AH18" s="2">
        <v>46076.48193287037</v>
      </c>
      <c r="AI18" s="2">
        <v>46076.54083333333</v>
      </c>
      <c r="AJ18" s="2">
        <v>46076.48193287037</v>
      </c>
      <c r="AK18" s="2">
        <v>46076.481944444444</v>
      </c>
      <c r="AL18" s="2">
        <v>46076.48222222222</v>
      </c>
      <c r="AM18" s="2">
        <v>46076.48222222222</v>
      </c>
      <c r="AN18" s="2">
        <v>46076.48222222222</v>
      </c>
      <c r="AO18" s="2">
        <v>46076.48222222222</v>
      </c>
      <c r="AQ18" s="2">
        <v>46076.4822337963</v>
      </c>
      <c r="AR18" s="2">
        <v>46076.48222222222</v>
      </c>
      <c r="AS18" s="2">
        <v>46076.4822337963</v>
      </c>
      <c r="AU18" s="3"/>
      <c r="AV18" s="2">
        <v>46076.4822337963</v>
      </c>
      <c r="AW18" s="2">
        <v>46076.4822337963</v>
      </c>
      <c r="AX18" s="2">
        <v>46076.48233796296</v>
      </c>
      <c r="AY18" s="2">
        <v>46076.49568287037</v>
      </c>
      <c r="BA18" s="2">
        <v>46076.49916666667</v>
      </c>
      <c r="BB18" s="2">
        <v>46076.49916666667</v>
      </c>
      <c r="BC18" s="5">
        <v>1095.0</v>
      </c>
      <c r="BD18" s="5">
        <v>1095.0</v>
      </c>
      <c r="BE18" s="5">
        <v>365.0</v>
      </c>
      <c r="BF18" s="5">
        <v>365.0</v>
      </c>
      <c r="BG18" s="3"/>
      <c r="BH18" s="3"/>
      <c r="BI18" s="5">
        <v>0.0</v>
      </c>
      <c r="BJ18" s="5">
        <v>0.0</v>
      </c>
      <c r="BK18" s="5">
        <v>0.0</v>
      </c>
      <c r="BL18" s="5">
        <v>0.0</v>
      </c>
      <c r="BM18" s="5">
        <v>10.0</v>
      </c>
      <c r="BN18" s="5">
        <v>10.0</v>
      </c>
      <c r="BO18" s="5">
        <v>34.0</v>
      </c>
      <c r="BP18" s="5">
        <v>34.0</v>
      </c>
      <c r="BQ18" s="5">
        <v>9.0</v>
      </c>
      <c r="BR18" s="5">
        <v>9.0</v>
      </c>
      <c r="BS18" s="5">
        <v>9.0</v>
      </c>
      <c r="BT18" s="5">
        <v>9.0</v>
      </c>
      <c r="BU18" s="5">
        <v>9.0</v>
      </c>
      <c r="BV18" s="5">
        <v>9.0</v>
      </c>
      <c r="BW18" s="5">
        <v>1463.0</v>
      </c>
      <c r="BX18" s="5">
        <v>1463.0</v>
      </c>
      <c r="BY18" s="5">
        <v>1463.0</v>
      </c>
      <c r="BZ18" s="5">
        <v>1463.0</v>
      </c>
      <c r="CA18" s="5">
        <v>1487.0</v>
      </c>
      <c r="CB18" s="5">
        <v>1487.0</v>
      </c>
      <c r="CC18" s="5">
        <v>1462.0</v>
      </c>
      <c r="CD18" s="5">
        <v>1462.0</v>
      </c>
      <c r="CE18" s="5">
        <v>1462.0</v>
      </c>
      <c r="CF18" s="5">
        <v>1462.0</v>
      </c>
      <c r="CG18" s="5">
        <v>1463.0</v>
      </c>
      <c r="CH18" s="5">
        <v>1463.0</v>
      </c>
      <c r="CI18" s="5">
        <v>1462.0</v>
      </c>
      <c r="CJ18" s="5">
        <v>1462.0</v>
      </c>
      <c r="CK18" s="5">
        <v>1462.0</v>
      </c>
      <c r="CL18" s="5">
        <v>1462.0</v>
      </c>
      <c r="CM18" s="5">
        <v>25.0</v>
      </c>
      <c r="CN18" s="5">
        <v>0.0</v>
      </c>
      <c r="CO18" s="3"/>
      <c r="CP18" s="4" t="s">
        <v>199</v>
      </c>
    </row>
    <row r="19">
      <c r="A19" s="1" t="s">
        <v>200</v>
      </c>
      <c r="B19" s="2">
        <v>46076.450636574074</v>
      </c>
      <c r="C19" s="1" t="s">
        <v>201</v>
      </c>
      <c r="D19" s="3"/>
      <c r="E19" s="3"/>
      <c r="F19" s="1" t="s">
        <v>202</v>
      </c>
      <c r="G19" s="1" t="s">
        <v>168</v>
      </c>
      <c r="H19" s="1" t="s">
        <v>98</v>
      </c>
      <c r="I19" s="1" t="s">
        <v>99</v>
      </c>
      <c r="J19" s="1" t="b">
        <v>0</v>
      </c>
      <c r="K19" s="4" t="s">
        <v>203</v>
      </c>
      <c r="L19" s="1" t="s">
        <v>204</v>
      </c>
      <c r="M19" s="1">
        <v>574085.0</v>
      </c>
      <c r="N19" s="1">
        <v>574085.0</v>
      </c>
      <c r="O19" s="1">
        <v>574085.0</v>
      </c>
      <c r="P19" s="1" t="s">
        <v>205</v>
      </c>
      <c r="Q19" s="1">
        <v>13285.0</v>
      </c>
      <c r="R19" s="1" t="s">
        <v>102</v>
      </c>
      <c r="S19" s="3"/>
      <c r="T19" s="3"/>
      <c r="U19" s="1" t="s">
        <v>123</v>
      </c>
      <c r="V19" s="3"/>
      <c r="W19" s="1" t="s">
        <v>114</v>
      </c>
      <c r="X19" s="3"/>
      <c r="Y19" s="1" t="b">
        <v>1</v>
      </c>
      <c r="Z19" s="1" t="b">
        <v>0</v>
      </c>
      <c r="AA19" s="1" t="b">
        <v>0</v>
      </c>
      <c r="AB19" s="1" t="b">
        <v>1</v>
      </c>
      <c r="AC19" s="1" t="b">
        <v>1</v>
      </c>
      <c r="AD19" s="5">
        <v>2.0</v>
      </c>
      <c r="AE19" s="5">
        <v>2.0</v>
      </c>
      <c r="AF19" s="3"/>
      <c r="AG19" s="3"/>
      <c r="AH19" s="2">
        <v>46076.447604166664</v>
      </c>
      <c r="AI19" s="2">
        <v>46076.49972222222</v>
      </c>
      <c r="AJ19" s="2">
        <v>46076.447604166664</v>
      </c>
      <c r="AK19" s="2">
        <v>46076.44763888889</v>
      </c>
      <c r="AL19" s="2">
        <v>46076.450636574074</v>
      </c>
      <c r="AM19" s="2">
        <v>46076.45064814815</v>
      </c>
      <c r="AN19" s="2">
        <v>46076.45064814815</v>
      </c>
      <c r="AO19" s="2">
        <v>46076.450844907406</v>
      </c>
      <c r="AQ19" s="2">
        <v>46076.45085648148</v>
      </c>
      <c r="AR19" s="2">
        <v>46076.450844907406</v>
      </c>
      <c r="AS19" s="2">
        <v>46076.45085648148</v>
      </c>
      <c r="AU19" s="3"/>
      <c r="AV19" s="2">
        <v>46076.45085648148</v>
      </c>
      <c r="AW19" s="2">
        <v>46076.45085648148</v>
      </c>
      <c r="AX19" s="2">
        <v>46076.45501157407</v>
      </c>
      <c r="AY19" s="2">
        <v>46076.45799768518</v>
      </c>
      <c r="BA19" s="2">
        <v>46076.45804398148</v>
      </c>
      <c r="BB19" s="2">
        <v>46076.45804398148</v>
      </c>
      <c r="BC19" s="5">
        <v>393.0</v>
      </c>
      <c r="BD19" s="5">
        <v>393.0</v>
      </c>
      <c r="BE19" s="5">
        <v>196.0</v>
      </c>
      <c r="BF19" s="5">
        <v>196.0</v>
      </c>
      <c r="BG19" s="3"/>
      <c r="BH19" s="3"/>
      <c r="BI19" s="5">
        <v>0.0</v>
      </c>
      <c r="BJ19" s="5">
        <v>0.0</v>
      </c>
      <c r="BK19" s="5">
        <v>18.0</v>
      </c>
      <c r="BL19" s="5">
        <v>18.0</v>
      </c>
      <c r="BM19" s="5">
        <v>377.0</v>
      </c>
      <c r="BN19" s="5">
        <v>377.0</v>
      </c>
      <c r="BO19" s="5">
        <v>637.0</v>
      </c>
      <c r="BP19" s="5">
        <v>637.0</v>
      </c>
      <c r="BQ19" s="5">
        <v>358.0</v>
      </c>
      <c r="BR19" s="5">
        <v>358.0</v>
      </c>
      <c r="BS19" s="5">
        <v>358.0</v>
      </c>
      <c r="BT19" s="5">
        <v>358.0</v>
      </c>
      <c r="BU19" s="5">
        <v>359.0</v>
      </c>
      <c r="BV19" s="5">
        <v>359.0</v>
      </c>
      <c r="BW19" s="5">
        <v>639.0</v>
      </c>
      <c r="BX19" s="5">
        <v>639.0</v>
      </c>
      <c r="BY19" s="5">
        <v>639.0</v>
      </c>
      <c r="BZ19" s="5">
        <v>639.0</v>
      </c>
      <c r="CA19" s="5">
        <v>899.0</v>
      </c>
      <c r="CB19" s="5">
        <v>899.0</v>
      </c>
      <c r="CC19" s="5">
        <v>620.0</v>
      </c>
      <c r="CD19" s="5">
        <v>620.0</v>
      </c>
      <c r="CE19" s="5">
        <v>620.0</v>
      </c>
      <c r="CF19" s="5">
        <v>620.0</v>
      </c>
      <c r="CG19" s="5">
        <v>621.0</v>
      </c>
      <c r="CH19" s="5">
        <v>621.0</v>
      </c>
      <c r="CI19" s="5">
        <v>620.0</v>
      </c>
      <c r="CJ19" s="5">
        <v>620.0</v>
      </c>
      <c r="CK19" s="5">
        <v>620.0</v>
      </c>
      <c r="CL19" s="5">
        <v>620.0</v>
      </c>
      <c r="CM19" s="5">
        <v>262.0</v>
      </c>
      <c r="CN19" s="5">
        <v>0.0</v>
      </c>
      <c r="CO19" s="3"/>
      <c r="CP19" s="4" t="s">
        <v>206</v>
      </c>
    </row>
    <row r="20">
      <c r="A20" s="1" t="s">
        <v>207</v>
      </c>
      <c r="B20" s="2">
        <v>46076.42512731482</v>
      </c>
      <c r="C20" s="1" t="s">
        <v>208</v>
      </c>
      <c r="D20" s="3"/>
      <c r="E20" s="3"/>
      <c r="F20" s="1" t="s">
        <v>209</v>
      </c>
      <c r="G20" s="1" t="s">
        <v>210</v>
      </c>
      <c r="H20" s="1" t="s">
        <v>98</v>
      </c>
      <c r="I20" s="1" t="s">
        <v>99</v>
      </c>
      <c r="J20" s="1" t="b">
        <v>0</v>
      </c>
      <c r="K20" s="4" t="s">
        <v>100</v>
      </c>
      <c r="L20" s="1" t="s">
        <v>211</v>
      </c>
      <c r="M20" s="1">
        <v>506375.0</v>
      </c>
      <c r="N20" s="1">
        <v>594863.0</v>
      </c>
      <c r="O20" s="1">
        <v>506375.0</v>
      </c>
      <c r="P20" s="1" t="s">
        <v>212</v>
      </c>
      <c r="R20" s="1" t="s">
        <v>102</v>
      </c>
      <c r="S20" s="3"/>
      <c r="T20" s="3"/>
      <c r="U20" s="1" t="s">
        <v>123</v>
      </c>
      <c r="V20" s="3"/>
      <c r="W20" s="1" t="s">
        <v>114</v>
      </c>
      <c r="X20" s="3"/>
      <c r="Y20" s="1" t="b">
        <v>1</v>
      </c>
      <c r="Z20" s="1" t="b">
        <v>0</v>
      </c>
      <c r="AA20" s="1" t="b">
        <v>1</v>
      </c>
      <c r="AB20" s="1" t="b">
        <v>1</v>
      </c>
      <c r="AC20" s="1" t="b">
        <v>0</v>
      </c>
      <c r="AD20" s="5">
        <v>3.0</v>
      </c>
      <c r="AE20" s="5">
        <v>3.0</v>
      </c>
      <c r="AF20" s="3"/>
      <c r="AG20" s="5">
        <v>1.0</v>
      </c>
      <c r="AH20" s="2">
        <v>46076.424467592595</v>
      </c>
      <c r="AI20" s="2">
        <v>46076.480775462966</v>
      </c>
      <c r="AJ20" s="2">
        <v>46076.424467592595</v>
      </c>
      <c r="AK20" s="2">
        <v>46076.424479166664</v>
      </c>
      <c r="AM20" s="3"/>
      <c r="AN20" s="2">
        <v>46076.424849537034</v>
      </c>
      <c r="AP20" s="3"/>
      <c r="AQ20" s="3"/>
      <c r="AR20" s="2">
        <v>46076.42512731482</v>
      </c>
      <c r="AS20" s="2">
        <v>46076.42512731482</v>
      </c>
      <c r="AU20" s="3"/>
      <c r="AV20" s="2">
        <v>46076.42454861111</v>
      </c>
      <c r="AW20" s="2">
        <v>46076.42512731482</v>
      </c>
      <c r="AX20" s="2">
        <v>46076.42524305556</v>
      </c>
      <c r="AY20" s="2">
        <v>46076.432291666664</v>
      </c>
      <c r="BA20" s="2">
        <v>46076.439097222225</v>
      </c>
      <c r="BB20" s="2">
        <v>46076.439097222225</v>
      </c>
      <c r="BC20" s="5">
        <v>394.0</v>
      </c>
      <c r="BD20" s="5">
        <v>394.0</v>
      </c>
      <c r="BE20" s="5">
        <v>131.0</v>
      </c>
      <c r="BF20" s="5">
        <v>131.0</v>
      </c>
      <c r="BG20" s="3"/>
      <c r="BH20" s="3"/>
      <c r="BI20" s="3"/>
      <c r="BJ20" s="3"/>
      <c r="BK20" s="3"/>
      <c r="BL20" s="3"/>
      <c r="BM20" s="5">
        <v>9.0</v>
      </c>
      <c r="BN20" s="5">
        <v>9.0</v>
      </c>
      <c r="BO20" s="5">
        <v>65.0</v>
      </c>
      <c r="BP20" s="5">
        <v>65.0</v>
      </c>
      <c r="BQ20" s="5">
        <v>60.0</v>
      </c>
      <c r="BR20" s="5">
        <v>60.0</v>
      </c>
      <c r="BS20" s="5">
        <v>9.0</v>
      </c>
      <c r="BT20" s="5">
        <v>9.0</v>
      </c>
      <c r="BU20" s="5">
        <v>9.0</v>
      </c>
      <c r="BV20" s="5">
        <v>9.0</v>
      </c>
      <c r="BW20" s="5">
        <v>1206.0</v>
      </c>
      <c r="BX20" s="5">
        <v>1206.0</v>
      </c>
      <c r="BY20" s="5">
        <v>1206.0</v>
      </c>
      <c r="BZ20" s="5">
        <v>1206.0</v>
      </c>
      <c r="CA20" s="5">
        <v>1262.0</v>
      </c>
      <c r="CB20" s="5">
        <v>1262.0</v>
      </c>
      <c r="CC20" s="5">
        <v>1257.0</v>
      </c>
      <c r="CD20" s="5">
        <v>1257.0</v>
      </c>
      <c r="CE20" s="5">
        <v>1206.0</v>
      </c>
      <c r="CF20" s="5">
        <v>1206.0</v>
      </c>
      <c r="CG20" s="5">
        <v>1206.0</v>
      </c>
      <c r="CH20" s="5">
        <v>1206.0</v>
      </c>
      <c r="CI20" s="5">
        <v>1206.0</v>
      </c>
      <c r="CJ20" s="5">
        <v>1206.0</v>
      </c>
      <c r="CK20" s="5">
        <v>1206.0</v>
      </c>
      <c r="CL20" s="5">
        <v>1206.0</v>
      </c>
      <c r="CM20" s="5">
        <v>33.0</v>
      </c>
      <c r="CN20" s="3"/>
      <c r="CO20" s="3"/>
      <c r="CP20" s="4" t="s">
        <v>213</v>
      </c>
    </row>
    <row r="21">
      <c r="A21" s="1" t="s">
        <v>214</v>
      </c>
      <c r="B21" s="2">
        <v>46075.85533564815</v>
      </c>
      <c r="C21" s="1" t="s">
        <v>215</v>
      </c>
      <c r="D21" s="3"/>
      <c r="E21" s="3"/>
      <c r="F21" s="1" t="s">
        <v>216</v>
      </c>
      <c r="H21" s="1" t="s">
        <v>98</v>
      </c>
      <c r="I21" s="1" t="s">
        <v>99</v>
      </c>
      <c r="J21" s="1" t="b">
        <v>0</v>
      </c>
      <c r="K21" s="4" t="s">
        <v>203</v>
      </c>
      <c r="L21" s="1" t="s">
        <v>217</v>
      </c>
      <c r="M21" s="1">
        <v>594863.0</v>
      </c>
      <c r="N21" s="1">
        <v>594863.0</v>
      </c>
      <c r="O21" s="1">
        <v>594863.0</v>
      </c>
      <c r="P21" s="1">
        <v>594863.0</v>
      </c>
      <c r="Q21" s="3"/>
      <c r="R21" s="1" t="s">
        <v>102</v>
      </c>
      <c r="S21" s="3"/>
      <c r="T21" s="3"/>
      <c r="U21" s="1" t="s">
        <v>123</v>
      </c>
      <c r="V21" s="3"/>
      <c r="W21" s="1" t="s">
        <v>104</v>
      </c>
      <c r="X21" s="3"/>
      <c r="Y21" s="1" t="b">
        <v>1</v>
      </c>
      <c r="Z21" s="1" t="b">
        <v>0</v>
      </c>
      <c r="AA21" s="1" t="b">
        <v>0</v>
      </c>
      <c r="AB21" s="1" t="b">
        <v>1</v>
      </c>
      <c r="AC21" s="1" t="b">
        <v>0</v>
      </c>
      <c r="AD21" s="3"/>
      <c r="AE21" s="3"/>
      <c r="AF21" s="3"/>
      <c r="AG21" s="3"/>
      <c r="AH21" s="2">
        <v>46075.854849537034</v>
      </c>
      <c r="AI21" s="2">
        <v>46075.89716435185</v>
      </c>
      <c r="AJ21" s="2">
        <v>46075.854849537034</v>
      </c>
      <c r="AK21" s="2">
        <v>46075.85487268519</v>
      </c>
      <c r="AM21" s="3"/>
      <c r="AN21" s="2">
        <v>46075.855092592596</v>
      </c>
      <c r="AP21" s="3"/>
      <c r="AQ21" s="3"/>
      <c r="AR21" s="2">
        <v>46075.85533564815</v>
      </c>
      <c r="AS21" s="2">
        <v>46075.85533564815</v>
      </c>
      <c r="AU21" s="3"/>
      <c r="AV21" s="2">
        <v>46075.85494212963</v>
      </c>
      <c r="AW21" s="2">
        <v>46075.85533564815</v>
      </c>
      <c r="AY21" s="3"/>
      <c r="AZ21" s="3"/>
      <c r="BA21" s="2">
        <v>46075.85548611111</v>
      </c>
      <c r="BB21" s="2">
        <v>46075.85548611111</v>
      </c>
      <c r="BD21" s="3"/>
      <c r="BE21" s="3"/>
      <c r="BF21" s="3"/>
      <c r="BG21" s="3"/>
      <c r="BH21" s="3"/>
      <c r="BI21" s="3"/>
      <c r="BJ21" s="3"/>
      <c r="BK21" s="3"/>
      <c r="BL21" s="3"/>
      <c r="BM21" s="3"/>
      <c r="BN21" s="3"/>
      <c r="BO21" s="3"/>
      <c r="BP21" s="3"/>
      <c r="BQ21" s="3"/>
      <c r="BR21" s="3"/>
      <c r="BS21" s="3"/>
      <c r="BT21" s="3"/>
      <c r="BU21" s="3"/>
      <c r="BV21" s="3"/>
      <c r="BW21" s="5">
        <v>13.0</v>
      </c>
      <c r="BX21" s="5">
        <v>0.0</v>
      </c>
      <c r="BY21" s="5">
        <v>13.0</v>
      </c>
      <c r="BZ21" s="5">
        <v>0.0</v>
      </c>
      <c r="CA21" s="5">
        <v>53.0</v>
      </c>
      <c r="CB21" s="5">
        <v>0.0</v>
      </c>
      <c r="CC21" s="5">
        <v>46.0</v>
      </c>
      <c r="CD21" s="5">
        <v>0.0</v>
      </c>
      <c r="CE21" s="5">
        <v>13.0</v>
      </c>
      <c r="CF21" s="5">
        <v>0.0</v>
      </c>
      <c r="CG21" s="5">
        <v>13.0</v>
      </c>
      <c r="CH21" s="5">
        <v>0.0</v>
      </c>
      <c r="CI21" s="5">
        <v>13.0</v>
      </c>
      <c r="CJ21" s="5">
        <v>0.0</v>
      </c>
      <c r="CK21" s="5">
        <v>13.0</v>
      </c>
      <c r="CL21" s="5">
        <v>0.0</v>
      </c>
      <c r="CM21" s="5">
        <v>21.0</v>
      </c>
      <c r="CN21" s="3"/>
      <c r="CO21" s="3"/>
      <c r="CP21" s="4" t="s">
        <v>218</v>
      </c>
    </row>
    <row r="22">
      <c r="A22" s="1" t="s">
        <v>219</v>
      </c>
      <c r="B22" s="2">
        <v>46073.786886574075</v>
      </c>
      <c r="C22" s="1" t="s">
        <v>220</v>
      </c>
      <c r="D22" s="3"/>
      <c r="E22" s="3"/>
      <c r="F22" s="1" t="s">
        <v>221</v>
      </c>
      <c r="G22" s="1" t="s">
        <v>222</v>
      </c>
      <c r="H22" s="1" t="s">
        <v>98</v>
      </c>
      <c r="I22" s="1" t="s">
        <v>99</v>
      </c>
      <c r="J22" s="1" t="b">
        <v>0</v>
      </c>
      <c r="K22" s="4" t="s">
        <v>100</v>
      </c>
      <c r="L22" s="1" t="s">
        <v>223</v>
      </c>
      <c r="M22" s="1">
        <v>574085.0</v>
      </c>
      <c r="N22" s="1">
        <v>574085.0</v>
      </c>
      <c r="O22" s="1">
        <v>574085.0</v>
      </c>
      <c r="P22" s="1" t="s">
        <v>122</v>
      </c>
      <c r="Q22" s="1">
        <v>13285.0</v>
      </c>
      <c r="R22" s="1" t="s">
        <v>102</v>
      </c>
      <c r="S22" s="3"/>
      <c r="T22" s="3"/>
      <c r="U22" s="1" t="s">
        <v>123</v>
      </c>
      <c r="V22" s="3"/>
      <c r="W22" s="1" t="s">
        <v>114</v>
      </c>
      <c r="X22" s="3"/>
      <c r="Y22" s="1" t="b">
        <v>1</v>
      </c>
      <c r="Z22" s="1" t="b">
        <v>0</v>
      </c>
      <c r="AA22" s="1" t="b">
        <v>0</v>
      </c>
      <c r="AB22" s="1" t="b">
        <v>1</v>
      </c>
      <c r="AC22" s="1" t="b">
        <v>1</v>
      </c>
      <c r="AD22" s="5">
        <v>1.0</v>
      </c>
      <c r="AE22" s="3"/>
      <c r="AF22" s="3"/>
      <c r="AG22" s="3"/>
      <c r="AH22" s="2">
        <v>46073.78633101852</v>
      </c>
      <c r="AI22" s="2">
        <v>46076.49144675926</v>
      </c>
      <c r="AJ22" s="2">
        <v>46073.78633101852</v>
      </c>
      <c r="AK22" s="2">
        <v>46073.78635416667</v>
      </c>
      <c r="AL22" s="2">
        <v>46073.786886574075</v>
      </c>
      <c r="AM22" s="2">
        <v>46073.786886574075</v>
      </c>
      <c r="AN22" s="2">
        <v>46073.786886574075</v>
      </c>
      <c r="AO22" s="2">
        <v>46073.78689814815</v>
      </c>
      <c r="AQ22" s="2">
        <v>46073.7869212963</v>
      </c>
      <c r="AR22" s="2">
        <v>46073.78689814815</v>
      </c>
      <c r="AS22" s="2">
        <v>46073.7869212963</v>
      </c>
      <c r="AU22" s="3"/>
      <c r="AV22" s="2">
        <v>46073.7869212963</v>
      </c>
      <c r="AW22" s="2">
        <v>46073.7869212963</v>
      </c>
      <c r="AX22" s="2">
        <v>46076.41795138889</v>
      </c>
      <c r="AY22" s="2">
        <v>46076.41795138889</v>
      </c>
      <c r="BA22" s="2">
        <v>46076.44331018518</v>
      </c>
      <c r="BB22" s="2">
        <v>46076.44331018518</v>
      </c>
      <c r="BC22" s="5">
        <v>227323.0</v>
      </c>
      <c r="BD22" s="3"/>
      <c r="BE22" s="5">
        <v>227323.0</v>
      </c>
      <c r="BF22" s="3"/>
      <c r="BG22" s="3"/>
      <c r="BH22" s="3"/>
      <c r="BI22" s="5">
        <v>2.0</v>
      </c>
      <c r="BJ22" s="5">
        <v>0.0</v>
      </c>
      <c r="BK22" s="5">
        <v>2.0</v>
      </c>
      <c r="BL22" s="5">
        <v>0.0</v>
      </c>
      <c r="BM22" s="5">
        <v>227323.0</v>
      </c>
      <c r="BN22" s="5">
        <v>111.0</v>
      </c>
      <c r="BO22" s="5">
        <v>227370.0</v>
      </c>
      <c r="BP22" s="5">
        <v>111.0</v>
      </c>
      <c r="BQ22" s="5">
        <v>227321.0</v>
      </c>
      <c r="BR22" s="5">
        <v>111.0</v>
      </c>
      <c r="BS22" s="5">
        <v>227321.0</v>
      </c>
      <c r="BT22" s="5">
        <v>111.0</v>
      </c>
      <c r="BU22" s="5">
        <v>227323.0</v>
      </c>
      <c r="BV22" s="5">
        <v>111.0</v>
      </c>
      <c r="BW22" s="5">
        <v>229514.0</v>
      </c>
      <c r="BX22" s="5">
        <v>2302.0</v>
      </c>
      <c r="BY22" s="5">
        <v>229514.0</v>
      </c>
      <c r="BZ22" s="5">
        <v>2302.0</v>
      </c>
      <c r="CA22" s="5">
        <v>229560.0</v>
      </c>
      <c r="CB22" s="5">
        <v>2302.0</v>
      </c>
      <c r="CC22" s="5">
        <v>229511.0</v>
      </c>
      <c r="CD22" s="5">
        <v>2302.0</v>
      </c>
      <c r="CE22" s="5">
        <v>229511.0</v>
      </c>
      <c r="CF22" s="5">
        <v>2302.0</v>
      </c>
      <c r="CG22" s="5">
        <v>229514.0</v>
      </c>
      <c r="CH22" s="5">
        <v>2302.0</v>
      </c>
      <c r="CI22" s="5">
        <v>229511.0</v>
      </c>
      <c r="CJ22" s="5">
        <v>2302.0</v>
      </c>
      <c r="CK22" s="5">
        <v>229511.0</v>
      </c>
      <c r="CL22" s="5">
        <v>2302.0</v>
      </c>
      <c r="CM22" s="5">
        <v>48.0</v>
      </c>
      <c r="CN22" s="5">
        <v>0.0</v>
      </c>
      <c r="CO22" s="3"/>
      <c r="CP22" s="4" t="s">
        <v>224</v>
      </c>
      <c r="CQ22" s="5">
        <v>3.0</v>
      </c>
      <c r="CR22" s="3"/>
    </row>
    <row r="23">
      <c r="A23" s="1" t="s">
        <v>225</v>
      </c>
      <c r="B23" s="2">
        <v>46073.75100694445</v>
      </c>
      <c r="C23" s="1" t="s">
        <v>226</v>
      </c>
      <c r="D23" s="3"/>
      <c r="E23" s="3"/>
      <c r="F23" s="1" t="s">
        <v>132</v>
      </c>
      <c r="G23" s="1" t="s">
        <v>227</v>
      </c>
      <c r="H23" s="1" t="s">
        <v>98</v>
      </c>
      <c r="I23" s="1" t="s">
        <v>99</v>
      </c>
      <c r="J23" s="1" t="b">
        <v>0</v>
      </c>
      <c r="K23" s="4" t="s">
        <v>100</v>
      </c>
      <c r="L23" s="1" t="s">
        <v>228</v>
      </c>
      <c r="M23" s="1">
        <v>574085.0</v>
      </c>
      <c r="N23" s="1">
        <v>574085.0</v>
      </c>
      <c r="O23" s="1">
        <v>574085.0</v>
      </c>
      <c r="P23" s="1" t="s">
        <v>229</v>
      </c>
      <c r="Q23" s="1">
        <v>13285.0</v>
      </c>
      <c r="R23" s="1" t="s">
        <v>102</v>
      </c>
      <c r="S23" s="3"/>
      <c r="T23" s="3"/>
      <c r="U23" s="1" t="s">
        <v>123</v>
      </c>
      <c r="V23" s="3"/>
      <c r="W23" s="1" t="s">
        <v>114</v>
      </c>
      <c r="X23" s="3"/>
      <c r="Y23" s="1" t="b">
        <v>1</v>
      </c>
      <c r="Z23" s="1" t="b">
        <v>0</v>
      </c>
      <c r="AA23" s="1" t="b">
        <v>0</v>
      </c>
      <c r="AB23" s="1" t="b">
        <v>1</v>
      </c>
      <c r="AC23" s="1" t="b">
        <v>1</v>
      </c>
      <c r="AD23" s="5">
        <v>2.0</v>
      </c>
      <c r="AE23" s="5">
        <v>1.0</v>
      </c>
      <c r="AF23" s="3"/>
      <c r="AG23" s="3"/>
      <c r="AH23" s="2">
        <v>46073.7502662037</v>
      </c>
      <c r="AI23" s="2">
        <v>46076.6691087963</v>
      </c>
      <c r="AJ23" s="2">
        <v>46073.7502662037</v>
      </c>
      <c r="AK23" s="2">
        <v>46073.750289351854</v>
      </c>
      <c r="AL23" s="2">
        <v>46073.75100694445</v>
      </c>
      <c r="AM23" s="2">
        <v>46073.75100694445</v>
      </c>
      <c r="AN23" s="2">
        <v>46073.75100694445</v>
      </c>
      <c r="AO23" s="2">
        <v>46073.75101851852</v>
      </c>
      <c r="AQ23" s="2">
        <v>46073.75104166667</v>
      </c>
      <c r="AR23" s="2">
        <v>46073.75101851852</v>
      </c>
      <c r="AS23" s="2">
        <v>46076.610081018516</v>
      </c>
      <c r="AU23" s="3"/>
      <c r="AV23" s="2">
        <v>46073.75104166667</v>
      </c>
      <c r="AW23" s="2">
        <v>46073.75104166667</v>
      </c>
      <c r="AX23" s="2">
        <v>46076.41590277778</v>
      </c>
      <c r="AY23" s="2">
        <v>46076.625023148146</v>
      </c>
      <c r="AZ23" s="2">
        <v>46076.443402777775</v>
      </c>
      <c r="BA23" s="2">
        <v>46076.627430555556</v>
      </c>
      <c r="BB23" s="2">
        <v>46076.627430555556</v>
      </c>
      <c r="BC23" s="5">
        <v>231538.0</v>
      </c>
      <c r="BD23" s="5">
        <v>1291.0</v>
      </c>
      <c r="BE23" s="5">
        <v>115769.0</v>
      </c>
      <c r="BF23" s="5">
        <v>1291.0</v>
      </c>
      <c r="BG23" s="5">
        <v>14401.0</v>
      </c>
      <c r="BH23" s="5">
        <v>10801.0</v>
      </c>
      <c r="BI23" s="5">
        <v>2.0</v>
      </c>
      <c r="BJ23" s="5">
        <v>0.0</v>
      </c>
      <c r="BK23" s="5">
        <v>2.0</v>
      </c>
      <c r="BL23" s="5">
        <v>0.0</v>
      </c>
      <c r="BM23" s="5">
        <v>230247.0</v>
      </c>
      <c r="BN23" s="5">
        <v>0.0</v>
      </c>
      <c r="BO23" s="5">
        <v>230309.0</v>
      </c>
      <c r="BP23" s="5">
        <v>0.0</v>
      </c>
      <c r="BQ23" s="5">
        <v>230244.0</v>
      </c>
      <c r="BR23" s="5">
        <v>0.0</v>
      </c>
      <c r="BS23" s="5">
        <v>230244.0</v>
      </c>
      <c r="BT23" s="5">
        <v>0.0</v>
      </c>
      <c r="BU23" s="5">
        <v>230246.0</v>
      </c>
      <c r="BV23" s="5">
        <v>0.0</v>
      </c>
      <c r="BW23" s="5">
        <v>248523.0</v>
      </c>
      <c r="BX23" s="5">
        <v>14610.0</v>
      </c>
      <c r="BY23" s="5">
        <v>248523.0</v>
      </c>
      <c r="BZ23" s="5">
        <v>14610.0</v>
      </c>
      <c r="CA23" s="5">
        <v>248585.0</v>
      </c>
      <c r="CB23" s="5">
        <v>14610.0</v>
      </c>
      <c r="CC23" s="5">
        <v>248520.0</v>
      </c>
      <c r="CD23" s="5">
        <v>14610.0</v>
      </c>
      <c r="CE23" s="5">
        <v>248520.0</v>
      </c>
      <c r="CF23" s="5">
        <v>14610.0</v>
      </c>
      <c r="CG23" s="5">
        <v>248522.0</v>
      </c>
      <c r="CH23" s="5">
        <v>14610.0</v>
      </c>
      <c r="CI23" s="5">
        <v>234119.0</v>
      </c>
      <c r="CJ23" s="5">
        <v>3809.0</v>
      </c>
      <c r="CK23" s="5">
        <v>234119.0</v>
      </c>
      <c r="CL23" s="5">
        <v>3809.0</v>
      </c>
      <c r="CM23" s="5">
        <v>64.0</v>
      </c>
      <c r="CN23" s="5">
        <v>0.0</v>
      </c>
      <c r="CO23" s="3"/>
      <c r="CP23" s="4" t="s">
        <v>230</v>
      </c>
    </row>
    <row r="24">
      <c r="A24" s="1" t="s">
        <v>231</v>
      </c>
      <c r="B24" s="2">
        <v>46073.728993055556</v>
      </c>
      <c r="C24" s="1" t="s">
        <v>232</v>
      </c>
      <c r="D24" s="3"/>
      <c r="E24" s="3"/>
      <c r="F24" s="1" t="s">
        <v>233</v>
      </c>
      <c r="G24" s="1" t="s">
        <v>234</v>
      </c>
      <c r="H24" s="1" t="s">
        <v>98</v>
      </c>
      <c r="I24" s="1" t="s">
        <v>99</v>
      </c>
      <c r="J24" s="1" t="b">
        <v>0</v>
      </c>
      <c r="K24" s="4" t="s">
        <v>100</v>
      </c>
      <c r="L24" s="1" t="s">
        <v>235</v>
      </c>
      <c r="M24" s="1">
        <v>574085.0</v>
      </c>
      <c r="N24" s="1">
        <v>574085.0</v>
      </c>
      <c r="O24" s="1">
        <v>574085.0</v>
      </c>
      <c r="P24" s="1" t="s">
        <v>122</v>
      </c>
      <c r="Q24" s="1">
        <v>13285.0</v>
      </c>
      <c r="R24" s="1" t="s">
        <v>102</v>
      </c>
      <c r="S24" s="3"/>
      <c r="T24" s="3"/>
      <c r="U24" s="1" t="s">
        <v>123</v>
      </c>
      <c r="V24" s="3"/>
      <c r="W24" s="1" t="s">
        <v>114</v>
      </c>
      <c r="X24" s="3"/>
      <c r="Y24" s="1" t="b">
        <v>1</v>
      </c>
      <c r="Z24" s="1" t="b">
        <v>0</v>
      </c>
      <c r="AA24" s="1" t="b">
        <v>0</v>
      </c>
      <c r="AB24" s="1" t="b">
        <v>1</v>
      </c>
      <c r="AC24" s="1" t="b">
        <v>1</v>
      </c>
      <c r="AD24" s="5">
        <v>1.0</v>
      </c>
      <c r="AE24" s="3"/>
      <c r="AF24" s="3"/>
      <c r="AG24" s="3"/>
      <c r="AH24" s="2">
        <v>46073.727800925924</v>
      </c>
      <c r="AI24" s="2">
        <v>46076.48520833333</v>
      </c>
      <c r="AJ24" s="2">
        <v>46073.727800925924</v>
      </c>
      <c r="AK24" s="2">
        <v>46073.72782407407</v>
      </c>
      <c r="AL24" s="2">
        <v>46073.728993055556</v>
      </c>
      <c r="AM24" s="2">
        <v>46073.72900462963</v>
      </c>
      <c r="AN24" s="2">
        <v>46073.72900462963</v>
      </c>
      <c r="AO24" s="2">
        <v>46073.72900462963</v>
      </c>
      <c r="AQ24" s="2">
        <v>46073.7290162037</v>
      </c>
      <c r="AR24" s="2">
        <v>46073.72900462963</v>
      </c>
      <c r="AS24" s="2">
        <v>46073.7290162037</v>
      </c>
      <c r="AU24" s="3"/>
      <c r="AV24" s="2">
        <v>46073.7290162037</v>
      </c>
      <c r="AW24" s="2">
        <v>46073.7290162037</v>
      </c>
      <c r="AX24" s="2">
        <v>46076.41585648148</v>
      </c>
      <c r="AY24" s="2">
        <v>46076.41585648148</v>
      </c>
      <c r="BA24" s="2">
        <v>46076.44353009259</v>
      </c>
      <c r="BB24" s="2">
        <v>46076.44353009259</v>
      </c>
      <c r="BC24" s="5">
        <v>232144.0</v>
      </c>
      <c r="BD24" s="3"/>
      <c r="BE24" s="5">
        <v>232144.0</v>
      </c>
      <c r="BF24" s="3"/>
      <c r="BG24" s="3"/>
      <c r="BH24" s="3"/>
      <c r="BI24" s="5">
        <v>0.0</v>
      </c>
      <c r="BJ24" s="5">
        <v>0.0</v>
      </c>
      <c r="BK24" s="5">
        <v>1.0</v>
      </c>
      <c r="BL24" s="5">
        <v>0.0</v>
      </c>
      <c r="BM24" s="5">
        <v>232144.0</v>
      </c>
      <c r="BN24" s="5">
        <v>0.0</v>
      </c>
      <c r="BO24" s="5">
        <v>232246.0</v>
      </c>
      <c r="BP24" s="5">
        <v>0.0</v>
      </c>
      <c r="BQ24" s="5">
        <v>232143.0</v>
      </c>
      <c r="BR24" s="5">
        <v>0.0</v>
      </c>
      <c r="BS24" s="5">
        <v>232143.0</v>
      </c>
      <c r="BT24" s="5">
        <v>0.0</v>
      </c>
      <c r="BU24" s="5">
        <v>232144.0</v>
      </c>
      <c r="BV24" s="5">
        <v>0.0</v>
      </c>
      <c r="BW24" s="5">
        <v>234535.0</v>
      </c>
      <c r="BX24" s="5">
        <v>2321.0</v>
      </c>
      <c r="BY24" s="5">
        <v>234535.0</v>
      </c>
      <c r="BZ24" s="5">
        <v>2321.0</v>
      </c>
      <c r="CA24" s="5">
        <v>234636.0</v>
      </c>
      <c r="CB24" s="5">
        <v>2321.0</v>
      </c>
      <c r="CC24" s="5">
        <v>234533.0</v>
      </c>
      <c r="CD24" s="5">
        <v>2321.0</v>
      </c>
      <c r="CE24" s="5">
        <v>234533.0</v>
      </c>
      <c r="CF24" s="5">
        <v>2321.0</v>
      </c>
      <c r="CG24" s="5">
        <v>234534.0</v>
      </c>
      <c r="CH24" s="5">
        <v>2321.0</v>
      </c>
      <c r="CI24" s="5">
        <v>234533.0</v>
      </c>
      <c r="CJ24" s="5">
        <v>2321.0</v>
      </c>
      <c r="CK24" s="5">
        <v>234533.0</v>
      </c>
      <c r="CL24" s="5">
        <v>2321.0</v>
      </c>
      <c r="CM24" s="5">
        <v>103.0</v>
      </c>
      <c r="CN24" s="5">
        <v>0.0</v>
      </c>
      <c r="CO24" s="3"/>
      <c r="CP24" s="4" t="s">
        <v>236</v>
      </c>
    </row>
    <row r="25">
      <c r="A25" s="1" t="s">
        <v>237</v>
      </c>
      <c r="B25" s="2">
        <v>46073.726851851854</v>
      </c>
      <c r="C25" s="1" t="s">
        <v>238</v>
      </c>
      <c r="D25" s="3"/>
      <c r="E25" s="3"/>
      <c r="F25" s="1" t="s">
        <v>239</v>
      </c>
      <c r="G25" s="1" t="s">
        <v>240</v>
      </c>
      <c r="H25" s="1" t="s">
        <v>98</v>
      </c>
      <c r="I25" s="1" t="s">
        <v>99</v>
      </c>
      <c r="J25" s="1" t="b">
        <v>0</v>
      </c>
      <c r="K25" s="4" t="s">
        <v>100</v>
      </c>
      <c r="L25" s="1" t="s">
        <v>241</v>
      </c>
      <c r="M25" s="1">
        <v>574085.0</v>
      </c>
      <c r="N25" s="1">
        <v>574085.0</v>
      </c>
      <c r="O25" s="1">
        <v>574085.0</v>
      </c>
      <c r="P25" s="1" t="s">
        <v>122</v>
      </c>
      <c r="Q25" s="1">
        <v>13285.0</v>
      </c>
      <c r="R25" s="1" t="s">
        <v>102</v>
      </c>
      <c r="S25" s="3"/>
      <c r="T25" s="3"/>
      <c r="U25" s="1" t="s">
        <v>123</v>
      </c>
      <c r="V25" s="3"/>
      <c r="W25" s="1" t="s">
        <v>114</v>
      </c>
      <c r="X25" s="3"/>
      <c r="Y25" s="1" t="b">
        <v>1</v>
      </c>
      <c r="Z25" s="1" t="b">
        <v>0</v>
      </c>
      <c r="AA25" s="1" t="b">
        <v>0</v>
      </c>
      <c r="AB25" s="1" t="b">
        <v>1</v>
      </c>
      <c r="AC25" s="1" t="b">
        <v>1</v>
      </c>
      <c r="AD25" s="5">
        <v>1.0</v>
      </c>
      <c r="AE25" s="3"/>
      <c r="AF25" s="3"/>
      <c r="AG25" s="3"/>
      <c r="AH25" s="2">
        <v>46073.72513888889</v>
      </c>
      <c r="AI25" s="2">
        <v>46076.524097222224</v>
      </c>
      <c r="AJ25" s="2">
        <v>46073.72513888889</v>
      </c>
      <c r="AK25" s="2">
        <v>46073.72516203704</v>
      </c>
      <c r="AL25" s="2">
        <v>46073.726851851854</v>
      </c>
      <c r="AM25" s="2">
        <v>46073.726851851854</v>
      </c>
      <c r="AN25" s="2">
        <v>46073.726851851854</v>
      </c>
      <c r="AO25" s="2">
        <v>46073.72703703704</v>
      </c>
      <c r="AQ25" s="2">
        <v>46073.72704861111</v>
      </c>
      <c r="AR25" s="2">
        <v>46073.72703703704</v>
      </c>
      <c r="AS25" s="2">
        <v>46073.72704861111</v>
      </c>
      <c r="AU25" s="3"/>
      <c r="AV25" s="2">
        <v>46073.72704861111</v>
      </c>
      <c r="AW25" s="2">
        <v>46073.72704861111</v>
      </c>
      <c r="AX25" s="2">
        <v>46076.41577546296</v>
      </c>
      <c r="AY25" s="2">
        <v>46076.41577546296</v>
      </c>
      <c r="BA25" s="2">
        <v>46076.48241898148</v>
      </c>
      <c r="BB25" s="2">
        <v>46076.48241898148</v>
      </c>
      <c r="BC25" s="5">
        <v>232307.0</v>
      </c>
      <c r="BD25" s="3"/>
      <c r="BE25" s="5">
        <v>232307.0</v>
      </c>
      <c r="BF25" s="3"/>
      <c r="BG25" s="3"/>
      <c r="BH25" s="3"/>
      <c r="BI25" s="5">
        <v>1.0</v>
      </c>
      <c r="BJ25" s="5">
        <v>0.0</v>
      </c>
      <c r="BK25" s="5">
        <v>16.0</v>
      </c>
      <c r="BL25" s="5">
        <v>0.0</v>
      </c>
      <c r="BM25" s="5">
        <v>232322.0</v>
      </c>
      <c r="BN25" s="5">
        <v>0.0</v>
      </c>
      <c r="BO25" s="5">
        <v>232468.0</v>
      </c>
      <c r="BP25" s="5">
        <v>0.0</v>
      </c>
      <c r="BQ25" s="5">
        <v>232305.0</v>
      </c>
      <c r="BR25" s="5">
        <v>0.0</v>
      </c>
      <c r="BS25" s="5">
        <v>232305.0</v>
      </c>
      <c r="BT25" s="5">
        <v>0.0</v>
      </c>
      <c r="BU25" s="5">
        <v>232307.0</v>
      </c>
      <c r="BV25" s="5">
        <v>0.0</v>
      </c>
      <c r="BW25" s="5">
        <v>238081.0</v>
      </c>
      <c r="BX25" s="5">
        <v>5681.0</v>
      </c>
      <c r="BY25" s="5">
        <v>238081.0</v>
      </c>
      <c r="BZ25" s="5">
        <v>5681.0</v>
      </c>
      <c r="CA25" s="5">
        <v>238226.0</v>
      </c>
      <c r="CB25" s="5">
        <v>5681.0</v>
      </c>
      <c r="CC25" s="5">
        <v>238064.0</v>
      </c>
      <c r="CD25" s="5">
        <v>5681.0</v>
      </c>
      <c r="CE25" s="5">
        <v>238064.0</v>
      </c>
      <c r="CF25" s="5">
        <v>5681.0</v>
      </c>
      <c r="CG25" s="5">
        <v>238065.0</v>
      </c>
      <c r="CH25" s="5">
        <v>5681.0</v>
      </c>
      <c r="CI25" s="5">
        <v>238064.0</v>
      </c>
      <c r="CJ25" s="5">
        <v>5681.0</v>
      </c>
      <c r="CK25" s="5">
        <v>238064.0</v>
      </c>
      <c r="CL25" s="5">
        <v>5681.0</v>
      </c>
      <c r="CM25" s="5">
        <v>147.0</v>
      </c>
      <c r="CN25" s="5">
        <v>0.0</v>
      </c>
      <c r="CO25" s="3"/>
      <c r="CP25" s="4" t="s">
        <v>242</v>
      </c>
      <c r="CQ25" s="5">
        <v>5.0</v>
      </c>
      <c r="CR25" s="3"/>
    </row>
    <row r="26">
      <c r="A26" s="1" t="s">
        <v>243</v>
      </c>
      <c r="B26" s="2">
        <v>46073.724814814814</v>
      </c>
      <c r="C26" s="1" t="s">
        <v>244</v>
      </c>
      <c r="D26" s="3"/>
      <c r="E26" s="3"/>
      <c r="F26" s="3"/>
      <c r="G26" s="1" t="s">
        <v>227</v>
      </c>
      <c r="H26" s="1" t="s">
        <v>98</v>
      </c>
      <c r="I26" s="1" t="s">
        <v>99</v>
      </c>
      <c r="J26" s="1" t="b">
        <v>0</v>
      </c>
      <c r="K26" s="4" t="s">
        <v>100</v>
      </c>
      <c r="L26" s="1" t="s">
        <v>245</v>
      </c>
      <c r="M26" s="1">
        <v>607950.0</v>
      </c>
      <c r="N26" s="1">
        <v>574085.0</v>
      </c>
      <c r="O26" s="3"/>
      <c r="P26" s="1" t="s">
        <v>122</v>
      </c>
      <c r="Q26" s="1">
        <v>13285.0</v>
      </c>
      <c r="R26" s="1" t="s">
        <v>102</v>
      </c>
      <c r="S26" s="3"/>
      <c r="T26" s="3"/>
      <c r="U26" s="1" t="s">
        <v>103</v>
      </c>
      <c r="V26" s="3"/>
      <c r="W26" s="1" t="s">
        <v>114</v>
      </c>
      <c r="X26" s="3"/>
      <c r="Y26" s="1" t="b">
        <v>1</v>
      </c>
      <c r="Z26" s="1" t="b">
        <v>0</v>
      </c>
      <c r="AA26" s="1" t="b">
        <v>1</v>
      </c>
      <c r="AB26" s="1" t="b">
        <v>1</v>
      </c>
      <c r="AC26" s="1" t="b">
        <v>1</v>
      </c>
      <c r="AD26" s="5">
        <v>2.0</v>
      </c>
      <c r="AE26" s="5">
        <v>1.0</v>
      </c>
      <c r="AF26" s="3"/>
      <c r="AG26" s="5">
        <v>1.0</v>
      </c>
      <c r="AH26" s="2">
        <v>46073.72416666667</v>
      </c>
      <c r="AI26" s="2">
        <v>46076.69636574074</v>
      </c>
      <c r="AJ26" s="2">
        <v>46073.72416666667</v>
      </c>
      <c r="AK26" s="2">
        <v>46073.72420138889</v>
      </c>
      <c r="AL26" s="2">
        <v>46073.724814814814</v>
      </c>
      <c r="AM26" s="2">
        <v>46073.724814814814</v>
      </c>
      <c r="AN26" s="2">
        <v>46073.724814814814</v>
      </c>
      <c r="AO26" s="2">
        <v>46073.72482638889</v>
      </c>
      <c r="AP26" s="2">
        <v>46073.72482638889</v>
      </c>
      <c r="AQ26" s="2">
        <v>46073.72483796296</v>
      </c>
      <c r="AR26" s="2">
        <v>46073.72482638889</v>
      </c>
      <c r="AS26" s="2">
        <v>46073.72483796296</v>
      </c>
      <c r="AU26" s="3"/>
      <c r="AV26" s="2">
        <v>46073.72483796296</v>
      </c>
      <c r="AW26" s="2">
        <v>46073.72483796296</v>
      </c>
      <c r="AX26" s="2">
        <v>46076.41574074074</v>
      </c>
      <c r="AY26" s="2">
        <v>46076.42554398148</v>
      </c>
      <c r="BA26" s="3"/>
      <c r="BB26" s="3"/>
      <c r="BC26" s="5">
        <v>232915.0</v>
      </c>
      <c r="BD26" s="5">
        <v>420.0</v>
      </c>
      <c r="BE26" s="5">
        <v>116457.0</v>
      </c>
      <c r="BF26" s="5">
        <v>420.0</v>
      </c>
      <c r="BG26" s="3"/>
      <c r="BH26" s="3"/>
      <c r="BI26" s="5">
        <v>1.0</v>
      </c>
      <c r="BJ26" s="5">
        <v>0.0</v>
      </c>
      <c r="BK26" s="5">
        <v>1.0</v>
      </c>
      <c r="BL26" s="5">
        <v>0.0</v>
      </c>
      <c r="BM26" s="5">
        <v>232495.0</v>
      </c>
      <c r="BN26" s="5">
        <v>0.0</v>
      </c>
      <c r="BO26" s="5">
        <v>232548.0</v>
      </c>
      <c r="BP26" s="5">
        <v>0.0</v>
      </c>
      <c r="BQ26" s="5">
        <v>232494.0</v>
      </c>
      <c r="BR26" s="5">
        <v>0.0</v>
      </c>
      <c r="BS26" s="5">
        <v>232494.0</v>
      </c>
      <c r="BT26" s="5">
        <v>0.0</v>
      </c>
      <c r="BU26" s="5">
        <v>232495.0</v>
      </c>
      <c r="BV26" s="5">
        <v>0.0</v>
      </c>
      <c r="BW26" s="3"/>
      <c r="BX26" s="3"/>
      <c r="BY26" s="3"/>
      <c r="BZ26" s="3"/>
      <c r="CA26" s="3"/>
      <c r="CB26" s="3"/>
      <c r="CC26" s="3"/>
      <c r="CD26" s="3"/>
      <c r="CE26" s="3"/>
      <c r="CF26" s="3"/>
      <c r="CG26" s="3"/>
      <c r="CH26" s="3"/>
      <c r="CI26" s="3"/>
      <c r="CJ26" s="3"/>
      <c r="CK26" s="3"/>
      <c r="CL26" s="3"/>
      <c r="CM26" s="5">
        <v>56.0</v>
      </c>
      <c r="CN26" s="5">
        <v>0.0</v>
      </c>
      <c r="CO26" s="3"/>
      <c r="CP26" s="4" t="s">
        <v>246</v>
      </c>
    </row>
    <row r="27">
      <c r="A27" s="1" t="s">
        <v>247</v>
      </c>
      <c r="B27" s="2">
        <v>46073.724178240744</v>
      </c>
      <c r="C27" s="1" t="s">
        <v>248</v>
      </c>
      <c r="D27" s="3"/>
      <c r="E27" s="3"/>
      <c r="F27" s="1" t="s">
        <v>249</v>
      </c>
      <c r="H27" s="1" t="s">
        <v>98</v>
      </c>
      <c r="I27" s="1" t="s">
        <v>99</v>
      </c>
      <c r="J27" s="1" t="b">
        <v>0</v>
      </c>
      <c r="K27" s="4" t="s">
        <v>100</v>
      </c>
      <c r="L27" s="1" t="s">
        <v>250</v>
      </c>
      <c r="M27" s="1">
        <v>574085.0</v>
      </c>
      <c r="N27" s="1">
        <v>574085.0</v>
      </c>
      <c r="O27" s="1">
        <v>574085.0</v>
      </c>
      <c r="P27" s="1">
        <v>574085.0</v>
      </c>
      <c r="Q27" s="1">
        <v>13285.0</v>
      </c>
      <c r="R27" s="1" t="s">
        <v>102</v>
      </c>
      <c r="S27" s="3"/>
      <c r="T27" s="3"/>
      <c r="U27" s="1" t="s">
        <v>123</v>
      </c>
      <c r="V27" s="3"/>
      <c r="W27" s="1" t="s">
        <v>104</v>
      </c>
      <c r="X27" s="3"/>
      <c r="Y27" s="1" t="b">
        <v>1</v>
      </c>
      <c r="Z27" s="1" t="b">
        <v>0</v>
      </c>
      <c r="AA27" s="1" t="b">
        <v>0</v>
      </c>
      <c r="AB27" s="1" t="b">
        <v>1</v>
      </c>
      <c r="AC27" s="1" t="b">
        <v>1</v>
      </c>
      <c r="AD27" s="3"/>
      <c r="AE27" s="3"/>
      <c r="AF27" s="3"/>
      <c r="AG27" s="3"/>
      <c r="AH27" s="2">
        <v>46073.72372685185</v>
      </c>
      <c r="AI27" s="2">
        <v>46073.80804398148</v>
      </c>
      <c r="AJ27" s="2">
        <v>46073.72372685185</v>
      </c>
      <c r="AK27" s="2">
        <v>46073.72375</v>
      </c>
      <c r="AL27" s="2">
        <v>46073.724178240744</v>
      </c>
      <c r="AM27" s="2">
        <v>46073.72418981481</v>
      </c>
      <c r="AN27" s="2">
        <v>46073.72418981481</v>
      </c>
      <c r="AO27" s="2">
        <v>46073.72418981481</v>
      </c>
      <c r="AQ27" s="2">
        <v>46073.72420138889</v>
      </c>
      <c r="AR27" s="2">
        <v>46073.72418981481</v>
      </c>
      <c r="AS27" s="2">
        <v>46073.72420138889</v>
      </c>
      <c r="AU27" s="3"/>
      <c r="AV27" s="2">
        <v>46073.72420138889</v>
      </c>
      <c r="AW27" s="2">
        <v>46073.72420138889</v>
      </c>
      <c r="AY27" s="3"/>
      <c r="AZ27" s="3"/>
      <c r="BA27" s="2">
        <v>46073.76636574074</v>
      </c>
      <c r="BB27" s="2">
        <v>46073.76636574074</v>
      </c>
      <c r="BD27" s="3"/>
      <c r="BE27" s="3"/>
      <c r="BF27" s="3"/>
      <c r="BG27" s="3"/>
      <c r="BH27" s="3"/>
      <c r="BI27" s="5">
        <v>1.0</v>
      </c>
      <c r="BJ27" s="5">
        <v>0.0</v>
      </c>
      <c r="BK27" s="5">
        <v>1.0</v>
      </c>
      <c r="BL27" s="5">
        <v>0.0</v>
      </c>
      <c r="BM27" s="3"/>
      <c r="BN27" s="3"/>
      <c r="BO27" s="3"/>
      <c r="BP27" s="3"/>
      <c r="BQ27" s="3"/>
      <c r="BR27" s="3"/>
      <c r="BS27" s="3"/>
      <c r="BT27" s="3"/>
      <c r="BU27" s="3"/>
      <c r="BV27" s="3"/>
      <c r="BW27" s="5">
        <v>3644.0</v>
      </c>
      <c r="BX27" s="5">
        <v>0.0</v>
      </c>
      <c r="BY27" s="5">
        <v>3644.0</v>
      </c>
      <c r="BZ27" s="5">
        <v>0.0</v>
      </c>
      <c r="CA27" s="5">
        <v>3681.0</v>
      </c>
      <c r="CB27" s="5">
        <v>0.0</v>
      </c>
      <c r="CC27" s="5">
        <v>3643.0</v>
      </c>
      <c r="CD27" s="5">
        <v>0.0</v>
      </c>
      <c r="CE27" s="5">
        <v>3642.0</v>
      </c>
      <c r="CF27" s="5">
        <v>0.0</v>
      </c>
      <c r="CG27" s="5">
        <v>3644.0</v>
      </c>
      <c r="CH27" s="5">
        <v>0.0</v>
      </c>
      <c r="CI27" s="5">
        <v>3642.0</v>
      </c>
      <c r="CJ27" s="5">
        <v>0.0</v>
      </c>
      <c r="CK27" s="5">
        <v>3642.0</v>
      </c>
      <c r="CL27" s="5">
        <v>0.0</v>
      </c>
      <c r="CM27" s="5">
        <v>39.0</v>
      </c>
      <c r="CN27" s="5">
        <v>0.0</v>
      </c>
      <c r="CO27" s="3"/>
      <c r="CP27" s="4" t="s">
        <v>251</v>
      </c>
    </row>
    <row r="28">
      <c r="A28" s="1" t="s">
        <v>252</v>
      </c>
      <c r="B28" s="2">
        <v>46073.644421296296</v>
      </c>
      <c r="C28" s="1" t="s">
        <v>253</v>
      </c>
      <c r="D28" s="3"/>
      <c r="E28" s="3"/>
      <c r="F28" s="1" t="s">
        <v>254</v>
      </c>
      <c r="H28" s="1" t="s">
        <v>98</v>
      </c>
      <c r="I28" s="1" t="s">
        <v>99</v>
      </c>
      <c r="J28" s="1" t="b">
        <v>0</v>
      </c>
      <c r="K28" s="4" t="s">
        <v>100</v>
      </c>
      <c r="L28" s="1" t="s">
        <v>255</v>
      </c>
      <c r="M28" s="1">
        <v>574085.0</v>
      </c>
      <c r="N28" s="1">
        <v>574085.0</v>
      </c>
      <c r="O28" s="1">
        <v>574085.0</v>
      </c>
      <c r="P28" s="1">
        <v>574085.0</v>
      </c>
      <c r="Q28" s="1">
        <v>13285.0</v>
      </c>
      <c r="R28" s="1" t="s">
        <v>102</v>
      </c>
      <c r="S28" s="3"/>
      <c r="T28" s="3"/>
      <c r="U28" s="1" t="s">
        <v>123</v>
      </c>
      <c r="V28" s="3"/>
      <c r="W28" s="1" t="s">
        <v>104</v>
      </c>
      <c r="X28" s="3"/>
      <c r="Y28" s="1" t="b">
        <v>1</v>
      </c>
      <c r="Z28" s="1" t="b">
        <v>0</v>
      </c>
      <c r="AA28" s="1" t="b">
        <v>0</v>
      </c>
      <c r="AB28" s="1" t="b">
        <v>1</v>
      </c>
      <c r="AC28" s="1" t="b">
        <v>1</v>
      </c>
      <c r="AD28" s="3"/>
      <c r="AE28" s="3"/>
      <c r="AF28" s="3"/>
      <c r="AG28" s="3"/>
      <c r="AH28" s="2">
        <v>46073.64387731482</v>
      </c>
      <c r="AI28" s="2">
        <v>46073.68628472222</v>
      </c>
      <c r="AJ28" s="2">
        <v>46073.64387731482</v>
      </c>
      <c r="AK28" s="2">
        <v>46073.643900462965</v>
      </c>
      <c r="AL28" s="2">
        <v>46073.644421296296</v>
      </c>
      <c r="AM28" s="2">
        <v>46073.644421296296</v>
      </c>
      <c r="AN28" s="2">
        <v>46073.644421296296</v>
      </c>
      <c r="AO28" s="2">
        <v>46073.644421296296</v>
      </c>
      <c r="AQ28" s="2">
        <v>46073.64443287037</v>
      </c>
      <c r="AR28" s="2">
        <v>46073.644421296296</v>
      </c>
      <c r="AS28" s="2">
        <v>46073.64443287037</v>
      </c>
      <c r="AU28" s="3"/>
      <c r="AV28" s="2">
        <v>46073.64443287037</v>
      </c>
      <c r="AW28" s="2">
        <v>46073.64443287037</v>
      </c>
      <c r="AY28" s="3"/>
      <c r="AZ28" s="3"/>
      <c r="BA28" s="2">
        <v>46073.64460648148</v>
      </c>
      <c r="BB28" s="2">
        <v>46073.64460648148</v>
      </c>
      <c r="BD28" s="3"/>
      <c r="BE28" s="3"/>
      <c r="BF28" s="3"/>
      <c r="BG28" s="3"/>
      <c r="BH28" s="3"/>
      <c r="BI28" s="5">
        <v>0.0</v>
      </c>
      <c r="BJ28" s="5">
        <v>0.0</v>
      </c>
      <c r="BK28" s="5">
        <v>0.0</v>
      </c>
      <c r="BL28" s="5">
        <v>0.0</v>
      </c>
      <c r="BM28" s="3"/>
      <c r="BN28" s="3"/>
      <c r="BO28" s="3"/>
      <c r="BP28" s="3"/>
      <c r="BQ28" s="3"/>
      <c r="BR28" s="3"/>
      <c r="BS28" s="3"/>
      <c r="BT28" s="3"/>
      <c r="BU28" s="3"/>
      <c r="BV28" s="3"/>
      <c r="BW28" s="5">
        <v>16.0</v>
      </c>
      <c r="BX28" s="5">
        <v>16.0</v>
      </c>
      <c r="BY28" s="5">
        <v>16.0</v>
      </c>
      <c r="BZ28" s="5">
        <v>16.0</v>
      </c>
      <c r="CA28" s="5">
        <v>60.0</v>
      </c>
      <c r="CB28" s="5">
        <v>60.0</v>
      </c>
      <c r="CC28" s="5">
        <v>15.0</v>
      </c>
      <c r="CD28" s="5">
        <v>15.0</v>
      </c>
      <c r="CE28" s="5">
        <v>15.0</v>
      </c>
      <c r="CF28" s="5">
        <v>15.0</v>
      </c>
      <c r="CG28" s="5">
        <v>15.0</v>
      </c>
      <c r="CH28" s="5">
        <v>15.0</v>
      </c>
      <c r="CI28" s="5">
        <v>15.0</v>
      </c>
      <c r="CJ28" s="5">
        <v>15.0</v>
      </c>
      <c r="CK28" s="5">
        <v>15.0</v>
      </c>
      <c r="CL28" s="5">
        <v>15.0</v>
      </c>
      <c r="CM28" s="5">
        <v>46.0</v>
      </c>
      <c r="CN28" s="5">
        <v>0.0</v>
      </c>
      <c r="CO28" s="3"/>
      <c r="CP28" s="4" t="s">
        <v>256</v>
      </c>
    </row>
    <row r="29">
      <c r="A29" s="1" t="s">
        <v>257</v>
      </c>
      <c r="B29" s="2">
        <v>46073.62006944444</v>
      </c>
      <c r="C29" s="1" t="s">
        <v>258</v>
      </c>
      <c r="D29" s="3"/>
      <c r="E29" s="3"/>
      <c r="F29" s="1" t="s">
        <v>259</v>
      </c>
      <c r="G29" s="1" t="s">
        <v>260</v>
      </c>
      <c r="H29" s="1" t="s">
        <v>98</v>
      </c>
      <c r="I29" s="1" t="s">
        <v>99</v>
      </c>
      <c r="J29" s="1" t="b">
        <v>0</v>
      </c>
      <c r="K29" s="4" t="s">
        <v>100</v>
      </c>
      <c r="L29" s="1" t="s">
        <v>261</v>
      </c>
      <c r="M29" s="1">
        <v>574085.0</v>
      </c>
      <c r="N29" s="1">
        <v>574085.0</v>
      </c>
      <c r="O29" s="1">
        <v>574085.0</v>
      </c>
      <c r="P29" s="1" t="s">
        <v>122</v>
      </c>
      <c r="Q29" s="1">
        <v>13285.0</v>
      </c>
      <c r="R29" s="1" t="s">
        <v>102</v>
      </c>
      <c r="S29" s="3"/>
      <c r="T29" s="3"/>
      <c r="U29" s="1" t="s">
        <v>123</v>
      </c>
      <c r="V29" s="3"/>
      <c r="W29" s="1" t="s">
        <v>114</v>
      </c>
      <c r="X29" s="3"/>
      <c r="Y29" s="1" t="b">
        <v>1</v>
      </c>
      <c r="Z29" s="1" t="b">
        <v>0</v>
      </c>
      <c r="AA29" s="1" t="b">
        <v>0</v>
      </c>
      <c r="AB29" s="1" t="b">
        <v>1</v>
      </c>
      <c r="AC29" s="1" t="b">
        <v>0</v>
      </c>
      <c r="AD29" s="5">
        <v>4.0</v>
      </c>
      <c r="AE29" s="5">
        <v>4.0</v>
      </c>
      <c r="AF29" s="3"/>
      <c r="AG29" s="3"/>
      <c r="AH29" s="2">
        <v>46073.619155092594</v>
      </c>
      <c r="AI29" s="2">
        <v>46073.6980787037</v>
      </c>
      <c r="AJ29" s="2">
        <v>46073.619155092594</v>
      </c>
      <c r="AK29" s="2">
        <v>46073.61917824074</v>
      </c>
      <c r="AM29" s="3"/>
      <c r="AN29" s="2">
        <v>46073.61956018519</v>
      </c>
      <c r="AO29" s="2">
        <v>46073.62006944444</v>
      </c>
      <c r="AQ29" s="2">
        <v>46073.62008101852</v>
      </c>
      <c r="AR29" s="2">
        <v>46073.62006944444</v>
      </c>
      <c r="AS29" s="2">
        <v>46073.62008101852</v>
      </c>
      <c r="AU29" s="3"/>
      <c r="AV29" s="2">
        <v>46073.62008101852</v>
      </c>
      <c r="AW29" s="2">
        <v>46073.62008101852</v>
      </c>
      <c r="AX29" s="2">
        <v>46073.62652777778</v>
      </c>
      <c r="AY29" s="2">
        <v>46073.656377314815</v>
      </c>
      <c r="BA29" s="2">
        <v>46073.65640046296</v>
      </c>
      <c r="BB29" s="2">
        <v>46073.65640046296</v>
      </c>
      <c r="BC29" s="5">
        <v>1027.0</v>
      </c>
      <c r="BD29" s="5">
        <v>1027.0</v>
      </c>
      <c r="BE29" s="5">
        <v>256.0</v>
      </c>
      <c r="BF29" s="5">
        <v>256.0</v>
      </c>
      <c r="BG29" s="3"/>
      <c r="BH29" s="3"/>
      <c r="BI29" s="5">
        <v>0.0</v>
      </c>
      <c r="BJ29" s="5">
        <v>0.0</v>
      </c>
      <c r="BK29" s="5">
        <v>0.0</v>
      </c>
      <c r="BL29" s="5">
        <v>0.0</v>
      </c>
      <c r="BM29" s="5">
        <v>558.0</v>
      </c>
      <c r="BN29" s="5">
        <v>558.0</v>
      </c>
      <c r="BO29" s="5">
        <v>635.0</v>
      </c>
      <c r="BP29" s="5">
        <v>635.0</v>
      </c>
      <c r="BQ29" s="5">
        <v>557.0</v>
      </c>
      <c r="BR29" s="5">
        <v>557.0</v>
      </c>
      <c r="BS29" s="5">
        <v>557.0</v>
      </c>
      <c r="BT29" s="5">
        <v>557.0</v>
      </c>
      <c r="BU29" s="5">
        <v>558.0</v>
      </c>
      <c r="BV29" s="5">
        <v>558.0</v>
      </c>
      <c r="BW29" s="5">
        <v>3139.0</v>
      </c>
      <c r="BX29" s="5">
        <v>3139.0</v>
      </c>
      <c r="BY29" s="5">
        <v>3139.0</v>
      </c>
      <c r="BZ29" s="5">
        <v>3139.0</v>
      </c>
      <c r="CA29" s="5">
        <v>3216.0</v>
      </c>
      <c r="CB29" s="5">
        <v>3216.0</v>
      </c>
      <c r="CC29" s="5">
        <v>3138.0</v>
      </c>
      <c r="CD29" s="5">
        <v>3138.0</v>
      </c>
      <c r="CE29" s="5">
        <v>3138.0</v>
      </c>
      <c r="CF29" s="5">
        <v>3138.0</v>
      </c>
      <c r="CG29" s="5">
        <v>3139.0</v>
      </c>
      <c r="CH29" s="5">
        <v>3139.0</v>
      </c>
      <c r="CI29" s="5">
        <v>3138.0</v>
      </c>
      <c r="CJ29" s="5">
        <v>3138.0</v>
      </c>
      <c r="CK29" s="5">
        <v>3138.0</v>
      </c>
      <c r="CL29" s="5">
        <v>3138.0</v>
      </c>
      <c r="CM29" s="5">
        <v>35.0</v>
      </c>
      <c r="CN29" s="3"/>
      <c r="CO29" s="3"/>
      <c r="CP29" s="4" t="s">
        <v>262</v>
      </c>
    </row>
    <row r="30">
      <c r="A30" s="1" t="s">
        <v>263</v>
      </c>
      <c r="B30" s="2">
        <v>46073.58861111111</v>
      </c>
      <c r="C30" s="1" t="s">
        <v>264</v>
      </c>
      <c r="D30" s="3"/>
      <c r="E30" s="3"/>
      <c r="F30" s="1" t="s">
        <v>265</v>
      </c>
      <c r="G30" s="1" t="s">
        <v>112</v>
      </c>
      <c r="H30" s="1" t="s">
        <v>98</v>
      </c>
      <c r="I30" s="1" t="s">
        <v>99</v>
      </c>
      <c r="J30" s="1" t="b">
        <v>0</v>
      </c>
      <c r="K30" s="4" t="s">
        <v>100</v>
      </c>
      <c r="L30" s="1" t="s">
        <v>266</v>
      </c>
      <c r="M30" s="1">
        <v>574085.0</v>
      </c>
      <c r="N30" s="1">
        <v>574085.0</v>
      </c>
      <c r="O30" s="1">
        <v>574085.0</v>
      </c>
      <c r="P30" s="1" t="s">
        <v>122</v>
      </c>
      <c r="Q30" s="1">
        <v>13285.0</v>
      </c>
      <c r="R30" s="1" t="s">
        <v>102</v>
      </c>
      <c r="S30" s="3"/>
      <c r="T30" s="3"/>
      <c r="U30" s="1" t="s">
        <v>123</v>
      </c>
      <c r="V30" s="3"/>
      <c r="W30" s="1" t="s">
        <v>114</v>
      </c>
      <c r="X30" s="3"/>
      <c r="Y30" s="1" t="b">
        <v>1</v>
      </c>
      <c r="Z30" s="1" t="b">
        <v>1</v>
      </c>
      <c r="AA30" s="1" t="b">
        <v>0</v>
      </c>
      <c r="AB30" s="1" t="b">
        <v>1</v>
      </c>
      <c r="AC30" s="1" t="b">
        <v>0</v>
      </c>
      <c r="AD30" s="5">
        <v>6.0</v>
      </c>
      <c r="AE30" s="5">
        <v>5.0</v>
      </c>
      <c r="AF30" s="5">
        <v>1.0</v>
      </c>
      <c r="AG30" s="3"/>
      <c r="AH30" s="2">
        <v>46073.587372685186</v>
      </c>
      <c r="AI30" s="2">
        <v>46076.481412037036</v>
      </c>
      <c r="AJ30" s="2">
        <v>46073.587372685186</v>
      </c>
      <c r="AK30" s="2">
        <v>46073.58739583333</v>
      </c>
      <c r="AM30" s="3"/>
      <c r="AN30" s="2">
        <v>46073.58782407407</v>
      </c>
      <c r="AO30" s="2">
        <v>46073.58861111111</v>
      </c>
      <c r="AQ30" s="2">
        <v>46073.58862268519</v>
      </c>
      <c r="AR30" s="2">
        <v>46073.58861111111</v>
      </c>
      <c r="AS30" s="2">
        <v>46076.43722222222</v>
      </c>
      <c r="AU30" s="3"/>
      <c r="AV30" s="2">
        <v>46073.58862268519</v>
      </c>
      <c r="AW30" s="2">
        <v>46073.58862268519</v>
      </c>
      <c r="AX30" s="2">
        <v>46073.60716435185</v>
      </c>
      <c r="AY30" s="2">
        <v>46076.43969907407</v>
      </c>
      <c r="AZ30" s="2">
        <v>46075.74618055556</v>
      </c>
      <c r="BA30" s="2">
        <v>46076.414247685185</v>
      </c>
      <c r="BB30" s="2">
        <v>46076.439733796295</v>
      </c>
      <c r="BC30" s="5">
        <v>8377.0</v>
      </c>
      <c r="BD30" s="5">
        <v>3079.0</v>
      </c>
      <c r="BE30" s="5">
        <v>1396.0</v>
      </c>
      <c r="BF30" s="5">
        <v>615.0</v>
      </c>
      <c r="BG30" s="5">
        <v>68808.0</v>
      </c>
      <c r="BH30" s="5">
        <v>2.0</v>
      </c>
      <c r="BI30" s="5">
        <v>1.0</v>
      </c>
      <c r="BJ30" s="5">
        <v>1.0</v>
      </c>
      <c r="BK30" s="5">
        <v>1.0</v>
      </c>
      <c r="BL30" s="5">
        <v>1.0</v>
      </c>
      <c r="BM30" s="5">
        <v>1603.0</v>
      </c>
      <c r="BN30" s="5">
        <v>1603.0</v>
      </c>
      <c r="BO30" s="5">
        <v>1708.0</v>
      </c>
      <c r="BP30" s="5">
        <v>1708.0</v>
      </c>
      <c r="BQ30" s="5">
        <v>1601.0</v>
      </c>
      <c r="BR30" s="5">
        <v>1601.0</v>
      </c>
      <c r="BS30" s="5">
        <v>1601.0</v>
      </c>
      <c r="BT30" s="5">
        <v>1601.0</v>
      </c>
      <c r="BU30" s="5">
        <v>1603.0</v>
      </c>
      <c r="BV30" s="5">
        <v>1603.0</v>
      </c>
      <c r="BW30" s="5">
        <v>244134.0</v>
      </c>
      <c r="BX30" s="5">
        <v>10343.0</v>
      </c>
      <c r="BY30" s="5">
        <v>246337.0</v>
      </c>
      <c r="BZ30" s="5">
        <v>12337.0</v>
      </c>
      <c r="CA30" s="5">
        <v>244239.0</v>
      </c>
      <c r="CB30" s="5">
        <v>10448.0</v>
      </c>
      <c r="CC30" s="5">
        <v>244133.0</v>
      </c>
      <c r="CD30" s="5">
        <v>10342.0</v>
      </c>
      <c r="CE30" s="5">
        <v>244133.0</v>
      </c>
      <c r="CF30" s="5">
        <v>10342.0</v>
      </c>
      <c r="CG30" s="5">
        <v>244134.0</v>
      </c>
      <c r="CH30" s="5">
        <v>10343.0</v>
      </c>
      <c r="CI30" s="5">
        <v>175541.0</v>
      </c>
      <c r="CJ30" s="5">
        <v>10556.0</v>
      </c>
      <c r="CK30" s="5">
        <v>175325.0</v>
      </c>
      <c r="CL30" s="5">
        <v>10339.0</v>
      </c>
      <c r="CM30" s="5">
        <v>38.0</v>
      </c>
      <c r="CN30" s="3"/>
      <c r="CO30" s="3"/>
      <c r="CP30" s="4" t="s">
        <v>267</v>
      </c>
      <c r="CQ30" s="5">
        <v>5.0</v>
      </c>
      <c r="CR30" s="3"/>
    </row>
    <row r="31">
      <c r="A31" s="1" t="s">
        <v>268</v>
      </c>
      <c r="B31" s="2">
        <v>46073.56670138889</v>
      </c>
      <c r="C31" s="1" t="s">
        <v>269</v>
      </c>
      <c r="D31" s="3"/>
      <c r="E31" s="3"/>
      <c r="F31" s="1" t="s">
        <v>270</v>
      </c>
      <c r="G31" s="1" t="s">
        <v>271</v>
      </c>
      <c r="H31" s="1" t="s">
        <v>98</v>
      </c>
      <c r="I31" s="1" t="s">
        <v>99</v>
      </c>
      <c r="J31" s="1" t="b">
        <v>0</v>
      </c>
      <c r="K31" s="4" t="s">
        <v>100</v>
      </c>
      <c r="L31" s="1" t="s">
        <v>272</v>
      </c>
      <c r="M31" s="1">
        <v>574085.0</v>
      </c>
      <c r="N31" s="1">
        <v>574085.0</v>
      </c>
      <c r="O31" s="1">
        <v>574085.0</v>
      </c>
      <c r="P31" s="1" t="s">
        <v>122</v>
      </c>
      <c r="Q31" s="1">
        <v>13285.0</v>
      </c>
      <c r="R31" s="1" t="s">
        <v>102</v>
      </c>
      <c r="S31" s="3"/>
      <c r="T31" s="3"/>
      <c r="U31" s="1" t="s">
        <v>123</v>
      </c>
      <c r="V31" s="3"/>
      <c r="W31" s="1" t="s">
        <v>114</v>
      </c>
      <c r="X31" s="3"/>
      <c r="Y31" s="1" t="b">
        <v>1</v>
      </c>
      <c r="Z31" s="1" t="b">
        <v>0</v>
      </c>
      <c r="AA31" s="1" t="b">
        <v>0</v>
      </c>
      <c r="AB31" s="1" t="b">
        <v>1</v>
      </c>
      <c r="AC31" s="1" t="b">
        <v>0</v>
      </c>
      <c r="AD31" s="5">
        <v>5.0</v>
      </c>
      <c r="AE31" s="5">
        <v>5.0</v>
      </c>
      <c r="AF31" s="3"/>
      <c r="AG31" s="3"/>
      <c r="AH31" s="2">
        <v>46073.565613425926</v>
      </c>
      <c r="AI31" s="2">
        <v>46073.69813657407</v>
      </c>
      <c r="AJ31" s="2">
        <v>46073.565613425926</v>
      </c>
      <c r="AK31" s="2">
        <v>46073.56563657407</v>
      </c>
      <c r="AM31" s="3"/>
      <c r="AN31" s="2">
        <v>46073.56627314815</v>
      </c>
      <c r="AO31" s="2">
        <v>46073.56670138889</v>
      </c>
      <c r="AQ31" s="2">
        <v>46073.566712962966</v>
      </c>
      <c r="AR31" s="2">
        <v>46073.56670138889</v>
      </c>
      <c r="AS31" s="2">
        <v>46073.566712962966</v>
      </c>
      <c r="AU31" s="3"/>
      <c r="AV31" s="2">
        <v>46073.566712962966</v>
      </c>
      <c r="AW31" s="2">
        <v>46073.566712962966</v>
      </c>
      <c r="AX31" s="2">
        <v>46073.56747685185</v>
      </c>
      <c r="AY31" s="2">
        <v>46073.576261574075</v>
      </c>
      <c r="BA31" s="2">
        <v>46073.65645833333</v>
      </c>
      <c r="BB31" s="2">
        <v>46073.65645833333</v>
      </c>
      <c r="BC31" s="5">
        <v>347.0</v>
      </c>
      <c r="BD31" s="5">
        <v>347.0</v>
      </c>
      <c r="BE31" s="5">
        <v>69.0</v>
      </c>
      <c r="BF31" s="5">
        <v>69.0</v>
      </c>
      <c r="BG31" s="3"/>
      <c r="BH31" s="3"/>
      <c r="BI31" s="5">
        <v>0.0</v>
      </c>
      <c r="BJ31" s="5">
        <v>0.0</v>
      </c>
      <c r="BK31" s="5">
        <v>0.0</v>
      </c>
      <c r="BL31" s="5">
        <v>0.0</v>
      </c>
      <c r="BM31" s="5">
        <v>66.0</v>
      </c>
      <c r="BN31" s="5">
        <v>66.0</v>
      </c>
      <c r="BO31" s="5">
        <v>158.0</v>
      </c>
      <c r="BP31" s="5">
        <v>158.0</v>
      </c>
      <c r="BQ31" s="5">
        <v>66.0</v>
      </c>
      <c r="BR31" s="5">
        <v>66.0</v>
      </c>
      <c r="BS31" s="5">
        <v>66.0</v>
      </c>
      <c r="BT31" s="5">
        <v>66.0</v>
      </c>
      <c r="BU31" s="5">
        <v>66.0</v>
      </c>
      <c r="BV31" s="5">
        <v>66.0</v>
      </c>
      <c r="BW31" s="5">
        <v>7754.0</v>
      </c>
      <c r="BX31" s="5">
        <v>7754.0</v>
      </c>
      <c r="BY31" s="5">
        <v>7754.0</v>
      </c>
      <c r="BZ31" s="5">
        <v>7754.0</v>
      </c>
      <c r="CA31" s="5">
        <v>7847.0</v>
      </c>
      <c r="CB31" s="5">
        <v>7847.0</v>
      </c>
      <c r="CC31" s="5">
        <v>7754.0</v>
      </c>
      <c r="CD31" s="5">
        <v>7754.0</v>
      </c>
      <c r="CE31" s="5">
        <v>7754.0</v>
      </c>
      <c r="CF31" s="5">
        <v>7754.0</v>
      </c>
      <c r="CG31" s="5">
        <v>7754.0</v>
      </c>
      <c r="CH31" s="5">
        <v>7754.0</v>
      </c>
      <c r="CI31" s="5">
        <v>7754.0</v>
      </c>
      <c r="CJ31" s="5">
        <v>7754.0</v>
      </c>
      <c r="CK31" s="5">
        <v>7754.0</v>
      </c>
      <c r="CL31" s="5">
        <v>7754.0</v>
      </c>
      <c r="CM31" s="5">
        <v>56.0</v>
      </c>
      <c r="CN31" s="3"/>
      <c r="CO31" s="3"/>
      <c r="CP31" s="4" t="s">
        <v>273</v>
      </c>
    </row>
    <row r="32">
      <c r="A32" s="1" t="s">
        <v>274</v>
      </c>
      <c r="B32" s="2">
        <v>46073.539618055554</v>
      </c>
      <c r="C32" s="1" t="s">
        <v>275</v>
      </c>
      <c r="D32" s="3"/>
      <c r="E32" s="3"/>
      <c r="F32" s="1" t="s">
        <v>276</v>
      </c>
      <c r="G32" s="1" t="s">
        <v>149</v>
      </c>
      <c r="H32" s="1" t="s">
        <v>98</v>
      </c>
      <c r="I32" s="1" t="s">
        <v>99</v>
      </c>
      <c r="J32" s="1" t="b">
        <v>0</v>
      </c>
      <c r="K32" s="4" t="s">
        <v>100</v>
      </c>
      <c r="L32" s="1" t="s">
        <v>277</v>
      </c>
      <c r="M32" s="1">
        <v>594863.0</v>
      </c>
      <c r="N32" s="1">
        <v>594863.0</v>
      </c>
      <c r="O32" s="3"/>
      <c r="P32" s="1" t="s">
        <v>151</v>
      </c>
      <c r="Q32" s="1">
        <v>13288.0</v>
      </c>
      <c r="R32" s="1" t="s">
        <v>102</v>
      </c>
      <c r="S32" s="3"/>
      <c r="T32" s="3"/>
      <c r="U32" s="1" t="s">
        <v>103</v>
      </c>
      <c r="V32" s="3"/>
      <c r="W32" s="1" t="s">
        <v>104</v>
      </c>
      <c r="X32" s="3"/>
      <c r="Y32" s="1" t="b">
        <v>1</v>
      </c>
      <c r="Z32" s="1" t="b">
        <v>0</v>
      </c>
      <c r="AA32" s="1" t="b">
        <v>0</v>
      </c>
      <c r="AB32" s="1" t="b">
        <v>1</v>
      </c>
      <c r="AC32" s="1" t="b">
        <v>0</v>
      </c>
      <c r="AD32" s="5">
        <v>2.0</v>
      </c>
      <c r="AE32" s="5">
        <v>1.0</v>
      </c>
      <c r="AF32" s="3"/>
      <c r="AG32" s="3"/>
      <c r="AH32" s="2">
        <v>46073.53902777778</v>
      </c>
      <c r="AI32" s="2">
        <v>46076.65887731482</v>
      </c>
      <c r="AJ32" s="2">
        <v>46073.53902777778</v>
      </c>
      <c r="AK32" s="2">
        <v>46073.53905092592</v>
      </c>
      <c r="AM32" s="3"/>
      <c r="AN32" s="2">
        <v>46073.53938657408</v>
      </c>
      <c r="AP32" s="3"/>
      <c r="AQ32" s="3"/>
      <c r="AR32" s="2">
        <v>46073.539618055554</v>
      </c>
      <c r="AS32" s="2">
        <v>46076.65887731482</v>
      </c>
      <c r="AU32" s="3"/>
      <c r="AV32" s="2">
        <v>46073.53912037037</v>
      </c>
      <c r="AW32" s="2">
        <v>46073.539618055554</v>
      </c>
      <c r="AX32" s="2">
        <v>46073.57960648148</v>
      </c>
      <c r="AY32" s="2">
        <v>46076.44671296296</v>
      </c>
      <c r="AZ32" s="2">
        <v>46076.49222222222</v>
      </c>
      <c r="BB32" s="3"/>
      <c r="BC32" s="5">
        <v>84679.0</v>
      </c>
      <c r="BD32" s="5">
        <v>1314.0</v>
      </c>
      <c r="BE32" s="5">
        <v>42339.0</v>
      </c>
      <c r="BF32" s="5">
        <v>1314.0</v>
      </c>
      <c r="BG32" s="5">
        <v>161405.0</v>
      </c>
      <c r="BH32" s="5">
        <v>10799.0</v>
      </c>
      <c r="BI32" s="3"/>
      <c r="BJ32" s="3"/>
      <c r="BK32" s="3"/>
      <c r="BL32" s="3"/>
      <c r="BM32" s="5">
        <v>3455.0</v>
      </c>
      <c r="BN32" s="5">
        <v>1478.0</v>
      </c>
      <c r="BO32" s="5">
        <v>3504.0</v>
      </c>
      <c r="BP32" s="5">
        <v>1478.0</v>
      </c>
      <c r="BQ32" s="5">
        <v>3498.0</v>
      </c>
      <c r="BR32" s="5">
        <v>1478.0</v>
      </c>
      <c r="BS32" s="5">
        <v>3455.0</v>
      </c>
      <c r="BT32" s="5">
        <v>1478.0</v>
      </c>
      <c r="BU32" s="5">
        <v>3455.0</v>
      </c>
      <c r="BV32" s="5">
        <v>1478.0</v>
      </c>
      <c r="BW32" s="3"/>
      <c r="BX32" s="3"/>
      <c r="BY32" s="3"/>
      <c r="BZ32" s="3"/>
      <c r="CA32" s="3"/>
      <c r="CB32" s="3"/>
      <c r="CC32" s="3"/>
      <c r="CD32" s="3"/>
      <c r="CE32" s="3"/>
      <c r="CF32" s="3"/>
      <c r="CG32" s="3"/>
      <c r="CH32" s="3"/>
      <c r="CI32" s="3"/>
      <c r="CJ32" s="3"/>
      <c r="CK32" s="3"/>
      <c r="CL32" s="3"/>
      <c r="CM32" s="5">
        <v>31.0</v>
      </c>
      <c r="CN32" s="3"/>
      <c r="CO32" s="3"/>
      <c r="CP32" s="4" t="s">
        <v>278</v>
      </c>
    </row>
    <row r="33">
      <c r="A33" s="1" t="s">
        <v>279</v>
      </c>
      <c r="B33" s="2">
        <v>46073.53364583333</v>
      </c>
      <c r="C33" s="1" t="s">
        <v>280</v>
      </c>
      <c r="D33" s="3"/>
      <c r="E33" s="3"/>
      <c r="F33" s="3"/>
      <c r="G33" s="3"/>
      <c r="H33" s="1" t="s">
        <v>98</v>
      </c>
      <c r="I33" s="1" t="s">
        <v>99</v>
      </c>
      <c r="J33" s="1" t="b">
        <v>0</v>
      </c>
      <c r="K33" s="4" t="s">
        <v>100</v>
      </c>
      <c r="L33" s="1" t="s">
        <v>281</v>
      </c>
      <c r="N33" s="3"/>
      <c r="O33" s="3"/>
      <c r="P33" s="3"/>
      <c r="Q33" s="3"/>
      <c r="R33" s="1" t="s">
        <v>102</v>
      </c>
      <c r="S33" s="3"/>
      <c r="T33" s="3"/>
      <c r="U33" s="1" t="s">
        <v>282</v>
      </c>
      <c r="V33" s="3"/>
      <c r="W33" s="1" t="s">
        <v>104</v>
      </c>
      <c r="X33" s="3"/>
      <c r="Y33" s="1" t="b">
        <v>0</v>
      </c>
      <c r="Z33" s="1" t="b">
        <v>0</v>
      </c>
      <c r="AA33" s="1" t="b">
        <v>0</v>
      </c>
      <c r="AB33" s="1" t="b">
        <v>0</v>
      </c>
      <c r="AC33" s="1" t="b">
        <v>1</v>
      </c>
      <c r="AD33" s="3"/>
      <c r="AE33" s="3"/>
      <c r="AF33" s="3"/>
      <c r="AG33" s="3"/>
      <c r="AH33" s="2">
        <v>46073.533587962964</v>
      </c>
      <c r="AI33" s="2">
        <v>46074.5337037037</v>
      </c>
      <c r="AK33" s="2">
        <v>46073.53364583333</v>
      </c>
      <c r="AL33" s="2">
        <v>46073.53364583333</v>
      </c>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5">
        <v>3.8</v>
      </c>
      <c r="CP33" s="4" t="s">
        <v>283</v>
      </c>
    </row>
    <row r="34">
      <c r="A34" s="1" t="s">
        <v>284</v>
      </c>
      <c r="B34" s="2">
        <v>46073.53331018519</v>
      </c>
      <c r="C34" s="1" t="s">
        <v>285</v>
      </c>
      <c r="D34" s="3"/>
      <c r="E34" s="3"/>
      <c r="F34" s="3"/>
      <c r="G34" s="3"/>
      <c r="H34" s="1" t="s">
        <v>98</v>
      </c>
      <c r="I34" s="1" t="s">
        <v>99</v>
      </c>
      <c r="J34" s="1" t="b">
        <v>0</v>
      </c>
      <c r="K34" s="4" t="s">
        <v>100</v>
      </c>
      <c r="L34" s="1" t="s">
        <v>286</v>
      </c>
      <c r="N34" s="3"/>
      <c r="O34" s="3"/>
      <c r="P34" s="3"/>
      <c r="Q34" s="3"/>
      <c r="R34" s="1" t="s">
        <v>102</v>
      </c>
      <c r="S34" s="3"/>
      <c r="T34" s="3"/>
      <c r="U34" s="1" t="s">
        <v>282</v>
      </c>
      <c r="V34" s="3"/>
      <c r="W34" s="1" t="s">
        <v>104</v>
      </c>
      <c r="X34" s="3"/>
      <c r="Y34" s="1" t="b">
        <v>0</v>
      </c>
      <c r="Z34" s="1" t="b">
        <v>0</v>
      </c>
      <c r="AA34" s="1" t="b">
        <v>0</v>
      </c>
      <c r="AB34" s="1" t="b">
        <v>0</v>
      </c>
      <c r="AC34" s="1" t="b">
        <v>1</v>
      </c>
      <c r="AD34" s="3"/>
      <c r="AE34" s="3"/>
      <c r="AF34" s="3"/>
      <c r="AG34" s="3"/>
      <c r="AH34" s="2">
        <v>46073.53318287037</v>
      </c>
      <c r="AI34" s="2">
        <v>46074.53337962963</v>
      </c>
      <c r="AK34" s="2">
        <v>46073.53331018519</v>
      </c>
      <c r="AL34" s="2">
        <v>46073.53331018519</v>
      </c>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5">
        <v>1.6</v>
      </c>
      <c r="CP34" s="4" t="s">
        <v>287</v>
      </c>
    </row>
    <row r="35">
      <c r="A35" s="1" t="s">
        <v>288</v>
      </c>
      <c r="B35" s="2">
        <v>46073.488657407404</v>
      </c>
      <c r="C35" s="1" t="s">
        <v>289</v>
      </c>
      <c r="D35" s="3"/>
      <c r="E35" s="3"/>
      <c r="F35" s="3"/>
      <c r="G35" s="3"/>
      <c r="H35" s="1" t="s">
        <v>98</v>
      </c>
      <c r="I35" s="1" t="s">
        <v>99</v>
      </c>
      <c r="J35" s="1" t="b">
        <v>0</v>
      </c>
      <c r="K35" s="4" t="s">
        <v>100</v>
      </c>
      <c r="L35" s="1" t="s">
        <v>290</v>
      </c>
      <c r="N35" s="3"/>
      <c r="O35" s="3"/>
      <c r="P35" s="3"/>
      <c r="Q35" s="3"/>
      <c r="R35" s="1" t="s">
        <v>102</v>
      </c>
      <c r="S35" s="3"/>
      <c r="T35" s="3"/>
      <c r="U35" s="1" t="s">
        <v>282</v>
      </c>
      <c r="V35" s="3"/>
      <c r="W35" s="1" t="s">
        <v>104</v>
      </c>
      <c r="X35" s="3"/>
      <c r="Y35" s="1" t="b">
        <v>0</v>
      </c>
      <c r="Z35" s="1" t="b">
        <v>0</v>
      </c>
      <c r="AA35" s="1" t="b">
        <v>0</v>
      </c>
      <c r="AB35" s="1" t="b">
        <v>0</v>
      </c>
      <c r="AC35" s="1" t="b">
        <v>1</v>
      </c>
      <c r="AD35" s="3"/>
      <c r="AE35" s="3"/>
      <c r="AF35" s="3"/>
      <c r="AG35" s="3"/>
      <c r="AH35" s="2">
        <v>46073.48850694444</v>
      </c>
      <c r="AI35" s="2">
        <v>46074.48974537037</v>
      </c>
      <c r="AK35" s="2">
        <v>46073.488657407404</v>
      </c>
      <c r="AL35" s="2">
        <v>46073.488657407404</v>
      </c>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5">
        <v>5.0</v>
      </c>
      <c r="CP35" s="4" t="s">
        <v>291</v>
      </c>
    </row>
    <row r="36">
      <c r="A36" s="1" t="s">
        <v>292</v>
      </c>
      <c r="B36" s="2">
        <v>46073.47609953704</v>
      </c>
      <c r="C36" s="1" t="s">
        <v>293</v>
      </c>
      <c r="D36" s="3"/>
      <c r="E36" s="3"/>
      <c r="F36" s="3"/>
      <c r="G36" s="3"/>
      <c r="H36" s="1" t="s">
        <v>98</v>
      </c>
      <c r="I36" s="1" t="s">
        <v>99</v>
      </c>
      <c r="J36" s="1" t="b">
        <v>0</v>
      </c>
      <c r="K36" s="4" t="s">
        <v>100</v>
      </c>
      <c r="L36" s="1" t="s">
        <v>294</v>
      </c>
      <c r="N36" s="3"/>
      <c r="O36" s="3"/>
      <c r="P36" s="3"/>
      <c r="Q36" s="3"/>
      <c r="R36" s="1" t="s">
        <v>102</v>
      </c>
      <c r="S36" s="3"/>
      <c r="T36" s="3"/>
      <c r="U36" s="1" t="s">
        <v>282</v>
      </c>
      <c r="V36" s="3"/>
      <c r="W36" s="1" t="s">
        <v>104</v>
      </c>
      <c r="X36" s="3"/>
      <c r="Y36" s="1" t="b">
        <v>0</v>
      </c>
      <c r="Z36" s="1" t="b">
        <v>0</v>
      </c>
      <c r="AA36" s="1" t="b">
        <v>0</v>
      </c>
      <c r="AB36" s="1" t="b">
        <v>0</v>
      </c>
      <c r="AC36" s="1" t="b">
        <v>1</v>
      </c>
      <c r="AD36" s="3"/>
      <c r="AE36" s="3"/>
      <c r="AF36" s="3"/>
      <c r="AG36" s="3"/>
      <c r="AH36" s="2">
        <v>46073.476006944446</v>
      </c>
      <c r="AI36" s="2">
        <v>46074.47614583333</v>
      </c>
      <c r="AK36" s="2">
        <v>46073.47609953704</v>
      </c>
      <c r="AL36" s="2">
        <v>46073.47609953704</v>
      </c>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5">
        <v>5.0</v>
      </c>
      <c r="CP36" s="4" t="s">
        <v>295</v>
      </c>
    </row>
    <row r="37">
      <c r="A37" s="1" t="s">
        <v>296</v>
      </c>
      <c r="B37" s="2">
        <v>46073.475960648146</v>
      </c>
      <c r="C37" s="1" t="s">
        <v>196</v>
      </c>
      <c r="D37" s="3"/>
      <c r="E37" s="3"/>
      <c r="F37" s="1" t="s">
        <v>297</v>
      </c>
      <c r="G37" s="1" t="s">
        <v>298</v>
      </c>
      <c r="H37" s="1" t="s">
        <v>98</v>
      </c>
      <c r="I37" s="1" t="s">
        <v>99</v>
      </c>
      <c r="J37" s="1" t="b">
        <v>0</v>
      </c>
      <c r="K37" s="4" t="s">
        <v>100</v>
      </c>
      <c r="L37" s="1" t="s">
        <v>198</v>
      </c>
      <c r="M37" s="1">
        <v>574085.0</v>
      </c>
      <c r="N37" s="1">
        <v>574085.0</v>
      </c>
      <c r="O37" s="1">
        <v>574085.0</v>
      </c>
      <c r="P37" s="1" t="s">
        <v>122</v>
      </c>
      <c r="Q37" s="1">
        <v>13285.0</v>
      </c>
      <c r="R37" s="1" t="s">
        <v>102</v>
      </c>
      <c r="S37" s="3"/>
      <c r="T37" s="3"/>
      <c r="U37" s="1" t="s">
        <v>123</v>
      </c>
      <c r="V37" s="3"/>
      <c r="W37" s="1" t="s">
        <v>114</v>
      </c>
      <c r="X37" s="3"/>
      <c r="Y37" s="1" t="b">
        <v>1</v>
      </c>
      <c r="Z37" s="1" t="b">
        <v>0</v>
      </c>
      <c r="AA37" s="1" t="b">
        <v>0</v>
      </c>
      <c r="AB37" s="1" t="b">
        <v>1</v>
      </c>
      <c r="AC37" s="1" t="b">
        <v>1</v>
      </c>
      <c r="AD37" s="5">
        <v>4.0</v>
      </c>
      <c r="AE37" s="5">
        <v>4.0</v>
      </c>
      <c r="AF37" s="3"/>
      <c r="AG37" s="3"/>
      <c r="AH37" s="2">
        <v>46073.475902777776</v>
      </c>
      <c r="AI37" s="2">
        <v>46073.61240740741</v>
      </c>
      <c r="AJ37" s="2">
        <v>46073.47883101852</v>
      </c>
      <c r="AK37" s="2">
        <v>46073.475960648146</v>
      </c>
      <c r="AL37" s="2">
        <v>46073.475960648146</v>
      </c>
      <c r="AM37" s="2">
        <v>46073.478113425925</v>
      </c>
      <c r="AN37" s="2">
        <v>46073.47886574074</v>
      </c>
      <c r="AO37" s="2">
        <v>46073.478113425925</v>
      </c>
      <c r="AQ37" s="2">
        <v>46073.478125</v>
      </c>
      <c r="AR37" s="2">
        <v>46073.478113425925</v>
      </c>
      <c r="AS37" s="2">
        <v>46073.478125</v>
      </c>
      <c r="AU37" s="3"/>
      <c r="AV37" s="2">
        <v>46073.478125</v>
      </c>
      <c r="AW37" s="2">
        <v>46073.478125</v>
      </c>
      <c r="AX37" s="2">
        <v>46073.49508101852</v>
      </c>
      <c r="AY37" s="2">
        <v>46073.56825231481</v>
      </c>
      <c r="BA37" s="2">
        <v>46073.57072916667</v>
      </c>
      <c r="BB37" s="2">
        <v>46073.57072916667</v>
      </c>
      <c r="BC37" s="5">
        <v>7442.0</v>
      </c>
      <c r="BD37" s="5">
        <v>7442.0</v>
      </c>
      <c r="BE37" s="5">
        <v>1860.0</v>
      </c>
      <c r="BF37" s="5">
        <v>1860.0</v>
      </c>
      <c r="BG37" s="3"/>
      <c r="BH37" s="3"/>
      <c r="BI37" s="5">
        <v>0.0</v>
      </c>
      <c r="BJ37" s="5">
        <v>0.0</v>
      </c>
      <c r="BK37" s="5">
        <v>186.0</v>
      </c>
      <c r="BL37" s="5">
        <v>186.0</v>
      </c>
      <c r="BM37" s="5">
        <v>1652.0</v>
      </c>
      <c r="BN37" s="5">
        <v>1652.0</v>
      </c>
      <c r="BO37" s="5">
        <v>1652.0</v>
      </c>
      <c r="BP37" s="5">
        <v>1652.0</v>
      </c>
      <c r="BQ37" s="5">
        <v>1465.0</v>
      </c>
      <c r="BR37" s="5">
        <v>1465.0</v>
      </c>
      <c r="BS37" s="5">
        <v>1465.0</v>
      </c>
      <c r="BT37" s="5">
        <v>1465.0</v>
      </c>
      <c r="BU37" s="5">
        <v>1466.0</v>
      </c>
      <c r="BV37" s="5">
        <v>1466.0</v>
      </c>
      <c r="BW37" s="5">
        <v>8187.0</v>
      </c>
      <c r="BX37" s="5">
        <v>4587.0</v>
      </c>
      <c r="BY37" s="5">
        <v>8187.0</v>
      </c>
      <c r="BZ37" s="5">
        <v>4587.0</v>
      </c>
      <c r="CA37" s="5">
        <v>8187.0</v>
      </c>
      <c r="CB37" s="5">
        <v>4587.0</v>
      </c>
      <c r="CC37" s="5">
        <v>8000.0</v>
      </c>
      <c r="CD37" s="5">
        <v>4400.0</v>
      </c>
      <c r="CE37" s="5">
        <v>8000.0</v>
      </c>
      <c r="CF37" s="5">
        <v>4400.0</v>
      </c>
      <c r="CG37" s="5">
        <v>8001.0</v>
      </c>
      <c r="CH37" s="5">
        <v>4401.0</v>
      </c>
      <c r="CI37" s="5">
        <v>8000.0</v>
      </c>
      <c r="CJ37" s="5">
        <v>4400.0</v>
      </c>
      <c r="CK37" s="5">
        <v>8000.0</v>
      </c>
      <c r="CL37" s="5">
        <v>4400.0</v>
      </c>
      <c r="CM37" s="5">
        <v>3.0</v>
      </c>
      <c r="CN37" s="5">
        <v>185.0</v>
      </c>
      <c r="CO37" s="3"/>
      <c r="CP37" s="4" t="s">
        <v>299</v>
      </c>
    </row>
    <row r="38">
      <c r="A38" s="1" t="s">
        <v>300</v>
      </c>
      <c r="B38" s="2">
        <v>46073.4734375</v>
      </c>
      <c r="C38" s="1" t="s">
        <v>301</v>
      </c>
      <c r="D38" s="3"/>
      <c r="E38" s="3"/>
      <c r="F38" s="3"/>
      <c r="G38" s="3"/>
      <c r="H38" s="1" t="s">
        <v>98</v>
      </c>
      <c r="I38" s="1" t="s">
        <v>99</v>
      </c>
      <c r="J38" s="1" t="b">
        <v>0</v>
      </c>
      <c r="K38" s="4" t="s">
        <v>100</v>
      </c>
      <c r="L38" s="1" t="s">
        <v>302</v>
      </c>
      <c r="N38" s="3"/>
      <c r="O38" s="3"/>
      <c r="P38" s="3"/>
      <c r="Q38" s="3"/>
      <c r="R38" s="1" t="s">
        <v>102</v>
      </c>
      <c r="S38" s="3"/>
      <c r="T38" s="3"/>
      <c r="U38" s="1" t="s">
        <v>282</v>
      </c>
      <c r="V38" s="3"/>
      <c r="W38" s="1" t="s">
        <v>104</v>
      </c>
      <c r="X38" s="3"/>
      <c r="Y38" s="1" t="b">
        <v>0</v>
      </c>
      <c r="Z38" s="1" t="b">
        <v>0</v>
      </c>
      <c r="AA38" s="1" t="b">
        <v>0</v>
      </c>
      <c r="AB38" s="1" t="b">
        <v>0</v>
      </c>
      <c r="AC38" s="1" t="b">
        <v>1</v>
      </c>
      <c r="AD38" s="3"/>
      <c r="AE38" s="3"/>
      <c r="AF38" s="3"/>
      <c r="AG38" s="3"/>
      <c r="AH38" s="2">
        <v>46073.47340277778</v>
      </c>
      <c r="AI38" s="2">
        <v>46074.473495370374</v>
      </c>
      <c r="AK38" s="2">
        <v>46073.4734375</v>
      </c>
      <c r="AL38" s="2">
        <v>46073.4734375</v>
      </c>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5">
        <v>4.4</v>
      </c>
      <c r="CP38" s="4" t="s">
        <v>303</v>
      </c>
    </row>
    <row r="39">
      <c r="A39" s="1" t="s">
        <v>304</v>
      </c>
      <c r="B39" s="2">
        <v>46073.472349537034</v>
      </c>
      <c r="C39" s="1" t="s">
        <v>305</v>
      </c>
      <c r="D39" s="3"/>
      <c r="E39" s="3"/>
      <c r="F39" s="3"/>
      <c r="G39" s="3"/>
      <c r="H39" s="1" t="s">
        <v>98</v>
      </c>
      <c r="I39" s="1" t="s">
        <v>99</v>
      </c>
      <c r="J39" s="1" t="b">
        <v>0</v>
      </c>
      <c r="K39" s="4" t="s">
        <v>100</v>
      </c>
      <c r="L39" s="1" t="s">
        <v>306</v>
      </c>
      <c r="N39" s="3"/>
      <c r="O39" s="3"/>
      <c r="P39" s="3"/>
      <c r="Q39" s="3"/>
      <c r="R39" s="1" t="s">
        <v>102</v>
      </c>
      <c r="S39" s="3"/>
      <c r="T39" s="3"/>
      <c r="U39" s="1" t="s">
        <v>282</v>
      </c>
      <c r="V39" s="3"/>
      <c r="W39" s="1" t="s">
        <v>104</v>
      </c>
      <c r="X39" s="3"/>
      <c r="Y39" s="1" t="b">
        <v>0</v>
      </c>
      <c r="Z39" s="1" t="b">
        <v>0</v>
      </c>
      <c r="AA39" s="1" t="b">
        <v>0</v>
      </c>
      <c r="AB39" s="1" t="b">
        <v>0</v>
      </c>
      <c r="AC39" s="1" t="b">
        <v>1</v>
      </c>
      <c r="AD39" s="3"/>
      <c r="AE39" s="3"/>
      <c r="AF39" s="3"/>
      <c r="AG39" s="3"/>
      <c r="AH39" s="2">
        <v>46073.47225694444</v>
      </c>
      <c r="AI39" s="2">
        <v>46074.47253472222</v>
      </c>
      <c r="AK39" s="2">
        <v>46073.472349537034</v>
      </c>
      <c r="AL39" s="2">
        <v>46073.472349537034</v>
      </c>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5">
        <v>5.0</v>
      </c>
      <c r="CP39" s="4" t="s">
        <v>307</v>
      </c>
    </row>
    <row r="40">
      <c r="A40" s="1" t="s">
        <v>308</v>
      </c>
      <c r="B40" s="2">
        <v>46073.44644675926</v>
      </c>
      <c r="C40" s="1" t="s">
        <v>309</v>
      </c>
      <c r="D40" s="3"/>
      <c r="E40" s="3"/>
      <c r="F40" s="3"/>
      <c r="G40" s="3"/>
      <c r="H40" s="1" t="s">
        <v>98</v>
      </c>
      <c r="I40" s="1" t="s">
        <v>99</v>
      </c>
      <c r="J40" s="1" t="b">
        <v>0</v>
      </c>
      <c r="K40" s="4" t="s">
        <v>100</v>
      </c>
      <c r="L40" s="1" t="s">
        <v>310</v>
      </c>
      <c r="N40" s="3"/>
      <c r="O40" s="3"/>
      <c r="P40" s="3"/>
      <c r="Q40" s="3"/>
      <c r="R40" s="1" t="s">
        <v>102</v>
      </c>
      <c r="S40" s="3"/>
      <c r="T40" s="3"/>
      <c r="U40" s="1" t="s">
        <v>282</v>
      </c>
      <c r="V40" s="3"/>
      <c r="W40" s="1" t="s">
        <v>104</v>
      </c>
      <c r="X40" s="3"/>
      <c r="Y40" s="1" t="b">
        <v>0</v>
      </c>
      <c r="Z40" s="1" t="b">
        <v>0</v>
      </c>
      <c r="AA40" s="1" t="b">
        <v>0</v>
      </c>
      <c r="AB40" s="1" t="b">
        <v>0</v>
      </c>
      <c r="AC40" s="1" t="b">
        <v>1</v>
      </c>
      <c r="AD40" s="3"/>
      <c r="AE40" s="3"/>
      <c r="AF40" s="3"/>
      <c r="AG40" s="3"/>
      <c r="AH40" s="2">
        <v>46073.44541666667</v>
      </c>
      <c r="AI40" s="2">
        <v>46074.47211805556</v>
      </c>
      <c r="AK40" s="2">
        <v>46073.44644675926</v>
      </c>
      <c r="AL40" s="2">
        <v>46073.44644675926</v>
      </c>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5">
        <v>5.0</v>
      </c>
      <c r="CP40" s="4" t="s">
        <v>311</v>
      </c>
    </row>
    <row r="41">
      <c r="A41" s="1" t="s">
        <v>312</v>
      </c>
      <c r="B41" s="2">
        <v>46073.4444212963</v>
      </c>
      <c r="C41" s="1" t="s">
        <v>309</v>
      </c>
      <c r="D41" s="3"/>
      <c r="E41" s="3"/>
      <c r="F41" s="1" t="s">
        <v>132</v>
      </c>
      <c r="H41" s="1" t="s">
        <v>98</v>
      </c>
      <c r="I41" s="1" t="s">
        <v>99</v>
      </c>
      <c r="J41" s="1" t="b">
        <v>0</v>
      </c>
      <c r="K41" s="4" t="s">
        <v>100</v>
      </c>
      <c r="L41" s="1" t="s">
        <v>310</v>
      </c>
      <c r="N41" s="3"/>
      <c r="O41" s="3"/>
      <c r="P41" s="3"/>
      <c r="Q41" s="3"/>
      <c r="R41" s="1" t="s">
        <v>102</v>
      </c>
      <c r="S41" s="3"/>
      <c r="T41" s="3"/>
      <c r="U41" s="1" t="s">
        <v>123</v>
      </c>
      <c r="V41" s="3"/>
      <c r="W41" s="1" t="s">
        <v>104</v>
      </c>
      <c r="X41" s="3"/>
      <c r="Y41" s="1" t="b">
        <v>0</v>
      </c>
      <c r="Z41" s="1" t="b">
        <v>0</v>
      </c>
      <c r="AA41" s="1" t="b">
        <v>0</v>
      </c>
      <c r="AB41" s="1" t="b">
        <v>0</v>
      </c>
      <c r="AC41" s="1" t="b">
        <v>1</v>
      </c>
      <c r="AD41" s="3"/>
      <c r="AE41" s="3"/>
      <c r="AF41" s="3"/>
      <c r="AG41" s="3"/>
      <c r="AH41" s="2">
        <v>46073.444398148145</v>
      </c>
      <c r="AI41" s="2">
        <v>46074.444502314815</v>
      </c>
      <c r="AK41" s="2">
        <v>46073.4444212963</v>
      </c>
      <c r="AL41" s="2">
        <v>46073.4444212963</v>
      </c>
      <c r="AN41" s="3"/>
      <c r="AO41" s="3"/>
      <c r="AP41" s="3"/>
      <c r="AQ41" s="3"/>
      <c r="AR41" s="3"/>
      <c r="AS41" s="3"/>
      <c r="AT41" s="3"/>
      <c r="AU41" s="3"/>
      <c r="AV41" s="3"/>
      <c r="AW41" s="3"/>
      <c r="AX41" s="3"/>
      <c r="AY41" s="3"/>
      <c r="AZ41" s="3"/>
      <c r="BA41" s="2">
        <v>46073.444502314815</v>
      </c>
      <c r="BB41" s="2">
        <v>46073.444502314815</v>
      </c>
      <c r="BD41" s="3"/>
      <c r="BE41" s="3"/>
      <c r="BF41" s="3"/>
      <c r="BG41" s="3"/>
      <c r="BH41" s="3"/>
      <c r="BI41" s="3"/>
      <c r="BJ41" s="3"/>
      <c r="BK41" s="3"/>
      <c r="BL41" s="3"/>
      <c r="BM41" s="3"/>
      <c r="BN41" s="3"/>
      <c r="BO41" s="3"/>
      <c r="BP41" s="3"/>
      <c r="BQ41" s="3"/>
      <c r="BR41" s="3"/>
      <c r="BS41" s="3"/>
      <c r="BT41" s="3"/>
      <c r="BU41" s="3"/>
      <c r="BV41" s="3"/>
      <c r="BW41" s="5">
        <v>6.0</v>
      </c>
      <c r="BX41" s="5">
        <v>6.0</v>
      </c>
      <c r="BY41" s="5">
        <v>6.0</v>
      </c>
      <c r="BZ41" s="5">
        <v>6.0</v>
      </c>
      <c r="CA41" s="5">
        <v>6.0</v>
      </c>
      <c r="CB41" s="5">
        <v>6.0</v>
      </c>
      <c r="CC41" s="3"/>
      <c r="CD41" s="3"/>
      <c r="CE41" s="3"/>
      <c r="CF41" s="3"/>
      <c r="CG41" s="3"/>
      <c r="CH41" s="3"/>
      <c r="CI41" s="3"/>
      <c r="CJ41" s="3"/>
      <c r="CK41" s="3"/>
      <c r="CL41" s="3"/>
      <c r="CM41" s="3"/>
      <c r="CN41" s="3"/>
      <c r="CO41" s="5">
        <v>4.4</v>
      </c>
      <c r="CP41" s="4" t="s">
        <v>313</v>
      </c>
    </row>
    <row r="42">
      <c r="A42" s="1" t="s">
        <v>314</v>
      </c>
      <c r="B42" s="2">
        <v>46073.43194444444</v>
      </c>
      <c r="C42" s="1" t="s">
        <v>315</v>
      </c>
      <c r="D42" s="3"/>
      <c r="E42" s="3"/>
      <c r="F42" s="1" t="s">
        <v>316</v>
      </c>
      <c r="G42" s="1" t="s">
        <v>317</v>
      </c>
      <c r="H42" s="1" t="s">
        <v>98</v>
      </c>
      <c r="I42" s="1" t="s">
        <v>99</v>
      </c>
      <c r="J42" s="1" t="b">
        <v>0</v>
      </c>
      <c r="K42" s="4" t="s">
        <v>100</v>
      </c>
      <c r="L42" s="1" t="s">
        <v>318</v>
      </c>
      <c r="M42" s="1">
        <v>574085.0</v>
      </c>
      <c r="N42" s="1">
        <v>574085.0</v>
      </c>
      <c r="O42" s="1">
        <v>574085.0</v>
      </c>
      <c r="P42" s="1" t="s">
        <v>122</v>
      </c>
      <c r="Q42" s="1">
        <v>13285.0</v>
      </c>
      <c r="R42" s="1" t="s">
        <v>102</v>
      </c>
      <c r="S42" s="3"/>
      <c r="T42" s="3"/>
      <c r="U42" s="1" t="s">
        <v>123</v>
      </c>
      <c r="V42" s="3"/>
      <c r="W42" s="1" t="s">
        <v>114</v>
      </c>
      <c r="X42" s="3"/>
      <c r="Y42" s="1" t="b">
        <v>1</v>
      </c>
      <c r="Z42" s="1" t="b">
        <v>0</v>
      </c>
      <c r="AA42" s="1" t="b">
        <v>0</v>
      </c>
      <c r="AB42" s="1" t="b">
        <v>1</v>
      </c>
      <c r="AC42" s="1" t="b">
        <v>1</v>
      </c>
      <c r="AD42" s="5">
        <v>4.0</v>
      </c>
      <c r="AE42" s="5">
        <v>4.0</v>
      </c>
      <c r="AF42" s="3"/>
      <c r="AG42" s="3"/>
      <c r="AH42" s="2">
        <v>46073.431863425925</v>
      </c>
      <c r="AI42" s="2">
        <v>46073.49149305555</v>
      </c>
      <c r="AJ42" s="2">
        <v>46073.44981481481</v>
      </c>
      <c r="AK42" s="2">
        <v>46073.43194444444</v>
      </c>
      <c r="AL42" s="2">
        <v>46073.43194444444</v>
      </c>
      <c r="AM42" s="2">
        <v>46073.43273148148</v>
      </c>
      <c r="AO42" s="2">
        <v>46073.43273148148</v>
      </c>
      <c r="AQ42" s="2">
        <v>46073.432754629626</v>
      </c>
      <c r="AR42" s="2">
        <v>46073.43273148148</v>
      </c>
      <c r="AS42" s="2">
        <v>46073.432754629626</v>
      </c>
      <c r="AU42" s="3"/>
      <c r="AV42" s="2">
        <v>46073.432754629626</v>
      </c>
      <c r="AW42" s="2">
        <v>46073.432754629626</v>
      </c>
      <c r="AX42" s="2">
        <v>46073.432858796295</v>
      </c>
      <c r="AY42" s="2">
        <v>46073.44734953704</v>
      </c>
      <c r="BA42" s="2">
        <v>46073.44981481481</v>
      </c>
      <c r="BB42" s="2">
        <v>46073.44981481481</v>
      </c>
      <c r="BC42" s="5">
        <v>1087.0</v>
      </c>
      <c r="BD42" s="5">
        <v>1087.0</v>
      </c>
      <c r="BE42" s="5">
        <v>271.0</v>
      </c>
      <c r="BF42" s="5">
        <v>271.0</v>
      </c>
      <c r="BG42" s="3"/>
      <c r="BH42" s="3"/>
      <c r="BI42" s="5">
        <v>2.0</v>
      </c>
      <c r="BJ42" s="5">
        <v>2.0</v>
      </c>
      <c r="BK42" s="5">
        <v>69.0</v>
      </c>
      <c r="BL42" s="5">
        <v>69.0</v>
      </c>
      <c r="BM42" s="5">
        <v>78.0</v>
      </c>
      <c r="BN42" s="5">
        <v>78.0</v>
      </c>
      <c r="BO42" s="5">
        <v>78.0</v>
      </c>
      <c r="BP42" s="5">
        <v>78.0</v>
      </c>
      <c r="BQ42" s="5">
        <v>8.0</v>
      </c>
      <c r="BR42" s="5">
        <v>8.0</v>
      </c>
      <c r="BS42" s="5">
        <v>8.0</v>
      </c>
      <c r="BT42" s="5">
        <v>8.0</v>
      </c>
      <c r="BU42" s="5">
        <v>11.0</v>
      </c>
      <c r="BV42" s="5">
        <v>11.0</v>
      </c>
      <c r="BW42" s="5">
        <v>1543.0</v>
      </c>
      <c r="BX42" s="5">
        <v>1543.0</v>
      </c>
      <c r="BY42" s="5">
        <v>1543.0</v>
      </c>
      <c r="BZ42" s="5">
        <v>1543.0</v>
      </c>
      <c r="CA42" s="5">
        <v>1543.0</v>
      </c>
      <c r="CB42" s="5">
        <v>1543.0</v>
      </c>
      <c r="CC42" s="5">
        <v>1473.0</v>
      </c>
      <c r="CD42" s="5">
        <v>1473.0</v>
      </c>
      <c r="CE42" s="5">
        <v>1473.0</v>
      </c>
      <c r="CF42" s="5">
        <v>1473.0</v>
      </c>
      <c r="CG42" s="5">
        <v>1476.0</v>
      </c>
      <c r="CH42" s="5">
        <v>1476.0</v>
      </c>
      <c r="CI42" s="5">
        <v>1473.0</v>
      </c>
      <c r="CJ42" s="5">
        <v>1473.0</v>
      </c>
      <c r="CK42" s="5">
        <v>1473.0</v>
      </c>
      <c r="CL42" s="5">
        <v>1473.0</v>
      </c>
      <c r="CM42" s="3"/>
      <c r="CN42" s="5">
        <v>67.0</v>
      </c>
      <c r="CO42" s="3"/>
      <c r="CP42" s="4" t="s">
        <v>319</v>
      </c>
    </row>
    <row r="43">
      <c r="A43" s="1" t="s">
        <v>320</v>
      </c>
      <c r="B43" s="2">
        <v>46073.42917824074</v>
      </c>
      <c r="C43" s="1" t="s">
        <v>321</v>
      </c>
      <c r="D43" s="3"/>
      <c r="E43" s="3"/>
      <c r="F43" s="3"/>
      <c r="G43" s="3"/>
      <c r="H43" s="1" t="s">
        <v>98</v>
      </c>
      <c r="I43" s="1" t="s">
        <v>99</v>
      </c>
      <c r="J43" s="1" t="b">
        <v>0</v>
      </c>
      <c r="K43" s="4" t="s">
        <v>100</v>
      </c>
      <c r="L43" s="1" t="s">
        <v>322</v>
      </c>
      <c r="N43" s="3"/>
      <c r="O43" s="3"/>
      <c r="P43" s="3"/>
      <c r="Q43" s="3"/>
      <c r="R43" s="1" t="s">
        <v>102</v>
      </c>
      <c r="S43" s="3"/>
      <c r="T43" s="3"/>
      <c r="U43" s="1" t="s">
        <v>282</v>
      </c>
      <c r="V43" s="3"/>
      <c r="W43" s="1" t="s">
        <v>104</v>
      </c>
      <c r="X43" s="3"/>
      <c r="Y43" s="1" t="b">
        <v>0</v>
      </c>
      <c r="Z43" s="1" t="b">
        <v>0</v>
      </c>
      <c r="AA43" s="1" t="b">
        <v>0</v>
      </c>
      <c r="AB43" s="1" t="b">
        <v>0</v>
      </c>
      <c r="AC43" s="1" t="b">
        <v>1</v>
      </c>
      <c r="AD43" s="3"/>
      <c r="AE43" s="3"/>
      <c r="AF43" s="3"/>
      <c r="AG43" s="3"/>
      <c r="AH43" s="2">
        <v>46073.42909722222</v>
      </c>
      <c r="AI43" s="2">
        <v>46074.4296412037</v>
      </c>
      <c r="AK43" s="2">
        <v>46073.42917824074</v>
      </c>
      <c r="AL43" s="2">
        <v>46073.42917824074</v>
      </c>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5">
        <v>2.8</v>
      </c>
      <c r="CP43" s="4" t="s">
        <v>323</v>
      </c>
    </row>
    <row r="44">
      <c r="A44" s="1" t="s">
        <v>324</v>
      </c>
      <c r="B44" s="2">
        <v>46073.42592592593</v>
      </c>
      <c r="C44" s="1" t="s">
        <v>325</v>
      </c>
      <c r="D44" s="3"/>
      <c r="E44" s="3"/>
      <c r="F44" s="1" t="s">
        <v>326</v>
      </c>
      <c r="G44" s="1" t="s">
        <v>149</v>
      </c>
      <c r="H44" s="1" t="s">
        <v>98</v>
      </c>
      <c r="I44" s="1" t="s">
        <v>99</v>
      </c>
      <c r="J44" s="1" t="b">
        <v>0</v>
      </c>
      <c r="K44" s="4" t="s">
        <v>100</v>
      </c>
      <c r="L44" s="1" t="s">
        <v>327</v>
      </c>
      <c r="M44" s="1">
        <v>574085.0</v>
      </c>
      <c r="N44" s="1">
        <v>574085.0</v>
      </c>
      <c r="O44" s="1">
        <v>574085.0</v>
      </c>
      <c r="P44" s="1" t="s">
        <v>205</v>
      </c>
      <c r="Q44" s="1">
        <v>13285.0</v>
      </c>
      <c r="R44" s="1" t="s">
        <v>102</v>
      </c>
      <c r="S44" s="3"/>
      <c r="T44" s="3"/>
      <c r="U44" s="1" t="s">
        <v>123</v>
      </c>
      <c r="V44" s="3"/>
      <c r="W44" s="1" t="s">
        <v>114</v>
      </c>
      <c r="X44" s="3"/>
      <c r="Y44" s="1" t="b">
        <v>1</v>
      </c>
      <c r="Z44" s="1" t="b">
        <v>0</v>
      </c>
      <c r="AA44" s="1" t="b">
        <v>0</v>
      </c>
      <c r="AB44" s="1" t="b">
        <v>1</v>
      </c>
      <c r="AC44" s="1" t="b">
        <v>1</v>
      </c>
      <c r="AD44" s="5">
        <v>9.0</v>
      </c>
      <c r="AE44" s="5">
        <v>9.0</v>
      </c>
      <c r="AF44" s="3"/>
      <c r="AG44" s="3"/>
      <c r="AH44" s="2">
        <v>46073.42575231481</v>
      </c>
      <c r="AI44" s="2">
        <v>46073.62966435185</v>
      </c>
      <c r="AJ44" s="2">
        <v>46073.58798611111</v>
      </c>
      <c r="AK44" s="2">
        <v>46073.42592592593</v>
      </c>
      <c r="AL44" s="2">
        <v>46073.42592592593</v>
      </c>
      <c r="AM44" s="2">
        <v>46073.425983796296</v>
      </c>
      <c r="AO44" s="2">
        <v>46073.425983796296</v>
      </c>
      <c r="AQ44" s="2">
        <v>46073.42600694444</v>
      </c>
      <c r="AR44" s="2">
        <v>46073.425983796296</v>
      </c>
      <c r="AS44" s="2">
        <v>46073.42600694444</v>
      </c>
      <c r="AU44" s="3"/>
      <c r="AV44" s="2">
        <v>46073.42600694444</v>
      </c>
      <c r="AW44" s="2">
        <v>46073.42600694444</v>
      </c>
      <c r="AX44" s="2">
        <v>46073.42663194444</v>
      </c>
      <c r="AY44" s="2">
        <v>46073.58789351852</v>
      </c>
      <c r="BA44" s="2">
        <v>46073.58798611111</v>
      </c>
      <c r="BB44" s="2">
        <v>46073.58798611111</v>
      </c>
      <c r="BC44" s="5">
        <v>9466.0</v>
      </c>
      <c r="BD44" s="5">
        <v>9466.0</v>
      </c>
      <c r="BE44" s="5">
        <v>1051.0</v>
      </c>
      <c r="BF44" s="5">
        <v>1051.0</v>
      </c>
      <c r="BG44" s="3"/>
      <c r="BH44" s="3"/>
      <c r="BI44" s="5">
        <v>1.0</v>
      </c>
      <c r="BJ44" s="5">
        <v>1.0</v>
      </c>
      <c r="BK44" s="5">
        <v>6.0</v>
      </c>
      <c r="BL44" s="5">
        <v>6.0</v>
      </c>
      <c r="BM44" s="5">
        <v>60.0</v>
      </c>
      <c r="BN44" s="5">
        <v>60.0</v>
      </c>
      <c r="BO44" s="5">
        <v>60.0</v>
      </c>
      <c r="BP44" s="5">
        <v>60.0</v>
      </c>
      <c r="BQ44" s="5">
        <v>54.0</v>
      </c>
      <c r="BR44" s="5">
        <v>54.0</v>
      </c>
      <c r="BS44" s="5">
        <v>54.0</v>
      </c>
      <c r="BT44" s="5">
        <v>54.0</v>
      </c>
      <c r="BU44" s="5">
        <v>55.0</v>
      </c>
      <c r="BV44" s="5">
        <v>55.0</v>
      </c>
      <c r="BW44" s="5">
        <v>14001.0</v>
      </c>
      <c r="BX44" s="5">
        <v>10401.0</v>
      </c>
      <c r="BY44" s="5">
        <v>14001.0</v>
      </c>
      <c r="BZ44" s="5">
        <v>10401.0</v>
      </c>
      <c r="CA44" s="5">
        <v>14001.0</v>
      </c>
      <c r="CB44" s="5">
        <v>10401.0</v>
      </c>
      <c r="CC44" s="5">
        <v>13995.0</v>
      </c>
      <c r="CD44" s="5">
        <v>10395.0</v>
      </c>
      <c r="CE44" s="5">
        <v>13994.0</v>
      </c>
      <c r="CF44" s="5">
        <v>10394.0</v>
      </c>
      <c r="CG44" s="5">
        <v>13996.0</v>
      </c>
      <c r="CH44" s="5">
        <v>10396.0</v>
      </c>
      <c r="CI44" s="5">
        <v>13994.0</v>
      </c>
      <c r="CJ44" s="5">
        <v>10394.0</v>
      </c>
      <c r="CK44" s="5">
        <v>13994.0</v>
      </c>
      <c r="CL44" s="5">
        <v>10394.0</v>
      </c>
      <c r="CM44" s="3"/>
      <c r="CN44" s="5">
        <v>4.0</v>
      </c>
      <c r="CO44" s="3"/>
      <c r="CP44" s="4" t="s">
        <v>328</v>
      </c>
    </row>
    <row r="45">
      <c r="A45" s="1" t="s">
        <v>329</v>
      </c>
      <c r="B45" s="2">
        <v>46073.39052083333</v>
      </c>
      <c r="C45" s="1" t="s">
        <v>330</v>
      </c>
      <c r="D45" s="3"/>
      <c r="E45" s="3"/>
      <c r="F45" s="3"/>
      <c r="G45" s="3"/>
      <c r="H45" s="1" t="s">
        <v>98</v>
      </c>
      <c r="I45" s="1" t="s">
        <v>99</v>
      </c>
      <c r="J45" s="1" t="b">
        <v>0</v>
      </c>
      <c r="K45" s="4" t="s">
        <v>100</v>
      </c>
      <c r="L45" s="1" t="s">
        <v>331</v>
      </c>
      <c r="N45" s="3"/>
      <c r="O45" s="3"/>
      <c r="P45" s="3"/>
      <c r="Q45" s="3"/>
      <c r="R45" s="1" t="s">
        <v>102</v>
      </c>
      <c r="S45" s="3"/>
      <c r="T45" s="3"/>
      <c r="U45" s="1" t="s">
        <v>282</v>
      </c>
      <c r="V45" s="3"/>
      <c r="W45" s="1" t="s">
        <v>104</v>
      </c>
      <c r="X45" s="3"/>
      <c r="Y45" s="1" t="b">
        <v>0</v>
      </c>
      <c r="Z45" s="1" t="b">
        <v>0</v>
      </c>
      <c r="AA45" s="1" t="b">
        <v>0</v>
      </c>
      <c r="AB45" s="1" t="b">
        <v>0</v>
      </c>
      <c r="AC45" s="1" t="b">
        <v>1</v>
      </c>
      <c r="AD45" s="3"/>
      <c r="AE45" s="3"/>
      <c r="AF45" s="3"/>
      <c r="AG45" s="3"/>
      <c r="AH45" s="2">
        <v>46073.390497685185</v>
      </c>
      <c r="AI45" s="2">
        <v>46074.39074074074</v>
      </c>
      <c r="AK45" s="2">
        <v>46073.39052083333</v>
      </c>
      <c r="AL45" s="2">
        <v>46073.39052083333</v>
      </c>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5">
        <v>5.0</v>
      </c>
      <c r="CP45" s="4" t="s">
        <v>332</v>
      </c>
    </row>
    <row r="46">
      <c r="A46" s="1" t="s">
        <v>333</v>
      </c>
      <c r="B46" s="2">
        <v>46073.38885416667</v>
      </c>
      <c r="C46" s="1" t="s">
        <v>334</v>
      </c>
      <c r="D46" s="3"/>
      <c r="E46" s="3"/>
      <c r="F46" s="3"/>
      <c r="G46" s="3"/>
      <c r="H46" s="1" t="s">
        <v>98</v>
      </c>
      <c r="I46" s="1" t="s">
        <v>99</v>
      </c>
      <c r="J46" s="1" t="b">
        <v>0</v>
      </c>
      <c r="K46" s="4" t="s">
        <v>100</v>
      </c>
      <c r="L46" s="1" t="s">
        <v>335</v>
      </c>
      <c r="N46" s="3"/>
      <c r="O46" s="3"/>
      <c r="P46" s="3"/>
      <c r="Q46" s="3"/>
      <c r="R46" s="1" t="s">
        <v>102</v>
      </c>
      <c r="S46" s="3"/>
      <c r="T46" s="3"/>
      <c r="U46" s="1" t="s">
        <v>282</v>
      </c>
      <c r="V46" s="3"/>
      <c r="W46" s="1" t="s">
        <v>104</v>
      </c>
      <c r="X46" s="3"/>
      <c r="Y46" s="1" t="b">
        <v>0</v>
      </c>
      <c r="Z46" s="1" t="b">
        <v>0</v>
      </c>
      <c r="AA46" s="1" t="b">
        <v>0</v>
      </c>
      <c r="AB46" s="1" t="b">
        <v>0</v>
      </c>
      <c r="AC46" s="1" t="b">
        <v>1</v>
      </c>
      <c r="AD46" s="3"/>
      <c r="AE46" s="3"/>
      <c r="AF46" s="3"/>
      <c r="AG46" s="3"/>
      <c r="AH46" s="2">
        <v>46073.388645833336</v>
      </c>
      <c r="AI46" s="2">
        <v>46074.39365740741</v>
      </c>
      <c r="AK46" s="2">
        <v>46073.38885416667</v>
      </c>
      <c r="AL46" s="2">
        <v>46073.38885416667</v>
      </c>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5">
        <v>1.4</v>
      </c>
      <c r="CP46" s="4" t="s">
        <v>336</v>
      </c>
    </row>
    <row r="47">
      <c r="A47" s="1" t="s">
        <v>337</v>
      </c>
      <c r="B47" s="2">
        <v>46073.380740740744</v>
      </c>
      <c r="C47" s="1" t="s">
        <v>183</v>
      </c>
      <c r="D47" s="3"/>
      <c r="E47" s="3"/>
      <c r="F47" s="3"/>
      <c r="G47" s="3"/>
      <c r="H47" s="1" t="s">
        <v>98</v>
      </c>
      <c r="I47" s="1" t="s">
        <v>99</v>
      </c>
      <c r="J47" s="1" t="b">
        <v>0</v>
      </c>
      <c r="K47" s="4" t="s">
        <v>100</v>
      </c>
      <c r="L47" s="1" t="s">
        <v>186</v>
      </c>
      <c r="N47" s="3"/>
      <c r="O47" s="3"/>
      <c r="P47" s="3"/>
      <c r="Q47" s="3"/>
      <c r="R47" s="1" t="s">
        <v>102</v>
      </c>
      <c r="S47" s="3"/>
      <c r="T47" s="3"/>
      <c r="U47" s="1" t="s">
        <v>282</v>
      </c>
      <c r="V47" s="3"/>
      <c r="W47" s="1" t="s">
        <v>104</v>
      </c>
      <c r="X47" s="3"/>
      <c r="Y47" s="1" t="b">
        <v>0</v>
      </c>
      <c r="Z47" s="1" t="b">
        <v>0</v>
      </c>
      <c r="AA47" s="1" t="b">
        <v>0</v>
      </c>
      <c r="AB47" s="1" t="b">
        <v>0</v>
      </c>
      <c r="AC47" s="1" t="b">
        <v>1</v>
      </c>
      <c r="AD47" s="3"/>
      <c r="AE47" s="3"/>
      <c r="AF47" s="3"/>
      <c r="AG47" s="3"/>
      <c r="AH47" s="2">
        <v>46073.380428240744</v>
      </c>
      <c r="AI47" s="2">
        <v>46074.38085648148</v>
      </c>
      <c r="AK47" s="2">
        <v>46073.380740740744</v>
      </c>
      <c r="AL47" s="2">
        <v>46073.380740740744</v>
      </c>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5">
        <v>5.0</v>
      </c>
      <c r="CP47" s="4" t="s">
        <v>338</v>
      </c>
    </row>
    <row r="48">
      <c r="A48" s="1" t="s">
        <v>339</v>
      </c>
      <c r="B48" s="2">
        <v>46073.37436342592</v>
      </c>
      <c r="C48" s="1" t="s">
        <v>340</v>
      </c>
      <c r="D48" s="3"/>
      <c r="E48" s="3"/>
      <c r="F48" s="3"/>
      <c r="G48" s="3"/>
      <c r="H48" s="1" t="s">
        <v>98</v>
      </c>
      <c r="I48" s="1" t="s">
        <v>99</v>
      </c>
      <c r="J48" s="1" t="b">
        <v>0</v>
      </c>
      <c r="K48" s="4" t="s">
        <v>100</v>
      </c>
      <c r="L48" s="1" t="s">
        <v>341</v>
      </c>
      <c r="N48" s="3"/>
      <c r="O48" s="3"/>
      <c r="P48" s="3"/>
      <c r="Q48" s="3"/>
      <c r="R48" s="1" t="s">
        <v>102</v>
      </c>
      <c r="S48" s="3"/>
      <c r="T48" s="3"/>
      <c r="U48" s="1" t="s">
        <v>282</v>
      </c>
      <c r="V48" s="3"/>
      <c r="W48" s="1" t="s">
        <v>104</v>
      </c>
      <c r="X48" s="3"/>
      <c r="Y48" s="1" t="b">
        <v>0</v>
      </c>
      <c r="Z48" s="1" t="b">
        <v>0</v>
      </c>
      <c r="AA48" s="1" t="b">
        <v>0</v>
      </c>
      <c r="AB48" s="1" t="b">
        <v>0</v>
      </c>
      <c r="AC48" s="1" t="b">
        <v>1</v>
      </c>
      <c r="AD48" s="3"/>
      <c r="AE48" s="3"/>
      <c r="AF48" s="3"/>
      <c r="AG48" s="3"/>
      <c r="AH48" s="2">
        <v>46073.37427083333</v>
      </c>
      <c r="AI48" s="2">
        <v>46074.37537037037</v>
      </c>
      <c r="AK48" s="2">
        <v>46073.37436342592</v>
      </c>
      <c r="AL48" s="2">
        <v>46073.37436342592</v>
      </c>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5">
        <v>3.4</v>
      </c>
      <c r="CP48" s="4" t="s">
        <v>342</v>
      </c>
    </row>
    <row r="49">
      <c r="A49" s="1" t="s">
        <v>343</v>
      </c>
      <c r="B49" s="2">
        <v>46073.370729166665</v>
      </c>
      <c r="C49" s="1" t="s">
        <v>344</v>
      </c>
      <c r="D49" s="3"/>
      <c r="E49" s="3"/>
      <c r="F49" s="3"/>
      <c r="G49" s="3"/>
      <c r="H49" s="1" t="s">
        <v>98</v>
      </c>
      <c r="I49" s="1" t="s">
        <v>99</v>
      </c>
      <c r="J49" s="1" t="b">
        <v>0</v>
      </c>
      <c r="K49" s="4" t="s">
        <v>100</v>
      </c>
      <c r="L49" s="1" t="s">
        <v>345</v>
      </c>
      <c r="N49" s="3"/>
      <c r="O49" s="3"/>
      <c r="P49" s="3"/>
      <c r="Q49" s="3"/>
      <c r="R49" s="1" t="s">
        <v>102</v>
      </c>
      <c r="S49" s="3"/>
      <c r="T49" s="3"/>
      <c r="U49" s="1" t="s">
        <v>282</v>
      </c>
      <c r="V49" s="3"/>
      <c r="W49" s="1" t="s">
        <v>104</v>
      </c>
      <c r="X49" s="3"/>
      <c r="Y49" s="1" t="b">
        <v>0</v>
      </c>
      <c r="Z49" s="1" t="b">
        <v>0</v>
      </c>
      <c r="AA49" s="1" t="b">
        <v>0</v>
      </c>
      <c r="AB49" s="1" t="b">
        <v>0</v>
      </c>
      <c r="AC49" s="1" t="b">
        <v>1</v>
      </c>
      <c r="AD49" s="3"/>
      <c r="AE49" s="3"/>
      <c r="AF49" s="3"/>
      <c r="AG49" s="3"/>
      <c r="AH49" s="2">
        <v>46073.37059027778</v>
      </c>
      <c r="AI49" s="2">
        <v>46074.37094907407</v>
      </c>
      <c r="AK49" s="2">
        <v>46073.370729166665</v>
      </c>
      <c r="AL49" s="2">
        <v>46073.370729166665</v>
      </c>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5">
        <v>3.6</v>
      </c>
      <c r="CP49" s="4" t="s">
        <v>346</v>
      </c>
    </row>
    <row r="50">
      <c r="A50" s="1" t="s">
        <v>347</v>
      </c>
      <c r="B50" s="2">
        <v>46073.34884259259</v>
      </c>
      <c r="C50" s="1" t="s">
        <v>325</v>
      </c>
      <c r="D50" s="3"/>
      <c r="E50" s="3"/>
      <c r="F50" s="1" t="s">
        <v>348</v>
      </c>
      <c r="G50" s="1" t="s">
        <v>149</v>
      </c>
      <c r="H50" s="1" t="s">
        <v>98</v>
      </c>
      <c r="I50" s="1" t="s">
        <v>99</v>
      </c>
      <c r="J50" s="1" t="b">
        <v>0</v>
      </c>
      <c r="K50" s="4" t="s">
        <v>100</v>
      </c>
      <c r="L50" s="1" t="s">
        <v>349</v>
      </c>
      <c r="M50" s="1">
        <v>594863.0</v>
      </c>
      <c r="N50" s="1">
        <v>594863.0</v>
      </c>
      <c r="O50" s="1">
        <v>594863.0</v>
      </c>
      <c r="P50" s="1">
        <v>594863.0</v>
      </c>
      <c r="Q50" s="1">
        <v>13288.0</v>
      </c>
      <c r="R50" s="1" t="s">
        <v>102</v>
      </c>
      <c r="S50" s="3"/>
      <c r="T50" s="3"/>
      <c r="U50" s="1" t="s">
        <v>123</v>
      </c>
      <c r="V50" s="3"/>
      <c r="W50" s="1" t="s">
        <v>114</v>
      </c>
      <c r="X50" s="3"/>
      <c r="Y50" s="1" t="b">
        <v>1</v>
      </c>
      <c r="Z50" s="1" t="b">
        <v>0</v>
      </c>
      <c r="AA50" s="1" t="b">
        <v>0</v>
      </c>
      <c r="AB50" s="1" t="b">
        <v>1</v>
      </c>
      <c r="AC50" s="1" t="b">
        <v>1</v>
      </c>
      <c r="AD50" s="5">
        <v>1.0</v>
      </c>
      <c r="AE50" s="3"/>
      <c r="AF50" s="3"/>
      <c r="AG50" s="3"/>
      <c r="AH50" s="2">
        <v>46073.348703703705</v>
      </c>
      <c r="AI50" s="2">
        <v>46073.506377314814</v>
      </c>
      <c r="AJ50" s="2">
        <v>46073.34931712963</v>
      </c>
      <c r="AK50" s="2">
        <v>46073.34884259259</v>
      </c>
      <c r="AL50" s="2">
        <v>46073.34884259259</v>
      </c>
      <c r="AM50" s="2">
        <v>46073.34921296296</v>
      </c>
      <c r="AN50" s="2">
        <v>46073.34935185185</v>
      </c>
      <c r="AP50" s="3"/>
      <c r="AQ50" s="3"/>
      <c r="AR50" s="2">
        <v>46073.34931712963</v>
      </c>
      <c r="AS50" s="2">
        <v>46073.34931712963</v>
      </c>
      <c r="AU50" s="3"/>
      <c r="AV50" s="2">
        <v>46073.35402777778</v>
      </c>
      <c r="AW50" s="2">
        <v>46073.34931712963</v>
      </c>
      <c r="AX50" s="2">
        <v>46073.422430555554</v>
      </c>
      <c r="AY50" s="2">
        <v>46073.422430555554</v>
      </c>
      <c r="BA50" s="2">
        <v>46073.46469907407</v>
      </c>
      <c r="BB50" s="2">
        <v>46073.46469907407</v>
      </c>
      <c r="BC50" s="5">
        <v>6251.0</v>
      </c>
      <c r="BD50" s="3"/>
      <c r="BE50" s="5">
        <v>6251.0</v>
      </c>
      <c r="BF50" s="3"/>
      <c r="BG50" s="3"/>
      <c r="BH50" s="3"/>
      <c r="BI50" s="3"/>
      <c r="BJ50" s="3"/>
      <c r="BK50" s="5">
        <v>448.0</v>
      </c>
      <c r="BL50" s="5">
        <v>0.0</v>
      </c>
      <c r="BM50" s="5">
        <v>6358.0</v>
      </c>
      <c r="BN50" s="5">
        <v>498.0</v>
      </c>
      <c r="BO50" s="5">
        <v>6358.0</v>
      </c>
      <c r="BP50" s="5">
        <v>498.0</v>
      </c>
      <c r="BQ50" s="5">
        <v>5910.0</v>
      </c>
      <c r="BR50" s="5">
        <v>498.0</v>
      </c>
      <c r="BS50" s="5">
        <v>6316.0</v>
      </c>
      <c r="BT50" s="5">
        <v>498.0</v>
      </c>
      <c r="BU50" s="5">
        <v>6316.0</v>
      </c>
      <c r="BV50" s="5">
        <v>498.0</v>
      </c>
      <c r="BW50" s="5">
        <v>10010.0</v>
      </c>
      <c r="BX50" s="5">
        <v>4150.0</v>
      </c>
      <c r="BY50" s="5">
        <v>10010.0</v>
      </c>
      <c r="BZ50" s="5">
        <v>4150.0</v>
      </c>
      <c r="CA50" s="5">
        <v>10010.0</v>
      </c>
      <c r="CB50" s="5">
        <v>4150.0</v>
      </c>
      <c r="CC50" s="5">
        <v>9562.0</v>
      </c>
      <c r="CD50" s="5">
        <v>4150.0</v>
      </c>
      <c r="CE50" s="5">
        <v>9968.0</v>
      </c>
      <c r="CF50" s="5">
        <v>4150.0</v>
      </c>
      <c r="CG50" s="5">
        <v>9968.0</v>
      </c>
      <c r="CH50" s="5">
        <v>4150.0</v>
      </c>
      <c r="CI50" s="5">
        <v>9968.0</v>
      </c>
      <c r="CJ50" s="5">
        <v>4150.0</v>
      </c>
      <c r="CK50" s="5">
        <v>9968.0</v>
      </c>
      <c r="CL50" s="5">
        <v>4150.0</v>
      </c>
      <c r="CM50" s="5">
        <v>3.0</v>
      </c>
      <c r="CN50" s="5">
        <v>32.0</v>
      </c>
      <c r="CO50" s="3"/>
      <c r="CP50" s="4" t="s">
        <v>350</v>
      </c>
    </row>
  </sheetData>
  <mergeCells count="211">
    <mergeCell ref="CP11:CR11"/>
    <mergeCell ref="CP12:CR12"/>
    <mergeCell ref="CP13:CR13"/>
    <mergeCell ref="CP14:CR14"/>
    <mergeCell ref="CP15:CR15"/>
    <mergeCell ref="CP16:CR16"/>
    <mergeCell ref="CP17:CR17"/>
    <mergeCell ref="CP18:CR18"/>
    <mergeCell ref="CP19:CR19"/>
    <mergeCell ref="CP20:CR20"/>
    <mergeCell ref="CP21:CR21"/>
    <mergeCell ref="CP23:CR23"/>
    <mergeCell ref="CP24:CR24"/>
    <mergeCell ref="CP26:CR26"/>
    <mergeCell ref="CP27:CR27"/>
    <mergeCell ref="CP28:CR28"/>
    <mergeCell ref="CP29:CR29"/>
    <mergeCell ref="CP31:CR31"/>
    <mergeCell ref="CP32:CR32"/>
    <mergeCell ref="CP33:CR33"/>
    <mergeCell ref="CP34:CR34"/>
    <mergeCell ref="CP35:CR35"/>
    <mergeCell ref="CP36:CR36"/>
    <mergeCell ref="CP37:CR37"/>
    <mergeCell ref="CP38:CR38"/>
    <mergeCell ref="CP39:CR39"/>
    <mergeCell ref="CP40:CR40"/>
    <mergeCell ref="CP41:CR41"/>
    <mergeCell ref="CP49:CR49"/>
    <mergeCell ref="CP50:CR50"/>
    <mergeCell ref="CP42:CR42"/>
    <mergeCell ref="CP43:CR43"/>
    <mergeCell ref="CP44:CR44"/>
    <mergeCell ref="CP45:CR45"/>
    <mergeCell ref="CP46:CR46"/>
    <mergeCell ref="CP47:CR47"/>
    <mergeCell ref="CP48:CR48"/>
    <mergeCell ref="AS2:AT2"/>
    <mergeCell ref="AW2:AX2"/>
    <mergeCell ref="L3:M3"/>
    <mergeCell ref="AK3:AL3"/>
    <mergeCell ref="AN3:AO3"/>
    <mergeCell ref="AS3:AT3"/>
    <mergeCell ref="AW3:AX3"/>
    <mergeCell ref="AS4:AT4"/>
    <mergeCell ref="AY4:AZ4"/>
    <mergeCell ref="AS5:AT5"/>
    <mergeCell ref="AY5:AZ5"/>
    <mergeCell ref="AS6:AT6"/>
    <mergeCell ref="AY6:AZ6"/>
    <mergeCell ref="F7:G7"/>
    <mergeCell ref="AS7:AT7"/>
    <mergeCell ref="AW7:AX7"/>
    <mergeCell ref="BB7:BC7"/>
    <mergeCell ref="AS8:AT8"/>
    <mergeCell ref="AY8:AZ8"/>
    <mergeCell ref="AS9:AT9"/>
    <mergeCell ref="AY9:AZ9"/>
    <mergeCell ref="CP2:CR2"/>
    <mergeCell ref="CP3:CR3"/>
    <mergeCell ref="CP4:CR4"/>
    <mergeCell ref="CP6:CR6"/>
    <mergeCell ref="CP7:CR7"/>
    <mergeCell ref="CP9:CR9"/>
    <mergeCell ref="CP10:CR10"/>
    <mergeCell ref="AN13:AO13"/>
    <mergeCell ref="AN14:AO14"/>
    <mergeCell ref="AS14:AT14"/>
    <mergeCell ref="AY12:AZ12"/>
    <mergeCell ref="AY14:AZ14"/>
    <mergeCell ref="AS10:AT10"/>
    <mergeCell ref="AW10:AX10"/>
    <mergeCell ref="BB10:BC10"/>
    <mergeCell ref="AS11:AT11"/>
    <mergeCell ref="AY11:AZ11"/>
    <mergeCell ref="AS12:AT12"/>
    <mergeCell ref="AS13:AT13"/>
    <mergeCell ref="AS22:AT22"/>
    <mergeCell ref="AS23:AT23"/>
    <mergeCell ref="AS26:AT26"/>
    <mergeCell ref="AS17:AT17"/>
    <mergeCell ref="AS18:AT18"/>
    <mergeCell ref="AS19:AT19"/>
    <mergeCell ref="AS20:AT20"/>
    <mergeCell ref="AS21:AT21"/>
    <mergeCell ref="AO22:AP22"/>
    <mergeCell ref="AO23:AP23"/>
    <mergeCell ref="AK10:AL10"/>
    <mergeCell ref="AK13:AL13"/>
    <mergeCell ref="AK14:AL14"/>
    <mergeCell ref="AK15:AL15"/>
    <mergeCell ref="AK16:AL16"/>
    <mergeCell ref="AO5:AP5"/>
    <mergeCell ref="AO7:AP7"/>
    <mergeCell ref="AK8:AL8"/>
    <mergeCell ref="AN8:AO8"/>
    <mergeCell ref="AN10:AO10"/>
    <mergeCell ref="AO11:AP11"/>
    <mergeCell ref="AO12:AP12"/>
    <mergeCell ref="AY16:AZ16"/>
    <mergeCell ref="AY17:AZ17"/>
    <mergeCell ref="AY19:AZ19"/>
    <mergeCell ref="AY20:AZ20"/>
    <mergeCell ref="AW21:AX21"/>
    <mergeCell ref="BB21:BC21"/>
    <mergeCell ref="AY22:AZ22"/>
    <mergeCell ref="AO18:AP18"/>
    <mergeCell ref="AO19:AP19"/>
    <mergeCell ref="P20:Q20"/>
    <mergeCell ref="AK20:AL20"/>
    <mergeCell ref="AN20:AO20"/>
    <mergeCell ref="F21:G21"/>
    <mergeCell ref="AK21:AL21"/>
    <mergeCell ref="AN21:AO21"/>
    <mergeCell ref="AO15:AP15"/>
    <mergeCell ref="AS15:AT15"/>
    <mergeCell ref="AY15:AZ15"/>
    <mergeCell ref="AN16:AO16"/>
    <mergeCell ref="AS16:AT16"/>
    <mergeCell ref="AO17:AP17"/>
    <mergeCell ref="AY18:AZ18"/>
    <mergeCell ref="AO24:AP24"/>
    <mergeCell ref="AS24:AT24"/>
    <mergeCell ref="AY24:AZ24"/>
    <mergeCell ref="AW27:AX27"/>
    <mergeCell ref="BB27:BC27"/>
    <mergeCell ref="AL34:AM34"/>
    <mergeCell ref="AL35:AM35"/>
    <mergeCell ref="AI36:AJ36"/>
    <mergeCell ref="AL36:AM36"/>
    <mergeCell ref="AO37:AP37"/>
    <mergeCell ref="AY37:AZ37"/>
    <mergeCell ref="AL38:AM38"/>
    <mergeCell ref="AI38:AJ38"/>
    <mergeCell ref="AI39:AJ39"/>
    <mergeCell ref="AL39:AM39"/>
    <mergeCell ref="AI40:AJ40"/>
    <mergeCell ref="AL40:AM40"/>
    <mergeCell ref="AI41:AJ41"/>
    <mergeCell ref="BB41:BC41"/>
    <mergeCell ref="AM44:AN44"/>
    <mergeCell ref="AO44:AP44"/>
    <mergeCell ref="AS44:AT44"/>
    <mergeCell ref="AY44:AZ44"/>
    <mergeCell ref="AL41:AM41"/>
    <mergeCell ref="AM42:AN42"/>
    <mergeCell ref="AO42:AP42"/>
    <mergeCell ref="AS42:AT42"/>
    <mergeCell ref="AY42:AZ42"/>
    <mergeCell ref="AI43:AJ43"/>
    <mergeCell ref="AL43:AM43"/>
    <mergeCell ref="AL46:AM46"/>
    <mergeCell ref="AL47:AM47"/>
    <mergeCell ref="AL49:AM49"/>
    <mergeCell ref="AN50:AO50"/>
    <mergeCell ref="AS50:AT50"/>
    <mergeCell ref="AY50:AZ50"/>
    <mergeCell ref="AI47:AJ47"/>
    <mergeCell ref="AI48:AJ48"/>
    <mergeCell ref="AI49:AJ49"/>
    <mergeCell ref="L48:M48"/>
    <mergeCell ref="L49:M49"/>
    <mergeCell ref="L41:M41"/>
    <mergeCell ref="L43:M43"/>
    <mergeCell ref="L45:M45"/>
    <mergeCell ref="AI45:AJ45"/>
    <mergeCell ref="AL45:AM45"/>
    <mergeCell ref="AI46:AJ46"/>
    <mergeCell ref="AL48:AM48"/>
    <mergeCell ref="AO25:AP25"/>
    <mergeCell ref="AS25:AT25"/>
    <mergeCell ref="AY25:AZ25"/>
    <mergeCell ref="AY26:AZ26"/>
    <mergeCell ref="F27:G27"/>
    <mergeCell ref="AS27:AT27"/>
    <mergeCell ref="F28:G28"/>
    <mergeCell ref="AO27:AP27"/>
    <mergeCell ref="AO28:AP28"/>
    <mergeCell ref="AK29:AL29"/>
    <mergeCell ref="AO29:AP29"/>
    <mergeCell ref="AK30:AL30"/>
    <mergeCell ref="AO30:AP30"/>
    <mergeCell ref="AO31:AP31"/>
    <mergeCell ref="AN32:AO32"/>
    <mergeCell ref="AS31:AT31"/>
    <mergeCell ref="AS32:AT32"/>
    <mergeCell ref="AS37:AT37"/>
    <mergeCell ref="AS28:AT28"/>
    <mergeCell ref="AW28:AX28"/>
    <mergeCell ref="BB28:BC28"/>
    <mergeCell ref="AS29:AT29"/>
    <mergeCell ref="AY29:AZ29"/>
    <mergeCell ref="AS30:AT30"/>
    <mergeCell ref="AY31:AZ31"/>
    <mergeCell ref="AZ32:BA32"/>
    <mergeCell ref="AK31:AL31"/>
    <mergeCell ref="AK32:AL32"/>
    <mergeCell ref="L33:M33"/>
    <mergeCell ref="AI33:AJ33"/>
    <mergeCell ref="AL33:AM33"/>
    <mergeCell ref="AI34:AJ34"/>
    <mergeCell ref="AI35:AJ35"/>
    <mergeCell ref="L34:M34"/>
    <mergeCell ref="L35:M35"/>
    <mergeCell ref="L36:M36"/>
    <mergeCell ref="L38:M38"/>
    <mergeCell ref="L39:M39"/>
    <mergeCell ref="L40:M40"/>
    <mergeCell ref="F41:G41"/>
    <mergeCell ref="L46:M46"/>
    <mergeCell ref="L47:M47"/>
  </mergeCells>
  <hyperlinks>
    <hyperlink r:id="rId1" ref="K2"/>
    <hyperlink r:id="rId2" ref="CP2"/>
    <hyperlink r:id="rId3" ref="K3"/>
    <hyperlink r:id="rId4" ref="CP3"/>
    <hyperlink r:id="rId5" ref="K4"/>
    <hyperlink r:id="rId6" ref="CP4"/>
    <hyperlink r:id="rId7" ref="CP5"/>
    <hyperlink r:id="rId8" ref="K6"/>
    <hyperlink r:id="rId9" ref="CP6"/>
    <hyperlink r:id="rId10" ref="K7"/>
    <hyperlink r:id="rId11" ref="CP7"/>
    <hyperlink r:id="rId12" ref="K8"/>
    <hyperlink r:id="rId13" ref="CP8"/>
    <hyperlink r:id="rId14" ref="K9"/>
    <hyperlink r:id="rId15" ref="CP9"/>
    <hyperlink r:id="rId16" ref="K10"/>
    <hyperlink r:id="rId17" ref="CP10"/>
    <hyperlink r:id="rId18" ref="K11"/>
    <hyperlink r:id="rId19" ref="CP11"/>
    <hyperlink r:id="rId20" ref="K12"/>
    <hyperlink r:id="rId21" ref="CP12"/>
    <hyperlink r:id="rId22" ref="K13"/>
    <hyperlink r:id="rId23" ref="CP13"/>
    <hyperlink r:id="rId24" ref="K14"/>
    <hyperlink r:id="rId25" ref="CP14"/>
    <hyperlink r:id="rId26" ref="K15"/>
    <hyperlink r:id="rId27" ref="CP15"/>
    <hyperlink r:id="rId28" ref="K16"/>
    <hyperlink r:id="rId29" ref="CP16"/>
    <hyperlink r:id="rId30" ref="CP17"/>
    <hyperlink r:id="rId31" ref="K18"/>
    <hyperlink r:id="rId32" ref="CP18"/>
    <hyperlink r:id="rId33" ref="K19"/>
    <hyperlink r:id="rId34" ref="CP19"/>
    <hyperlink r:id="rId35" ref="K20"/>
    <hyperlink r:id="rId36" ref="CP20"/>
    <hyperlink r:id="rId37" ref="K21"/>
    <hyperlink r:id="rId38" ref="CP21"/>
    <hyperlink r:id="rId39" ref="K22"/>
    <hyperlink r:id="rId40" ref="CP22"/>
    <hyperlink r:id="rId41" ref="K23"/>
    <hyperlink r:id="rId42" ref="CP23"/>
    <hyperlink r:id="rId43" ref="K24"/>
    <hyperlink r:id="rId44" ref="CP24"/>
    <hyperlink r:id="rId45" ref="K25"/>
    <hyperlink r:id="rId46" ref="CP25"/>
    <hyperlink r:id="rId47" ref="K26"/>
    <hyperlink r:id="rId48" ref="CP26"/>
    <hyperlink r:id="rId49" ref="K27"/>
    <hyperlink r:id="rId50" ref="CP27"/>
    <hyperlink r:id="rId51" ref="K28"/>
    <hyperlink r:id="rId52" ref="CP28"/>
    <hyperlink r:id="rId53" ref="K29"/>
    <hyperlink r:id="rId54" ref="CP29"/>
    <hyperlink r:id="rId55" ref="K30"/>
    <hyperlink r:id="rId56" ref="CP30"/>
    <hyperlink r:id="rId57" ref="K31"/>
    <hyperlink r:id="rId58" ref="CP31"/>
    <hyperlink r:id="rId59" ref="K32"/>
    <hyperlink r:id="rId60" ref="CP32"/>
    <hyperlink r:id="rId61" ref="K33"/>
    <hyperlink r:id="rId62" ref="CP33"/>
    <hyperlink r:id="rId63" ref="K34"/>
    <hyperlink r:id="rId64" ref="CP34"/>
    <hyperlink r:id="rId65" ref="K35"/>
    <hyperlink r:id="rId66" ref="CP35"/>
    <hyperlink r:id="rId67" ref="K36"/>
    <hyperlink r:id="rId68" ref="CP36"/>
    <hyperlink r:id="rId69" ref="K37"/>
    <hyperlink r:id="rId70" ref="CP37"/>
    <hyperlink r:id="rId71" ref="K38"/>
    <hyperlink r:id="rId72" ref="CP38"/>
    <hyperlink r:id="rId73" ref="K39"/>
    <hyperlink r:id="rId74" ref="CP39"/>
    <hyperlink r:id="rId75" ref="K40"/>
    <hyperlink r:id="rId76" ref="CP40"/>
    <hyperlink r:id="rId77" ref="K41"/>
    <hyperlink r:id="rId78" ref="CP41"/>
    <hyperlink r:id="rId79" ref="K42"/>
    <hyperlink r:id="rId80" ref="CP42"/>
    <hyperlink r:id="rId81" ref="K43"/>
    <hyperlink r:id="rId82" ref="CP43"/>
    <hyperlink r:id="rId83" ref="K44"/>
    <hyperlink r:id="rId84" ref="CP44"/>
    <hyperlink r:id="rId85" ref="K45"/>
    <hyperlink r:id="rId86" ref="CP45"/>
    <hyperlink r:id="rId87" ref="K46"/>
    <hyperlink r:id="rId88" ref="CP46"/>
    <hyperlink r:id="rId89" ref="K47"/>
    <hyperlink r:id="rId90" ref="CP47"/>
    <hyperlink r:id="rId91" ref="K48"/>
    <hyperlink r:id="rId92" ref="CP48"/>
    <hyperlink r:id="rId93" ref="K49"/>
    <hyperlink r:id="rId94" ref="CP49"/>
    <hyperlink r:id="rId95" ref="K50"/>
    <hyperlink r:id="rId96" ref="CP50"/>
  </hyperlinks>
  <drawing r:id="rId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351</v>
      </c>
      <c r="B1" s="1" t="s">
        <v>352</v>
      </c>
      <c r="C1" s="1" t="s">
        <v>353</v>
      </c>
      <c r="D1" s="1" t="s">
        <v>33</v>
      </c>
      <c r="E1" s="1" t="s">
        <v>354</v>
      </c>
      <c r="F1" s="1" t="s">
        <v>355</v>
      </c>
    </row>
    <row r="2">
      <c r="A2" s="1" t="s">
        <v>347</v>
      </c>
      <c r="B2" s="1" t="s">
        <v>356</v>
      </c>
      <c r="C2" s="1" t="s">
        <v>349</v>
      </c>
      <c r="D2" s="2">
        <v>46073.34884259259</v>
      </c>
      <c r="E2" s="1" t="s">
        <v>357</v>
      </c>
      <c r="F2" s="1" t="b">
        <v>0</v>
      </c>
    </row>
    <row r="3">
      <c r="A3" s="1" t="s">
        <v>347</v>
      </c>
      <c r="B3" s="1" t="s">
        <v>356</v>
      </c>
      <c r="C3" s="1" t="s">
        <v>349</v>
      </c>
      <c r="D3" s="2">
        <v>46073.34899305556</v>
      </c>
      <c r="F3" s="1" t="b">
        <v>0</v>
      </c>
    </row>
    <row r="4">
      <c r="A4" s="1" t="s">
        <v>347</v>
      </c>
      <c r="B4" s="1" t="s">
        <v>356</v>
      </c>
      <c r="C4" s="1" t="s">
        <v>349</v>
      </c>
      <c r="D4" s="2">
        <v>46073.34916666667</v>
      </c>
      <c r="E4" s="1" t="s">
        <v>358</v>
      </c>
      <c r="F4" s="1" t="b">
        <v>0</v>
      </c>
    </row>
    <row r="5">
      <c r="A5" s="1" t="s">
        <v>347</v>
      </c>
      <c r="B5" s="1" t="s">
        <v>356</v>
      </c>
      <c r="C5" s="1" t="s">
        <v>349</v>
      </c>
      <c r="D5" s="2">
        <v>46073.350069444445</v>
      </c>
      <c r="E5" s="1" t="s">
        <v>359</v>
      </c>
      <c r="F5" s="1" t="b">
        <v>0</v>
      </c>
    </row>
    <row r="6">
      <c r="A6" s="1" t="s">
        <v>347</v>
      </c>
      <c r="B6" s="1" t="s">
        <v>360</v>
      </c>
      <c r="C6" s="1">
        <v>594863.0</v>
      </c>
      <c r="D6" s="2">
        <v>46073.422430555554</v>
      </c>
      <c r="E6" s="1" t="s">
        <v>361</v>
      </c>
      <c r="F6" s="1" t="b">
        <v>0</v>
      </c>
    </row>
    <row r="7">
      <c r="A7" s="1" t="s">
        <v>347</v>
      </c>
      <c r="B7" s="1" t="s">
        <v>360</v>
      </c>
      <c r="C7" s="1">
        <v>594863.0</v>
      </c>
      <c r="D7" s="2">
        <v>46073.46465277778</v>
      </c>
      <c r="E7" s="1" t="s">
        <v>362</v>
      </c>
      <c r="F7" s="1" t="b">
        <v>0</v>
      </c>
    </row>
    <row r="8">
      <c r="A8" s="1" t="s">
        <v>343</v>
      </c>
      <c r="B8" s="1" t="s">
        <v>356</v>
      </c>
      <c r="C8" s="1" t="s">
        <v>345</v>
      </c>
      <c r="D8" s="2">
        <v>46073.370729166665</v>
      </c>
      <c r="E8" s="1" t="s">
        <v>363</v>
      </c>
      <c r="F8" s="1" t="b">
        <v>0</v>
      </c>
    </row>
    <row r="9">
      <c r="A9" s="1" t="s">
        <v>343</v>
      </c>
      <c r="B9" s="1" t="s">
        <v>356</v>
      </c>
      <c r="C9" s="1" t="s">
        <v>345</v>
      </c>
      <c r="D9" s="2">
        <v>46073.370891203704</v>
      </c>
      <c r="E9" s="1" t="s">
        <v>364</v>
      </c>
      <c r="F9" s="1" t="b">
        <v>0</v>
      </c>
    </row>
    <row r="10">
      <c r="A10" s="1" t="s">
        <v>339</v>
      </c>
      <c r="B10" s="1" t="s">
        <v>356</v>
      </c>
      <c r="C10" s="1" t="s">
        <v>341</v>
      </c>
      <c r="D10" s="2">
        <v>46073.37436342592</v>
      </c>
      <c r="E10" s="1" t="s">
        <v>365</v>
      </c>
      <c r="F10" s="1" t="b">
        <v>0</v>
      </c>
    </row>
    <row r="11">
      <c r="A11" s="1" t="s">
        <v>339</v>
      </c>
      <c r="B11" s="1" t="s">
        <v>356</v>
      </c>
      <c r="C11" s="1" t="s">
        <v>341</v>
      </c>
      <c r="D11" s="2">
        <v>46073.37480324074</v>
      </c>
      <c r="E11" s="1" t="s">
        <v>366</v>
      </c>
      <c r="F11" s="1" t="b">
        <v>0</v>
      </c>
    </row>
    <row r="12">
      <c r="A12" s="1" t="s">
        <v>339</v>
      </c>
      <c r="B12" s="1" t="s">
        <v>356</v>
      </c>
      <c r="C12" s="1" t="s">
        <v>341</v>
      </c>
      <c r="D12" s="2">
        <v>46073.37532407408</v>
      </c>
      <c r="E12" s="1" t="s">
        <v>367</v>
      </c>
      <c r="F12" s="1" t="b">
        <v>0</v>
      </c>
    </row>
    <row r="13">
      <c r="A13" s="1" t="s">
        <v>337</v>
      </c>
      <c r="B13" s="1" t="s">
        <v>356</v>
      </c>
      <c r="C13" s="1" t="s">
        <v>186</v>
      </c>
      <c r="D13" s="2">
        <v>46073.380740740744</v>
      </c>
      <c r="E13" s="1" t="s">
        <v>368</v>
      </c>
      <c r="F13" s="1" t="b">
        <v>0</v>
      </c>
    </row>
    <row r="14">
      <c r="A14" s="1" t="s">
        <v>333</v>
      </c>
      <c r="B14" s="1" t="s">
        <v>356</v>
      </c>
      <c r="C14" s="1" t="s">
        <v>335</v>
      </c>
      <c r="D14" s="2">
        <v>46073.38885416667</v>
      </c>
      <c r="E14" s="1" t="s">
        <v>369</v>
      </c>
      <c r="F14" s="1" t="b">
        <v>0</v>
      </c>
    </row>
    <row r="15">
      <c r="A15" s="1" t="s">
        <v>333</v>
      </c>
      <c r="B15" s="1" t="s">
        <v>356</v>
      </c>
      <c r="C15" s="1" t="s">
        <v>335</v>
      </c>
      <c r="D15" s="2">
        <v>46073.389131944445</v>
      </c>
      <c r="E15" s="1" t="s">
        <v>370</v>
      </c>
      <c r="F15" s="1" t="b">
        <v>0</v>
      </c>
    </row>
    <row r="16">
      <c r="A16" s="1" t="s">
        <v>333</v>
      </c>
      <c r="B16" s="1" t="s">
        <v>356</v>
      </c>
      <c r="C16" s="1" t="s">
        <v>335</v>
      </c>
      <c r="D16" s="2">
        <v>46073.39283564815</v>
      </c>
      <c r="E16" s="1" t="s">
        <v>371</v>
      </c>
      <c r="F16" s="1" t="b">
        <v>0</v>
      </c>
    </row>
    <row r="17">
      <c r="A17" s="1" t="s">
        <v>333</v>
      </c>
      <c r="B17" s="1" t="s">
        <v>356</v>
      </c>
      <c r="C17" s="1" t="s">
        <v>335</v>
      </c>
      <c r="D17" s="2">
        <v>46073.393217592595</v>
      </c>
      <c r="E17" s="1" t="s">
        <v>372</v>
      </c>
      <c r="F17" s="1" t="b">
        <v>0</v>
      </c>
    </row>
    <row r="18">
      <c r="A18" s="1" t="s">
        <v>333</v>
      </c>
      <c r="B18" s="1" t="s">
        <v>356</v>
      </c>
      <c r="C18" s="1" t="s">
        <v>335</v>
      </c>
      <c r="D18" s="2">
        <v>46073.39356481482</v>
      </c>
      <c r="E18" s="1" t="s">
        <v>373</v>
      </c>
      <c r="F18" s="1" t="b">
        <v>0</v>
      </c>
    </row>
    <row r="19">
      <c r="A19" s="1" t="s">
        <v>333</v>
      </c>
      <c r="B19" s="1" t="s">
        <v>356</v>
      </c>
      <c r="C19" s="1" t="s">
        <v>335</v>
      </c>
      <c r="D19" s="2">
        <v>46073.39361111111</v>
      </c>
      <c r="E19" s="1" t="s">
        <v>374</v>
      </c>
      <c r="F19" s="1" t="b">
        <v>0</v>
      </c>
    </row>
    <row r="20">
      <c r="A20" s="1" t="s">
        <v>329</v>
      </c>
      <c r="B20" s="1" t="s">
        <v>356</v>
      </c>
      <c r="C20" s="1" t="s">
        <v>331</v>
      </c>
      <c r="D20" s="2">
        <v>46073.39068287037</v>
      </c>
      <c r="E20" s="1" t="s">
        <v>375</v>
      </c>
      <c r="F20" s="1" t="b">
        <v>0</v>
      </c>
    </row>
    <row r="21">
      <c r="A21" s="1" t="s">
        <v>324</v>
      </c>
      <c r="B21" s="1" t="s">
        <v>356</v>
      </c>
      <c r="C21" s="1" t="s">
        <v>327</v>
      </c>
      <c r="D21" s="2">
        <v>46073.42592592593</v>
      </c>
      <c r="E21" s="1" t="s">
        <v>376</v>
      </c>
      <c r="F21" s="1" t="b">
        <v>0</v>
      </c>
    </row>
    <row r="22">
      <c r="A22" s="1" t="s">
        <v>324</v>
      </c>
      <c r="B22" s="1" t="s">
        <v>356</v>
      </c>
      <c r="C22" s="1" t="s">
        <v>327</v>
      </c>
      <c r="D22" s="2">
        <v>46073.42611111111</v>
      </c>
      <c r="E22" s="1" t="s">
        <v>377</v>
      </c>
      <c r="F22" s="1" t="b">
        <v>0</v>
      </c>
    </row>
    <row r="23">
      <c r="A23" s="1" t="s">
        <v>324</v>
      </c>
      <c r="B23" s="1" t="s">
        <v>356</v>
      </c>
      <c r="C23" s="1" t="s">
        <v>327</v>
      </c>
      <c r="D23" s="2">
        <v>46073.4262962963</v>
      </c>
      <c r="E23" s="1" t="s">
        <v>378</v>
      </c>
      <c r="F23" s="1" t="b">
        <v>0</v>
      </c>
    </row>
    <row r="24">
      <c r="A24" s="1" t="s">
        <v>324</v>
      </c>
      <c r="B24" s="1" t="s">
        <v>360</v>
      </c>
      <c r="C24" s="1">
        <v>594863.0</v>
      </c>
      <c r="D24" s="2">
        <v>46073.42663194444</v>
      </c>
      <c r="E24" s="1" t="s">
        <v>379</v>
      </c>
      <c r="F24" s="1" t="b">
        <v>0</v>
      </c>
    </row>
    <row r="25">
      <c r="A25" s="1" t="s">
        <v>324</v>
      </c>
      <c r="B25" s="1" t="s">
        <v>356</v>
      </c>
      <c r="C25" s="1" t="s">
        <v>327</v>
      </c>
      <c r="D25" s="2">
        <v>46073.42822916667</v>
      </c>
      <c r="E25" s="1" t="s">
        <v>380</v>
      </c>
      <c r="F25" s="1" t="b">
        <v>0</v>
      </c>
    </row>
    <row r="26">
      <c r="A26" s="1" t="s">
        <v>324</v>
      </c>
      <c r="B26" s="1" t="s">
        <v>356</v>
      </c>
      <c r="C26" s="1" t="s">
        <v>327</v>
      </c>
      <c r="D26" s="2">
        <v>46073.428761574076</v>
      </c>
      <c r="F26" s="1" t="b">
        <v>0</v>
      </c>
    </row>
    <row r="27">
      <c r="A27" s="1" t="s">
        <v>324</v>
      </c>
      <c r="B27" s="1" t="s">
        <v>356</v>
      </c>
      <c r="C27" s="1" t="s">
        <v>327</v>
      </c>
      <c r="D27" s="2">
        <v>46073.44068287037</v>
      </c>
      <c r="E27" s="1" t="s">
        <v>381</v>
      </c>
      <c r="F27" s="1" t="b">
        <v>0</v>
      </c>
    </row>
    <row r="28">
      <c r="A28" s="1" t="s">
        <v>324</v>
      </c>
      <c r="B28" s="1" t="s">
        <v>360</v>
      </c>
      <c r="C28" s="1">
        <v>594863.0</v>
      </c>
      <c r="D28" s="2">
        <v>46073.46435185185</v>
      </c>
      <c r="E28" s="1" t="s">
        <v>382</v>
      </c>
      <c r="F28" s="1" t="b">
        <v>0</v>
      </c>
    </row>
    <row r="29">
      <c r="A29" s="1" t="s">
        <v>324</v>
      </c>
      <c r="B29" s="1" t="s">
        <v>356</v>
      </c>
      <c r="C29" s="1" t="s">
        <v>327</v>
      </c>
      <c r="D29" s="2">
        <v>46073.50378472222</v>
      </c>
      <c r="F29" s="1" t="b">
        <v>0</v>
      </c>
    </row>
    <row r="30">
      <c r="A30" s="1" t="s">
        <v>324</v>
      </c>
      <c r="B30" s="1" t="s">
        <v>356</v>
      </c>
      <c r="C30" s="1" t="s">
        <v>327</v>
      </c>
      <c r="D30" s="2">
        <v>46073.503969907404</v>
      </c>
      <c r="E30" s="1" t="s">
        <v>383</v>
      </c>
      <c r="F30" s="1" t="b">
        <v>0</v>
      </c>
    </row>
    <row r="31">
      <c r="A31" s="1" t="s">
        <v>324</v>
      </c>
      <c r="B31" s="1" t="s">
        <v>356</v>
      </c>
      <c r="C31" s="1" t="s">
        <v>327</v>
      </c>
      <c r="D31" s="2">
        <v>46073.50446759259</v>
      </c>
      <c r="F31" s="1" t="b">
        <v>0</v>
      </c>
    </row>
    <row r="32">
      <c r="A32" s="1" t="s">
        <v>324</v>
      </c>
      <c r="B32" s="1" t="s">
        <v>356</v>
      </c>
      <c r="C32" s="1" t="s">
        <v>327</v>
      </c>
      <c r="D32" s="2">
        <v>46073.50462962963</v>
      </c>
      <c r="E32" s="1" t="s">
        <v>384</v>
      </c>
      <c r="F32" s="1" t="b">
        <v>0</v>
      </c>
    </row>
    <row r="33">
      <c r="A33" s="1" t="s">
        <v>324</v>
      </c>
      <c r="B33" s="1" t="s">
        <v>360</v>
      </c>
      <c r="C33" s="1">
        <v>594863.0</v>
      </c>
      <c r="D33" s="2">
        <v>46073.50612268518</v>
      </c>
      <c r="E33" s="1" t="s">
        <v>385</v>
      </c>
      <c r="F33" s="1" t="b">
        <v>0</v>
      </c>
    </row>
    <row r="34">
      <c r="A34" s="1" t="s">
        <v>324</v>
      </c>
      <c r="B34" s="1" t="s">
        <v>356</v>
      </c>
      <c r="C34" s="1" t="s">
        <v>327</v>
      </c>
      <c r="D34" s="2">
        <v>46073.508564814816</v>
      </c>
      <c r="E34" s="1" t="s">
        <v>386</v>
      </c>
      <c r="F34" s="1" t="b">
        <v>0</v>
      </c>
    </row>
    <row r="35">
      <c r="A35" s="1" t="s">
        <v>324</v>
      </c>
      <c r="B35" s="1" t="s">
        <v>360</v>
      </c>
      <c r="C35" s="1">
        <v>594863.0</v>
      </c>
      <c r="D35" s="2">
        <v>46073.509664351855</v>
      </c>
      <c r="E35" s="1" t="s">
        <v>387</v>
      </c>
      <c r="F35" s="1" t="b">
        <v>0</v>
      </c>
    </row>
    <row r="36">
      <c r="A36" s="1" t="s">
        <v>324</v>
      </c>
      <c r="B36" s="1" t="s">
        <v>356</v>
      </c>
      <c r="C36" s="1" t="s">
        <v>327</v>
      </c>
      <c r="D36" s="2">
        <v>46073.510833333334</v>
      </c>
      <c r="E36" s="1" t="s">
        <v>388</v>
      </c>
      <c r="F36" s="1" t="b">
        <v>0</v>
      </c>
    </row>
    <row r="37">
      <c r="A37" s="1" t="s">
        <v>324</v>
      </c>
      <c r="B37" s="1" t="s">
        <v>360</v>
      </c>
      <c r="C37" s="1">
        <v>594863.0</v>
      </c>
      <c r="D37" s="2">
        <v>46073.512291666666</v>
      </c>
      <c r="E37" s="1" t="s">
        <v>389</v>
      </c>
      <c r="F37" s="1" t="b">
        <v>0</v>
      </c>
    </row>
    <row r="38">
      <c r="A38" s="1" t="s">
        <v>324</v>
      </c>
      <c r="B38" s="1" t="s">
        <v>356</v>
      </c>
      <c r="C38" s="1" t="s">
        <v>327</v>
      </c>
      <c r="D38" s="2">
        <v>46073.51427083334</v>
      </c>
      <c r="E38" s="1" t="s">
        <v>390</v>
      </c>
      <c r="F38" s="1" t="b">
        <v>0</v>
      </c>
    </row>
    <row r="39">
      <c r="A39" s="1" t="s">
        <v>324</v>
      </c>
      <c r="B39" s="1" t="s">
        <v>356</v>
      </c>
      <c r="C39" s="1" t="s">
        <v>327</v>
      </c>
      <c r="D39" s="2">
        <v>46073.51457175926</v>
      </c>
      <c r="E39" s="1" t="s">
        <v>391</v>
      </c>
      <c r="F39" s="1" t="b">
        <v>0</v>
      </c>
    </row>
    <row r="40">
      <c r="A40" s="1" t="s">
        <v>324</v>
      </c>
      <c r="B40" s="1" t="s">
        <v>360</v>
      </c>
      <c r="C40" s="1">
        <v>594863.0</v>
      </c>
      <c r="D40" s="2">
        <v>46073.51677083333</v>
      </c>
      <c r="E40" s="1" t="s">
        <v>392</v>
      </c>
      <c r="F40" s="1" t="b">
        <v>0</v>
      </c>
    </row>
    <row r="41">
      <c r="A41" s="1" t="s">
        <v>324</v>
      </c>
      <c r="B41" s="1" t="s">
        <v>356</v>
      </c>
      <c r="C41" s="1" t="s">
        <v>327</v>
      </c>
      <c r="D41" s="2">
        <v>46073.520787037036</v>
      </c>
      <c r="E41" s="1" t="s">
        <v>393</v>
      </c>
      <c r="F41" s="1" t="b">
        <v>0</v>
      </c>
    </row>
    <row r="42">
      <c r="A42" s="1" t="s">
        <v>324</v>
      </c>
      <c r="B42" s="1" t="s">
        <v>360</v>
      </c>
      <c r="C42" s="1">
        <v>594863.0</v>
      </c>
      <c r="D42" s="2">
        <v>46073.58519675926</v>
      </c>
      <c r="E42" s="1" t="s">
        <v>394</v>
      </c>
      <c r="F42" s="1" t="b">
        <v>0</v>
      </c>
    </row>
    <row r="43">
      <c r="A43" s="1" t="s">
        <v>324</v>
      </c>
      <c r="B43" s="1" t="s">
        <v>356</v>
      </c>
      <c r="C43" s="1" t="s">
        <v>327</v>
      </c>
      <c r="D43" s="2">
        <v>46073.58665509259</v>
      </c>
      <c r="E43" s="1" t="s">
        <v>395</v>
      </c>
      <c r="F43" s="1" t="b">
        <v>0</v>
      </c>
    </row>
    <row r="44">
      <c r="A44" s="1" t="s">
        <v>324</v>
      </c>
      <c r="B44" s="1" t="s">
        <v>360</v>
      </c>
      <c r="C44" s="1">
        <v>594863.0</v>
      </c>
      <c r="D44" s="2">
        <v>46073.587326388886</v>
      </c>
      <c r="E44" s="1" t="s">
        <v>396</v>
      </c>
      <c r="F44" s="1" t="b">
        <v>0</v>
      </c>
    </row>
    <row r="45">
      <c r="A45" s="1" t="s">
        <v>324</v>
      </c>
      <c r="B45" s="1" t="s">
        <v>356</v>
      </c>
      <c r="C45" s="1" t="s">
        <v>327</v>
      </c>
      <c r="D45" s="2">
        <v>46073.58756944445</v>
      </c>
      <c r="E45" s="1" t="s">
        <v>397</v>
      </c>
      <c r="F45" s="1" t="b">
        <v>0</v>
      </c>
    </row>
    <row r="46">
      <c r="A46" s="1" t="s">
        <v>324</v>
      </c>
      <c r="B46" s="1" t="s">
        <v>360</v>
      </c>
      <c r="C46" s="1">
        <v>594863.0</v>
      </c>
      <c r="D46" s="2">
        <v>46073.58789351852</v>
      </c>
      <c r="E46" s="1" t="s">
        <v>398</v>
      </c>
      <c r="F46" s="1" t="b">
        <v>0</v>
      </c>
    </row>
    <row r="47">
      <c r="A47" s="1" t="s">
        <v>324</v>
      </c>
      <c r="B47" s="1" t="s">
        <v>360</v>
      </c>
      <c r="C47" s="1">
        <v>594863.0</v>
      </c>
      <c r="D47" s="2">
        <v>46073.58792824074</v>
      </c>
      <c r="E47" s="1" t="s">
        <v>399</v>
      </c>
      <c r="F47" s="1" t="b">
        <v>0</v>
      </c>
    </row>
    <row r="48">
      <c r="A48" s="1" t="s">
        <v>320</v>
      </c>
      <c r="B48" s="1" t="s">
        <v>356</v>
      </c>
      <c r="C48" s="1" t="s">
        <v>322</v>
      </c>
      <c r="D48" s="2">
        <v>46073.42917824074</v>
      </c>
      <c r="E48" s="1" t="s">
        <v>400</v>
      </c>
      <c r="F48" s="1" t="b">
        <v>0</v>
      </c>
    </row>
    <row r="49">
      <c r="A49" s="1" t="s">
        <v>320</v>
      </c>
      <c r="B49" s="1" t="s">
        <v>356</v>
      </c>
      <c r="C49" s="1" t="s">
        <v>322</v>
      </c>
      <c r="D49" s="2">
        <v>46073.429456018515</v>
      </c>
      <c r="E49" s="1" t="s">
        <v>401</v>
      </c>
      <c r="F49" s="1" t="b">
        <v>0</v>
      </c>
    </row>
    <row r="50">
      <c r="A50" s="1" t="s">
        <v>314</v>
      </c>
      <c r="B50" s="1" t="s">
        <v>356</v>
      </c>
      <c r="C50" s="1" t="s">
        <v>318</v>
      </c>
      <c r="D50" s="2">
        <v>46073.43194444444</v>
      </c>
      <c r="E50" s="1" t="s">
        <v>402</v>
      </c>
      <c r="F50" s="1" t="b">
        <v>0</v>
      </c>
    </row>
    <row r="51">
      <c r="A51" s="1" t="s">
        <v>314</v>
      </c>
      <c r="B51" s="1" t="s">
        <v>356</v>
      </c>
      <c r="C51" s="1" t="s">
        <v>318</v>
      </c>
      <c r="D51" s="2">
        <v>46073.43246527778</v>
      </c>
      <c r="E51" s="1" t="s">
        <v>403</v>
      </c>
      <c r="F51" s="1" t="b">
        <v>0</v>
      </c>
    </row>
    <row r="52">
      <c r="A52" s="1" t="s">
        <v>314</v>
      </c>
      <c r="B52" s="1" t="s">
        <v>356</v>
      </c>
      <c r="C52" s="1" t="s">
        <v>318</v>
      </c>
      <c r="D52" s="2">
        <v>46073.43268518519</v>
      </c>
      <c r="E52" s="1" t="s">
        <v>404</v>
      </c>
      <c r="F52" s="1" t="b">
        <v>0</v>
      </c>
    </row>
    <row r="53">
      <c r="A53" s="1" t="s">
        <v>314</v>
      </c>
      <c r="B53" s="1" t="s">
        <v>360</v>
      </c>
      <c r="C53" s="1">
        <v>607950.0</v>
      </c>
      <c r="D53" s="2">
        <v>46073.432858796295</v>
      </c>
      <c r="E53" s="1" t="s">
        <v>405</v>
      </c>
      <c r="F53" s="1" t="b">
        <v>0</v>
      </c>
    </row>
    <row r="54">
      <c r="A54" s="1" t="s">
        <v>314</v>
      </c>
      <c r="B54" s="1" t="s">
        <v>356</v>
      </c>
      <c r="C54" s="1" t="s">
        <v>318</v>
      </c>
      <c r="D54" s="2">
        <v>46073.43369212963</v>
      </c>
      <c r="E54" s="1" t="s">
        <v>406</v>
      </c>
      <c r="F54" s="1" t="b">
        <v>0</v>
      </c>
    </row>
    <row r="55">
      <c r="A55" s="1" t="s">
        <v>314</v>
      </c>
      <c r="B55" s="1" t="s">
        <v>360</v>
      </c>
      <c r="C55" s="1">
        <v>607950.0</v>
      </c>
      <c r="D55" s="2">
        <v>46073.43641203704</v>
      </c>
      <c r="E55" s="1" t="s">
        <v>407</v>
      </c>
      <c r="F55" s="1" t="b">
        <v>0</v>
      </c>
    </row>
    <row r="56">
      <c r="A56" s="1" t="s">
        <v>314</v>
      </c>
      <c r="B56" s="1" t="s">
        <v>356</v>
      </c>
      <c r="C56" s="1" t="s">
        <v>318</v>
      </c>
      <c r="D56" s="2">
        <v>46073.43707175926</v>
      </c>
      <c r="E56" s="1" t="s">
        <v>408</v>
      </c>
      <c r="F56" s="1" t="b">
        <v>0</v>
      </c>
    </row>
    <row r="57">
      <c r="A57" s="1" t="s">
        <v>314</v>
      </c>
      <c r="B57" s="1" t="s">
        <v>360</v>
      </c>
      <c r="C57" s="1">
        <v>607950.0</v>
      </c>
      <c r="D57" s="2">
        <v>46073.44644675926</v>
      </c>
      <c r="E57" s="1" t="s">
        <v>409</v>
      </c>
      <c r="F57" s="1" t="b">
        <v>0</v>
      </c>
    </row>
    <row r="58">
      <c r="A58" s="1" t="s">
        <v>314</v>
      </c>
      <c r="B58" s="1" t="s">
        <v>356</v>
      </c>
      <c r="C58" s="1" t="s">
        <v>318</v>
      </c>
      <c r="D58" s="2">
        <v>46073.44699074074</v>
      </c>
      <c r="E58" s="1" t="s">
        <v>410</v>
      </c>
      <c r="F58" s="1" t="b">
        <v>0</v>
      </c>
    </row>
    <row r="59">
      <c r="A59" s="1" t="s">
        <v>314</v>
      </c>
      <c r="B59" s="1" t="s">
        <v>360</v>
      </c>
      <c r="C59" s="1">
        <v>607950.0</v>
      </c>
      <c r="D59" s="2">
        <v>46073.44734953704</v>
      </c>
      <c r="E59" s="1" t="s">
        <v>411</v>
      </c>
      <c r="F59" s="1" t="b">
        <v>0</v>
      </c>
    </row>
    <row r="60">
      <c r="A60" s="1" t="s">
        <v>314</v>
      </c>
      <c r="B60" s="1" t="s">
        <v>360</v>
      </c>
      <c r="C60" s="1">
        <v>607950.0</v>
      </c>
      <c r="D60" s="2">
        <v>46073.44966435185</v>
      </c>
      <c r="E60" s="1" t="s">
        <v>412</v>
      </c>
      <c r="F60" s="1" t="b">
        <v>0</v>
      </c>
    </row>
    <row r="61">
      <c r="A61" s="1" t="s">
        <v>308</v>
      </c>
      <c r="B61" s="1" t="s">
        <v>356</v>
      </c>
      <c r="C61" s="1" t="s">
        <v>310</v>
      </c>
      <c r="D61" s="2">
        <v>46073.44644675926</v>
      </c>
      <c r="F61" s="1" t="b">
        <v>0</v>
      </c>
    </row>
    <row r="62">
      <c r="A62" s="1" t="s">
        <v>308</v>
      </c>
      <c r="B62" s="1" t="s">
        <v>356</v>
      </c>
      <c r="C62" s="1" t="s">
        <v>310</v>
      </c>
      <c r="D62" s="2">
        <v>46073.44650462963</v>
      </c>
      <c r="F62" s="1" t="b">
        <v>0</v>
      </c>
    </row>
    <row r="63">
      <c r="A63" s="1" t="s">
        <v>308</v>
      </c>
      <c r="B63" s="1" t="s">
        <v>356</v>
      </c>
      <c r="C63" s="1" t="s">
        <v>310</v>
      </c>
      <c r="D63" s="2">
        <v>46073.446608796294</v>
      </c>
      <c r="E63" s="1" t="s">
        <v>413</v>
      </c>
      <c r="F63" s="1" t="b">
        <v>0</v>
      </c>
    </row>
    <row r="64">
      <c r="A64" s="1" t="s">
        <v>308</v>
      </c>
      <c r="B64" s="1" t="s">
        <v>356</v>
      </c>
      <c r="C64" s="1" t="s">
        <v>310</v>
      </c>
      <c r="D64" s="2">
        <v>46073.46428240741</v>
      </c>
      <c r="E64" s="1" t="s">
        <v>414</v>
      </c>
      <c r="F64" s="1" t="b">
        <v>0</v>
      </c>
    </row>
    <row r="65">
      <c r="A65" s="1" t="s">
        <v>308</v>
      </c>
      <c r="B65" s="1" t="s">
        <v>356</v>
      </c>
      <c r="C65" s="1" t="s">
        <v>310</v>
      </c>
      <c r="D65" s="2">
        <v>46073.46505787037</v>
      </c>
      <c r="E65" s="1" t="s">
        <v>415</v>
      </c>
      <c r="F65" s="1" t="b">
        <v>0</v>
      </c>
    </row>
    <row r="66">
      <c r="A66" s="1" t="s">
        <v>308</v>
      </c>
      <c r="B66" s="1" t="s">
        <v>356</v>
      </c>
      <c r="C66" s="1" t="s">
        <v>310</v>
      </c>
      <c r="D66" s="2">
        <v>46073.47206018519</v>
      </c>
      <c r="E66" s="1" t="s">
        <v>416</v>
      </c>
      <c r="F66" s="1" t="b">
        <v>0</v>
      </c>
    </row>
    <row r="67">
      <c r="A67" s="1" t="s">
        <v>304</v>
      </c>
      <c r="B67" s="1" t="s">
        <v>356</v>
      </c>
      <c r="C67" s="1" t="s">
        <v>306</v>
      </c>
      <c r="D67" s="2">
        <v>46073.47247685185</v>
      </c>
      <c r="E67" s="1" t="s">
        <v>417</v>
      </c>
      <c r="F67" s="1" t="b">
        <v>0</v>
      </c>
    </row>
    <row r="68">
      <c r="A68" s="1" t="s">
        <v>296</v>
      </c>
      <c r="B68" s="1" t="s">
        <v>356</v>
      </c>
      <c r="C68" s="1" t="s">
        <v>198</v>
      </c>
      <c r="D68" s="2">
        <v>46073.475960648146</v>
      </c>
      <c r="E68" s="1" t="s">
        <v>418</v>
      </c>
      <c r="F68" s="1" t="b">
        <v>0</v>
      </c>
    </row>
    <row r="69">
      <c r="A69" s="1" t="s">
        <v>296</v>
      </c>
      <c r="B69" s="1" t="s">
        <v>356</v>
      </c>
      <c r="C69" s="1" t="s">
        <v>198</v>
      </c>
      <c r="D69" s="2">
        <v>46073.4762962963</v>
      </c>
      <c r="E69" s="1" t="s">
        <v>419</v>
      </c>
      <c r="F69" s="1" t="b">
        <v>0</v>
      </c>
    </row>
    <row r="70">
      <c r="A70" s="1" t="s">
        <v>296</v>
      </c>
      <c r="B70" s="1" t="s">
        <v>356</v>
      </c>
      <c r="C70" s="1" t="s">
        <v>198</v>
      </c>
      <c r="D70" s="2">
        <v>46073.476435185185</v>
      </c>
      <c r="E70" s="1" t="s">
        <v>420</v>
      </c>
      <c r="F70" s="1" t="b">
        <v>0</v>
      </c>
    </row>
    <row r="71">
      <c r="A71" s="1" t="s">
        <v>296</v>
      </c>
      <c r="B71" s="1" t="s">
        <v>356</v>
      </c>
      <c r="C71" s="1" t="s">
        <v>198</v>
      </c>
      <c r="D71" s="2">
        <v>46073.476747685185</v>
      </c>
      <c r="E71" s="1" t="s">
        <v>421</v>
      </c>
      <c r="F71" s="1" t="b">
        <v>0</v>
      </c>
    </row>
    <row r="72">
      <c r="A72" s="1" t="s">
        <v>296</v>
      </c>
      <c r="B72" s="1" t="s">
        <v>356</v>
      </c>
      <c r="C72" s="1" t="s">
        <v>198</v>
      </c>
      <c r="D72" s="2">
        <v>46073.47693287037</v>
      </c>
      <c r="F72" s="1" t="b">
        <v>0</v>
      </c>
    </row>
    <row r="73">
      <c r="A73" s="1" t="s">
        <v>296</v>
      </c>
      <c r="B73" s="1" t="s">
        <v>356</v>
      </c>
      <c r="C73" s="1" t="s">
        <v>198</v>
      </c>
      <c r="D73" s="2">
        <v>46073.47709490741</v>
      </c>
      <c r="E73" s="1" t="s">
        <v>422</v>
      </c>
      <c r="F73" s="1" t="b">
        <v>0</v>
      </c>
    </row>
    <row r="74">
      <c r="A74" s="1" t="s">
        <v>296</v>
      </c>
      <c r="B74" s="1" t="s">
        <v>356</v>
      </c>
      <c r="C74" s="1" t="s">
        <v>198</v>
      </c>
      <c r="D74" s="2">
        <v>46073.477534722224</v>
      </c>
      <c r="E74" s="1" t="s">
        <v>423</v>
      </c>
      <c r="F74" s="1" t="b">
        <v>0</v>
      </c>
    </row>
    <row r="75">
      <c r="A75" s="1" t="s">
        <v>296</v>
      </c>
      <c r="B75" s="1" t="s">
        <v>356</v>
      </c>
      <c r="C75" s="1" t="s">
        <v>198</v>
      </c>
      <c r="D75" s="2">
        <v>46073.47803240741</v>
      </c>
      <c r="E75" s="1" t="s">
        <v>424</v>
      </c>
      <c r="F75" s="1" t="b">
        <v>0</v>
      </c>
    </row>
    <row r="76">
      <c r="A76" s="1" t="s">
        <v>296</v>
      </c>
      <c r="B76" s="1" t="s">
        <v>356</v>
      </c>
      <c r="C76" s="1" t="s">
        <v>198</v>
      </c>
      <c r="D76" s="2">
        <v>46073.478171296294</v>
      </c>
      <c r="E76" s="1" t="s">
        <v>425</v>
      </c>
      <c r="F76" s="1" t="b">
        <v>0</v>
      </c>
    </row>
    <row r="77">
      <c r="A77" s="1" t="s">
        <v>296</v>
      </c>
      <c r="B77" s="1" t="s">
        <v>356</v>
      </c>
      <c r="C77" s="1" t="s">
        <v>198</v>
      </c>
      <c r="D77" s="2">
        <v>46073.47826388889</v>
      </c>
      <c r="E77" s="1" t="s">
        <v>426</v>
      </c>
      <c r="F77" s="1" t="b">
        <v>0</v>
      </c>
    </row>
    <row r="78">
      <c r="A78" s="1" t="s">
        <v>296</v>
      </c>
      <c r="B78" s="1" t="s">
        <v>356</v>
      </c>
      <c r="C78" s="1" t="s">
        <v>198</v>
      </c>
      <c r="D78" s="2">
        <v>46073.48554398148</v>
      </c>
      <c r="E78" s="1" t="s">
        <v>427</v>
      </c>
      <c r="F78" s="1" t="b">
        <v>0</v>
      </c>
    </row>
    <row r="79">
      <c r="A79" s="1" t="s">
        <v>296</v>
      </c>
      <c r="B79" s="1" t="s">
        <v>360</v>
      </c>
      <c r="C79" s="1">
        <v>607950.0</v>
      </c>
      <c r="D79" s="2">
        <v>46073.49508101852</v>
      </c>
      <c r="E79" s="1" t="s">
        <v>405</v>
      </c>
      <c r="F79" s="1" t="b">
        <v>0</v>
      </c>
    </row>
    <row r="80">
      <c r="A80" s="1" t="s">
        <v>296</v>
      </c>
      <c r="B80" s="1" t="s">
        <v>360</v>
      </c>
      <c r="C80" s="1">
        <v>607950.0</v>
      </c>
      <c r="D80" s="2">
        <v>46073.49689814815</v>
      </c>
      <c r="E80" s="1" t="s">
        <v>428</v>
      </c>
      <c r="F80" s="1" t="b">
        <v>0</v>
      </c>
    </row>
    <row r="81">
      <c r="A81" s="1" t="s">
        <v>296</v>
      </c>
      <c r="B81" s="1" t="s">
        <v>356</v>
      </c>
      <c r="C81" s="1" t="s">
        <v>198</v>
      </c>
      <c r="D81" s="2">
        <v>46073.498240740744</v>
      </c>
      <c r="E81" s="1" t="s">
        <v>429</v>
      </c>
      <c r="F81" s="1" t="b">
        <v>0</v>
      </c>
    </row>
    <row r="82">
      <c r="A82" s="1" t="s">
        <v>296</v>
      </c>
      <c r="B82" s="1" t="s">
        <v>356</v>
      </c>
      <c r="C82" s="1" t="s">
        <v>198</v>
      </c>
      <c r="D82" s="2">
        <v>46073.49831018518</v>
      </c>
      <c r="E82" s="1" t="s">
        <v>430</v>
      </c>
      <c r="F82" s="1" t="b">
        <v>0</v>
      </c>
    </row>
    <row r="83">
      <c r="A83" s="1" t="s">
        <v>296</v>
      </c>
      <c r="B83" s="1" t="s">
        <v>356</v>
      </c>
      <c r="C83" s="1" t="s">
        <v>198</v>
      </c>
      <c r="D83" s="2">
        <v>46073.498611111114</v>
      </c>
      <c r="E83" s="1" t="s">
        <v>431</v>
      </c>
      <c r="F83" s="1" t="b">
        <v>0</v>
      </c>
    </row>
    <row r="84">
      <c r="A84" s="1" t="s">
        <v>296</v>
      </c>
      <c r="B84" s="1" t="s">
        <v>356</v>
      </c>
      <c r="C84" s="1" t="s">
        <v>198</v>
      </c>
      <c r="D84" s="2">
        <v>46073.49895833333</v>
      </c>
      <c r="E84" s="1" t="s">
        <v>432</v>
      </c>
      <c r="F84" s="1" t="b">
        <v>0</v>
      </c>
    </row>
    <row r="85">
      <c r="A85" s="1" t="s">
        <v>296</v>
      </c>
      <c r="B85" s="1" t="s">
        <v>360</v>
      </c>
      <c r="C85" s="1">
        <v>607950.0</v>
      </c>
      <c r="D85" s="2">
        <v>46073.499189814815</v>
      </c>
      <c r="E85" s="1" t="s">
        <v>433</v>
      </c>
      <c r="F85" s="1" t="b">
        <v>0</v>
      </c>
    </row>
    <row r="86">
      <c r="A86" s="1" t="s">
        <v>296</v>
      </c>
      <c r="B86" s="1" t="s">
        <v>356</v>
      </c>
      <c r="C86" s="1" t="s">
        <v>198</v>
      </c>
      <c r="D86" s="2">
        <v>46073.49928240741</v>
      </c>
      <c r="E86" s="1" t="s">
        <v>434</v>
      </c>
      <c r="F86" s="1" t="b">
        <v>0</v>
      </c>
    </row>
    <row r="87">
      <c r="A87" s="1" t="s">
        <v>296</v>
      </c>
      <c r="B87" s="1" t="s">
        <v>356</v>
      </c>
      <c r="C87" s="1" t="s">
        <v>198</v>
      </c>
      <c r="D87" s="2">
        <v>46073.49931712963</v>
      </c>
      <c r="E87" s="1" t="s">
        <v>435</v>
      </c>
      <c r="F87" s="1" t="b">
        <v>0</v>
      </c>
    </row>
    <row r="88">
      <c r="A88" s="1" t="s">
        <v>296</v>
      </c>
      <c r="B88" s="1" t="s">
        <v>360</v>
      </c>
      <c r="C88" s="1">
        <v>607950.0</v>
      </c>
      <c r="D88" s="2">
        <v>46073.500543981485</v>
      </c>
      <c r="E88" s="1" t="s">
        <v>436</v>
      </c>
      <c r="F88" s="1" t="b">
        <v>0</v>
      </c>
    </row>
    <row r="89">
      <c r="A89" s="1" t="s">
        <v>296</v>
      </c>
      <c r="B89" s="1" t="s">
        <v>356</v>
      </c>
      <c r="C89" s="1" t="s">
        <v>198</v>
      </c>
      <c r="D89" s="2">
        <v>46073.501296296294</v>
      </c>
      <c r="E89" s="1" t="s">
        <v>437</v>
      </c>
      <c r="F89" s="1" t="b">
        <v>0</v>
      </c>
    </row>
    <row r="90">
      <c r="A90" s="1" t="s">
        <v>296</v>
      </c>
      <c r="B90" s="1" t="s">
        <v>360</v>
      </c>
      <c r="C90" s="1">
        <v>607950.0</v>
      </c>
      <c r="D90" s="2">
        <v>46073.56825231481</v>
      </c>
      <c r="E90" s="1" t="s">
        <v>438</v>
      </c>
      <c r="F90" s="1" t="b">
        <v>0</v>
      </c>
    </row>
    <row r="91">
      <c r="A91" s="1" t="s">
        <v>296</v>
      </c>
      <c r="B91" s="1" t="s">
        <v>360</v>
      </c>
      <c r="C91" s="1">
        <v>607950.0</v>
      </c>
      <c r="D91" s="2">
        <v>46073.57069444445</v>
      </c>
      <c r="E91" s="1" t="s">
        <v>399</v>
      </c>
      <c r="F91" s="1" t="b">
        <v>0</v>
      </c>
    </row>
    <row r="92">
      <c r="A92" s="1" t="s">
        <v>292</v>
      </c>
      <c r="B92" s="1" t="s">
        <v>356</v>
      </c>
      <c r="C92" s="1" t="s">
        <v>294</v>
      </c>
      <c r="D92" s="2">
        <v>46073.47609953704</v>
      </c>
      <c r="E92" s="1" t="s">
        <v>439</v>
      </c>
      <c r="F92" s="1" t="b">
        <v>0</v>
      </c>
    </row>
    <row r="93">
      <c r="A93" s="1" t="s">
        <v>288</v>
      </c>
      <c r="B93" s="1" t="s">
        <v>356</v>
      </c>
      <c r="C93" s="1" t="s">
        <v>290</v>
      </c>
      <c r="D93" s="2">
        <v>46073.488657407404</v>
      </c>
      <c r="E93" s="1" t="s">
        <v>440</v>
      </c>
      <c r="F93" s="1" t="b">
        <v>0</v>
      </c>
    </row>
    <row r="94">
      <c r="A94" s="1" t="s">
        <v>288</v>
      </c>
      <c r="B94" s="1" t="s">
        <v>356</v>
      </c>
      <c r="C94" s="1" t="s">
        <v>290</v>
      </c>
      <c r="D94" s="2">
        <v>46073.48917824074</v>
      </c>
      <c r="E94" s="1" t="s">
        <v>441</v>
      </c>
      <c r="F94" s="1" t="b">
        <v>0</v>
      </c>
    </row>
    <row r="95">
      <c r="A95" s="1" t="s">
        <v>288</v>
      </c>
      <c r="B95" s="1" t="s">
        <v>356</v>
      </c>
      <c r="C95" s="1" t="s">
        <v>290</v>
      </c>
      <c r="D95" s="2">
        <v>46073.48966435185</v>
      </c>
      <c r="E95" s="1" t="s">
        <v>442</v>
      </c>
      <c r="F95" s="1" t="b">
        <v>0</v>
      </c>
    </row>
    <row r="96">
      <c r="A96" s="1" t="s">
        <v>284</v>
      </c>
      <c r="B96" s="1" t="s">
        <v>356</v>
      </c>
      <c r="C96" s="1" t="s">
        <v>286</v>
      </c>
      <c r="D96" s="2">
        <v>46073.53331018519</v>
      </c>
      <c r="E96" s="1" t="s">
        <v>443</v>
      </c>
      <c r="F96" s="1" t="b">
        <v>0</v>
      </c>
    </row>
    <row r="97">
      <c r="A97" s="1" t="s">
        <v>274</v>
      </c>
      <c r="B97" s="1" t="s">
        <v>356</v>
      </c>
      <c r="C97" s="1" t="s">
        <v>277</v>
      </c>
      <c r="D97" s="2">
        <v>46073.539618055554</v>
      </c>
      <c r="E97" s="1" t="s">
        <v>444</v>
      </c>
      <c r="F97" s="1" t="b">
        <v>0</v>
      </c>
    </row>
    <row r="98">
      <c r="A98" s="1" t="s">
        <v>274</v>
      </c>
      <c r="B98" s="1" t="s">
        <v>356</v>
      </c>
      <c r="C98" s="1" t="s">
        <v>277</v>
      </c>
      <c r="D98" s="2">
        <v>46073.56439814815</v>
      </c>
      <c r="E98" s="1" t="s">
        <v>445</v>
      </c>
      <c r="F98" s="1" t="b">
        <v>0</v>
      </c>
    </row>
    <row r="99">
      <c r="A99" s="1" t="s">
        <v>274</v>
      </c>
      <c r="B99" s="1" t="s">
        <v>356</v>
      </c>
      <c r="C99" s="1" t="s">
        <v>277</v>
      </c>
      <c r="D99" s="2">
        <v>46073.56453703704</v>
      </c>
      <c r="E99" s="1" t="s">
        <v>446</v>
      </c>
      <c r="F99" s="1" t="b">
        <v>0</v>
      </c>
    </row>
    <row r="100">
      <c r="A100" s="1" t="s">
        <v>274</v>
      </c>
      <c r="B100" s="1" t="s">
        <v>356</v>
      </c>
      <c r="C100" s="1" t="s">
        <v>277</v>
      </c>
      <c r="D100" s="2">
        <v>46073.564571759256</v>
      </c>
      <c r="E100" s="1" t="s">
        <v>447</v>
      </c>
      <c r="F100" s="1" t="b">
        <v>0</v>
      </c>
    </row>
    <row r="101">
      <c r="A101" s="1" t="s">
        <v>274</v>
      </c>
      <c r="B101" s="1" t="s">
        <v>356</v>
      </c>
      <c r="C101" s="1" t="s">
        <v>277</v>
      </c>
      <c r="D101" s="2">
        <v>46073.564780092594</v>
      </c>
      <c r="E101" s="3" t="str">
        <f>+</f>
        <v>#ERROR!</v>
      </c>
      <c r="F101" s="1" t="b">
        <v>0</v>
      </c>
    </row>
    <row r="102">
      <c r="A102" s="1" t="s">
        <v>274</v>
      </c>
      <c r="B102" s="1" t="s">
        <v>356</v>
      </c>
      <c r="C102" s="1" t="s">
        <v>277</v>
      </c>
      <c r="D102" s="2">
        <v>46073.57482638889</v>
      </c>
      <c r="E102" s="1" t="s">
        <v>445</v>
      </c>
      <c r="F102" s="1" t="b">
        <v>0</v>
      </c>
    </row>
    <row r="103">
      <c r="A103" s="1" t="s">
        <v>274</v>
      </c>
      <c r="B103" s="1" t="s">
        <v>360</v>
      </c>
      <c r="C103" s="1">
        <v>594863.0</v>
      </c>
      <c r="D103" s="2">
        <v>46073.57960648148</v>
      </c>
      <c r="E103" s="1" t="s">
        <v>448</v>
      </c>
      <c r="F103" s="1" t="b">
        <v>0</v>
      </c>
    </row>
    <row r="104">
      <c r="A104" s="1" t="s">
        <v>274</v>
      </c>
      <c r="B104" s="1" t="s">
        <v>360</v>
      </c>
      <c r="C104" s="1">
        <v>594863.0</v>
      </c>
      <c r="D104" s="2">
        <v>46073.58623842592</v>
      </c>
      <c r="E104" s="1" t="s">
        <v>449</v>
      </c>
      <c r="F104" s="1" t="b">
        <v>0</v>
      </c>
    </row>
    <row r="105">
      <c r="A105" s="1" t="s">
        <v>274</v>
      </c>
      <c r="B105" s="1" t="s">
        <v>360</v>
      </c>
      <c r="C105" s="1">
        <v>594863.0</v>
      </c>
      <c r="D105" s="2">
        <v>46073.7803125</v>
      </c>
      <c r="E105" s="1" t="s">
        <v>450</v>
      </c>
      <c r="F105" s="1" t="b">
        <v>0</v>
      </c>
    </row>
    <row r="106">
      <c r="A106" s="1" t="s">
        <v>274</v>
      </c>
      <c r="B106" s="1" t="s">
        <v>356</v>
      </c>
      <c r="C106" s="1" t="s">
        <v>277</v>
      </c>
      <c r="D106" s="2">
        <v>46075.481840277775</v>
      </c>
      <c r="E106" s="1" t="s">
        <v>451</v>
      </c>
      <c r="F106" s="1" t="b">
        <v>0</v>
      </c>
    </row>
    <row r="107">
      <c r="A107" s="1" t="s">
        <v>274</v>
      </c>
      <c r="B107" s="1" t="s">
        <v>356</v>
      </c>
      <c r="C107" s="1" t="s">
        <v>277</v>
      </c>
      <c r="D107" s="2">
        <v>46075.48221064815</v>
      </c>
      <c r="E107" s="1" t="s">
        <v>452</v>
      </c>
      <c r="F107" s="1" t="b">
        <v>0</v>
      </c>
    </row>
    <row r="108">
      <c r="A108" s="1" t="s">
        <v>274</v>
      </c>
      <c r="B108" s="1" t="s">
        <v>360</v>
      </c>
      <c r="C108" s="1">
        <v>594863.0</v>
      </c>
      <c r="D108" s="2">
        <v>46076.44671296296</v>
      </c>
      <c r="E108" s="1" t="s">
        <v>453</v>
      </c>
      <c r="F108" s="1" t="b">
        <v>0</v>
      </c>
    </row>
    <row r="109">
      <c r="A109" s="1" t="s">
        <v>268</v>
      </c>
      <c r="B109" s="1" t="s">
        <v>356</v>
      </c>
      <c r="C109" s="1" t="s">
        <v>272</v>
      </c>
      <c r="D109" s="2">
        <v>46073.56655092593</v>
      </c>
      <c r="F109" s="1" t="b">
        <v>0</v>
      </c>
    </row>
    <row r="110">
      <c r="A110" s="1" t="s">
        <v>268</v>
      </c>
      <c r="B110" s="1" t="s">
        <v>356</v>
      </c>
      <c r="C110" s="1" t="s">
        <v>272</v>
      </c>
      <c r="D110" s="2">
        <v>46073.56673611111</v>
      </c>
      <c r="E110" s="1" t="s">
        <v>454</v>
      </c>
      <c r="F110" s="1" t="b">
        <v>0</v>
      </c>
    </row>
    <row r="111">
      <c r="A111" s="1" t="s">
        <v>268</v>
      </c>
      <c r="B111" s="1" t="s">
        <v>356</v>
      </c>
      <c r="C111" s="1" t="s">
        <v>272</v>
      </c>
      <c r="D111" s="2">
        <v>46073.56681712963</v>
      </c>
      <c r="E111" s="1" t="s">
        <v>455</v>
      </c>
      <c r="F111" s="1" t="b">
        <v>0</v>
      </c>
    </row>
    <row r="112">
      <c r="A112" s="1" t="s">
        <v>268</v>
      </c>
      <c r="B112" s="1" t="s">
        <v>360</v>
      </c>
      <c r="C112" s="1">
        <v>607950.0</v>
      </c>
      <c r="D112" s="2">
        <v>46073.56747685185</v>
      </c>
      <c r="E112" s="1" t="s">
        <v>456</v>
      </c>
      <c r="F112" s="1" t="b">
        <v>0</v>
      </c>
    </row>
    <row r="113">
      <c r="A113" s="1" t="s">
        <v>268</v>
      </c>
      <c r="B113" s="1" t="s">
        <v>360</v>
      </c>
      <c r="C113" s="1">
        <v>607950.0</v>
      </c>
      <c r="D113" s="2">
        <v>46073.568090277775</v>
      </c>
      <c r="E113" s="1" t="s">
        <v>457</v>
      </c>
      <c r="F113" s="1" t="b">
        <v>0</v>
      </c>
    </row>
    <row r="114">
      <c r="A114" s="1" t="s">
        <v>268</v>
      </c>
      <c r="B114" s="1" t="s">
        <v>356</v>
      </c>
      <c r="C114" s="1" t="s">
        <v>272</v>
      </c>
      <c r="D114" s="2">
        <v>46073.56898148148</v>
      </c>
      <c r="E114" s="1" t="s">
        <v>458</v>
      </c>
      <c r="F114" s="1" t="b">
        <v>0</v>
      </c>
    </row>
    <row r="115">
      <c r="A115" s="1" t="s">
        <v>268</v>
      </c>
      <c r="B115" s="1" t="s">
        <v>360</v>
      </c>
      <c r="C115" s="1">
        <v>607950.0</v>
      </c>
      <c r="D115" s="2">
        <v>46073.570625</v>
      </c>
      <c r="E115" s="1" t="s">
        <v>459</v>
      </c>
      <c r="F115" s="1" t="b">
        <v>0</v>
      </c>
    </row>
    <row r="116">
      <c r="A116" s="1" t="s">
        <v>268</v>
      </c>
      <c r="B116" s="1" t="s">
        <v>356</v>
      </c>
      <c r="C116" s="1" t="s">
        <v>272</v>
      </c>
      <c r="D116" s="2">
        <v>46073.574328703704</v>
      </c>
      <c r="E116" s="1" t="s">
        <v>460</v>
      </c>
      <c r="F116" s="1" t="b">
        <v>0</v>
      </c>
    </row>
    <row r="117">
      <c r="A117" s="1" t="s">
        <v>268</v>
      </c>
      <c r="B117" s="1" t="s">
        <v>360</v>
      </c>
      <c r="C117" s="1">
        <v>607950.0</v>
      </c>
      <c r="D117" s="2">
        <v>46073.57462962963</v>
      </c>
      <c r="E117" s="1" t="s">
        <v>461</v>
      </c>
      <c r="F117" s="1" t="b">
        <v>0</v>
      </c>
    </row>
    <row r="118">
      <c r="A118" s="1" t="s">
        <v>268</v>
      </c>
      <c r="B118" s="1" t="s">
        <v>356</v>
      </c>
      <c r="C118" s="1" t="s">
        <v>272</v>
      </c>
      <c r="D118" s="2">
        <v>46073.57472222222</v>
      </c>
      <c r="E118" s="1" t="s">
        <v>462</v>
      </c>
      <c r="F118" s="1" t="b">
        <v>0</v>
      </c>
    </row>
    <row r="119">
      <c r="A119" s="1" t="s">
        <v>268</v>
      </c>
      <c r="B119" s="1" t="s">
        <v>360</v>
      </c>
      <c r="C119" s="1">
        <v>607950.0</v>
      </c>
      <c r="D119" s="2">
        <v>46073.57565972222</v>
      </c>
      <c r="E119" s="1" t="s">
        <v>463</v>
      </c>
      <c r="F119" s="1" t="b">
        <v>0</v>
      </c>
    </row>
    <row r="120">
      <c r="A120" s="1" t="s">
        <v>268</v>
      </c>
      <c r="B120" s="1" t="s">
        <v>356</v>
      </c>
      <c r="C120" s="1" t="s">
        <v>272</v>
      </c>
      <c r="D120" s="2">
        <v>46073.575902777775</v>
      </c>
      <c r="E120" s="1" t="s">
        <v>464</v>
      </c>
      <c r="F120" s="1" t="b">
        <v>0</v>
      </c>
    </row>
    <row r="121">
      <c r="A121" s="1" t="s">
        <v>268</v>
      </c>
      <c r="B121" s="1" t="s">
        <v>360</v>
      </c>
      <c r="C121" s="1">
        <v>607950.0</v>
      </c>
      <c r="D121" s="2">
        <v>46073.576261574075</v>
      </c>
      <c r="E121" s="1" t="s">
        <v>465</v>
      </c>
      <c r="F121" s="1" t="b">
        <v>0</v>
      </c>
    </row>
    <row r="122">
      <c r="A122" s="1" t="s">
        <v>268</v>
      </c>
      <c r="B122" s="1" t="s">
        <v>360</v>
      </c>
      <c r="C122" s="1">
        <v>607950.0</v>
      </c>
      <c r="D122" s="2">
        <v>46073.64361111111</v>
      </c>
      <c r="E122" s="1" t="s">
        <v>466</v>
      </c>
      <c r="F122" s="1" t="b">
        <v>0</v>
      </c>
    </row>
    <row r="123">
      <c r="A123" s="1" t="s">
        <v>268</v>
      </c>
      <c r="B123" s="1" t="s">
        <v>360</v>
      </c>
      <c r="C123" s="1">
        <v>607950.0</v>
      </c>
      <c r="D123" s="2">
        <v>46073.656435185185</v>
      </c>
      <c r="E123" s="1" t="s">
        <v>399</v>
      </c>
      <c r="F123" s="1" t="b">
        <v>0</v>
      </c>
    </row>
    <row r="124">
      <c r="A124" s="1" t="s">
        <v>263</v>
      </c>
      <c r="B124" s="1" t="s">
        <v>356</v>
      </c>
      <c r="C124" s="1" t="s">
        <v>266</v>
      </c>
      <c r="D124" s="2">
        <v>46073.58861111111</v>
      </c>
      <c r="E124" s="1" t="s">
        <v>467</v>
      </c>
      <c r="F124" s="1" t="b">
        <v>0</v>
      </c>
    </row>
    <row r="125">
      <c r="A125" s="1" t="s">
        <v>263</v>
      </c>
      <c r="B125" s="1" t="s">
        <v>356</v>
      </c>
      <c r="C125" s="1" t="s">
        <v>266</v>
      </c>
      <c r="D125" s="2">
        <v>46073.588784722226</v>
      </c>
      <c r="F125" s="1" t="b">
        <v>0</v>
      </c>
    </row>
    <row r="126">
      <c r="A126" s="1" t="s">
        <v>263</v>
      </c>
      <c r="B126" s="1" t="s">
        <v>356</v>
      </c>
      <c r="C126" s="1" t="s">
        <v>266</v>
      </c>
      <c r="D126" s="2">
        <v>46073.58893518519</v>
      </c>
      <c r="E126" s="1" t="s">
        <v>468</v>
      </c>
      <c r="F126" s="1" t="b">
        <v>0</v>
      </c>
    </row>
    <row r="127">
      <c r="A127" s="1" t="s">
        <v>263</v>
      </c>
      <c r="B127" s="1" t="s">
        <v>356</v>
      </c>
      <c r="C127" s="1" t="s">
        <v>266</v>
      </c>
      <c r="D127" s="2">
        <v>46073.589166666665</v>
      </c>
      <c r="E127" s="1" t="s">
        <v>469</v>
      </c>
      <c r="F127" s="1" t="b">
        <v>0</v>
      </c>
    </row>
    <row r="128">
      <c r="A128" s="1" t="s">
        <v>263</v>
      </c>
      <c r="B128" s="1" t="s">
        <v>360</v>
      </c>
      <c r="C128" s="1">
        <v>607950.0</v>
      </c>
      <c r="D128" s="2">
        <v>46073.60716435185</v>
      </c>
      <c r="E128" s="1" t="s">
        <v>405</v>
      </c>
      <c r="F128" s="1" t="b">
        <v>0</v>
      </c>
    </row>
    <row r="129">
      <c r="A129" s="1" t="s">
        <v>263</v>
      </c>
      <c r="B129" s="1" t="s">
        <v>360</v>
      </c>
      <c r="C129" s="1">
        <v>607950.0</v>
      </c>
      <c r="D129" s="2">
        <v>46073.60946759259</v>
      </c>
      <c r="E129" s="1" t="s">
        <v>470</v>
      </c>
      <c r="F129" s="1" t="b">
        <v>1</v>
      </c>
    </row>
    <row r="130">
      <c r="A130" s="1" t="s">
        <v>263</v>
      </c>
      <c r="B130" s="1" t="s">
        <v>471</v>
      </c>
      <c r="C130" s="1" t="s">
        <v>472</v>
      </c>
      <c r="D130" s="2">
        <v>46073.60959490741</v>
      </c>
      <c r="E130" s="1" t="s">
        <v>473</v>
      </c>
      <c r="F130" s="1" t="b">
        <v>1</v>
      </c>
    </row>
    <row r="131">
      <c r="A131" s="1" t="s">
        <v>263</v>
      </c>
      <c r="B131" s="1" t="s">
        <v>360</v>
      </c>
      <c r="C131" s="1">
        <v>607950.0</v>
      </c>
      <c r="D131" s="2">
        <v>46073.610138888886</v>
      </c>
      <c r="E131" s="1" t="s">
        <v>474</v>
      </c>
      <c r="F131" s="1" t="b">
        <v>0</v>
      </c>
    </row>
    <row r="132">
      <c r="A132" s="1" t="s">
        <v>263</v>
      </c>
      <c r="B132" s="1" t="s">
        <v>356</v>
      </c>
      <c r="C132" s="1" t="s">
        <v>266</v>
      </c>
      <c r="D132" s="2">
        <v>46073.610868055555</v>
      </c>
      <c r="E132" s="1" t="s">
        <v>475</v>
      </c>
      <c r="F132" s="1" t="b">
        <v>0</v>
      </c>
    </row>
    <row r="133">
      <c r="A133" s="1" t="s">
        <v>263</v>
      </c>
      <c r="B133" s="1" t="s">
        <v>360</v>
      </c>
      <c r="C133" s="1">
        <v>607950.0</v>
      </c>
      <c r="D133" s="2">
        <v>46073.61127314815</v>
      </c>
      <c r="E133" s="1" t="s">
        <v>476</v>
      </c>
      <c r="F133" s="1" t="b">
        <v>0</v>
      </c>
    </row>
    <row r="134">
      <c r="A134" s="1" t="s">
        <v>263</v>
      </c>
      <c r="B134" s="1" t="s">
        <v>356</v>
      </c>
      <c r="C134" s="1" t="s">
        <v>266</v>
      </c>
      <c r="D134" s="2">
        <v>46073.61136574074</v>
      </c>
      <c r="E134" s="1" t="s">
        <v>477</v>
      </c>
      <c r="F134" s="1" t="b">
        <v>0</v>
      </c>
    </row>
    <row r="135">
      <c r="A135" s="1" t="s">
        <v>263</v>
      </c>
      <c r="B135" s="1" t="s">
        <v>356</v>
      </c>
      <c r="C135" s="1" t="s">
        <v>266</v>
      </c>
      <c r="D135" s="2">
        <v>46073.61881944445</v>
      </c>
      <c r="E135" s="1" t="s">
        <v>478</v>
      </c>
      <c r="F135" s="1" t="b">
        <v>0</v>
      </c>
    </row>
    <row r="136">
      <c r="A136" s="1" t="s">
        <v>263</v>
      </c>
      <c r="B136" s="1" t="s">
        <v>356</v>
      </c>
      <c r="C136" s="1" t="s">
        <v>266</v>
      </c>
      <c r="D136" s="2">
        <v>46073.61896990741</v>
      </c>
      <c r="E136" s="1" t="s">
        <v>479</v>
      </c>
      <c r="F136" s="1" t="b">
        <v>0</v>
      </c>
    </row>
    <row r="137">
      <c r="A137" s="1" t="s">
        <v>263</v>
      </c>
      <c r="B137" s="1" t="s">
        <v>360</v>
      </c>
      <c r="C137" s="1">
        <v>607950.0</v>
      </c>
      <c r="D137" s="2">
        <v>46073.62740740741</v>
      </c>
      <c r="E137" s="1" t="s">
        <v>480</v>
      </c>
      <c r="F137" s="1" t="b">
        <v>0</v>
      </c>
    </row>
    <row r="138">
      <c r="A138" s="1" t="s">
        <v>263</v>
      </c>
      <c r="B138" s="1" t="s">
        <v>356</v>
      </c>
      <c r="C138" s="1" t="s">
        <v>266</v>
      </c>
      <c r="D138" s="2">
        <v>46073.62805555556</v>
      </c>
      <c r="E138" s="1" t="s">
        <v>481</v>
      </c>
      <c r="F138" s="1" t="b">
        <v>0</v>
      </c>
    </row>
    <row r="139">
      <c r="A139" s="1" t="s">
        <v>263</v>
      </c>
      <c r="B139" s="1" t="s">
        <v>360</v>
      </c>
      <c r="C139" s="1">
        <v>607950.0</v>
      </c>
      <c r="D139" s="2">
        <v>46076.43722222222</v>
      </c>
      <c r="E139" s="1" t="s">
        <v>482</v>
      </c>
      <c r="F139" s="1" t="b">
        <v>0</v>
      </c>
    </row>
    <row r="140">
      <c r="A140" s="1" t="s">
        <v>263</v>
      </c>
      <c r="B140" s="1" t="s">
        <v>356</v>
      </c>
      <c r="C140" s="1" t="s">
        <v>266</v>
      </c>
      <c r="D140" s="2">
        <v>46076.43837962963</v>
      </c>
      <c r="E140" s="1" t="s">
        <v>483</v>
      </c>
      <c r="F140" s="1" t="b">
        <v>0</v>
      </c>
    </row>
    <row r="141">
      <c r="A141" s="1" t="s">
        <v>263</v>
      </c>
      <c r="B141" s="1" t="s">
        <v>360</v>
      </c>
      <c r="C141" s="1">
        <v>607950.0</v>
      </c>
      <c r="D141" s="2">
        <v>46076.43894675926</v>
      </c>
      <c r="E141" s="1" t="s">
        <v>484</v>
      </c>
      <c r="F141" s="1" t="b">
        <v>0</v>
      </c>
    </row>
    <row r="142">
      <c r="A142" s="1" t="s">
        <v>263</v>
      </c>
      <c r="B142" s="1" t="s">
        <v>356</v>
      </c>
      <c r="C142" s="1" t="s">
        <v>266</v>
      </c>
      <c r="D142" s="2">
        <v>46076.43962962963</v>
      </c>
      <c r="E142" s="1" t="s">
        <v>485</v>
      </c>
      <c r="F142" s="1" t="b">
        <v>0</v>
      </c>
    </row>
    <row r="143">
      <c r="A143" s="1" t="s">
        <v>263</v>
      </c>
      <c r="B143" s="1" t="s">
        <v>360</v>
      </c>
      <c r="C143" s="1">
        <v>607950.0</v>
      </c>
      <c r="D143" s="2">
        <v>46076.43969907407</v>
      </c>
      <c r="E143" s="1" t="s">
        <v>399</v>
      </c>
      <c r="F143" s="1" t="b">
        <v>0</v>
      </c>
    </row>
    <row r="144">
      <c r="A144" s="1" t="s">
        <v>257</v>
      </c>
      <c r="B144" s="1" t="s">
        <v>356</v>
      </c>
      <c r="C144" s="1" t="s">
        <v>261</v>
      </c>
      <c r="D144" s="2">
        <v>46073.62006944444</v>
      </c>
      <c r="E144" s="1" t="s">
        <v>486</v>
      </c>
      <c r="F144" s="1" t="b">
        <v>0</v>
      </c>
    </row>
    <row r="145">
      <c r="A145" s="1" t="s">
        <v>257</v>
      </c>
      <c r="B145" s="1" t="s">
        <v>360</v>
      </c>
      <c r="C145" s="1">
        <v>607950.0</v>
      </c>
      <c r="D145" s="2">
        <v>46073.62652777778</v>
      </c>
      <c r="E145" s="1" t="s">
        <v>405</v>
      </c>
      <c r="F145" s="1" t="b">
        <v>0</v>
      </c>
    </row>
    <row r="146">
      <c r="A146" s="1" t="s">
        <v>257</v>
      </c>
      <c r="B146" s="1" t="s">
        <v>356</v>
      </c>
      <c r="C146" s="1" t="s">
        <v>261</v>
      </c>
      <c r="D146" s="2">
        <v>46073.62862268519</v>
      </c>
      <c r="E146" s="1" t="s">
        <v>487</v>
      </c>
      <c r="F146" s="1" t="b">
        <v>0</v>
      </c>
    </row>
    <row r="147">
      <c r="A147" s="1" t="s">
        <v>257</v>
      </c>
      <c r="B147" s="1" t="s">
        <v>360</v>
      </c>
      <c r="C147" s="1">
        <v>607950.0</v>
      </c>
      <c r="D147" s="2">
        <v>46073.63172453704</v>
      </c>
      <c r="E147" s="1" t="s">
        <v>488</v>
      </c>
      <c r="F147" s="1" t="b">
        <v>0</v>
      </c>
    </row>
    <row r="148">
      <c r="A148" s="1" t="s">
        <v>257</v>
      </c>
      <c r="B148" s="1" t="s">
        <v>356</v>
      </c>
      <c r="C148" s="1" t="s">
        <v>261</v>
      </c>
      <c r="D148" s="2">
        <v>46073.64686342593</v>
      </c>
      <c r="E148" s="1" t="s">
        <v>489</v>
      </c>
      <c r="F148" s="1" t="b">
        <v>0</v>
      </c>
    </row>
    <row r="149">
      <c r="A149" s="1" t="s">
        <v>257</v>
      </c>
      <c r="B149" s="1" t="s">
        <v>360</v>
      </c>
      <c r="C149" s="1">
        <v>607950.0</v>
      </c>
      <c r="D149" s="2">
        <v>46073.64716435185</v>
      </c>
      <c r="E149" s="1" t="s">
        <v>490</v>
      </c>
      <c r="F149" s="1" t="b">
        <v>0</v>
      </c>
    </row>
    <row r="150">
      <c r="A150" s="1" t="s">
        <v>257</v>
      </c>
      <c r="B150" s="1" t="s">
        <v>356</v>
      </c>
      <c r="C150" s="1" t="s">
        <v>261</v>
      </c>
      <c r="D150" s="2">
        <v>46073.654340277775</v>
      </c>
      <c r="E150" s="1" t="s">
        <v>491</v>
      </c>
      <c r="F150" s="1" t="b">
        <v>0</v>
      </c>
    </row>
    <row r="151">
      <c r="A151" s="1" t="s">
        <v>257</v>
      </c>
      <c r="B151" s="1" t="s">
        <v>360</v>
      </c>
      <c r="C151" s="1">
        <v>607950.0</v>
      </c>
      <c r="D151" s="2">
        <v>46073.656377314815</v>
      </c>
      <c r="E151" s="1" t="s">
        <v>399</v>
      </c>
      <c r="F151" s="1" t="b">
        <v>0</v>
      </c>
    </row>
    <row r="152">
      <c r="A152" s="1" t="s">
        <v>252</v>
      </c>
      <c r="B152" s="1" t="s">
        <v>356</v>
      </c>
      <c r="C152" s="1" t="s">
        <v>255</v>
      </c>
      <c r="D152" s="2">
        <v>46073.644421296296</v>
      </c>
      <c r="E152" s="1" t="s">
        <v>492</v>
      </c>
      <c r="F152" s="1" t="b">
        <v>0</v>
      </c>
    </row>
    <row r="153">
      <c r="A153" s="1" t="s">
        <v>247</v>
      </c>
      <c r="B153" s="1" t="s">
        <v>356</v>
      </c>
      <c r="C153" s="1" t="s">
        <v>250</v>
      </c>
      <c r="D153" s="2">
        <v>46073.724178240744</v>
      </c>
      <c r="E153" s="1" t="s">
        <v>493</v>
      </c>
      <c r="F153" s="1" t="b">
        <v>0</v>
      </c>
    </row>
    <row r="154">
      <c r="A154" s="1" t="s">
        <v>247</v>
      </c>
      <c r="B154" s="1" t="s">
        <v>356</v>
      </c>
      <c r="C154" s="1" t="s">
        <v>250</v>
      </c>
      <c r="D154" s="2">
        <v>46073.72474537037</v>
      </c>
      <c r="E154" s="1" t="s">
        <v>494</v>
      </c>
      <c r="F154" s="1" t="b">
        <v>0</v>
      </c>
    </row>
    <row r="155">
      <c r="A155" s="1" t="s">
        <v>243</v>
      </c>
      <c r="B155" s="1" t="s">
        <v>356</v>
      </c>
      <c r="C155" s="1" t="s">
        <v>245</v>
      </c>
      <c r="D155" s="2">
        <v>46073.724814814814</v>
      </c>
      <c r="E155" s="1" t="s">
        <v>495</v>
      </c>
      <c r="F155" s="1" t="b">
        <v>0</v>
      </c>
    </row>
    <row r="156">
      <c r="A156" s="1" t="s">
        <v>243</v>
      </c>
      <c r="B156" s="1" t="s">
        <v>360</v>
      </c>
      <c r="C156" s="1">
        <v>607950.0</v>
      </c>
      <c r="D156" s="2">
        <v>46076.41574074074</v>
      </c>
      <c r="E156" s="1" t="s">
        <v>456</v>
      </c>
      <c r="F156" s="1" t="b">
        <v>0</v>
      </c>
    </row>
    <row r="157">
      <c r="A157" s="1" t="s">
        <v>243</v>
      </c>
      <c r="B157" s="1" t="s">
        <v>360</v>
      </c>
      <c r="C157" s="1">
        <v>607950.0</v>
      </c>
      <c r="D157" s="2">
        <v>46076.41724537037</v>
      </c>
      <c r="E157" s="1" t="s">
        <v>496</v>
      </c>
      <c r="F157" s="1" t="b">
        <v>0</v>
      </c>
    </row>
    <row r="158">
      <c r="A158" s="1" t="s">
        <v>243</v>
      </c>
      <c r="B158" s="1" t="s">
        <v>356</v>
      </c>
      <c r="C158" s="1" t="s">
        <v>245</v>
      </c>
      <c r="D158" s="2">
        <v>46076.42068287037</v>
      </c>
      <c r="E158" s="1" t="s">
        <v>497</v>
      </c>
      <c r="F158" s="1" t="b">
        <v>0</v>
      </c>
    </row>
    <row r="159">
      <c r="A159" s="1" t="s">
        <v>243</v>
      </c>
      <c r="B159" s="1" t="s">
        <v>356</v>
      </c>
      <c r="C159" s="1" t="s">
        <v>245</v>
      </c>
      <c r="D159" s="2">
        <v>46076.42085648148</v>
      </c>
      <c r="F159" s="1" t="b">
        <v>0</v>
      </c>
    </row>
    <row r="160">
      <c r="A160" s="1" t="s">
        <v>243</v>
      </c>
      <c r="B160" s="1" t="s">
        <v>356</v>
      </c>
      <c r="C160" s="1" t="s">
        <v>245</v>
      </c>
      <c r="D160" s="2">
        <v>46076.420949074076</v>
      </c>
      <c r="E160" s="1" t="s">
        <v>498</v>
      </c>
      <c r="F160" s="1" t="b">
        <v>0</v>
      </c>
    </row>
    <row r="161">
      <c r="A161" s="1" t="s">
        <v>243</v>
      </c>
      <c r="B161" s="1" t="s">
        <v>356</v>
      </c>
      <c r="C161" s="1" t="s">
        <v>245</v>
      </c>
      <c r="D161" s="2">
        <v>46076.42159722222</v>
      </c>
      <c r="F161" s="1" t="b">
        <v>0</v>
      </c>
    </row>
    <row r="162">
      <c r="A162" s="1" t="s">
        <v>243</v>
      </c>
      <c r="B162" s="1" t="s">
        <v>356</v>
      </c>
      <c r="C162" s="1" t="s">
        <v>245</v>
      </c>
      <c r="D162" s="2">
        <v>46076.42172453704</v>
      </c>
      <c r="E162" s="1" t="s">
        <v>499</v>
      </c>
      <c r="F162" s="1" t="b">
        <v>0</v>
      </c>
    </row>
    <row r="163">
      <c r="A163" s="1" t="s">
        <v>243</v>
      </c>
      <c r="B163" s="1" t="s">
        <v>360</v>
      </c>
      <c r="C163" s="1">
        <v>607950.0</v>
      </c>
      <c r="D163" s="2">
        <v>46076.42175925926</v>
      </c>
      <c r="E163" s="1" t="s">
        <v>470</v>
      </c>
      <c r="F163" s="1" t="b">
        <v>1</v>
      </c>
    </row>
    <row r="164">
      <c r="A164" s="1" t="s">
        <v>243</v>
      </c>
      <c r="B164" s="1" t="s">
        <v>471</v>
      </c>
      <c r="C164" s="1" t="s">
        <v>472</v>
      </c>
      <c r="D164" s="2">
        <v>46076.421898148146</v>
      </c>
      <c r="E164" s="1" t="s">
        <v>500</v>
      </c>
      <c r="F164" s="1" t="b">
        <v>1</v>
      </c>
    </row>
    <row r="165">
      <c r="A165" s="1" t="s">
        <v>243</v>
      </c>
      <c r="B165" s="1" t="s">
        <v>360</v>
      </c>
      <c r="C165" s="1">
        <v>607950.0</v>
      </c>
      <c r="D165" s="2">
        <v>46076.423842592594</v>
      </c>
      <c r="E165" s="1" t="s">
        <v>501</v>
      </c>
      <c r="F165" s="1" t="b">
        <v>1</v>
      </c>
    </row>
    <row r="166">
      <c r="A166" s="1" t="s">
        <v>243</v>
      </c>
      <c r="B166" s="1" t="s">
        <v>471</v>
      </c>
      <c r="C166" s="1" t="s">
        <v>472</v>
      </c>
      <c r="D166" s="2">
        <v>46076.42393518519</v>
      </c>
      <c r="E166" s="1" t="s">
        <v>502</v>
      </c>
      <c r="F166" s="1" t="b">
        <v>1</v>
      </c>
    </row>
    <row r="167">
      <c r="A167" s="1" t="s">
        <v>243</v>
      </c>
      <c r="B167" s="1" t="s">
        <v>360</v>
      </c>
      <c r="C167" s="1">
        <v>607950.0</v>
      </c>
      <c r="D167" s="2">
        <v>46076.42554398148</v>
      </c>
      <c r="E167" s="1" t="s">
        <v>503</v>
      </c>
      <c r="F167" s="1" t="b">
        <v>0</v>
      </c>
    </row>
    <row r="168">
      <c r="A168" s="1" t="s">
        <v>237</v>
      </c>
      <c r="B168" s="1" t="s">
        <v>356</v>
      </c>
      <c r="C168" s="1" t="s">
        <v>241</v>
      </c>
      <c r="D168" s="2">
        <v>46073.726851851854</v>
      </c>
      <c r="E168" s="1" t="s">
        <v>504</v>
      </c>
      <c r="F168" s="1" t="b">
        <v>0</v>
      </c>
    </row>
    <row r="169">
      <c r="A169" s="1" t="s">
        <v>237</v>
      </c>
      <c r="B169" s="1" t="s">
        <v>356</v>
      </c>
      <c r="C169" s="1" t="s">
        <v>241</v>
      </c>
      <c r="D169" s="2">
        <v>46073.72723379629</v>
      </c>
      <c r="E169" s="1" t="s">
        <v>504</v>
      </c>
      <c r="F169" s="1" t="b">
        <v>0</v>
      </c>
    </row>
    <row r="170">
      <c r="A170" s="1" t="s">
        <v>237</v>
      </c>
      <c r="B170" s="1" t="s">
        <v>360</v>
      </c>
      <c r="C170" s="1">
        <v>607950.0</v>
      </c>
      <c r="D170" s="2">
        <v>46076.41577546296</v>
      </c>
      <c r="E170" s="1" t="s">
        <v>456</v>
      </c>
      <c r="F170" s="1" t="b">
        <v>0</v>
      </c>
    </row>
    <row r="171">
      <c r="A171" s="1" t="s">
        <v>237</v>
      </c>
      <c r="B171" s="1" t="s">
        <v>360</v>
      </c>
      <c r="C171" s="1">
        <v>607950.0</v>
      </c>
      <c r="D171" s="2">
        <v>46076.43876157407</v>
      </c>
      <c r="E171" s="1" t="s">
        <v>505</v>
      </c>
      <c r="F171" s="1" t="b">
        <v>0</v>
      </c>
    </row>
    <row r="172">
      <c r="A172" s="1" t="s">
        <v>237</v>
      </c>
      <c r="B172" s="1" t="s">
        <v>360</v>
      </c>
      <c r="C172" s="1">
        <v>607950.0</v>
      </c>
      <c r="D172" s="2">
        <v>46076.46569444444</v>
      </c>
      <c r="E172" s="1" t="s">
        <v>466</v>
      </c>
      <c r="F172" s="1" t="b">
        <v>0</v>
      </c>
    </row>
    <row r="173">
      <c r="A173" s="1" t="s">
        <v>237</v>
      </c>
      <c r="B173" s="1" t="s">
        <v>360</v>
      </c>
      <c r="C173" s="1">
        <v>607950.0</v>
      </c>
      <c r="D173" s="2">
        <v>46076.482395833336</v>
      </c>
      <c r="E173" s="1" t="s">
        <v>399</v>
      </c>
      <c r="F173" s="1" t="b">
        <v>0</v>
      </c>
    </row>
    <row r="174">
      <c r="A174" s="1" t="s">
        <v>231</v>
      </c>
      <c r="B174" s="1" t="s">
        <v>356</v>
      </c>
      <c r="C174" s="1" t="s">
        <v>235</v>
      </c>
      <c r="D174" s="2">
        <v>46073.728993055556</v>
      </c>
      <c r="E174" s="1" t="s">
        <v>506</v>
      </c>
      <c r="F174" s="1" t="b">
        <v>0</v>
      </c>
    </row>
    <row r="175">
      <c r="A175" s="1" t="s">
        <v>231</v>
      </c>
      <c r="B175" s="1" t="s">
        <v>356</v>
      </c>
      <c r="C175" s="1" t="s">
        <v>235</v>
      </c>
      <c r="D175" s="2">
        <v>46073.73275462963</v>
      </c>
      <c r="E175" s="1" t="s">
        <v>507</v>
      </c>
      <c r="F175" s="1" t="b">
        <v>0</v>
      </c>
    </row>
    <row r="176">
      <c r="A176" s="1" t="s">
        <v>231</v>
      </c>
      <c r="B176" s="1" t="s">
        <v>360</v>
      </c>
      <c r="C176" s="1">
        <v>607950.0</v>
      </c>
      <c r="D176" s="2">
        <v>46076.41585648148</v>
      </c>
      <c r="E176" s="1" t="s">
        <v>456</v>
      </c>
      <c r="F176" s="1" t="b">
        <v>0</v>
      </c>
    </row>
    <row r="177">
      <c r="A177" s="1" t="s">
        <v>231</v>
      </c>
      <c r="B177" s="1" t="s">
        <v>360</v>
      </c>
      <c r="C177" s="1">
        <v>607950.0</v>
      </c>
      <c r="D177" s="2">
        <v>46076.41680555556</v>
      </c>
      <c r="E177" s="1" t="s">
        <v>508</v>
      </c>
      <c r="F177" s="1" t="b">
        <v>0</v>
      </c>
    </row>
    <row r="178">
      <c r="A178" s="1" t="s">
        <v>231</v>
      </c>
      <c r="B178" s="1" t="s">
        <v>360</v>
      </c>
      <c r="C178" s="1">
        <v>607950.0</v>
      </c>
      <c r="D178" s="2">
        <v>46076.440092592595</v>
      </c>
      <c r="E178" s="1" t="s">
        <v>466</v>
      </c>
      <c r="F178" s="1" t="b">
        <v>0</v>
      </c>
    </row>
    <row r="179">
      <c r="A179" s="1" t="s">
        <v>231</v>
      </c>
      <c r="B179" s="1" t="s">
        <v>360</v>
      </c>
      <c r="C179" s="1">
        <v>607950.0</v>
      </c>
      <c r="D179" s="2">
        <v>46076.44349537037</v>
      </c>
      <c r="E179" s="1" t="s">
        <v>399</v>
      </c>
      <c r="F179" s="1" t="b">
        <v>0</v>
      </c>
    </row>
    <row r="180">
      <c r="A180" s="1" t="s">
        <v>225</v>
      </c>
      <c r="B180" s="1" t="s">
        <v>356</v>
      </c>
      <c r="C180" s="1" t="s">
        <v>228</v>
      </c>
      <c r="D180" s="2">
        <v>46073.75100694445</v>
      </c>
      <c r="E180" s="1" t="s">
        <v>509</v>
      </c>
      <c r="F180" s="1" t="b">
        <v>0</v>
      </c>
    </row>
    <row r="181">
      <c r="A181" s="1" t="s">
        <v>225</v>
      </c>
      <c r="B181" s="1" t="s">
        <v>356</v>
      </c>
      <c r="C181" s="1" t="s">
        <v>228</v>
      </c>
      <c r="D181" s="2">
        <v>46073.75121527778</v>
      </c>
      <c r="E181" s="1" t="s">
        <v>510</v>
      </c>
      <c r="F181" s="1" t="b">
        <v>0</v>
      </c>
    </row>
    <row r="182">
      <c r="A182" s="1" t="s">
        <v>225</v>
      </c>
      <c r="B182" s="1" t="s">
        <v>356</v>
      </c>
      <c r="C182" s="1" t="s">
        <v>228</v>
      </c>
      <c r="D182" s="2">
        <v>46073.75170138889</v>
      </c>
      <c r="F182" s="1" t="b">
        <v>0</v>
      </c>
    </row>
    <row r="183">
      <c r="A183" s="1" t="s">
        <v>225</v>
      </c>
      <c r="B183" s="1" t="s">
        <v>360</v>
      </c>
      <c r="C183" s="1">
        <v>607950.0</v>
      </c>
      <c r="D183" s="2">
        <v>46076.41590277778</v>
      </c>
      <c r="E183" s="1" t="s">
        <v>456</v>
      </c>
      <c r="F183" s="1" t="b">
        <v>0</v>
      </c>
    </row>
    <row r="184">
      <c r="A184" s="1" t="s">
        <v>225</v>
      </c>
      <c r="B184" s="1" t="s">
        <v>360</v>
      </c>
      <c r="C184" s="1">
        <v>607950.0</v>
      </c>
      <c r="D184" s="2">
        <v>46076.41615740741</v>
      </c>
      <c r="E184" s="1" t="s">
        <v>496</v>
      </c>
      <c r="F184" s="1" t="b">
        <v>0</v>
      </c>
    </row>
    <row r="185">
      <c r="A185" s="1" t="s">
        <v>225</v>
      </c>
      <c r="B185" s="1" t="s">
        <v>360</v>
      </c>
      <c r="C185" s="1">
        <v>607950.0</v>
      </c>
      <c r="D185" s="2">
        <v>46076.625023148146</v>
      </c>
      <c r="E185" s="1" t="s">
        <v>466</v>
      </c>
      <c r="F185" s="1" t="b">
        <v>0</v>
      </c>
    </row>
    <row r="186">
      <c r="A186" s="1" t="s">
        <v>225</v>
      </c>
      <c r="B186" s="1" t="s">
        <v>360</v>
      </c>
      <c r="C186" s="1">
        <v>607950.0</v>
      </c>
      <c r="D186" s="2">
        <v>46076.62740740741</v>
      </c>
      <c r="E186" s="1" t="s">
        <v>399</v>
      </c>
      <c r="F186" s="1" t="b">
        <v>0</v>
      </c>
    </row>
    <row r="187">
      <c r="A187" s="1" t="s">
        <v>219</v>
      </c>
      <c r="B187" s="1" t="s">
        <v>356</v>
      </c>
      <c r="C187" s="1" t="s">
        <v>223</v>
      </c>
      <c r="D187" s="2">
        <v>46073.786886574075</v>
      </c>
      <c r="E187" s="1" t="s">
        <v>511</v>
      </c>
      <c r="F187" s="1" t="b">
        <v>0</v>
      </c>
    </row>
    <row r="188">
      <c r="A188" s="1" t="s">
        <v>219</v>
      </c>
      <c r="B188" s="1" t="s">
        <v>356</v>
      </c>
      <c r="C188" s="1" t="s">
        <v>223</v>
      </c>
      <c r="D188" s="2">
        <v>46073.78706018518</v>
      </c>
      <c r="E188" s="1" t="s">
        <v>510</v>
      </c>
      <c r="F188" s="1" t="b">
        <v>0</v>
      </c>
    </row>
    <row r="189">
      <c r="A189" s="1" t="s">
        <v>219</v>
      </c>
      <c r="B189" s="1" t="s">
        <v>356</v>
      </c>
      <c r="C189" s="1" t="s">
        <v>223</v>
      </c>
      <c r="D189" s="2">
        <v>46076.39755787037</v>
      </c>
      <c r="E189" s="1" t="s">
        <v>511</v>
      </c>
      <c r="F189" s="1" t="b">
        <v>0</v>
      </c>
    </row>
    <row r="190">
      <c r="A190" s="1" t="s">
        <v>219</v>
      </c>
      <c r="B190" s="1" t="s">
        <v>360</v>
      </c>
      <c r="C190" s="1">
        <v>607950.0</v>
      </c>
      <c r="D190" s="2">
        <v>46076.41795138889</v>
      </c>
      <c r="E190" s="1" t="s">
        <v>456</v>
      </c>
      <c r="F190" s="1" t="b">
        <v>0</v>
      </c>
    </row>
    <row r="191">
      <c r="A191" s="1" t="s">
        <v>219</v>
      </c>
      <c r="B191" s="1" t="s">
        <v>360</v>
      </c>
      <c r="C191" s="1">
        <v>607950.0</v>
      </c>
      <c r="D191" s="2">
        <v>46076.42711805556</v>
      </c>
      <c r="E191" s="1" t="s">
        <v>512</v>
      </c>
      <c r="F191" s="1" t="b">
        <v>0</v>
      </c>
    </row>
    <row r="192">
      <c r="A192" s="1" t="s">
        <v>219</v>
      </c>
      <c r="B192" s="1" t="s">
        <v>360</v>
      </c>
      <c r="C192" s="1">
        <v>607950.0</v>
      </c>
      <c r="D192" s="2">
        <v>46076.439247685186</v>
      </c>
      <c r="E192" s="1" t="s">
        <v>466</v>
      </c>
      <c r="F192" s="1" t="b">
        <v>0</v>
      </c>
    </row>
    <row r="193">
      <c r="A193" s="1" t="s">
        <v>219</v>
      </c>
      <c r="B193" s="1" t="s">
        <v>360</v>
      </c>
      <c r="C193" s="1">
        <v>607950.0</v>
      </c>
      <c r="D193" s="2">
        <v>46076.44327546296</v>
      </c>
      <c r="E193" s="1" t="s">
        <v>399</v>
      </c>
      <c r="F193" s="1" t="b">
        <v>0</v>
      </c>
    </row>
    <row r="194">
      <c r="A194" s="1" t="s">
        <v>214</v>
      </c>
      <c r="B194" s="1" t="s">
        <v>356</v>
      </c>
      <c r="C194" s="1" t="s">
        <v>217</v>
      </c>
      <c r="D194" s="2">
        <v>46075.855208333334</v>
      </c>
      <c r="E194" s="1" t="s">
        <v>513</v>
      </c>
      <c r="F194" s="1" t="b">
        <v>0</v>
      </c>
    </row>
    <row r="195">
      <c r="A195" s="1" t="s">
        <v>207</v>
      </c>
      <c r="B195" s="1" t="s">
        <v>356</v>
      </c>
      <c r="C195" s="1" t="s">
        <v>211</v>
      </c>
      <c r="D195" s="2">
        <v>46076.42512731482</v>
      </c>
      <c r="E195" s="1" t="s">
        <v>514</v>
      </c>
      <c r="F195" s="1" t="b">
        <v>0</v>
      </c>
    </row>
    <row r="196">
      <c r="A196" s="1" t="s">
        <v>207</v>
      </c>
      <c r="B196" s="1" t="s">
        <v>360</v>
      </c>
      <c r="C196" s="1">
        <v>607950.0</v>
      </c>
      <c r="D196" s="2">
        <v>46076.42524305556</v>
      </c>
      <c r="E196" s="1" t="s">
        <v>456</v>
      </c>
      <c r="F196" s="1" t="b">
        <v>0</v>
      </c>
    </row>
    <row r="197">
      <c r="A197" s="1" t="s">
        <v>207</v>
      </c>
      <c r="B197" s="1" t="s">
        <v>360</v>
      </c>
      <c r="C197" s="1">
        <v>607950.0</v>
      </c>
      <c r="D197" s="2">
        <v>46076.425891203704</v>
      </c>
      <c r="E197" s="1" t="s">
        <v>515</v>
      </c>
      <c r="F197" s="1" t="b">
        <v>0</v>
      </c>
    </row>
    <row r="198">
      <c r="A198" s="1" t="s">
        <v>207</v>
      </c>
      <c r="B198" s="1" t="s">
        <v>356</v>
      </c>
      <c r="C198" s="1" t="s">
        <v>211</v>
      </c>
      <c r="D198" s="2">
        <v>46076.42612268519</v>
      </c>
      <c r="E198" s="1" t="s">
        <v>516</v>
      </c>
      <c r="F198" s="1" t="b">
        <v>0</v>
      </c>
    </row>
    <row r="199">
      <c r="A199" s="1" t="s">
        <v>207</v>
      </c>
      <c r="B199" s="1" t="s">
        <v>360</v>
      </c>
      <c r="C199" s="1">
        <v>607950.0</v>
      </c>
      <c r="D199" s="2">
        <v>46076.42806712963</v>
      </c>
      <c r="E199" s="1" t="s">
        <v>517</v>
      </c>
      <c r="F199" s="1" t="b">
        <v>0</v>
      </c>
    </row>
    <row r="200">
      <c r="A200" s="1" t="s">
        <v>207</v>
      </c>
      <c r="B200" s="1" t="s">
        <v>360</v>
      </c>
      <c r="C200" s="1">
        <v>607950.0</v>
      </c>
      <c r="D200" s="2">
        <v>46076.42822916667</v>
      </c>
      <c r="E200" s="1" t="s">
        <v>518</v>
      </c>
      <c r="F200" s="1" t="b">
        <v>1</v>
      </c>
    </row>
    <row r="201">
      <c r="A201" s="1" t="s">
        <v>207</v>
      </c>
      <c r="B201" s="1" t="s">
        <v>356</v>
      </c>
      <c r="C201" s="1" t="s">
        <v>211</v>
      </c>
      <c r="D201" s="2">
        <v>46076.42979166667</v>
      </c>
      <c r="E201" s="1" t="s">
        <v>519</v>
      </c>
      <c r="F201" s="1" t="b">
        <v>0</v>
      </c>
    </row>
    <row r="202">
      <c r="A202" s="1" t="s">
        <v>207</v>
      </c>
      <c r="B202" s="1" t="s">
        <v>360</v>
      </c>
      <c r="C202" s="1">
        <v>607950.0</v>
      </c>
      <c r="D202" s="2">
        <v>46076.432291666664</v>
      </c>
      <c r="E202" s="1" t="s">
        <v>399</v>
      </c>
      <c r="F202" s="1" t="b">
        <v>0</v>
      </c>
    </row>
    <row r="203">
      <c r="A203" s="1" t="s">
        <v>200</v>
      </c>
      <c r="B203" s="1" t="s">
        <v>356</v>
      </c>
      <c r="C203" s="1" t="s">
        <v>520</v>
      </c>
      <c r="D203" s="2">
        <v>46076.450636574074</v>
      </c>
      <c r="E203" s="1" t="s">
        <v>521</v>
      </c>
      <c r="F203" s="1" t="b">
        <v>0</v>
      </c>
    </row>
    <row r="204">
      <c r="A204" s="1" t="s">
        <v>200</v>
      </c>
      <c r="B204" s="1" t="s">
        <v>356</v>
      </c>
      <c r="C204" s="1" t="s">
        <v>520</v>
      </c>
      <c r="D204" s="2">
        <v>46076.45087962963</v>
      </c>
      <c r="E204" s="1" t="s">
        <v>522</v>
      </c>
      <c r="F204" s="1" t="b">
        <v>0</v>
      </c>
    </row>
    <row r="205">
      <c r="A205" s="1" t="s">
        <v>200</v>
      </c>
      <c r="B205" s="1" t="s">
        <v>360</v>
      </c>
      <c r="C205" s="1">
        <v>594863.0</v>
      </c>
      <c r="D205" s="2">
        <v>46076.45501157407</v>
      </c>
      <c r="E205" s="1" t="s">
        <v>523</v>
      </c>
      <c r="F205" s="1" t="b">
        <v>0</v>
      </c>
    </row>
    <row r="206">
      <c r="A206" s="1" t="s">
        <v>200</v>
      </c>
      <c r="B206" s="1" t="s">
        <v>356</v>
      </c>
      <c r="C206" s="1" t="s">
        <v>204</v>
      </c>
      <c r="D206" s="2">
        <v>46076.457604166666</v>
      </c>
      <c r="E206" s="1" t="s">
        <v>524</v>
      </c>
      <c r="F206" s="1" t="b">
        <v>0</v>
      </c>
    </row>
    <row r="207">
      <c r="A207" s="1" t="s">
        <v>200</v>
      </c>
      <c r="B207" s="1" t="s">
        <v>360</v>
      </c>
      <c r="C207" s="1">
        <v>594863.0</v>
      </c>
      <c r="D207" s="2">
        <v>46076.45799768518</v>
      </c>
      <c r="E207" s="1" t="s">
        <v>525</v>
      </c>
      <c r="F207" s="1" t="b">
        <v>0</v>
      </c>
    </row>
    <row r="208">
      <c r="A208" s="1" t="s">
        <v>189</v>
      </c>
      <c r="B208" s="1" t="s">
        <v>356</v>
      </c>
      <c r="C208" s="1" t="s">
        <v>193</v>
      </c>
      <c r="D208" s="2">
        <v>46076.48303240741</v>
      </c>
      <c r="E208" s="1" t="s">
        <v>526</v>
      </c>
      <c r="F208" s="1" t="b">
        <v>0</v>
      </c>
    </row>
    <row r="209">
      <c r="A209" s="1" t="s">
        <v>189</v>
      </c>
      <c r="B209" s="1" t="s">
        <v>360</v>
      </c>
      <c r="C209" s="1">
        <v>607950.0</v>
      </c>
      <c r="D209" s="2">
        <v>46076.48358796296</v>
      </c>
      <c r="E209" s="1" t="s">
        <v>405</v>
      </c>
      <c r="F209" s="1" t="b">
        <v>0</v>
      </c>
    </row>
    <row r="210">
      <c r="A210" s="1" t="s">
        <v>189</v>
      </c>
      <c r="B210" s="1" t="s">
        <v>356</v>
      </c>
      <c r="C210" s="1" t="s">
        <v>193</v>
      </c>
      <c r="D210" s="2">
        <v>46076.48364583333</v>
      </c>
      <c r="E210" s="1" t="s">
        <v>527</v>
      </c>
      <c r="F210" s="1" t="b">
        <v>0</v>
      </c>
    </row>
    <row r="211">
      <c r="A211" s="1" t="s">
        <v>189</v>
      </c>
      <c r="B211" s="1" t="s">
        <v>360</v>
      </c>
      <c r="C211" s="1">
        <v>607950.0</v>
      </c>
      <c r="D211" s="2">
        <v>46076.49674768518</v>
      </c>
      <c r="E211" s="1" t="s">
        <v>528</v>
      </c>
      <c r="F211" s="1" t="b">
        <v>0</v>
      </c>
    </row>
    <row r="212">
      <c r="A212" s="1" t="s">
        <v>189</v>
      </c>
      <c r="B212" s="1" t="s">
        <v>356</v>
      </c>
      <c r="C212" s="1" t="s">
        <v>193</v>
      </c>
      <c r="D212" s="2">
        <v>46076.49767361111</v>
      </c>
      <c r="E212" s="1" t="s">
        <v>529</v>
      </c>
      <c r="F212" s="1" t="b">
        <v>0</v>
      </c>
    </row>
    <row r="213">
      <c r="A213" s="1" t="s">
        <v>189</v>
      </c>
      <c r="B213" s="1" t="s">
        <v>360</v>
      </c>
      <c r="C213" s="1">
        <v>607950.0</v>
      </c>
      <c r="D213" s="2">
        <v>46076.49899305555</v>
      </c>
      <c r="E213" s="1" t="s">
        <v>530</v>
      </c>
      <c r="F213" s="1" t="b">
        <v>0</v>
      </c>
    </row>
    <row r="214">
      <c r="A214" s="1" t="s">
        <v>189</v>
      </c>
      <c r="B214" s="1" t="s">
        <v>356</v>
      </c>
      <c r="C214" s="1" t="s">
        <v>193</v>
      </c>
      <c r="D214" s="2">
        <v>46076.501064814816</v>
      </c>
      <c r="E214" s="1" t="s">
        <v>531</v>
      </c>
      <c r="F214" s="1" t="b">
        <v>0</v>
      </c>
    </row>
    <row r="215">
      <c r="A215" s="1" t="s">
        <v>189</v>
      </c>
      <c r="B215" s="1" t="s">
        <v>356</v>
      </c>
      <c r="C215" s="1" t="s">
        <v>193</v>
      </c>
      <c r="D215" s="2">
        <v>46076.50436342593</v>
      </c>
      <c r="E215" s="1" t="s">
        <v>532</v>
      </c>
      <c r="F215" s="1" t="b">
        <v>0</v>
      </c>
    </row>
    <row r="216">
      <c r="A216" s="1" t="s">
        <v>189</v>
      </c>
      <c r="B216" s="1" t="s">
        <v>360</v>
      </c>
      <c r="C216" s="1">
        <v>607950.0</v>
      </c>
      <c r="D216" s="2">
        <v>46076.5059837963</v>
      </c>
      <c r="E216" s="1" t="s">
        <v>533</v>
      </c>
      <c r="F216" s="1" t="b">
        <v>0</v>
      </c>
    </row>
    <row r="217">
      <c r="A217" s="1" t="s">
        <v>189</v>
      </c>
      <c r="B217" s="1" t="s">
        <v>360</v>
      </c>
      <c r="C217" s="1">
        <v>607950.0</v>
      </c>
      <c r="D217" s="2">
        <v>46076.51709490741</v>
      </c>
      <c r="E217" s="1" t="s">
        <v>534</v>
      </c>
      <c r="F217" s="1" t="b">
        <v>0</v>
      </c>
    </row>
    <row r="218">
      <c r="A218" s="1" t="s">
        <v>189</v>
      </c>
      <c r="B218" s="1" t="s">
        <v>356</v>
      </c>
      <c r="C218" s="1" t="s">
        <v>193</v>
      </c>
      <c r="D218" s="2">
        <v>46076.52521990741</v>
      </c>
      <c r="E218" s="1" t="s">
        <v>535</v>
      </c>
      <c r="F218" s="1" t="b">
        <v>0</v>
      </c>
    </row>
    <row r="219">
      <c r="A219" s="1" t="s">
        <v>189</v>
      </c>
      <c r="B219" s="1" t="s">
        <v>356</v>
      </c>
      <c r="C219" s="1" t="s">
        <v>193</v>
      </c>
      <c r="D219" s="2">
        <v>46076.52548611111</v>
      </c>
      <c r="E219" s="1" t="s">
        <v>536</v>
      </c>
      <c r="F219" s="1" t="b">
        <v>0</v>
      </c>
    </row>
    <row r="220">
      <c r="A220" s="1" t="s">
        <v>189</v>
      </c>
      <c r="B220" s="1" t="s">
        <v>356</v>
      </c>
      <c r="C220" s="1" t="s">
        <v>193</v>
      </c>
      <c r="D220" s="2">
        <v>46076.52590277778</v>
      </c>
      <c r="E220" s="1" t="s">
        <v>537</v>
      </c>
      <c r="F220" s="1" t="b">
        <v>0</v>
      </c>
    </row>
    <row r="221">
      <c r="A221" s="1" t="s">
        <v>189</v>
      </c>
      <c r="B221" s="1" t="s">
        <v>356</v>
      </c>
      <c r="C221" s="1" t="s">
        <v>193</v>
      </c>
      <c r="D221" s="2">
        <v>46076.526458333334</v>
      </c>
      <c r="E221" s="1" t="s">
        <v>538</v>
      </c>
      <c r="F221" s="1" t="b">
        <v>0</v>
      </c>
    </row>
    <row r="222">
      <c r="A222" s="1" t="s">
        <v>189</v>
      </c>
      <c r="B222" s="1" t="s">
        <v>356</v>
      </c>
      <c r="C222" s="1" t="s">
        <v>193</v>
      </c>
      <c r="D222" s="2">
        <v>46076.5268287037</v>
      </c>
      <c r="E222" s="1" t="s">
        <v>539</v>
      </c>
      <c r="F222" s="1" t="b">
        <v>0</v>
      </c>
    </row>
    <row r="223">
      <c r="A223" s="1" t="s">
        <v>189</v>
      </c>
      <c r="B223" s="1" t="s">
        <v>356</v>
      </c>
      <c r="C223" s="1" t="s">
        <v>193</v>
      </c>
      <c r="D223" s="2">
        <v>46076.5271875</v>
      </c>
      <c r="E223" s="1" t="s">
        <v>540</v>
      </c>
      <c r="F223" s="1" t="b">
        <v>0</v>
      </c>
    </row>
    <row r="224">
      <c r="A224" s="1" t="s">
        <v>189</v>
      </c>
      <c r="B224" s="1" t="s">
        <v>360</v>
      </c>
      <c r="C224" s="1">
        <v>607950.0</v>
      </c>
      <c r="D224" s="2">
        <v>46076.57697916667</v>
      </c>
      <c r="E224" s="1" t="s">
        <v>541</v>
      </c>
      <c r="F224" s="1" t="b">
        <v>0</v>
      </c>
    </row>
    <row r="225">
      <c r="A225" s="1" t="s">
        <v>189</v>
      </c>
      <c r="B225" s="1" t="s">
        <v>356</v>
      </c>
      <c r="C225" s="1" t="s">
        <v>193</v>
      </c>
      <c r="D225" s="2">
        <v>46076.591840277775</v>
      </c>
      <c r="E225" s="1" t="s">
        <v>542</v>
      </c>
      <c r="F225" s="1" t="b">
        <v>0</v>
      </c>
    </row>
    <row r="226">
      <c r="A226" s="1" t="s">
        <v>189</v>
      </c>
      <c r="B226" s="1" t="s">
        <v>360</v>
      </c>
      <c r="C226" s="1">
        <v>607950.0</v>
      </c>
      <c r="D226" s="2">
        <v>46076.62490740741</v>
      </c>
      <c r="E226" s="1" t="s">
        <v>543</v>
      </c>
      <c r="F226" s="1" t="b">
        <v>0</v>
      </c>
    </row>
    <row r="227">
      <c r="A227" s="1" t="s">
        <v>189</v>
      </c>
      <c r="B227" s="1" t="s">
        <v>360</v>
      </c>
      <c r="C227" s="1">
        <v>607950.0</v>
      </c>
      <c r="D227" s="2">
        <v>46076.628287037034</v>
      </c>
      <c r="E227" s="1" t="s">
        <v>399</v>
      </c>
      <c r="F227" s="1" t="b">
        <v>0</v>
      </c>
    </row>
    <row r="228">
      <c r="A228" s="1" t="s">
        <v>195</v>
      </c>
      <c r="B228" s="1" t="s">
        <v>356</v>
      </c>
      <c r="C228" s="1" t="s">
        <v>198</v>
      </c>
      <c r="D228" s="2">
        <v>46076.48222222222</v>
      </c>
      <c r="E228" s="1" t="s">
        <v>424</v>
      </c>
      <c r="F228" s="1" t="b">
        <v>0</v>
      </c>
    </row>
    <row r="229">
      <c r="A229" s="1" t="s">
        <v>195</v>
      </c>
      <c r="B229" s="1" t="s">
        <v>360</v>
      </c>
      <c r="C229" s="1">
        <v>607950.0</v>
      </c>
      <c r="D229" s="2">
        <v>46076.48233796296</v>
      </c>
      <c r="E229" s="1" t="s">
        <v>405</v>
      </c>
      <c r="F229" s="1" t="b">
        <v>0</v>
      </c>
    </row>
    <row r="230">
      <c r="A230" s="1" t="s">
        <v>195</v>
      </c>
      <c r="B230" s="1" t="s">
        <v>356</v>
      </c>
      <c r="C230" s="1" t="s">
        <v>198</v>
      </c>
      <c r="D230" s="2">
        <v>46076.482511574075</v>
      </c>
      <c r="E230" s="1" t="s">
        <v>544</v>
      </c>
      <c r="F230" s="1" t="b">
        <v>0</v>
      </c>
    </row>
    <row r="231">
      <c r="A231" s="1" t="s">
        <v>195</v>
      </c>
      <c r="B231" s="1" t="s">
        <v>356</v>
      </c>
      <c r="C231" s="1" t="s">
        <v>198</v>
      </c>
      <c r="D231" s="2">
        <v>46076.48333333333</v>
      </c>
      <c r="E231" s="1" t="s">
        <v>545</v>
      </c>
      <c r="F231" s="1" t="b">
        <v>0</v>
      </c>
    </row>
    <row r="232">
      <c r="A232" s="1" t="s">
        <v>195</v>
      </c>
      <c r="B232" s="1" t="s">
        <v>356</v>
      </c>
      <c r="C232" s="1" t="s">
        <v>198</v>
      </c>
      <c r="D232" s="2">
        <v>46076.483402777776</v>
      </c>
      <c r="E232" s="1" t="s">
        <v>546</v>
      </c>
      <c r="F232" s="1" t="b">
        <v>0</v>
      </c>
    </row>
    <row r="233">
      <c r="A233" s="1" t="s">
        <v>195</v>
      </c>
      <c r="B233" s="1" t="s">
        <v>360</v>
      </c>
      <c r="C233" s="1">
        <v>607950.0</v>
      </c>
      <c r="D233" s="2">
        <v>46076.492476851854</v>
      </c>
      <c r="E233" s="1" t="s">
        <v>547</v>
      </c>
      <c r="F233" s="1" t="b">
        <v>0</v>
      </c>
    </row>
    <row r="234">
      <c r="A234" s="1" t="s">
        <v>195</v>
      </c>
      <c r="B234" s="1" t="s">
        <v>356</v>
      </c>
      <c r="C234" s="1" t="s">
        <v>198</v>
      </c>
      <c r="D234" s="2">
        <v>46076.4930787037</v>
      </c>
      <c r="E234" s="1" t="s">
        <v>548</v>
      </c>
      <c r="F234" s="1" t="b">
        <v>0</v>
      </c>
    </row>
    <row r="235">
      <c r="A235" s="1" t="s">
        <v>195</v>
      </c>
      <c r="B235" s="1" t="s">
        <v>360</v>
      </c>
      <c r="C235" s="1">
        <v>607950.0</v>
      </c>
      <c r="D235" s="2">
        <v>46076.49568287037</v>
      </c>
      <c r="E235" s="1" t="s">
        <v>549</v>
      </c>
      <c r="F235" s="1" t="b">
        <v>0</v>
      </c>
    </row>
    <row r="236">
      <c r="A236" s="1" t="s">
        <v>195</v>
      </c>
      <c r="B236" s="1" t="s">
        <v>360</v>
      </c>
      <c r="C236" s="1">
        <v>607950.0</v>
      </c>
      <c r="D236" s="2">
        <v>46076.499074074076</v>
      </c>
      <c r="E236" s="1" t="s">
        <v>399</v>
      </c>
      <c r="F236" s="1" t="b">
        <v>0</v>
      </c>
    </row>
    <row r="237">
      <c r="A237" s="1" t="s">
        <v>182</v>
      </c>
      <c r="B237" s="1" t="s">
        <v>356</v>
      </c>
      <c r="C237" s="1" t="s">
        <v>186</v>
      </c>
      <c r="D237" s="2">
        <v>46076.49150462963</v>
      </c>
      <c r="E237" s="1" t="s">
        <v>550</v>
      </c>
      <c r="F237" s="1" t="b">
        <v>0</v>
      </c>
    </row>
    <row r="238">
      <c r="A238" s="1" t="s">
        <v>182</v>
      </c>
      <c r="B238" s="1" t="s">
        <v>356</v>
      </c>
      <c r="C238" s="1" t="s">
        <v>186</v>
      </c>
      <c r="D238" s="2">
        <v>46076.49253472222</v>
      </c>
      <c r="F238" s="1" t="b">
        <v>0</v>
      </c>
    </row>
    <row r="239">
      <c r="A239" s="1" t="s">
        <v>182</v>
      </c>
      <c r="B239" s="1" t="s">
        <v>360</v>
      </c>
      <c r="C239" s="1">
        <v>607950.0</v>
      </c>
      <c r="D239" s="2">
        <v>46076.49261574074</v>
      </c>
      <c r="E239" s="1" t="s">
        <v>551</v>
      </c>
      <c r="F239" s="1" t="b">
        <v>0</v>
      </c>
    </row>
    <row r="240">
      <c r="A240" s="1" t="s">
        <v>182</v>
      </c>
      <c r="B240" s="1" t="s">
        <v>360</v>
      </c>
      <c r="C240" s="1">
        <v>607950.0</v>
      </c>
      <c r="D240" s="2">
        <v>46076.5158912037</v>
      </c>
      <c r="E240" s="1" t="s">
        <v>552</v>
      </c>
      <c r="F240" s="1" t="b">
        <v>0</v>
      </c>
    </row>
    <row r="241">
      <c r="A241" s="1" t="s">
        <v>182</v>
      </c>
      <c r="B241" s="1" t="s">
        <v>360</v>
      </c>
      <c r="C241" s="1">
        <v>607950.0</v>
      </c>
      <c r="D241" s="2">
        <v>46076.5793287037</v>
      </c>
      <c r="E241" s="1" t="s">
        <v>553</v>
      </c>
      <c r="F241" s="1" t="b">
        <v>0</v>
      </c>
    </row>
    <row r="242">
      <c r="A242" s="1" t="s">
        <v>182</v>
      </c>
      <c r="B242" s="1" t="s">
        <v>356</v>
      </c>
      <c r="C242" s="1" t="s">
        <v>186</v>
      </c>
      <c r="D242" s="2">
        <v>46076.597905092596</v>
      </c>
      <c r="E242" s="1" t="s">
        <v>554</v>
      </c>
      <c r="F242" s="1" t="b">
        <v>0</v>
      </c>
    </row>
    <row r="243">
      <c r="A243" s="1" t="s">
        <v>182</v>
      </c>
      <c r="B243" s="1" t="s">
        <v>360</v>
      </c>
      <c r="C243" s="1">
        <v>607950.0</v>
      </c>
      <c r="D243" s="2">
        <v>46076.628067129626</v>
      </c>
      <c r="E243" s="1" t="s">
        <v>555</v>
      </c>
      <c r="F243" s="1" t="b">
        <v>0</v>
      </c>
    </row>
    <row r="244">
      <c r="A244" s="1" t="s">
        <v>182</v>
      </c>
      <c r="B244" s="1" t="s">
        <v>360</v>
      </c>
      <c r="C244" s="1">
        <v>607950.0</v>
      </c>
      <c r="D244" s="2">
        <v>46076.679930555554</v>
      </c>
      <c r="E244" s="1" t="s">
        <v>466</v>
      </c>
      <c r="F244" s="1" t="b">
        <v>0</v>
      </c>
    </row>
    <row r="245">
      <c r="A245" s="1" t="s">
        <v>182</v>
      </c>
      <c r="B245" s="1" t="s">
        <v>360</v>
      </c>
      <c r="C245" s="1">
        <v>607950.0</v>
      </c>
      <c r="D245" s="2">
        <v>46076.684699074074</v>
      </c>
      <c r="E245" s="1" t="s">
        <v>399</v>
      </c>
      <c r="F245" s="1" t="b">
        <v>0</v>
      </c>
    </row>
    <row r="246">
      <c r="A246" s="1" t="s">
        <v>176</v>
      </c>
      <c r="B246" s="1" t="s">
        <v>356</v>
      </c>
      <c r="C246" s="1" t="s">
        <v>180</v>
      </c>
      <c r="D246" s="2">
        <v>46076.49636574074</v>
      </c>
      <c r="E246" s="1" t="s">
        <v>556</v>
      </c>
      <c r="F246" s="1" t="b">
        <v>0</v>
      </c>
    </row>
    <row r="247">
      <c r="A247" s="1" t="s">
        <v>176</v>
      </c>
      <c r="B247" s="1" t="s">
        <v>360</v>
      </c>
      <c r="C247" s="1">
        <v>607950.0</v>
      </c>
      <c r="D247" s="2">
        <v>46076.49650462963</v>
      </c>
      <c r="E247" s="1" t="s">
        <v>456</v>
      </c>
      <c r="F247" s="1" t="b">
        <v>0</v>
      </c>
    </row>
    <row r="248">
      <c r="A248" s="1" t="s">
        <v>176</v>
      </c>
      <c r="B248" s="1" t="s">
        <v>360</v>
      </c>
      <c r="C248" s="1">
        <v>607950.0</v>
      </c>
      <c r="D248" s="2">
        <v>46076.49804398148</v>
      </c>
      <c r="E248" s="1" t="s">
        <v>557</v>
      </c>
      <c r="F248" s="1" t="b">
        <v>0</v>
      </c>
    </row>
    <row r="249">
      <c r="A249" s="1" t="s">
        <v>176</v>
      </c>
      <c r="B249" s="1" t="s">
        <v>360</v>
      </c>
      <c r="C249" s="1">
        <v>607950.0</v>
      </c>
      <c r="D249" s="2">
        <v>46076.506516203706</v>
      </c>
      <c r="E249" s="1" t="s">
        <v>466</v>
      </c>
      <c r="F249" s="1" t="b">
        <v>0</v>
      </c>
    </row>
    <row r="250">
      <c r="A250" s="1" t="s">
        <v>176</v>
      </c>
      <c r="B250" s="1" t="s">
        <v>360</v>
      </c>
      <c r="C250" s="1">
        <v>607950.0</v>
      </c>
      <c r="D250" s="2">
        <v>46076.51715277778</v>
      </c>
      <c r="E250" s="1" t="s">
        <v>399</v>
      </c>
      <c r="F250" s="1" t="b">
        <v>0</v>
      </c>
    </row>
    <row r="251">
      <c r="A251" s="1" t="s">
        <v>171</v>
      </c>
      <c r="B251" s="1" t="s">
        <v>356</v>
      </c>
      <c r="C251" s="1" t="s">
        <v>174</v>
      </c>
      <c r="D251" s="2">
        <v>46076.50989583333</v>
      </c>
      <c r="E251" s="1" t="s">
        <v>558</v>
      </c>
      <c r="F251" s="1" t="b">
        <v>0</v>
      </c>
    </row>
    <row r="252">
      <c r="A252" s="1" t="s">
        <v>171</v>
      </c>
      <c r="B252" s="1" t="s">
        <v>356</v>
      </c>
      <c r="C252" s="1" t="s">
        <v>174</v>
      </c>
      <c r="D252" s="2">
        <v>46076.51</v>
      </c>
      <c r="E252" s="1" t="s">
        <v>559</v>
      </c>
      <c r="F252" s="1" t="b">
        <v>0</v>
      </c>
    </row>
    <row r="253">
      <c r="A253" s="1" t="s">
        <v>171</v>
      </c>
      <c r="B253" s="1" t="s">
        <v>356</v>
      </c>
      <c r="C253" s="1" t="s">
        <v>174</v>
      </c>
      <c r="D253" s="2">
        <v>46076.51226851852</v>
      </c>
      <c r="E253" s="1" t="s">
        <v>560</v>
      </c>
      <c r="F253" s="1" t="b">
        <v>0</v>
      </c>
    </row>
    <row r="254">
      <c r="A254" s="1" t="s">
        <v>171</v>
      </c>
      <c r="B254" s="1" t="s">
        <v>360</v>
      </c>
      <c r="C254" s="1">
        <v>594863.0</v>
      </c>
      <c r="D254" s="2">
        <v>46076.51246527778</v>
      </c>
      <c r="E254" s="1" t="s">
        <v>561</v>
      </c>
      <c r="F254" s="1" t="b">
        <v>0</v>
      </c>
    </row>
    <row r="255">
      <c r="A255" s="1" t="s">
        <v>171</v>
      </c>
      <c r="B255" s="1" t="s">
        <v>360</v>
      </c>
      <c r="C255" s="1">
        <v>594863.0</v>
      </c>
      <c r="D255" s="2">
        <v>46076.51298611111</v>
      </c>
      <c r="E255" s="1" t="s">
        <v>562</v>
      </c>
      <c r="F255" s="1" t="b">
        <v>0</v>
      </c>
    </row>
    <row r="256">
      <c r="A256" s="1" t="s">
        <v>171</v>
      </c>
      <c r="B256" s="1" t="s">
        <v>360</v>
      </c>
      <c r="C256" s="1">
        <v>594863.0</v>
      </c>
      <c r="D256" s="2">
        <v>46076.51337962963</v>
      </c>
      <c r="E256" s="1" t="s">
        <v>563</v>
      </c>
      <c r="F256" s="1" t="b">
        <v>0</v>
      </c>
    </row>
    <row r="257">
      <c r="A257" s="1" t="s">
        <v>171</v>
      </c>
      <c r="B257" s="1" t="s">
        <v>356</v>
      </c>
      <c r="C257" s="1" t="s">
        <v>174</v>
      </c>
      <c r="D257" s="2">
        <v>46076.513865740744</v>
      </c>
      <c r="E257" s="1" t="s">
        <v>564</v>
      </c>
      <c r="F257" s="1" t="b">
        <v>0</v>
      </c>
    </row>
    <row r="258">
      <c r="A258" s="1" t="s">
        <v>171</v>
      </c>
      <c r="B258" s="1" t="s">
        <v>360</v>
      </c>
      <c r="C258" s="1">
        <v>594863.0</v>
      </c>
      <c r="D258" s="2">
        <v>46076.51520833333</v>
      </c>
      <c r="E258" s="1" t="s">
        <v>399</v>
      </c>
      <c r="F258" s="1" t="b">
        <v>0</v>
      </c>
    </row>
    <row r="259">
      <c r="A259" s="1" t="s">
        <v>165</v>
      </c>
      <c r="B259" s="1" t="s">
        <v>356</v>
      </c>
      <c r="C259" s="1" t="s">
        <v>169</v>
      </c>
      <c r="D259" s="2">
        <v>46076.54646990741</v>
      </c>
      <c r="F259" s="1" t="b">
        <v>0</v>
      </c>
    </row>
    <row r="260">
      <c r="A260" s="1" t="s">
        <v>165</v>
      </c>
      <c r="B260" s="1" t="s">
        <v>356</v>
      </c>
      <c r="C260" s="1" t="s">
        <v>169</v>
      </c>
      <c r="D260" s="2">
        <v>46076.5466087963</v>
      </c>
      <c r="F260" s="1" t="b">
        <v>0</v>
      </c>
    </row>
    <row r="261">
      <c r="A261" s="1" t="s">
        <v>165</v>
      </c>
      <c r="B261" s="1" t="s">
        <v>356</v>
      </c>
      <c r="C261" s="1" t="s">
        <v>169</v>
      </c>
      <c r="D261" s="2">
        <v>46076.546747685185</v>
      </c>
      <c r="E261" s="1" t="s">
        <v>565</v>
      </c>
      <c r="F261" s="1" t="b">
        <v>0</v>
      </c>
    </row>
    <row r="262">
      <c r="A262" s="1" t="s">
        <v>165</v>
      </c>
      <c r="B262" s="1" t="s">
        <v>360</v>
      </c>
      <c r="C262" s="1">
        <v>594863.0</v>
      </c>
      <c r="D262" s="2">
        <v>46076.56896990741</v>
      </c>
      <c r="E262" s="1" t="s">
        <v>566</v>
      </c>
      <c r="F262" s="1" t="b">
        <v>0</v>
      </c>
    </row>
    <row r="263">
      <c r="A263" s="1" t="s">
        <v>159</v>
      </c>
      <c r="B263" s="1" t="s">
        <v>356</v>
      </c>
      <c r="C263" s="1" t="s">
        <v>163</v>
      </c>
      <c r="D263" s="2">
        <v>46076.57268518519</v>
      </c>
      <c r="E263" s="1" t="s">
        <v>567</v>
      </c>
      <c r="F263" s="1" t="b">
        <v>0</v>
      </c>
    </row>
    <row r="264">
      <c r="A264" s="1" t="s">
        <v>159</v>
      </c>
      <c r="B264" s="1" t="s">
        <v>356</v>
      </c>
      <c r="C264" s="1" t="s">
        <v>163</v>
      </c>
      <c r="D264" s="2">
        <v>46076.57371527778</v>
      </c>
      <c r="E264" s="1" t="s">
        <v>568</v>
      </c>
      <c r="F264" s="1" t="b">
        <v>0</v>
      </c>
    </row>
    <row r="265">
      <c r="A265" s="1" t="s">
        <v>159</v>
      </c>
      <c r="B265" s="1" t="s">
        <v>360</v>
      </c>
      <c r="C265" s="1">
        <v>607950.0</v>
      </c>
      <c r="D265" s="2">
        <v>46076.57619212963</v>
      </c>
      <c r="E265" s="1" t="s">
        <v>456</v>
      </c>
      <c r="F265" s="1" t="b">
        <v>0</v>
      </c>
    </row>
    <row r="266">
      <c r="A266" s="1" t="s">
        <v>159</v>
      </c>
      <c r="B266" s="1" t="s">
        <v>360</v>
      </c>
      <c r="C266" s="1">
        <v>607950.0</v>
      </c>
      <c r="D266" s="2">
        <v>46076.57907407408</v>
      </c>
      <c r="E266" s="1" t="s">
        <v>569</v>
      </c>
      <c r="F266" s="1" t="b">
        <v>0</v>
      </c>
    </row>
    <row r="267">
      <c r="A267" s="1" t="s">
        <v>159</v>
      </c>
      <c r="B267" s="1" t="s">
        <v>356</v>
      </c>
      <c r="C267" s="1" t="s">
        <v>163</v>
      </c>
      <c r="D267" s="2">
        <v>46076.58157407407</v>
      </c>
      <c r="E267" s="1" t="s">
        <v>570</v>
      </c>
      <c r="F267" s="1" t="b">
        <v>0</v>
      </c>
    </row>
    <row r="268">
      <c r="A268" s="1" t="s">
        <v>159</v>
      </c>
      <c r="B268" s="1" t="s">
        <v>356</v>
      </c>
      <c r="C268" s="1" t="s">
        <v>163</v>
      </c>
      <c r="D268" s="2">
        <v>46076.58188657407</v>
      </c>
      <c r="F268" s="1" t="b">
        <v>0</v>
      </c>
    </row>
    <row r="269">
      <c r="A269" s="1" t="s">
        <v>159</v>
      </c>
      <c r="B269" s="1" t="s">
        <v>356</v>
      </c>
      <c r="C269" s="1" t="s">
        <v>163</v>
      </c>
      <c r="D269" s="2">
        <v>46076.58248842593</v>
      </c>
      <c r="E269" s="1" t="s">
        <v>571</v>
      </c>
      <c r="F269" s="1" t="b">
        <v>0</v>
      </c>
    </row>
    <row r="270">
      <c r="A270" s="1" t="s">
        <v>159</v>
      </c>
      <c r="B270" s="1" t="s">
        <v>360</v>
      </c>
      <c r="C270" s="1">
        <v>607950.0</v>
      </c>
      <c r="D270" s="2">
        <v>46076.62142361111</v>
      </c>
      <c r="E270" s="1" t="s">
        <v>572</v>
      </c>
      <c r="F270" s="1" t="b">
        <v>0</v>
      </c>
    </row>
    <row r="271">
      <c r="A271" s="1" t="s">
        <v>159</v>
      </c>
      <c r="B271" s="1" t="s">
        <v>360</v>
      </c>
      <c r="C271" s="1">
        <v>607950.0</v>
      </c>
      <c r="D271" s="2">
        <v>46076.62840277778</v>
      </c>
      <c r="E271" s="1" t="s">
        <v>466</v>
      </c>
      <c r="F271" s="1" t="b">
        <v>0</v>
      </c>
    </row>
    <row r="272">
      <c r="A272" s="1" t="s">
        <v>159</v>
      </c>
      <c r="B272" s="1" t="s">
        <v>360</v>
      </c>
      <c r="C272" s="1">
        <v>607950.0</v>
      </c>
      <c r="D272" s="2">
        <v>46076.630590277775</v>
      </c>
      <c r="E272" s="1" t="s">
        <v>399</v>
      </c>
      <c r="F272" s="1" t="b">
        <v>0</v>
      </c>
    </row>
    <row r="273">
      <c r="A273" s="1" t="s">
        <v>153</v>
      </c>
      <c r="B273" s="1" t="s">
        <v>356</v>
      </c>
      <c r="C273" s="1" t="s">
        <v>157</v>
      </c>
      <c r="D273" s="2">
        <v>46076.58269675926</v>
      </c>
      <c r="E273" s="1" t="s">
        <v>357</v>
      </c>
      <c r="F273" s="1" t="b">
        <v>0</v>
      </c>
    </row>
    <row r="274">
      <c r="A274" s="1" t="s">
        <v>153</v>
      </c>
      <c r="B274" s="1" t="s">
        <v>356</v>
      </c>
      <c r="C274" s="1" t="s">
        <v>157</v>
      </c>
      <c r="D274" s="2">
        <v>46076.582870370374</v>
      </c>
      <c r="E274" s="1" t="s">
        <v>510</v>
      </c>
      <c r="F274" s="1" t="b">
        <v>0</v>
      </c>
    </row>
    <row r="275">
      <c r="A275" s="1" t="s">
        <v>153</v>
      </c>
      <c r="B275" s="1" t="s">
        <v>360</v>
      </c>
      <c r="C275" s="1">
        <v>607950.0</v>
      </c>
      <c r="D275" s="2">
        <v>46076.589224537034</v>
      </c>
      <c r="E275" s="1" t="s">
        <v>456</v>
      </c>
      <c r="F275" s="1" t="b">
        <v>0</v>
      </c>
    </row>
    <row r="276">
      <c r="A276" s="1" t="s">
        <v>153</v>
      </c>
      <c r="B276" s="1" t="s">
        <v>360</v>
      </c>
      <c r="C276" s="1">
        <v>607950.0</v>
      </c>
      <c r="D276" s="2">
        <v>46076.5893287037</v>
      </c>
      <c r="E276" s="1" t="s">
        <v>573</v>
      </c>
      <c r="F276" s="1" t="b">
        <v>0</v>
      </c>
    </row>
    <row r="277">
      <c r="A277" s="1" t="s">
        <v>153</v>
      </c>
      <c r="B277" s="1" t="s">
        <v>356</v>
      </c>
      <c r="C277" s="1" t="s">
        <v>157</v>
      </c>
      <c r="D277" s="2">
        <v>46076.59261574074</v>
      </c>
      <c r="E277" s="1" t="s">
        <v>574</v>
      </c>
      <c r="F277" s="1" t="b">
        <v>0</v>
      </c>
    </row>
    <row r="278">
      <c r="A278" s="1" t="s">
        <v>153</v>
      </c>
      <c r="B278" s="1" t="s">
        <v>356</v>
      </c>
      <c r="C278" s="1" t="s">
        <v>157</v>
      </c>
      <c r="D278" s="2">
        <v>46076.59271990741</v>
      </c>
      <c r="E278" s="1" t="s">
        <v>575</v>
      </c>
      <c r="F278" s="1" t="b">
        <v>0</v>
      </c>
    </row>
    <row r="279">
      <c r="A279" s="1" t="s">
        <v>153</v>
      </c>
      <c r="B279" s="1" t="s">
        <v>360</v>
      </c>
      <c r="C279" s="1">
        <v>607950.0</v>
      </c>
      <c r="D279" s="2">
        <v>46076.622094907405</v>
      </c>
      <c r="E279" s="1" t="s">
        <v>576</v>
      </c>
      <c r="F279" s="1" t="b">
        <v>0</v>
      </c>
    </row>
    <row r="280">
      <c r="A280" s="1" t="s">
        <v>153</v>
      </c>
      <c r="B280" s="1" t="s">
        <v>360</v>
      </c>
      <c r="C280" s="1">
        <v>607950.0</v>
      </c>
      <c r="D280" s="2">
        <v>46076.679976851854</v>
      </c>
      <c r="E280" s="1" t="s">
        <v>466</v>
      </c>
      <c r="F280" s="1" t="b">
        <v>0</v>
      </c>
    </row>
    <row r="281">
      <c r="A281" s="1" t="s">
        <v>153</v>
      </c>
      <c r="B281" s="1" t="s">
        <v>360</v>
      </c>
      <c r="C281" s="1">
        <v>607950.0</v>
      </c>
      <c r="D281" s="2">
        <v>46076.68344907407</v>
      </c>
      <c r="E281" s="1" t="s">
        <v>399</v>
      </c>
      <c r="F281" s="1" t="b">
        <v>0</v>
      </c>
    </row>
    <row r="282">
      <c r="A282" s="1" t="s">
        <v>146</v>
      </c>
      <c r="B282" s="1" t="s">
        <v>356</v>
      </c>
      <c r="C282" s="1" t="s">
        <v>150</v>
      </c>
      <c r="D282" s="2">
        <v>46076.589953703704</v>
      </c>
      <c r="E282" s="1" t="s">
        <v>577</v>
      </c>
      <c r="F282" s="1" t="b">
        <v>0</v>
      </c>
    </row>
    <row r="283">
      <c r="A283" s="1" t="s">
        <v>146</v>
      </c>
      <c r="B283" s="1" t="s">
        <v>356</v>
      </c>
      <c r="C283" s="1" t="s">
        <v>150</v>
      </c>
      <c r="D283" s="2">
        <v>46076.59018518519</v>
      </c>
      <c r="E283" s="1" t="s">
        <v>578</v>
      </c>
      <c r="F283" s="1" t="b">
        <v>0</v>
      </c>
    </row>
    <row r="284">
      <c r="A284" s="1" t="s">
        <v>146</v>
      </c>
      <c r="B284" s="1" t="s">
        <v>356</v>
      </c>
      <c r="C284" s="1" t="s">
        <v>150</v>
      </c>
      <c r="D284" s="2">
        <v>46076.59916666667</v>
      </c>
      <c r="E284" s="1" t="s">
        <v>579</v>
      </c>
      <c r="F284" s="1" t="b">
        <v>0</v>
      </c>
    </row>
    <row r="285">
      <c r="A285" s="1" t="s">
        <v>146</v>
      </c>
      <c r="B285" s="1" t="s">
        <v>356</v>
      </c>
      <c r="C285" s="1" t="s">
        <v>150</v>
      </c>
      <c r="D285" s="2">
        <v>46076.59918981481</v>
      </c>
      <c r="E285" s="1" t="s">
        <v>580</v>
      </c>
      <c r="F285" s="1" t="b">
        <v>0</v>
      </c>
    </row>
    <row r="286">
      <c r="A286" s="1" t="s">
        <v>141</v>
      </c>
      <c r="B286" s="1" t="s">
        <v>356</v>
      </c>
      <c r="C286" s="1" t="s">
        <v>144</v>
      </c>
      <c r="D286" s="2">
        <v>46076.597407407404</v>
      </c>
      <c r="E286" s="1" t="s">
        <v>581</v>
      </c>
      <c r="F286" s="1" t="b">
        <v>0</v>
      </c>
    </row>
    <row r="287">
      <c r="A287" s="1" t="s">
        <v>141</v>
      </c>
      <c r="B287" s="1" t="s">
        <v>356</v>
      </c>
      <c r="C287" s="1" t="s">
        <v>144</v>
      </c>
      <c r="D287" s="2">
        <v>46076.59793981481</v>
      </c>
      <c r="E287" s="1" t="s">
        <v>582</v>
      </c>
      <c r="F287" s="1" t="b">
        <v>0</v>
      </c>
    </row>
    <row r="288">
      <c r="A288" s="1" t="s">
        <v>141</v>
      </c>
      <c r="B288" s="1" t="s">
        <v>356</v>
      </c>
      <c r="C288" s="1" t="s">
        <v>144</v>
      </c>
      <c r="D288" s="2">
        <v>46076.59837962963</v>
      </c>
      <c r="F288" s="1" t="b">
        <v>0</v>
      </c>
    </row>
    <row r="289">
      <c r="A289" s="1" t="s">
        <v>141</v>
      </c>
      <c r="B289" s="1" t="s">
        <v>360</v>
      </c>
      <c r="C289" s="1">
        <v>607950.0</v>
      </c>
      <c r="D289" s="2">
        <v>46076.620416666665</v>
      </c>
      <c r="E289" s="1" t="s">
        <v>456</v>
      </c>
      <c r="F289" s="1" t="b">
        <v>0</v>
      </c>
    </row>
    <row r="290">
      <c r="A290" s="1" t="s">
        <v>141</v>
      </c>
      <c r="B290" s="1" t="s">
        <v>360</v>
      </c>
      <c r="C290" s="1">
        <v>607950.0</v>
      </c>
      <c r="D290" s="2">
        <v>46076.631631944445</v>
      </c>
      <c r="E290" s="1" t="s">
        <v>583</v>
      </c>
      <c r="F290" s="1" t="b">
        <v>0</v>
      </c>
    </row>
    <row r="291">
      <c r="A291" s="1" t="s">
        <v>141</v>
      </c>
      <c r="B291" s="1" t="s">
        <v>356</v>
      </c>
      <c r="C291" s="1" t="s">
        <v>144</v>
      </c>
      <c r="D291" s="2">
        <v>46076.63284722222</v>
      </c>
      <c r="E291" s="1" t="s">
        <v>584</v>
      </c>
      <c r="F291" s="1" t="b">
        <v>0</v>
      </c>
    </row>
    <row r="292">
      <c r="A292" s="1" t="s">
        <v>141</v>
      </c>
      <c r="B292" s="1" t="s">
        <v>356</v>
      </c>
      <c r="C292" s="1" t="s">
        <v>144</v>
      </c>
      <c r="D292" s="2">
        <v>46076.63291666667</v>
      </c>
      <c r="E292" s="1" t="s">
        <v>585</v>
      </c>
      <c r="F292" s="1" t="b">
        <v>0</v>
      </c>
    </row>
    <row r="293">
      <c r="A293" s="1" t="s">
        <v>141</v>
      </c>
      <c r="B293" s="1" t="s">
        <v>360</v>
      </c>
      <c r="C293" s="1">
        <v>607950.0</v>
      </c>
      <c r="D293" s="2">
        <v>46076.68493055556</v>
      </c>
      <c r="E293" s="1" t="s">
        <v>470</v>
      </c>
      <c r="F293" s="1" t="b">
        <v>1</v>
      </c>
    </row>
    <row r="294">
      <c r="A294" s="1" t="s">
        <v>141</v>
      </c>
      <c r="B294" s="1" t="s">
        <v>471</v>
      </c>
      <c r="C294" s="1" t="s">
        <v>472</v>
      </c>
      <c r="D294" s="2">
        <v>46076.68508101852</v>
      </c>
      <c r="E294" s="1" t="s">
        <v>586</v>
      </c>
      <c r="F294" s="1" t="b">
        <v>1</v>
      </c>
    </row>
    <row r="295">
      <c r="A295" s="1" t="s">
        <v>135</v>
      </c>
      <c r="B295" s="1" t="s">
        <v>356</v>
      </c>
      <c r="C295" s="1" t="s">
        <v>138</v>
      </c>
      <c r="D295" s="2">
        <v>46076.59997685185</v>
      </c>
      <c r="E295" s="1" t="s">
        <v>587</v>
      </c>
      <c r="F295" s="1" t="b">
        <v>0</v>
      </c>
    </row>
    <row r="296">
      <c r="A296" s="1" t="s">
        <v>135</v>
      </c>
      <c r="B296" s="1" t="s">
        <v>360</v>
      </c>
      <c r="C296" s="1">
        <v>607950.0</v>
      </c>
      <c r="D296" s="2">
        <v>46076.620520833334</v>
      </c>
      <c r="E296" s="1" t="s">
        <v>456</v>
      </c>
      <c r="F296" s="1" t="b">
        <v>0</v>
      </c>
    </row>
    <row r="297">
      <c r="A297" s="1" t="s">
        <v>135</v>
      </c>
      <c r="B297" s="1" t="s">
        <v>360</v>
      </c>
      <c r="C297" s="1">
        <v>607950.0</v>
      </c>
      <c r="D297" s="2">
        <v>46076.62065972222</v>
      </c>
      <c r="E297" s="1" t="s">
        <v>588</v>
      </c>
      <c r="F297" s="1" t="b">
        <v>0</v>
      </c>
    </row>
    <row r="298">
      <c r="A298" s="1" t="s">
        <v>135</v>
      </c>
      <c r="B298" s="1" t="s">
        <v>356</v>
      </c>
      <c r="C298" s="1" t="s">
        <v>138</v>
      </c>
      <c r="D298" s="2">
        <v>46076.66987268518</v>
      </c>
      <c r="E298" s="1" t="s">
        <v>589</v>
      </c>
      <c r="F298" s="1" t="b">
        <v>0</v>
      </c>
    </row>
    <row r="299">
      <c r="A299" s="1" t="s">
        <v>135</v>
      </c>
      <c r="B299" s="1" t="s">
        <v>360</v>
      </c>
      <c r="C299" s="1">
        <v>607950.0</v>
      </c>
      <c r="D299" s="2">
        <v>46076.67023148148</v>
      </c>
      <c r="E299" s="1" t="s">
        <v>590</v>
      </c>
      <c r="F299" s="1" t="b">
        <v>0</v>
      </c>
    </row>
    <row r="300">
      <c r="A300" s="1" t="s">
        <v>135</v>
      </c>
      <c r="B300" s="1" t="s">
        <v>356</v>
      </c>
      <c r="C300" s="1" t="s">
        <v>138</v>
      </c>
      <c r="D300" s="2">
        <v>46076.67046296296</v>
      </c>
      <c r="E300" s="1" t="s">
        <v>591</v>
      </c>
      <c r="F300" s="1" t="b">
        <v>0</v>
      </c>
    </row>
    <row r="301">
      <c r="A301" s="1" t="s">
        <v>135</v>
      </c>
      <c r="B301" s="1" t="s">
        <v>356</v>
      </c>
      <c r="C301" s="1" t="s">
        <v>138</v>
      </c>
      <c r="D301" s="2">
        <v>46076.670810185184</v>
      </c>
      <c r="E301" s="1" t="s">
        <v>592</v>
      </c>
      <c r="F301" s="1" t="b">
        <v>0</v>
      </c>
    </row>
    <row r="302">
      <c r="A302" s="1" t="s">
        <v>135</v>
      </c>
      <c r="B302" s="1" t="s">
        <v>360</v>
      </c>
      <c r="C302" s="1">
        <v>607950.0</v>
      </c>
      <c r="D302" s="2">
        <v>46076.67818287037</v>
      </c>
      <c r="E302" s="1" t="s">
        <v>593</v>
      </c>
      <c r="F302" s="1" t="b">
        <v>0</v>
      </c>
    </row>
    <row r="303">
      <c r="A303" s="1" t="s">
        <v>135</v>
      </c>
      <c r="B303" s="1" t="s">
        <v>356</v>
      </c>
      <c r="C303" s="1" t="s">
        <v>138</v>
      </c>
      <c r="D303" s="2">
        <v>46076.67930555555</v>
      </c>
      <c r="E303" s="1" t="s">
        <v>594</v>
      </c>
      <c r="F303" s="1" t="b">
        <v>0</v>
      </c>
    </row>
    <row r="304">
      <c r="A304" s="1" t="s">
        <v>135</v>
      </c>
      <c r="B304" s="1" t="s">
        <v>360</v>
      </c>
      <c r="C304" s="1">
        <v>607950.0</v>
      </c>
      <c r="D304" s="2">
        <v>46076.679768518516</v>
      </c>
      <c r="E304" s="1" t="s">
        <v>399</v>
      </c>
      <c r="F304" s="1" t="b">
        <v>0</v>
      </c>
    </row>
    <row r="305">
      <c r="A305" s="1" t="s">
        <v>130</v>
      </c>
      <c r="B305" s="1" t="s">
        <v>356</v>
      </c>
      <c r="C305" s="1" t="s">
        <v>133</v>
      </c>
      <c r="D305" s="2">
        <v>46076.61232638889</v>
      </c>
      <c r="F305" s="1" t="b">
        <v>0</v>
      </c>
    </row>
    <row r="306">
      <c r="A306" s="1" t="s">
        <v>125</v>
      </c>
      <c r="B306" s="1" t="s">
        <v>356</v>
      </c>
      <c r="C306" s="1" t="s">
        <v>128</v>
      </c>
      <c r="D306" s="2">
        <v>46076.65494212963</v>
      </c>
      <c r="E306" s="1" t="s">
        <v>595</v>
      </c>
      <c r="F306" s="1" t="b">
        <v>0</v>
      </c>
    </row>
    <row r="307">
      <c r="A307" s="1" t="s">
        <v>125</v>
      </c>
      <c r="B307" s="1" t="s">
        <v>360</v>
      </c>
      <c r="C307" s="1">
        <v>607950.0</v>
      </c>
      <c r="D307" s="2">
        <v>46076.65998842593</v>
      </c>
      <c r="E307" s="1" t="s">
        <v>456</v>
      </c>
      <c r="F307" s="1" t="b">
        <v>0</v>
      </c>
    </row>
    <row r="308">
      <c r="A308" s="1" t="s">
        <v>125</v>
      </c>
      <c r="B308" s="1" t="s">
        <v>360</v>
      </c>
      <c r="C308" s="1">
        <v>607950.0</v>
      </c>
      <c r="D308" s="2">
        <v>46076.66255787037</v>
      </c>
      <c r="E308" s="1" t="s">
        <v>596</v>
      </c>
      <c r="F308" s="1" t="b">
        <v>0</v>
      </c>
    </row>
    <row r="309">
      <c r="A309" s="1" t="s">
        <v>125</v>
      </c>
      <c r="B309" s="1" t="s">
        <v>360</v>
      </c>
      <c r="C309" s="1">
        <v>607950.0</v>
      </c>
      <c r="D309" s="2">
        <v>46076.67045138889</v>
      </c>
      <c r="E309" s="1" t="s">
        <v>597</v>
      </c>
      <c r="F309" s="1" t="b">
        <v>0</v>
      </c>
    </row>
    <row r="310">
      <c r="A310" s="1" t="s">
        <v>125</v>
      </c>
      <c r="B310" s="1" t="s">
        <v>360</v>
      </c>
      <c r="C310" s="1">
        <v>607950.0</v>
      </c>
      <c r="D310" s="2">
        <v>46076.68337962963</v>
      </c>
      <c r="E310" s="1" t="s">
        <v>470</v>
      </c>
      <c r="F310" s="1" t="b">
        <v>1</v>
      </c>
    </row>
    <row r="311">
      <c r="A311" s="1" t="s">
        <v>125</v>
      </c>
      <c r="B311" s="1" t="s">
        <v>471</v>
      </c>
      <c r="C311" s="1" t="s">
        <v>472</v>
      </c>
      <c r="D311" s="2">
        <v>46076.683541666665</v>
      </c>
      <c r="E311" s="1" t="s">
        <v>598</v>
      </c>
      <c r="F311" s="1" t="b">
        <v>1</v>
      </c>
    </row>
    <row r="312">
      <c r="A312" s="1" t="s">
        <v>125</v>
      </c>
      <c r="B312" s="1" t="s">
        <v>356</v>
      </c>
      <c r="C312" s="1" t="s">
        <v>128</v>
      </c>
      <c r="D312" s="2">
        <v>46076.697858796295</v>
      </c>
      <c r="E312" s="1" t="s">
        <v>599</v>
      </c>
      <c r="F312" s="1" t="b">
        <v>0</v>
      </c>
    </row>
    <row r="313">
      <c r="A313" s="1" t="s">
        <v>116</v>
      </c>
      <c r="B313" s="1" t="s">
        <v>356</v>
      </c>
      <c r="C313" s="1" t="s">
        <v>121</v>
      </c>
      <c r="D313" s="2">
        <v>46076.69446759259</v>
      </c>
      <c r="E313" s="1" t="s">
        <v>600</v>
      </c>
      <c r="F313" s="1" t="b">
        <v>0</v>
      </c>
    </row>
    <row r="314">
      <c r="A314" s="1" t="s">
        <v>116</v>
      </c>
      <c r="B314" s="1" t="s">
        <v>360</v>
      </c>
      <c r="C314" s="1">
        <v>607950.0</v>
      </c>
      <c r="D314" s="2">
        <v>46076.69478009259</v>
      </c>
      <c r="E314" s="1" t="s">
        <v>405</v>
      </c>
      <c r="F314" s="1" t="b">
        <v>0</v>
      </c>
    </row>
    <row r="315">
      <c r="A315" s="1" t="s">
        <v>116</v>
      </c>
      <c r="B315" s="1" t="s">
        <v>360</v>
      </c>
      <c r="C315" s="1">
        <v>607950.0</v>
      </c>
      <c r="D315" s="2">
        <v>46076.694814814815</v>
      </c>
      <c r="E315" s="1" t="s">
        <v>588</v>
      </c>
      <c r="F315" s="1" t="b">
        <v>0</v>
      </c>
    </row>
    <row r="316">
      <c r="A316" s="1" t="s">
        <v>116</v>
      </c>
      <c r="B316" s="1" t="s">
        <v>356</v>
      </c>
      <c r="C316" s="1" t="s">
        <v>121</v>
      </c>
      <c r="D316" s="2">
        <v>46076.69616898148</v>
      </c>
      <c r="E316" s="1" t="s">
        <v>601</v>
      </c>
      <c r="F316" s="1" t="b">
        <v>0</v>
      </c>
    </row>
    <row r="317">
      <c r="A317" s="1" t="s">
        <v>116</v>
      </c>
      <c r="B317" s="1" t="s">
        <v>356</v>
      </c>
      <c r="C317" s="1" t="s">
        <v>121</v>
      </c>
      <c r="D317" s="2">
        <v>46076.70596064815</v>
      </c>
      <c r="E317" s="1" t="s">
        <v>602</v>
      </c>
      <c r="F317" s="1" t="b">
        <v>0</v>
      </c>
    </row>
    <row r="318">
      <c r="A318" s="1" t="s">
        <v>116</v>
      </c>
      <c r="B318" s="1" t="s">
        <v>360</v>
      </c>
      <c r="C318" s="1">
        <v>607950.0</v>
      </c>
      <c r="D318" s="2">
        <v>46076.71402777778</v>
      </c>
      <c r="E318" s="1" t="s">
        <v>603</v>
      </c>
      <c r="F318" s="1" t="b">
        <v>0</v>
      </c>
    </row>
    <row r="319">
      <c r="A319" s="1" t="s">
        <v>116</v>
      </c>
      <c r="B319" s="1" t="s">
        <v>360</v>
      </c>
      <c r="C319" s="1">
        <v>607950.0</v>
      </c>
      <c r="D319" s="2">
        <v>46076.71611111111</v>
      </c>
      <c r="E319" s="1" t="s">
        <v>399</v>
      </c>
      <c r="F319" s="1" t="b">
        <v>0</v>
      </c>
    </row>
    <row r="320">
      <c r="A320" s="1" t="s">
        <v>110</v>
      </c>
      <c r="B320" s="1" t="s">
        <v>356</v>
      </c>
      <c r="C320" s="1" t="s">
        <v>113</v>
      </c>
      <c r="D320" s="2">
        <v>46076.71461805556</v>
      </c>
      <c r="E320" s="1" t="s">
        <v>604</v>
      </c>
      <c r="F320" s="1" t="b">
        <v>0</v>
      </c>
    </row>
    <row r="321">
      <c r="A321" s="1" t="s">
        <v>110</v>
      </c>
      <c r="B321" s="1" t="s">
        <v>360</v>
      </c>
      <c r="C321" s="1">
        <v>607950.0</v>
      </c>
      <c r="D321" s="2">
        <v>46076.71525462963</v>
      </c>
      <c r="E321" s="1" t="s">
        <v>405</v>
      </c>
      <c r="F321" s="1" t="b">
        <v>0</v>
      </c>
    </row>
    <row r="322">
      <c r="A322" s="1" t="s">
        <v>110</v>
      </c>
      <c r="B322" s="1" t="s">
        <v>360</v>
      </c>
      <c r="C322" s="1">
        <v>607950.0</v>
      </c>
      <c r="D322" s="2">
        <v>46076.71534722222</v>
      </c>
      <c r="E322" s="1" t="s">
        <v>605</v>
      </c>
      <c r="F322" s="1" t="b">
        <v>0</v>
      </c>
    </row>
    <row r="323">
      <c r="A323" s="1" t="s">
        <v>110</v>
      </c>
      <c r="B323" s="1" t="s">
        <v>356</v>
      </c>
      <c r="C323" s="1" t="s">
        <v>113</v>
      </c>
      <c r="D323" s="2">
        <v>46076.71836805555</v>
      </c>
      <c r="E323" s="1" t="s">
        <v>606</v>
      </c>
      <c r="F323" s="1" t="b">
        <v>0</v>
      </c>
    </row>
    <row r="324">
      <c r="A324" s="1" t="s">
        <v>110</v>
      </c>
      <c r="B324" s="1" t="s">
        <v>356</v>
      </c>
      <c r="C324" s="1" t="s">
        <v>113</v>
      </c>
      <c r="D324" s="2">
        <v>46076.718518518515</v>
      </c>
      <c r="E324" s="1" t="s">
        <v>607</v>
      </c>
      <c r="F324" s="1" t="b">
        <v>0</v>
      </c>
    </row>
    <row r="325">
      <c r="A325" s="1" t="s">
        <v>110</v>
      </c>
      <c r="B325" s="1" t="s">
        <v>356</v>
      </c>
      <c r="C325" s="1" t="s">
        <v>113</v>
      </c>
      <c r="D325" s="2">
        <v>46076.718622685185</v>
      </c>
      <c r="E325" s="1" t="s">
        <v>608</v>
      </c>
      <c r="F325" s="1" t="b">
        <v>0</v>
      </c>
    </row>
    <row r="326">
      <c r="A326" s="1" t="s">
        <v>110</v>
      </c>
      <c r="B326" s="1" t="s">
        <v>360</v>
      </c>
      <c r="C326" s="1">
        <v>607950.0</v>
      </c>
      <c r="D326" s="2">
        <v>46076.72042824074</v>
      </c>
      <c r="E326" s="1" t="s">
        <v>609</v>
      </c>
      <c r="F326" s="1" t="b">
        <v>0</v>
      </c>
    </row>
    <row r="327">
      <c r="A327" s="1" t="s">
        <v>110</v>
      </c>
      <c r="B327" s="1" t="s">
        <v>356</v>
      </c>
      <c r="C327" s="1" t="s">
        <v>113</v>
      </c>
      <c r="D327" s="2">
        <v>46076.72064814815</v>
      </c>
      <c r="E327" s="1" t="s">
        <v>610</v>
      </c>
      <c r="F327" s="1" t="b">
        <v>0</v>
      </c>
    </row>
    <row r="328">
      <c r="A328" s="1" t="s">
        <v>110</v>
      </c>
      <c r="B328" s="1" t="s">
        <v>360</v>
      </c>
      <c r="C328" s="1">
        <v>607950.0</v>
      </c>
      <c r="D328" s="2">
        <v>46076.721400462964</v>
      </c>
      <c r="E328" s="1" t="s">
        <v>611</v>
      </c>
      <c r="F328" s="1" t="b">
        <v>0</v>
      </c>
    </row>
    <row r="329">
      <c r="A329" s="1" t="s">
        <v>110</v>
      </c>
      <c r="B329" s="1" t="s">
        <v>356</v>
      </c>
      <c r="C329" s="1" t="s">
        <v>113</v>
      </c>
      <c r="D329" s="2">
        <v>46076.72231481481</v>
      </c>
      <c r="E329" s="1" t="s">
        <v>612</v>
      </c>
      <c r="F329" s="1" t="b">
        <v>0</v>
      </c>
    </row>
    <row r="330">
      <c r="A330" s="1" t="s">
        <v>110</v>
      </c>
      <c r="B330" s="1" t="s">
        <v>360</v>
      </c>
      <c r="C330" s="1">
        <v>607950.0</v>
      </c>
      <c r="D330" s="2">
        <v>46076.723032407404</v>
      </c>
      <c r="E330" s="1" t="s">
        <v>613</v>
      </c>
      <c r="F330" s="1" t="b">
        <v>0</v>
      </c>
    </row>
    <row r="331">
      <c r="A331" s="1" t="s">
        <v>110</v>
      </c>
      <c r="B331" s="1" t="s">
        <v>356</v>
      </c>
      <c r="C331" s="1" t="s">
        <v>113</v>
      </c>
      <c r="D331" s="2">
        <v>46076.723645833335</v>
      </c>
      <c r="E331" s="1" t="s">
        <v>614</v>
      </c>
      <c r="F331" s="1" t="b">
        <v>0</v>
      </c>
    </row>
    <row r="332">
      <c r="A332" s="1" t="s">
        <v>110</v>
      </c>
      <c r="B332" s="1" t="s">
        <v>360</v>
      </c>
      <c r="C332" s="1">
        <v>607950.0</v>
      </c>
      <c r="D332" s="2">
        <v>46076.73153935185</v>
      </c>
      <c r="E332" s="1" t="s">
        <v>615</v>
      </c>
      <c r="F332" s="1" t="b">
        <v>0</v>
      </c>
    </row>
    <row r="333">
      <c r="A333" s="1" t="s">
        <v>110</v>
      </c>
      <c r="B333" s="1" t="s">
        <v>356</v>
      </c>
      <c r="C333" s="1" t="s">
        <v>113</v>
      </c>
      <c r="D333" s="2">
        <v>46076.731724537036</v>
      </c>
      <c r="E333" s="1" t="s">
        <v>616</v>
      </c>
      <c r="F333" s="1" t="b">
        <v>0</v>
      </c>
    </row>
    <row r="334">
      <c r="A334" s="1" t="s">
        <v>110</v>
      </c>
      <c r="B334" s="1" t="s">
        <v>360</v>
      </c>
      <c r="C334" s="1">
        <v>607950.0</v>
      </c>
      <c r="D334" s="2">
        <v>46076.732719907406</v>
      </c>
      <c r="E334" s="1" t="s">
        <v>617</v>
      </c>
      <c r="F334" s="1" t="b">
        <v>0</v>
      </c>
    </row>
    <row r="335">
      <c r="A335" s="1" t="s">
        <v>110</v>
      </c>
      <c r="B335" s="1" t="s">
        <v>356</v>
      </c>
      <c r="C335" s="1" t="s">
        <v>113</v>
      </c>
      <c r="D335" s="2">
        <v>46076.73342592592</v>
      </c>
      <c r="F335" s="1" t="b">
        <v>0</v>
      </c>
    </row>
    <row r="336">
      <c r="A336" s="1" t="s">
        <v>110</v>
      </c>
      <c r="B336" s="1" t="s">
        <v>360</v>
      </c>
      <c r="C336" s="1">
        <v>607950.0</v>
      </c>
      <c r="D336" s="2">
        <v>46076.733773148146</v>
      </c>
      <c r="E336" s="1" t="s">
        <v>470</v>
      </c>
      <c r="F336" s="1" t="b">
        <v>1</v>
      </c>
    </row>
    <row r="337">
      <c r="A337" s="1" t="s">
        <v>110</v>
      </c>
      <c r="B337" s="1" t="s">
        <v>471</v>
      </c>
      <c r="C337" s="1" t="s">
        <v>472</v>
      </c>
      <c r="D337" s="2">
        <v>46076.733935185184</v>
      </c>
      <c r="E337" s="1" t="s">
        <v>618</v>
      </c>
      <c r="F337" s="1" t="b">
        <v>1</v>
      </c>
    </row>
    <row r="338">
      <c r="A338" s="1" t="s">
        <v>110</v>
      </c>
      <c r="B338" s="1" t="s">
        <v>360</v>
      </c>
      <c r="C338" s="1">
        <v>607950.0</v>
      </c>
      <c r="D338" s="2">
        <v>46076.735763888886</v>
      </c>
      <c r="E338" s="1" t="s">
        <v>619</v>
      </c>
      <c r="F338" s="1" t="b">
        <v>0</v>
      </c>
    </row>
    <row r="339">
      <c r="A339" s="1" t="s">
        <v>110</v>
      </c>
      <c r="B339" s="1" t="s">
        <v>356</v>
      </c>
      <c r="C339" s="1" t="s">
        <v>113</v>
      </c>
      <c r="D339" s="2">
        <v>46076.73813657407</v>
      </c>
      <c r="E339" s="1" t="s">
        <v>620</v>
      </c>
      <c r="F339" s="1" t="b">
        <v>0</v>
      </c>
    </row>
    <row r="340">
      <c r="A340" s="1" t="s">
        <v>110</v>
      </c>
      <c r="B340" s="1" t="s">
        <v>360</v>
      </c>
      <c r="C340" s="1">
        <v>607950.0</v>
      </c>
      <c r="D340" s="2">
        <v>46076.74380787037</v>
      </c>
      <c r="E340" s="1" t="s">
        <v>621</v>
      </c>
      <c r="F340" s="1" t="b">
        <v>0</v>
      </c>
    </row>
    <row r="341">
      <c r="A341" s="1" t="s">
        <v>110</v>
      </c>
      <c r="B341" s="1" t="s">
        <v>360</v>
      </c>
      <c r="C341" s="1">
        <v>607950.0</v>
      </c>
      <c r="D341" s="2">
        <v>46076.76346064815</v>
      </c>
      <c r="E341" s="1" t="s">
        <v>622</v>
      </c>
      <c r="F341" s="1" t="b">
        <v>1</v>
      </c>
    </row>
    <row r="342">
      <c r="A342" s="1" t="s">
        <v>110</v>
      </c>
      <c r="B342" s="1" t="s">
        <v>360</v>
      </c>
      <c r="C342" s="1">
        <v>607950.0</v>
      </c>
      <c r="D342" s="2">
        <v>46076.76550925926</v>
      </c>
      <c r="E342" s="1" t="s">
        <v>623</v>
      </c>
      <c r="F342" s="1" t="b">
        <v>1</v>
      </c>
    </row>
    <row r="343">
      <c r="A343" s="1" t="s">
        <v>110</v>
      </c>
      <c r="B343" s="1" t="s">
        <v>471</v>
      </c>
      <c r="C343" s="1" t="s">
        <v>472</v>
      </c>
      <c r="D343" s="2">
        <v>46076.76563657408</v>
      </c>
      <c r="E343" s="1" t="s">
        <v>624</v>
      </c>
      <c r="F343" s="1" t="b">
        <v>1</v>
      </c>
    </row>
    <row r="344">
      <c r="A344" s="1" t="s">
        <v>106</v>
      </c>
      <c r="B344" s="1" t="s">
        <v>356</v>
      </c>
      <c r="C344" s="1" t="s">
        <v>108</v>
      </c>
      <c r="D344" s="2">
        <v>46076.74190972222</v>
      </c>
      <c r="E344" s="1" t="s">
        <v>625</v>
      </c>
      <c r="F344" s="1" t="b">
        <v>0</v>
      </c>
    </row>
    <row r="345">
      <c r="A345" s="1" t="s">
        <v>106</v>
      </c>
      <c r="B345" s="1" t="s">
        <v>356</v>
      </c>
      <c r="C345" s="1" t="s">
        <v>108</v>
      </c>
      <c r="D345" s="2">
        <v>46076.742372685185</v>
      </c>
      <c r="E345" s="1" t="s">
        <v>626</v>
      </c>
      <c r="F345" s="1" t="b">
        <v>0</v>
      </c>
    </row>
    <row r="346">
      <c r="A346" s="1" t="s">
        <v>96</v>
      </c>
      <c r="B346" s="1" t="s">
        <v>356</v>
      </c>
      <c r="C346" s="1" t="s">
        <v>101</v>
      </c>
      <c r="D346" s="2">
        <v>46076.74733796297</v>
      </c>
      <c r="E346" s="1" t="s">
        <v>627</v>
      </c>
      <c r="F346" s="1" t="b">
        <v>0</v>
      </c>
    </row>
    <row r="347">
      <c r="A347" s="1" t="s">
        <v>96</v>
      </c>
      <c r="B347" s="1" t="s">
        <v>356</v>
      </c>
      <c r="C347" s="1" t="s">
        <v>101</v>
      </c>
      <c r="D347" s="2">
        <v>46076.74767361111</v>
      </c>
      <c r="E347" s="1" t="s">
        <v>628</v>
      </c>
      <c r="F347" s="1" t="b">
        <v>0</v>
      </c>
    </row>
  </sheetData>
  <mergeCells count="19">
    <mergeCell ref="D3:E3"/>
    <mergeCell ref="D26:E26"/>
    <mergeCell ref="D29:E29"/>
    <mergeCell ref="D31:E31"/>
    <mergeCell ref="D61:E61"/>
    <mergeCell ref="D62:E62"/>
    <mergeCell ref="D72:E72"/>
    <mergeCell ref="D260:E260"/>
    <mergeCell ref="D268:E268"/>
    <mergeCell ref="D288:E288"/>
    <mergeCell ref="D305:E305"/>
    <mergeCell ref="D335:E335"/>
    <mergeCell ref="D109:E109"/>
    <mergeCell ref="D125:E125"/>
    <mergeCell ref="D159:E159"/>
    <mergeCell ref="D161:E161"/>
    <mergeCell ref="D182:E182"/>
    <mergeCell ref="D238:E238"/>
    <mergeCell ref="D259:E25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4" t="s">
        <v>629</v>
      </c>
      <c r="D1" s="1" t="s">
        <v>630</v>
      </c>
      <c r="E1" s="1" t="s">
        <v>631</v>
      </c>
      <c r="F1" s="1" t="s">
        <v>632</v>
      </c>
      <c r="G1" s="1" t="s">
        <v>633</v>
      </c>
      <c r="H1" s="1" t="s">
        <v>634</v>
      </c>
      <c r="I1" s="1" t="s">
        <v>6</v>
      </c>
      <c r="J1" s="1" t="s">
        <v>635</v>
      </c>
      <c r="K1" s="1" t="s">
        <v>636</v>
      </c>
      <c r="L1" s="1" t="s">
        <v>637</v>
      </c>
      <c r="M1" s="1" t="s">
        <v>638</v>
      </c>
      <c r="N1" s="1" t="s">
        <v>639</v>
      </c>
      <c r="O1" s="1" t="s">
        <v>640</v>
      </c>
      <c r="P1" s="1" t="s">
        <v>641</v>
      </c>
      <c r="Q1" s="1" t="s">
        <v>642</v>
      </c>
      <c r="R1" s="1" t="s">
        <v>643</v>
      </c>
      <c r="S1" s="1" t="s">
        <v>644</v>
      </c>
      <c r="T1" s="1" t="s">
        <v>645</v>
      </c>
      <c r="U1" s="1" t="s">
        <v>646</v>
      </c>
      <c r="V1" s="1" t="s">
        <v>647</v>
      </c>
      <c r="W1" s="1" t="s">
        <v>33</v>
      </c>
      <c r="X1" s="1" t="s">
        <v>648</v>
      </c>
      <c r="Y1" s="1" t="s">
        <v>649</v>
      </c>
      <c r="Z1" s="1" t="s">
        <v>650</v>
      </c>
      <c r="AA1" s="1" t="s">
        <v>651</v>
      </c>
      <c r="AB1" s="1" t="s">
        <v>652</v>
      </c>
      <c r="AC1" s="1" t="s">
        <v>653</v>
      </c>
      <c r="AD1" s="1" t="s">
        <v>654</v>
      </c>
      <c r="AE1" s="1" t="s">
        <v>655</v>
      </c>
      <c r="AF1" s="1" t="s">
        <v>656</v>
      </c>
      <c r="AG1" s="1" t="s">
        <v>657</v>
      </c>
      <c r="AH1" s="1" t="s">
        <v>658</v>
      </c>
      <c r="AI1" s="1" t="s">
        <v>659</v>
      </c>
      <c r="AJ1" s="1" t="s">
        <v>660</v>
      </c>
      <c r="AK1" s="1" t="s">
        <v>34</v>
      </c>
      <c r="AL1" s="1" t="s">
        <v>661</v>
      </c>
      <c r="AM1" s="1" t="s">
        <v>662</v>
      </c>
      <c r="AN1" s="1" t="s">
        <v>663</v>
      </c>
      <c r="AO1" s="1" t="s">
        <v>664</v>
      </c>
      <c r="AP1" s="1" t="s">
        <v>665</v>
      </c>
      <c r="AQ1" s="1" t="s">
        <v>666</v>
      </c>
      <c r="AR1" s="1" t="s">
        <v>667</v>
      </c>
      <c r="AS1" s="1" t="s">
        <v>668</v>
      </c>
      <c r="AT1" s="1" t="s">
        <v>669</v>
      </c>
      <c r="AU1" s="1" t="s">
        <v>670</v>
      </c>
      <c r="AV1" s="1" t="s">
        <v>671</v>
      </c>
      <c r="AW1" s="1" t="s">
        <v>672</v>
      </c>
      <c r="AX1" s="1" t="s">
        <v>673</v>
      </c>
      <c r="AY1" s="1" t="s">
        <v>674</v>
      </c>
      <c r="AZ1" s="1" t="s">
        <v>675</v>
      </c>
      <c r="BA1" s="1" t="s">
        <v>676</v>
      </c>
      <c r="BB1" s="1" t="s">
        <v>677</v>
      </c>
      <c r="BC1" s="1" t="s">
        <v>678</v>
      </c>
      <c r="BD1" s="1" t="s">
        <v>679</v>
      </c>
      <c r="BE1" s="1" t="s">
        <v>680</v>
      </c>
      <c r="BF1" s="1" t="s">
        <v>681</v>
      </c>
      <c r="BG1" s="1" t="s">
        <v>682</v>
      </c>
      <c r="BH1" s="1" t="s">
        <v>683</v>
      </c>
      <c r="BI1" s="1" t="s">
        <v>684</v>
      </c>
      <c r="BJ1" s="1" t="s">
        <v>685</v>
      </c>
      <c r="BK1" s="1" t="s">
        <v>686</v>
      </c>
      <c r="BL1" s="1" t="s">
        <v>687</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row>
    <row r="2">
      <c r="A2" s="1" t="s">
        <v>255</v>
      </c>
      <c r="B2" s="1" t="s">
        <v>253</v>
      </c>
      <c r="C2" s="1" t="s">
        <v>253</v>
      </c>
      <c r="D2" s="1" t="s">
        <v>688</v>
      </c>
      <c r="E2" s="1" t="s">
        <v>689</v>
      </c>
      <c r="F2" s="1" t="s">
        <v>690</v>
      </c>
      <c r="G2" s="3"/>
      <c r="H2" s="3"/>
      <c r="I2" s="1" t="s">
        <v>691</v>
      </c>
      <c r="J2" s="1" t="s">
        <v>692</v>
      </c>
      <c r="K2" s="3">
        <f>+821027668090</f>
        <v>821027668090</v>
      </c>
      <c r="L2" s="3"/>
      <c r="M2" s="3"/>
      <c r="N2" s="3"/>
      <c r="O2" s="3"/>
      <c r="P2" s="1">
        <v>1.12112467E8</v>
      </c>
      <c r="Q2" s="1" t="b">
        <v>1</v>
      </c>
      <c r="R2" s="1">
        <v>504.0</v>
      </c>
      <c r="S2" s="1" t="s">
        <v>693</v>
      </c>
      <c r="T2" s="3"/>
      <c r="U2" s="1" t="s">
        <v>694</v>
      </c>
      <c r="V2" s="1" t="s">
        <v>695</v>
      </c>
      <c r="W2" s="1" t="s">
        <v>696</v>
      </c>
      <c r="X2" s="1" t="b">
        <v>0</v>
      </c>
      <c r="Y2" s="1" t="s">
        <v>697</v>
      </c>
      <c r="Z2" s="1" t="s">
        <v>698</v>
      </c>
      <c r="AB2" s="3"/>
      <c r="AC2" s="3"/>
      <c r="AD2" s="3"/>
      <c r="AE2" s="3"/>
      <c r="AF2" s="3"/>
      <c r="AG2" s="3"/>
      <c r="AH2" s="3"/>
      <c r="AI2" s="1" t="b">
        <v>0</v>
      </c>
      <c r="AJ2" s="1" t="b">
        <v>0</v>
      </c>
      <c r="AK2" s="1" t="s">
        <v>699</v>
      </c>
      <c r="AL2" s="1" t="s">
        <v>700</v>
      </c>
      <c r="AM2" s="1" t="s">
        <v>701</v>
      </c>
      <c r="AN2" s="1" t="s">
        <v>702</v>
      </c>
      <c r="AO2" s="1" t="s">
        <v>698</v>
      </c>
      <c r="AP2" s="1" t="s">
        <v>703</v>
      </c>
      <c r="AQ2" s="1" t="s">
        <v>704</v>
      </c>
      <c r="AR2" s="1">
        <v>504.0</v>
      </c>
      <c r="AS2" s="3"/>
      <c r="AT2" s="3"/>
      <c r="AU2" s="4" t="s">
        <v>705</v>
      </c>
      <c r="AV2" s="3"/>
      <c r="AW2" s="3"/>
      <c r="AX2" s="3"/>
      <c r="AY2" s="3"/>
      <c r="AZ2" s="3"/>
      <c r="BA2" s="3"/>
      <c r="BB2" s="3"/>
      <c r="BC2" s="3"/>
      <c r="BD2" s="3"/>
      <c r="BE2" s="1" t="b">
        <v>1</v>
      </c>
      <c r="BF2" s="3"/>
      <c r="BG2" s="3"/>
      <c r="BH2" s="3"/>
      <c r="BI2" s="3"/>
      <c r="BJ2" s="3"/>
      <c r="BK2" s="4" t="s">
        <v>705</v>
      </c>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row>
    <row r="3">
      <c r="A3" s="1" t="s">
        <v>277</v>
      </c>
      <c r="B3" s="1" t="s">
        <v>275</v>
      </c>
      <c r="C3" s="1" t="s">
        <v>275</v>
      </c>
      <c r="D3" s="1" t="s">
        <v>706</v>
      </c>
      <c r="E3" s="1" t="s">
        <v>707</v>
      </c>
      <c r="F3" s="1" t="s">
        <v>708</v>
      </c>
      <c r="G3" s="3"/>
      <c r="H3" s="3"/>
      <c r="I3" s="1" t="s">
        <v>691</v>
      </c>
      <c r="J3" s="1" t="s">
        <v>709</v>
      </c>
      <c r="K3" s="3">
        <f>+821031379990</f>
        <v>821031379990</v>
      </c>
      <c r="L3" s="3"/>
      <c r="M3" s="3"/>
      <c r="N3" s="3"/>
      <c r="O3" s="3"/>
      <c r="P3" s="1">
        <v>1.08731031E8</v>
      </c>
      <c r="Q3" s="1" t="b">
        <v>1</v>
      </c>
      <c r="R3" s="1">
        <v>15.0</v>
      </c>
      <c r="S3" s="1" t="s">
        <v>710</v>
      </c>
      <c r="U3" s="1" t="s">
        <v>694</v>
      </c>
      <c r="V3" s="1" t="s">
        <v>695</v>
      </c>
      <c r="W3" s="1" t="s">
        <v>711</v>
      </c>
      <c r="X3" s="1" t="b">
        <v>0</v>
      </c>
      <c r="Y3" s="1" t="s">
        <v>697</v>
      </c>
      <c r="Z3" s="1" t="s">
        <v>712</v>
      </c>
      <c r="AB3" s="3"/>
      <c r="AC3" s="3"/>
      <c r="AD3" s="3"/>
      <c r="AE3" s="3"/>
      <c r="AF3" s="3"/>
      <c r="AG3" s="3"/>
      <c r="AH3" s="3"/>
      <c r="AI3" s="1" t="b">
        <v>0</v>
      </c>
      <c r="AJ3" s="1" t="b">
        <v>0</v>
      </c>
      <c r="AK3" s="1" t="s">
        <v>713</v>
      </c>
      <c r="AL3" s="1" t="s">
        <v>714</v>
      </c>
      <c r="AM3" s="1" t="s">
        <v>715</v>
      </c>
      <c r="AN3" s="1" t="s">
        <v>716</v>
      </c>
      <c r="AO3" s="1" t="s">
        <v>712</v>
      </c>
      <c r="AP3" s="1" t="s">
        <v>717</v>
      </c>
      <c r="AQ3" s="1" t="s">
        <v>718</v>
      </c>
      <c r="AR3" s="1">
        <v>15.0</v>
      </c>
      <c r="AS3" s="3"/>
      <c r="AT3" s="3"/>
      <c r="AU3" s="4" t="s">
        <v>719</v>
      </c>
      <c r="AW3" s="3"/>
      <c r="AX3" s="3"/>
      <c r="AY3" s="3"/>
      <c r="AZ3" s="3"/>
      <c r="BA3" s="3"/>
      <c r="BB3" s="3"/>
      <c r="BC3" s="3"/>
      <c r="BD3" s="3"/>
      <c r="BE3" s="1" t="b">
        <v>1</v>
      </c>
      <c r="BF3" s="3"/>
      <c r="BG3" s="3"/>
      <c r="BH3" s="3"/>
      <c r="BI3" s="3"/>
      <c r="BJ3" s="3"/>
      <c r="BK3" s="4" t="s">
        <v>719</v>
      </c>
      <c r="BL3" s="1" t="s">
        <v>720</v>
      </c>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row>
    <row r="4">
      <c r="A4" s="1" t="s">
        <v>327</v>
      </c>
      <c r="B4" s="1" t="s">
        <v>325</v>
      </c>
      <c r="C4" s="1" t="s">
        <v>325</v>
      </c>
      <c r="D4" s="1" t="s">
        <v>721</v>
      </c>
      <c r="E4" s="1" t="s">
        <v>722</v>
      </c>
      <c r="F4" s="1" t="s">
        <v>723</v>
      </c>
      <c r="G4" s="3"/>
      <c r="H4" s="3"/>
      <c r="I4" s="3"/>
      <c r="J4" s="1" t="s">
        <v>724</v>
      </c>
      <c r="K4" s="3"/>
      <c r="L4" s="3"/>
      <c r="M4" s="3"/>
      <c r="N4" s="3"/>
      <c r="O4" s="3"/>
      <c r="P4" s="1">
        <v>1.14411707E8</v>
      </c>
      <c r="Q4" s="1" t="b">
        <v>1</v>
      </c>
      <c r="R4" s="1">
        <v>14.0</v>
      </c>
      <c r="S4" s="1" t="s">
        <v>725</v>
      </c>
      <c r="T4" s="3"/>
      <c r="U4" s="1" t="s">
        <v>694</v>
      </c>
      <c r="V4" s="1" t="s">
        <v>695</v>
      </c>
      <c r="W4" s="1" t="s">
        <v>726</v>
      </c>
      <c r="X4" s="1" t="b">
        <v>0</v>
      </c>
      <c r="Y4" s="1" t="s">
        <v>697</v>
      </c>
      <c r="Z4" s="1" t="s">
        <v>727</v>
      </c>
      <c r="AB4" s="1" t="s">
        <v>728</v>
      </c>
      <c r="AC4" s="1" t="s">
        <v>729</v>
      </c>
      <c r="AD4" s="1" t="s">
        <v>730</v>
      </c>
      <c r="AE4" s="1" t="s">
        <v>731</v>
      </c>
      <c r="AF4" s="1" t="s">
        <v>732</v>
      </c>
      <c r="AG4" s="1" t="s">
        <v>733</v>
      </c>
      <c r="AH4" s="1">
        <v>12.0</v>
      </c>
      <c r="AI4" s="1" t="b">
        <v>0</v>
      </c>
      <c r="AJ4" s="1" t="b">
        <v>0</v>
      </c>
      <c r="AK4" s="1" t="s">
        <v>734</v>
      </c>
      <c r="AL4" s="1" t="s">
        <v>714</v>
      </c>
      <c r="AM4" s="1" t="s">
        <v>715</v>
      </c>
      <c r="AN4" s="1" t="s">
        <v>716</v>
      </c>
      <c r="AO4" s="1" t="s">
        <v>727</v>
      </c>
      <c r="AP4" s="1" t="s">
        <v>717</v>
      </c>
      <c r="AQ4" s="1" t="s">
        <v>718</v>
      </c>
      <c r="AR4" s="1">
        <v>2.0</v>
      </c>
      <c r="AS4" s="3"/>
      <c r="AT4" s="3"/>
      <c r="AU4" s="3"/>
      <c r="AV4" s="3"/>
      <c r="AW4" s="3"/>
      <c r="AX4" s="3"/>
      <c r="AY4" s="3"/>
      <c r="AZ4" s="3"/>
      <c r="BA4" s="3"/>
      <c r="BB4" s="3"/>
      <c r="BC4" s="3"/>
      <c r="BD4" s="3"/>
      <c r="BE4" s="1" t="b">
        <v>1</v>
      </c>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row>
    <row r="5">
      <c r="A5" s="1" t="s">
        <v>108</v>
      </c>
      <c r="B5" s="1" t="s">
        <v>107</v>
      </c>
      <c r="C5" s="1" t="s">
        <v>107</v>
      </c>
      <c r="D5" s="1" t="s">
        <v>706</v>
      </c>
      <c r="E5" s="1" t="s">
        <v>735</v>
      </c>
      <c r="F5" s="1" t="s">
        <v>736</v>
      </c>
      <c r="G5" s="3"/>
      <c r="H5" s="3"/>
      <c r="I5" s="1" t="s">
        <v>737</v>
      </c>
      <c r="J5" s="1" t="s">
        <v>738</v>
      </c>
      <c r="K5" s="3">
        <f>+821043113160</f>
        <v>821043113160</v>
      </c>
      <c r="L5" s="3"/>
      <c r="M5" s="3"/>
      <c r="N5" s="3"/>
      <c r="O5" s="3"/>
      <c r="P5" s="1">
        <v>1.09951699E8</v>
      </c>
      <c r="Q5" s="1" t="b">
        <v>1</v>
      </c>
      <c r="R5" s="1">
        <v>60.0</v>
      </c>
      <c r="S5" s="1" t="s">
        <v>739</v>
      </c>
      <c r="T5" s="3"/>
      <c r="U5" s="1" t="s">
        <v>694</v>
      </c>
      <c r="V5" s="1" t="s">
        <v>695</v>
      </c>
      <c r="W5" s="1" t="s">
        <v>740</v>
      </c>
      <c r="X5" s="1" t="b">
        <v>0</v>
      </c>
      <c r="Y5" s="1" t="s">
        <v>697</v>
      </c>
      <c r="Z5" s="1" t="s">
        <v>741</v>
      </c>
      <c r="AB5" s="1" t="s">
        <v>728</v>
      </c>
      <c r="AC5" s="1" t="s">
        <v>742</v>
      </c>
      <c r="AD5" s="1" t="s">
        <v>730</v>
      </c>
      <c r="AE5" s="1" t="s">
        <v>743</v>
      </c>
      <c r="AF5" s="1" t="s">
        <v>744</v>
      </c>
      <c r="AG5" s="1" t="s">
        <v>733</v>
      </c>
      <c r="AH5" s="1">
        <v>2.0</v>
      </c>
      <c r="AI5" s="1" t="b">
        <v>0</v>
      </c>
      <c r="AJ5" s="1" t="b">
        <v>0</v>
      </c>
      <c r="AK5" s="1" t="s">
        <v>745</v>
      </c>
      <c r="AL5" s="1" t="s">
        <v>714</v>
      </c>
      <c r="AM5" s="1" t="s">
        <v>715</v>
      </c>
      <c r="AN5" s="1" t="s">
        <v>716</v>
      </c>
      <c r="AO5" s="1" t="s">
        <v>741</v>
      </c>
      <c r="AP5" s="1" t="s">
        <v>717</v>
      </c>
      <c r="AQ5" s="1" t="s">
        <v>718</v>
      </c>
      <c r="AR5" s="1">
        <v>58.0</v>
      </c>
      <c r="AS5" s="3"/>
      <c r="AT5" s="3"/>
      <c r="AU5" s="4" t="s">
        <v>719</v>
      </c>
      <c r="AW5" s="3"/>
      <c r="AX5" s="3"/>
      <c r="AY5" s="3"/>
      <c r="AZ5" s="3"/>
      <c r="BA5" s="3"/>
      <c r="BB5" s="3"/>
      <c r="BC5" s="3"/>
      <c r="BD5" s="3"/>
      <c r="BE5" s="1" t="b">
        <v>1</v>
      </c>
      <c r="BF5" s="3"/>
      <c r="BG5" s="3"/>
      <c r="BH5" s="3"/>
      <c r="BI5" s="3"/>
      <c r="BJ5" s="3"/>
      <c r="BK5" s="4" t="s">
        <v>719</v>
      </c>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row>
    <row r="6">
      <c r="A6" s="1" t="s">
        <v>286</v>
      </c>
      <c r="B6" s="1" t="s">
        <v>285</v>
      </c>
      <c r="C6" s="1" t="s">
        <v>285</v>
      </c>
      <c r="D6" s="1" t="s">
        <v>746</v>
      </c>
      <c r="E6" s="1" t="s">
        <v>747</v>
      </c>
      <c r="F6" s="1" t="s">
        <v>748</v>
      </c>
      <c r="G6" s="3"/>
      <c r="H6" s="1" t="s">
        <v>749</v>
      </c>
      <c r="I6" s="1" t="s">
        <v>750</v>
      </c>
      <c r="J6" s="1" t="s">
        <v>751</v>
      </c>
      <c r="K6" s="3">
        <f>+821077376349</f>
        <v>821077376349</v>
      </c>
      <c r="L6" s="3"/>
      <c r="M6" s="3"/>
      <c r="N6" s="3"/>
      <c r="O6" s="3"/>
      <c r="P6" s="1">
        <v>2.08588814E9</v>
      </c>
      <c r="Q6" s="1" t="b">
        <v>1</v>
      </c>
      <c r="R6" s="1">
        <v>446.0</v>
      </c>
      <c r="S6" s="1" t="s">
        <v>752</v>
      </c>
      <c r="T6" s="3"/>
      <c r="U6" s="1" t="s">
        <v>694</v>
      </c>
      <c r="V6" s="1" t="s">
        <v>695</v>
      </c>
      <c r="W6" s="1" t="s">
        <v>753</v>
      </c>
      <c r="X6" s="1" t="b">
        <v>0</v>
      </c>
      <c r="Y6" s="1" t="s">
        <v>697</v>
      </c>
      <c r="Z6" s="1" t="s">
        <v>754</v>
      </c>
      <c r="AB6" s="3"/>
      <c r="AC6" s="3"/>
      <c r="AD6" s="3"/>
      <c r="AE6" s="3"/>
      <c r="AF6" s="3"/>
      <c r="AG6" s="3"/>
      <c r="AH6" s="3"/>
      <c r="AI6" s="1" t="b">
        <v>0</v>
      </c>
      <c r="AJ6" s="1" t="b">
        <v>0</v>
      </c>
      <c r="AK6" s="1" t="s">
        <v>755</v>
      </c>
      <c r="AL6" s="1" t="s">
        <v>714</v>
      </c>
      <c r="AM6" s="1" t="s">
        <v>715</v>
      </c>
      <c r="AN6" s="1" t="s">
        <v>702</v>
      </c>
      <c r="AO6" s="1" t="s">
        <v>754</v>
      </c>
      <c r="AP6" s="1" t="s">
        <v>756</v>
      </c>
      <c r="AQ6" s="1" t="s">
        <v>704</v>
      </c>
      <c r="AR6" s="1">
        <v>446.0</v>
      </c>
      <c r="AS6" s="3"/>
      <c r="AT6" s="3"/>
      <c r="AU6" s="4" t="s">
        <v>757</v>
      </c>
      <c r="BA6" s="3"/>
      <c r="BB6" s="3"/>
      <c r="BC6" s="3"/>
      <c r="BD6" s="3"/>
      <c r="BE6" s="1" t="b">
        <v>1</v>
      </c>
      <c r="BF6" s="3"/>
      <c r="BG6" s="3"/>
      <c r="BH6" s="3"/>
      <c r="BI6" s="3"/>
      <c r="BJ6" s="3"/>
      <c r="BK6" s="4" t="s">
        <v>719</v>
      </c>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row>
    <row r="7">
      <c r="A7" s="1" t="s">
        <v>318</v>
      </c>
      <c r="B7" s="1" t="s">
        <v>315</v>
      </c>
      <c r="C7" s="1" t="s">
        <v>315</v>
      </c>
      <c r="D7" s="1" t="s">
        <v>688</v>
      </c>
      <c r="E7" s="1" t="s">
        <v>758</v>
      </c>
      <c r="F7" s="1" t="s">
        <v>759</v>
      </c>
      <c r="G7" s="3"/>
      <c r="H7" s="3"/>
      <c r="I7" s="1" t="s">
        <v>691</v>
      </c>
      <c r="J7" s="1" t="s">
        <v>760</v>
      </c>
      <c r="L7" s="3"/>
      <c r="M7" s="3"/>
      <c r="N7" s="3"/>
      <c r="O7" s="3"/>
      <c r="P7" s="1">
        <v>1.12350129E8</v>
      </c>
      <c r="Q7" s="1" t="b">
        <v>1</v>
      </c>
      <c r="R7" s="1">
        <v>45.0</v>
      </c>
      <c r="S7" s="1" t="s">
        <v>761</v>
      </c>
      <c r="T7" s="3"/>
      <c r="U7" s="1" t="s">
        <v>694</v>
      </c>
      <c r="V7" s="1" t="s">
        <v>695</v>
      </c>
      <c r="W7" s="1" t="s">
        <v>762</v>
      </c>
      <c r="X7" s="1" t="b">
        <v>0</v>
      </c>
      <c r="Y7" s="1" t="s">
        <v>697</v>
      </c>
      <c r="Z7" s="1" t="s">
        <v>763</v>
      </c>
      <c r="AB7" s="1" t="s">
        <v>728</v>
      </c>
      <c r="AC7" s="1" t="s">
        <v>729</v>
      </c>
      <c r="AD7" s="1" t="s">
        <v>764</v>
      </c>
      <c r="AE7" s="1" t="s">
        <v>763</v>
      </c>
      <c r="AF7" s="1" t="s">
        <v>765</v>
      </c>
      <c r="AG7" s="1" t="s">
        <v>766</v>
      </c>
      <c r="AH7" s="1">
        <v>1.0</v>
      </c>
      <c r="AI7" s="1" t="b">
        <v>0</v>
      </c>
      <c r="AJ7" s="1" t="b">
        <v>0</v>
      </c>
      <c r="AK7" s="1" t="s">
        <v>767</v>
      </c>
      <c r="AL7" s="1" t="s">
        <v>714</v>
      </c>
      <c r="AM7" s="1" t="s">
        <v>715</v>
      </c>
      <c r="AN7" s="1" t="s">
        <v>702</v>
      </c>
      <c r="AO7" s="1" t="s">
        <v>768</v>
      </c>
      <c r="AP7" s="1" t="s">
        <v>756</v>
      </c>
      <c r="AQ7" s="1" t="s">
        <v>704</v>
      </c>
      <c r="AR7" s="1">
        <v>44.0</v>
      </c>
      <c r="AS7" s="3"/>
      <c r="AT7" s="3"/>
      <c r="AU7" s="4" t="s">
        <v>719</v>
      </c>
      <c r="AV7" s="1" t="s">
        <v>769</v>
      </c>
      <c r="AW7" s="1" t="s">
        <v>770</v>
      </c>
      <c r="AX7" s="1" t="s">
        <v>771</v>
      </c>
      <c r="AY7" s="1" t="s">
        <v>772</v>
      </c>
      <c r="AZ7" s="1" t="s">
        <v>773</v>
      </c>
      <c r="BA7" s="3"/>
      <c r="BB7" s="3"/>
      <c r="BC7" s="3"/>
      <c r="BD7" s="3"/>
      <c r="BE7" s="1" t="b">
        <v>1</v>
      </c>
      <c r="BF7" s="1" t="s">
        <v>772</v>
      </c>
      <c r="BG7" s="1" t="s">
        <v>771</v>
      </c>
      <c r="BH7" s="1" t="s">
        <v>769</v>
      </c>
      <c r="BI7" s="1" t="s">
        <v>770</v>
      </c>
      <c r="BJ7" s="1" t="s">
        <v>773</v>
      </c>
      <c r="BK7" s="4" t="s">
        <v>719</v>
      </c>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row>
    <row r="8">
      <c r="A8" s="1" t="s">
        <v>241</v>
      </c>
      <c r="B8" s="1" t="s">
        <v>238</v>
      </c>
      <c r="C8" s="1" t="s">
        <v>238</v>
      </c>
      <c r="D8" s="1" t="s">
        <v>774</v>
      </c>
      <c r="E8" s="1" t="s">
        <v>775</v>
      </c>
      <c r="F8" s="1" t="s">
        <v>776</v>
      </c>
      <c r="G8" s="3"/>
      <c r="H8" s="3"/>
      <c r="I8" s="1" t="s">
        <v>777</v>
      </c>
      <c r="J8" s="1" t="s">
        <v>778</v>
      </c>
      <c r="K8" s="3">
        <f>+821054074977</f>
        <v>821054074977</v>
      </c>
      <c r="L8" s="3"/>
      <c r="M8" s="3"/>
      <c r="N8" s="3"/>
      <c r="O8" s="3"/>
      <c r="P8" s="1">
        <v>1.22989435E8</v>
      </c>
      <c r="Q8" s="1" t="b">
        <v>1</v>
      </c>
      <c r="R8" s="1">
        <v>16.0</v>
      </c>
      <c r="S8" s="1" t="s">
        <v>779</v>
      </c>
      <c r="T8" s="3"/>
      <c r="U8" s="1" t="s">
        <v>694</v>
      </c>
      <c r="V8" s="1" t="s">
        <v>695</v>
      </c>
      <c r="W8" s="1" t="s">
        <v>780</v>
      </c>
      <c r="X8" s="1" t="b">
        <v>0</v>
      </c>
      <c r="Y8" s="1" t="s">
        <v>697</v>
      </c>
      <c r="Z8" s="1" t="s">
        <v>781</v>
      </c>
      <c r="AB8" s="3"/>
      <c r="AC8" s="3"/>
      <c r="AD8" s="3"/>
      <c r="AE8" s="3"/>
      <c r="AF8" s="3"/>
      <c r="AG8" s="3"/>
      <c r="AH8" s="3"/>
      <c r="AI8" s="1" t="b">
        <v>0</v>
      </c>
      <c r="AJ8" s="1" t="b">
        <v>0</v>
      </c>
      <c r="AK8" s="1" t="s">
        <v>782</v>
      </c>
      <c r="AL8" s="1" t="s">
        <v>714</v>
      </c>
      <c r="AM8" s="1" t="s">
        <v>715</v>
      </c>
      <c r="AN8" s="1" t="s">
        <v>716</v>
      </c>
      <c r="AO8" s="1" t="s">
        <v>781</v>
      </c>
      <c r="AP8" s="1" t="s">
        <v>717</v>
      </c>
      <c r="AQ8" s="1" t="s">
        <v>718</v>
      </c>
      <c r="AR8" s="1">
        <v>16.0</v>
      </c>
      <c r="AS8" s="3"/>
      <c r="AT8" s="3"/>
      <c r="AU8" s="4" t="s">
        <v>719</v>
      </c>
      <c r="AW8" s="3"/>
      <c r="AX8" s="3"/>
      <c r="AY8" s="3"/>
      <c r="AZ8" s="3"/>
      <c r="BA8" s="3"/>
      <c r="BB8" s="3"/>
      <c r="BC8" s="3"/>
      <c r="BD8" s="3"/>
      <c r="BE8" s="1" t="b">
        <v>1</v>
      </c>
      <c r="BF8" s="3"/>
      <c r="BG8" s="3"/>
      <c r="BH8" s="3"/>
      <c r="BI8" s="3"/>
      <c r="BJ8" s="3"/>
      <c r="BK8" s="4" t="s">
        <v>719</v>
      </c>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row>
    <row r="9">
      <c r="A9" s="1" t="s">
        <v>138</v>
      </c>
      <c r="B9" s="1" t="s">
        <v>136</v>
      </c>
      <c r="C9" s="1" t="s">
        <v>136</v>
      </c>
      <c r="D9" s="1" t="s">
        <v>783</v>
      </c>
      <c r="E9" s="1" t="s">
        <v>784</v>
      </c>
      <c r="F9" s="1" t="s">
        <v>785</v>
      </c>
      <c r="G9" s="3"/>
      <c r="H9" s="3"/>
      <c r="I9" s="1" t="s">
        <v>786</v>
      </c>
      <c r="J9" s="1" t="s">
        <v>787</v>
      </c>
      <c r="K9" s="3">
        <f>+821071367490</f>
        <v>821071367490</v>
      </c>
      <c r="L9" s="3"/>
      <c r="M9" s="3"/>
      <c r="N9" s="3"/>
      <c r="O9" s="3"/>
      <c r="P9" s="1">
        <v>1.11168542E8</v>
      </c>
      <c r="Q9" s="1" t="b">
        <v>1</v>
      </c>
      <c r="R9" s="1">
        <v>49.0</v>
      </c>
      <c r="S9" s="1" t="s">
        <v>725</v>
      </c>
      <c r="T9" s="3"/>
      <c r="U9" s="1" t="s">
        <v>694</v>
      </c>
      <c r="V9" s="1" t="s">
        <v>695</v>
      </c>
      <c r="W9" s="1" t="s">
        <v>788</v>
      </c>
      <c r="X9" s="1" t="b">
        <v>0</v>
      </c>
      <c r="Y9" s="1" t="s">
        <v>697</v>
      </c>
      <c r="Z9" s="1" t="s">
        <v>789</v>
      </c>
      <c r="AB9" s="1" t="s">
        <v>728</v>
      </c>
      <c r="AC9" s="1" t="s">
        <v>729</v>
      </c>
      <c r="AD9" s="1" t="s">
        <v>730</v>
      </c>
      <c r="AE9" s="1" t="s">
        <v>790</v>
      </c>
      <c r="AF9" s="1" t="s">
        <v>791</v>
      </c>
      <c r="AG9" s="1" t="s">
        <v>733</v>
      </c>
      <c r="AH9" s="1">
        <v>8.0</v>
      </c>
      <c r="AI9" s="1" t="b">
        <v>0</v>
      </c>
      <c r="AJ9" s="1" t="b">
        <v>0</v>
      </c>
      <c r="AK9" s="1" t="s">
        <v>792</v>
      </c>
      <c r="AL9" s="1" t="s">
        <v>714</v>
      </c>
      <c r="AM9" s="1" t="s">
        <v>715</v>
      </c>
      <c r="AN9" s="1" t="s">
        <v>716</v>
      </c>
      <c r="AO9" s="1" t="s">
        <v>789</v>
      </c>
      <c r="AP9" s="1" t="s">
        <v>717</v>
      </c>
      <c r="AQ9" s="1" t="s">
        <v>718</v>
      </c>
      <c r="AR9" s="1">
        <v>41.0</v>
      </c>
      <c r="AS9" s="3"/>
      <c r="AT9" s="3"/>
      <c r="AU9" s="4" t="s">
        <v>719</v>
      </c>
      <c r="AW9" s="3"/>
      <c r="AX9" s="3"/>
      <c r="AY9" s="3"/>
      <c r="AZ9" s="3"/>
      <c r="BA9" s="3"/>
      <c r="BB9" s="3"/>
      <c r="BC9" s="3"/>
      <c r="BD9" s="3"/>
      <c r="BE9" s="1" t="b">
        <v>1</v>
      </c>
      <c r="BF9" s="3"/>
      <c r="BG9" s="3"/>
      <c r="BH9" s="3"/>
      <c r="BI9" s="3"/>
      <c r="BJ9" s="3"/>
      <c r="BK9" s="4" t="s">
        <v>719</v>
      </c>
      <c r="BL9" s="1" t="s">
        <v>720</v>
      </c>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row>
    <row r="10">
      <c r="A10" s="1" t="s">
        <v>223</v>
      </c>
      <c r="B10" s="1" t="s">
        <v>220</v>
      </c>
      <c r="C10" s="1" t="s">
        <v>220</v>
      </c>
      <c r="D10" s="1" t="s">
        <v>706</v>
      </c>
      <c r="E10" s="1" t="s">
        <v>793</v>
      </c>
      <c r="F10" s="1" t="s">
        <v>794</v>
      </c>
      <c r="G10" s="3"/>
      <c r="H10" s="3"/>
      <c r="I10" s="1" t="s">
        <v>795</v>
      </c>
      <c r="J10" s="1" t="s">
        <v>796</v>
      </c>
      <c r="L10" s="3"/>
      <c r="M10" s="3"/>
      <c r="N10" s="3"/>
      <c r="O10" s="3"/>
      <c r="P10" s="1">
        <v>1.22992497E8</v>
      </c>
      <c r="Q10" s="1" t="b">
        <v>1</v>
      </c>
      <c r="R10" s="1">
        <v>28.0</v>
      </c>
      <c r="S10" s="1" t="s">
        <v>797</v>
      </c>
      <c r="T10" s="3"/>
      <c r="U10" s="1" t="s">
        <v>694</v>
      </c>
      <c r="V10" s="1" t="s">
        <v>695</v>
      </c>
      <c r="W10" s="1" t="s">
        <v>798</v>
      </c>
      <c r="X10" s="1" t="b">
        <v>0</v>
      </c>
      <c r="Y10" s="1" t="s">
        <v>697</v>
      </c>
      <c r="Z10" s="1" t="s">
        <v>799</v>
      </c>
      <c r="AB10" s="3"/>
      <c r="AC10" s="3"/>
      <c r="AD10" s="3"/>
      <c r="AE10" s="3"/>
      <c r="AF10" s="3"/>
      <c r="AG10" s="3"/>
      <c r="AH10" s="3"/>
      <c r="AI10" s="1" t="b">
        <v>0</v>
      </c>
      <c r="AJ10" s="1" t="b">
        <v>0</v>
      </c>
      <c r="AK10" s="1" t="s">
        <v>800</v>
      </c>
      <c r="AL10" s="1" t="s">
        <v>714</v>
      </c>
      <c r="AM10" s="1" t="s">
        <v>715</v>
      </c>
      <c r="AN10" s="1" t="s">
        <v>702</v>
      </c>
      <c r="AO10" s="1" t="s">
        <v>799</v>
      </c>
      <c r="AP10" s="1" t="s">
        <v>756</v>
      </c>
      <c r="AQ10" s="1" t="s">
        <v>704</v>
      </c>
      <c r="AR10" s="1">
        <v>28.0</v>
      </c>
      <c r="AS10" s="3"/>
      <c r="AT10" s="3"/>
      <c r="AU10" s="4" t="s">
        <v>705</v>
      </c>
      <c r="AV10" s="3"/>
      <c r="AW10" s="3"/>
      <c r="AX10" s="3"/>
      <c r="AY10" s="3"/>
      <c r="AZ10" s="3"/>
      <c r="BA10" s="3"/>
      <c r="BB10" s="3"/>
      <c r="BC10" s="3"/>
      <c r="BD10" s="3"/>
      <c r="BE10" s="1" t="b">
        <v>1</v>
      </c>
      <c r="BF10" s="3"/>
      <c r="BG10" s="3"/>
      <c r="BH10" s="3"/>
      <c r="BI10" s="3"/>
      <c r="BJ10" s="3"/>
      <c r="BK10" s="4" t="s">
        <v>801</v>
      </c>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row>
    <row r="11">
      <c r="A11" s="1" t="s">
        <v>335</v>
      </c>
      <c r="B11" s="1" t="s">
        <v>334</v>
      </c>
      <c r="C11" s="1" t="s">
        <v>334</v>
      </c>
      <c r="D11" s="1" t="s">
        <v>706</v>
      </c>
      <c r="E11" s="1" t="s">
        <v>802</v>
      </c>
      <c r="F11" s="1" t="s">
        <v>803</v>
      </c>
      <c r="G11" s="3"/>
      <c r="H11" s="3"/>
      <c r="I11" s="3"/>
      <c r="J11" s="1" t="s">
        <v>804</v>
      </c>
      <c r="K11" s="3"/>
      <c r="L11" s="3"/>
      <c r="M11" s="3"/>
      <c r="N11" s="3"/>
      <c r="O11" s="3"/>
      <c r="P11" s="1">
        <v>1.22922772E8</v>
      </c>
      <c r="Q11" s="1" t="b">
        <v>1</v>
      </c>
      <c r="R11" s="1">
        <v>17.0</v>
      </c>
      <c r="S11" s="1" t="s">
        <v>725</v>
      </c>
      <c r="T11" s="3"/>
      <c r="U11" s="1" t="s">
        <v>694</v>
      </c>
      <c r="V11" s="1" t="s">
        <v>695</v>
      </c>
      <c r="W11" s="1" t="s">
        <v>805</v>
      </c>
      <c r="X11" s="1" t="b">
        <v>0</v>
      </c>
      <c r="Y11" s="1" t="s">
        <v>697</v>
      </c>
      <c r="Z11" s="1" t="s">
        <v>806</v>
      </c>
      <c r="AB11" s="1" t="s">
        <v>728</v>
      </c>
      <c r="AC11" s="1" t="s">
        <v>729</v>
      </c>
      <c r="AD11" s="1" t="s">
        <v>807</v>
      </c>
      <c r="AE11" s="1" t="s">
        <v>808</v>
      </c>
      <c r="AF11" s="1" t="s">
        <v>765</v>
      </c>
      <c r="AG11" s="1" t="s">
        <v>766</v>
      </c>
      <c r="AH11" s="1">
        <v>8.0</v>
      </c>
      <c r="AI11" s="1" t="b">
        <v>0</v>
      </c>
      <c r="AJ11" s="1" t="b">
        <v>0</v>
      </c>
      <c r="AK11" s="1" t="s">
        <v>809</v>
      </c>
      <c r="AL11" s="1" t="s">
        <v>714</v>
      </c>
      <c r="AM11" s="1" t="s">
        <v>715</v>
      </c>
      <c r="AN11" s="1" t="s">
        <v>702</v>
      </c>
      <c r="AO11" s="1" t="s">
        <v>806</v>
      </c>
      <c r="AP11" s="1" t="s">
        <v>756</v>
      </c>
      <c r="AQ11" s="1" t="s">
        <v>704</v>
      </c>
      <c r="AR11" s="1">
        <v>9.0</v>
      </c>
      <c r="AS11" s="3"/>
      <c r="AT11" s="3"/>
      <c r="AU11" s="4" t="s">
        <v>719</v>
      </c>
      <c r="AV11" s="1" t="s">
        <v>769</v>
      </c>
      <c r="AW11" s="1" t="s">
        <v>770</v>
      </c>
      <c r="AX11" s="1" t="s">
        <v>771</v>
      </c>
      <c r="AY11" s="1" t="s">
        <v>772</v>
      </c>
      <c r="AZ11" s="1" t="s">
        <v>773</v>
      </c>
      <c r="BA11" s="3"/>
      <c r="BB11" s="3"/>
      <c r="BC11" s="3"/>
      <c r="BD11" s="3"/>
      <c r="BE11" s="1" t="b">
        <v>1</v>
      </c>
      <c r="BF11" s="1" t="s">
        <v>772</v>
      </c>
      <c r="BG11" s="1" t="s">
        <v>771</v>
      </c>
      <c r="BH11" s="1" t="s">
        <v>769</v>
      </c>
      <c r="BI11" s="1" t="s">
        <v>770</v>
      </c>
      <c r="BJ11" s="1" t="s">
        <v>773</v>
      </c>
      <c r="BK11" s="4" t="s">
        <v>719</v>
      </c>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row>
    <row r="12">
      <c r="A12" s="1" t="s">
        <v>345</v>
      </c>
      <c r="B12" s="1" t="s">
        <v>344</v>
      </c>
      <c r="C12" s="1" t="s">
        <v>344</v>
      </c>
      <c r="D12" s="1" t="s">
        <v>810</v>
      </c>
      <c r="E12" s="1" t="s">
        <v>811</v>
      </c>
      <c r="F12" s="1" t="s">
        <v>812</v>
      </c>
      <c r="G12" s="3"/>
      <c r="H12" s="3"/>
      <c r="I12" s="3"/>
      <c r="J12" s="1" t="s">
        <v>813</v>
      </c>
      <c r="K12" s="3">
        <f>+821080094844</f>
        <v>821080094844</v>
      </c>
      <c r="L12" s="3"/>
      <c r="M12" s="3"/>
      <c r="N12" s="3"/>
      <c r="O12" s="3"/>
      <c r="P12" s="1">
        <v>1.93353882E8</v>
      </c>
      <c r="Q12" s="1" t="b">
        <v>1</v>
      </c>
      <c r="R12" s="1">
        <v>1.0</v>
      </c>
      <c r="S12" s="1" t="s">
        <v>814</v>
      </c>
      <c r="T12" s="3"/>
      <c r="U12" s="1" t="s">
        <v>694</v>
      </c>
      <c r="V12" s="1" t="s">
        <v>695</v>
      </c>
      <c r="W12" s="1" t="s">
        <v>815</v>
      </c>
      <c r="X12" s="1" t="b">
        <v>0</v>
      </c>
      <c r="Y12" s="1" t="s">
        <v>697</v>
      </c>
      <c r="Z12" s="1" t="s">
        <v>815</v>
      </c>
      <c r="AB12" s="3"/>
      <c r="AC12" s="3"/>
      <c r="AD12" s="3"/>
      <c r="AE12" s="3"/>
      <c r="AF12" s="3"/>
      <c r="AG12" s="3"/>
      <c r="AH12" s="3"/>
      <c r="AI12" s="1" t="b">
        <v>0</v>
      </c>
      <c r="AJ12" s="1" t="b">
        <v>0</v>
      </c>
      <c r="AK12" s="1" t="s">
        <v>816</v>
      </c>
      <c r="AL12" s="1" t="s">
        <v>817</v>
      </c>
      <c r="AM12" s="1" t="s">
        <v>715</v>
      </c>
      <c r="AN12" s="1" t="s">
        <v>702</v>
      </c>
      <c r="AO12" s="1" t="s">
        <v>815</v>
      </c>
      <c r="AP12" s="1" t="s">
        <v>756</v>
      </c>
      <c r="AQ12" s="1" t="s">
        <v>704</v>
      </c>
      <c r="AR12" s="1">
        <v>1.0</v>
      </c>
      <c r="AS12" s="3"/>
      <c r="AT12" s="3"/>
      <c r="AU12" s="4" t="s">
        <v>818</v>
      </c>
      <c r="AW12" s="3"/>
      <c r="AX12" s="3"/>
      <c r="AY12" s="3"/>
      <c r="AZ12" s="3"/>
      <c r="BA12" s="3"/>
      <c r="BB12" s="3"/>
      <c r="BC12" s="3"/>
      <c r="BD12" s="3"/>
      <c r="BE12" s="1" t="b">
        <v>1</v>
      </c>
      <c r="BF12" s="3"/>
      <c r="BG12" s="3"/>
      <c r="BH12" s="3"/>
      <c r="BI12" s="3"/>
      <c r="BJ12" s="3"/>
      <c r="BK12" s="4" t="s">
        <v>818</v>
      </c>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row>
    <row r="13">
      <c r="A13" s="1" t="s">
        <v>349</v>
      </c>
      <c r="B13" s="1" t="s">
        <v>325</v>
      </c>
      <c r="C13" s="1" t="s">
        <v>325</v>
      </c>
      <c r="D13" s="3"/>
      <c r="E13" s="3"/>
      <c r="F13" s="3"/>
      <c r="G13" s="3"/>
      <c r="H13" s="3"/>
      <c r="I13" s="3"/>
      <c r="J13" s="3"/>
      <c r="K13" s="3">
        <f>+821067663050</f>
        <v>821067663050</v>
      </c>
      <c r="L13" s="3"/>
      <c r="M13" s="3"/>
      <c r="N13" s="3"/>
      <c r="O13" s="3"/>
      <c r="P13" s="1" t="s">
        <v>819</v>
      </c>
      <c r="Q13" s="1" t="b">
        <v>0</v>
      </c>
      <c r="R13" s="1">
        <v>1.0</v>
      </c>
      <c r="S13" s="1" t="s">
        <v>797</v>
      </c>
      <c r="T13" s="3"/>
      <c r="U13" s="1" t="s">
        <v>694</v>
      </c>
      <c r="V13" s="1" t="s">
        <v>695</v>
      </c>
      <c r="W13" s="1" t="s">
        <v>820</v>
      </c>
      <c r="X13" s="1" t="b">
        <v>0</v>
      </c>
      <c r="Y13" s="1" t="s">
        <v>697</v>
      </c>
      <c r="Z13" s="1" t="s">
        <v>820</v>
      </c>
      <c r="AB13" s="3"/>
      <c r="AC13" s="3"/>
      <c r="AD13" s="3"/>
      <c r="AE13" s="3"/>
      <c r="AF13" s="3"/>
      <c r="AG13" s="3"/>
      <c r="AH13" s="3"/>
      <c r="AI13" s="1" t="b">
        <v>0</v>
      </c>
      <c r="AJ13" s="1" t="b">
        <v>0</v>
      </c>
      <c r="AK13" s="1" t="s">
        <v>821</v>
      </c>
      <c r="AL13" s="1" t="s">
        <v>822</v>
      </c>
      <c r="AM13" s="1" t="s">
        <v>823</v>
      </c>
      <c r="AN13" s="1" t="s">
        <v>730</v>
      </c>
      <c r="AO13" s="1" t="s">
        <v>820</v>
      </c>
      <c r="AP13" s="1" t="s">
        <v>732</v>
      </c>
      <c r="AQ13" s="1" t="s">
        <v>733</v>
      </c>
      <c r="AR13" s="1">
        <v>1.0</v>
      </c>
      <c r="AS13" s="3"/>
      <c r="AT13" s="3"/>
      <c r="AU13" s="4" t="s">
        <v>824</v>
      </c>
      <c r="AW13" s="3"/>
      <c r="AX13" s="3"/>
      <c r="AY13" s="3"/>
      <c r="AZ13" s="3"/>
      <c r="BA13" s="3"/>
      <c r="BB13" s="3"/>
      <c r="BC13" s="3"/>
      <c r="BD13" s="3"/>
      <c r="BE13" s="1" t="b">
        <v>1</v>
      </c>
      <c r="BF13" s="3"/>
      <c r="BG13" s="3"/>
      <c r="BH13" s="3"/>
      <c r="BI13" s="3"/>
      <c r="BJ13" s="3"/>
      <c r="BK13" s="4" t="s">
        <v>824</v>
      </c>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row>
    <row r="14">
      <c r="A14" s="1" t="s">
        <v>198</v>
      </c>
      <c r="B14" s="1" t="s">
        <v>196</v>
      </c>
      <c r="C14" s="1" t="s">
        <v>196</v>
      </c>
      <c r="D14" s="1" t="s">
        <v>706</v>
      </c>
      <c r="E14" s="1" t="s">
        <v>825</v>
      </c>
      <c r="F14" s="1" t="s">
        <v>826</v>
      </c>
      <c r="G14" s="3"/>
      <c r="H14" s="3"/>
      <c r="I14" s="1" t="s">
        <v>827</v>
      </c>
      <c r="J14" s="1" t="s">
        <v>828</v>
      </c>
      <c r="K14" s="3">
        <f>+821044784726</f>
        <v>821044784726</v>
      </c>
      <c r="L14" s="3"/>
      <c r="M14" s="3"/>
      <c r="N14" s="3"/>
      <c r="O14" s="3"/>
      <c r="P14" s="1">
        <v>1.22916605E8</v>
      </c>
      <c r="Q14" s="1" t="b">
        <v>1</v>
      </c>
      <c r="R14" s="1">
        <v>73.0</v>
      </c>
      <c r="S14" s="1" t="s">
        <v>761</v>
      </c>
      <c r="T14" s="3"/>
      <c r="U14" s="1" t="s">
        <v>694</v>
      </c>
      <c r="V14" s="1" t="s">
        <v>695</v>
      </c>
      <c r="W14" s="1" t="s">
        <v>829</v>
      </c>
      <c r="X14" s="1" t="b">
        <v>0</v>
      </c>
      <c r="Y14" s="1" t="s">
        <v>697</v>
      </c>
      <c r="Z14" s="1" t="s">
        <v>830</v>
      </c>
      <c r="AB14" s="3"/>
      <c r="AC14" s="3"/>
      <c r="AD14" s="3"/>
      <c r="AE14" s="3"/>
      <c r="AF14" s="3"/>
      <c r="AG14" s="3"/>
      <c r="AH14" s="3"/>
      <c r="AI14" s="1" t="b">
        <v>0</v>
      </c>
      <c r="AJ14" s="1" t="b">
        <v>0</v>
      </c>
      <c r="AK14" s="1" t="s">
        <v>831</v>
      </c>
      <c r="AL14" s="1" t="s">
        <v>714</v>
      </c>
      <c r="AM14" s="1" t="s">
        <v>715</v>
      </c>
      <c r="AN14" s="1" t="s">
        <v>702</v>
      </c>
      <c r="AO14" s="1" t="s">
        <v>830</v>
      </c>
      <c r="AP14" s="1" t="s">
        <v>756</v>
      </c>
      <c r="AQ14" s="1" t="s">
        <v>704</v>
      </c>
      <c r="AR14" s="1">
        <v>73.0</v>
      </c>
      <c r="AS14" s="3"/>
      <c r="AT14" s="3"/>
      <c r="AU14" s="4" t="s">
        <v>719</v>
      </c>
      <c r="AV14" s="1" t="s">
        <v>769</v>
      </c>
      <c r="AW14" s="1" t="s">
        <v>770</v>
      </c>
      <c r="AX14" s="1" t="s">
        <v>771</v>
      </c>
      <c r="AY14" s="1" t="s">
        <v>772</v>
      </c>
      <c r="AZ14" s="1" t="s">
        <v>832</v>
      </c>
      <c r="BA14" s="3"/>
      <c r="BB14" s="3"/>
      <c r="BC14" s="3"/>
      <c r="BD14" s="3"/>
      <c r="BE14" s="1" t="b">
        <v>1</v>
      </c>
      <c r="BF14" s="1" t="s">
        <v>833</v>
      </c>
      <c r="BG14" s="1" t="s">
        <v>771</v>
      </c>
      <c r="BH14" s="1" t="s">
        <v>834</v>
      </c>
      <c r="BI14" s="1" t="s">
        <v>835</v>
      </c>
      <c r="BJ14" s="1" t="s">
        <v>773</v>
      </c>
      <c r="BK14" s="4" t="s">
        <v>719</v>
      </c>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row>
    <row r="15">
      <c r="A15" s="1" t="s">
        <v>261</v>
      </c>
      <c r="B15" s="1" t="s">
        <v>258</v>
      </c>
      <c r="C15" s="1" t="s">
        <v>258</v>
      </c>
      <c r="D15" s="1" t="s">
        <v>810</v>
      </c>
      <c r="E15" s="1" t="s">
        <v>836</v>
      </c>
      <c r="F15" s="1" t="s">
        <v>837</v>
      </c>
      <c r="G15" s="3"/>
      <c r="H15" s="3"/>
      <c r="I15" s="1" t="s">
        <v>838</v>
      </c>
      <c r="J15" s="1" t="s">
        <v>839</v>
      </c>
      <c r="K15" s="3">
        <f>+821033569755</f>
        <v>821033569755</v>
      </c>
      <c r="L15" s="3"/>
      <c r="M15" s="3"/>
      <c r="N15" s="3"/>
      <c r="O15" s="3"/>
      <c r="P15" s="1">
        <v>1.14552188E8</v>
      </c>
      <c r="Q15" s="1" t="b">
        <v>1</v>
      </c>
      <c r="R15" s="1">
        <v>49.0</v>
      </c>
      <c r="S15" s="1" t="s">
        <v>840</v>
      </c>
      <c r="T15" s="3"/>
      <c r="U15" s="1" t="s">
        <v>694</v>
      </c>
      <c r="V15" s="1" t="s">
        <v>695</v>
      </c>
      <c r="W15" s="1" t="s">
        <v>841</v>
      </c>
      <c r="X15" s="1" t="b">
        <v>0</v>
      </c>
      <c r="Y15" s="1" t="s">
        <v>697</v>
      </c>
      <c r="Z15" s="1" t="s">
        <v>842</v>
      </c>
      <c r="AB15" s="3"/>
      <c r="AC15" s="3"/>
      <c r="AD15" s="3"/>
      <c r="AE15" s="3"/>
      <c r="AF15" s="3"/>
      <c r="AG15" s="3"/>
      <c r="AH15" s="3"/>
      <c r="AI15" s="1" t="b">
        <v>0</v>
      </c>
      <c r="AJ15" s="1" t="b">
        <v>0</v>
      </c>
      <c r="AK15" s="1" t="s">
        <v>843</v>
      </c>
      <c r="AL15" s="1" t="s">
        <v>714</v>
      </c>
      <c r="AM15" s="1" t="s">
        <v>715</v>
      </c>
      <c r="AN15" s="1" t="s">
        <v>702</v>
      </c>
      <c r="AO15" s="1" t="s">
        <v>842</v>
      </c>
      <c r="AP15" s="1" t="s">
        <v>756</v>
      </c>
      <c r="AQ15" s="1" t="s">
        <v>704</v>
      </c>
      <c r="AR15" s="1">
        <v>49.0</v>
      </c>
      <c r="AS15" s="3"/>
      <c r="AT15" s="3"/>
      <c r="AU15" s="4" t="s">
        <v>719</v>
      </c>
      <c r="AW15" s="3"/>
      <c r="AX15" s="3"/>
      <c r="AY15" s="3"/>
      <c r="AZ15" s="3"/>
      <c r="BA15" s="3"/>
      <c r="BB15" s="3"/>
      <c r="BC15" s="3"/>
      <c r="BD15" s="3"/>
      <c r="BE15" s="1" t="b">
        <v>1</v>
      </c>
      <c r="BF15" s="3"/>
      <c r="BG15" s="3"/>
      <c r="BH15" s="3"/>
      <c r="BI15" s="3"/>
      <c r="BJ15" s="3"/>
      <c r="BK15" s="4" t="s">
        <v>719</v>
      </c>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row>
    <row r="16">
      <c r="A16" s="1" t="s">
        <v>133</v>
      </c>
      <c r="B16" s="1" t="s">
        <v>131</v>
      </c>
      <c r="C16" s="1" t="s">
        <v>131</v>
      </c>
      <c r="D16" s="1" t="s">
        <v>774</v>
      </c>
      <c r="E16" s="1" t="s">
        <v>844</v>
      </c>
      <c r="F16" s="1" t="s">
        <v>845</v>
      </c>
      <c r="G16" s="3"/>
      <c r="H16" s="3"/>
      <c r="I16" s="1" t="s">
        <v>846</v>
      </c>
      <c r="J16" s="1" t="s">
        <v>847</v>
      </c>
      <c r="K16" s="3">
        <f>+821063241204</f>
        <v>821063241204</v>
      </c>
      <c r="L16" s="3"/>
      <c r="M16" s="3"/>
      <c r="N16" s="3"/>
      <c r="O16" s="3"/>
      <c r="P16" s="1">
        <v>1.22990324E8</v>
      </c>
      <c r="Q16" s="1" t="b">
        <v>1</v>
      </c>
      <c r="R16" s="1">
        <v>12.0</v>
      </c>
      <c r="S16" s="1" t="s">
        <v>848</v>
      </c>
      <c r="T16" s="3"/>
      <c r="U16" s="1" t="s">
        <v>694</v>
      </c>
      <c r="V16" s="1" t="s">
        <v>695</v>
      </c>
      <c r="W16" s="1" t="s">
        <v>849</v>
      </c>
      <c r="X16" s="1" t="b">
        <v>0</v>
      </c>
      <c r="Y16" s="1" t="s">
        <v>697</v>
      </c>
      <c r="Z16" s="1" t="s">
        <v>850</v>
      </c>
      <c r="AB16" s="3"/>
      <c r="AC16" s="3"/>
      <c r="AD16" s="3"/>
      <c r="AE16" s="3"/>
      <c r="AF16" s="3"/>
      <c r="AG16" s="3"/>
      <c r="AH16" s="3"/>
      <c r="AI16" s="1" t="b">
        <v>0</v>
      </c>
      <c r="AJ16" s="1" t="b">
        <v>0</v>
      </c>
      <c r="AK16" s="1" t="s">
        <v>851</v>
      </c>
      <c r="AL16" s="1" t="s">
        <v>817</v>
      </c>
      <c r="AM16" s="1" t="s">
        <v>715</v>
      </c>
      <c r="AN16" s="1" t="s">
        <v>716</v>
      </c>
      <c r="AO16" s="1" t="s">
        <v>850</v>
      </c>
      <c r="AP16" s="1" t="s">
        <v>717</v>
      </c>
      <c r="AQ16" s="1" t="s">
        <v>718</v>
      </c>
      <c r="AR16" s="1">
        <v>12.0</v>
      </c>
      <c r="AS16" s="3"/>
      <c r="AT16" s="3"/>
      <c r="AU16" s="4" t="s">
        <v>719</v>
      </c>
      <c r="AW16" s="3"/>
      <c r="AX16" s="3"/>
      <c r="AY16" s="3"/>
      <c r="AZ16" s="3"/>
      <c r="BA16" s="3"/>
      <c r="BB16" s="3"/>
      <c r="BC16" s="3"/>
      <c r="BD16" s="3"/>
      <c r="BE16" s="1" t="b">
        <v>1</v>
      </c>
      <c r="BF16" s="3"/>
      <c r="BG16" s="3"/>
      <c r="BH16" s="3"/>
      <c r="BI16" s="3"/>
      <c r="BJ16" s="3"/>
      <c r="BK16" s="4" t="s">
        <v>852</v>
      </c>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row>
    <row r="17">
      <c r="A17" s="1" t="s">
        <v>163</v>
      </c>
      <c r="B17" s="1" t="s">
        <v>160</v>
      </c>
      <c r="C17" s="1" t="s">
        <v>160</v>
      </c>
      <c r="D17" s="1" t="s">
        <v>783</v>
      </c>
      <c r="E17" s="1" t="s">
        <v>853</v>
      </c>
      <c r="F17" s="1" t="s">
        <v>854</v>
      </c>
      <c r="G17" s="3"/>
      <c r="H17" s="3"/>
      <c r="I17" s="1" t="s">
        <v>786</v>
      </c>
      <c r="J17" s="1" t="s">
        <v>855</v>
      </c>
      <c r="K17" s="3"/>
      <c r="L17" s="3"/>
      <c r="M17" s="3"/>
      <c r="N17" s="3"/>
      <c r="O17" s="3"/>
      <c r="P17" s="1">
        <v>1.1246837E8</v>
      </c>
      <c r="Q17" s="1" t="b">
        <v>1</v>
      </c>
      <c r="R17" s="1">
        <v>47.0</v>
      </c>
      <c r="S17" s="1" t="s">
        <v>725</v>
      </c>
      <c r="T17" s="3"/>
      <c r="U17" s="1" t="s">
        <v>694</v>
      </c>
      <c r="V17" s="1" t="s">
        <v>695</v>
      </c>
      <c r="W17" s="1" t="s">
        <v>856</v>
      </c>
      <c r="X17" s="1" t="b">
        <v>0</v>
      </c>
      <c r="Y17" s="1" t="s">
        <v>697</v>
      </c>
      <c r="Z17" s="1" t="s">
        <v>857</v>
      </c>
      <c r="AB17" s="1" t="s">
        <v>728</v>
      </c>
      <c r="AC17" s="1" t="s">
        <v>729</v>
      </c>
      <c r="AD17" s="1" t="s">
        <v>730</v>
      </c>
      <c r="AE17" s="1" t="s">
        <v>857</v>
      </c>
      <c r="AF17" s="1" t="s">
        <v>858</v>
      </c>
      <c r="AG17" s="1" t="s">
        <v>733</v>
      </c>
      <c r="AH17" s="1">
        <v>34.0</v>
      </c>
      <c r="AI17" s="1" t="b">
        <v>0</v>
      </c>
      <c r="AJ17" s="1" t="b">
        <v>0</v>
      </c>
      <c r="AK17" s="1" t="s">
        <v>859</v>
      </c>
      <c r="AL17" s="1" t="s">
        <v>700</v>
      </c>
      <c r="AM17" s="1" t="s">
        <v>701</v>
      </c>
      <c r="AN17" s="1" t="s">
        <v>702</v>
      </c>
      <c r="AO17" s="1" t="s">
        <v>860</v>
      </c>
      <c r="AP17" s="1" t="s">
        <v>703</v>
      </c>
      <c r="AQ17" s="1" t="s">
        <v>704</v>
      </c>
      <c r="AR17" s="1">
        <v>13.0</v>
      </c>
      <c r="AS17" s="3"/>
      <c r="AT17" s="3"/>
      <c r="AU17" s="3"/>
      <c r="AV17" s="3"/>
      <c r="AW17" s="3"/>
      <c r="AX17" s="3"/>
      <c r="AY17" s="3"/>
      <c r="AZ17" s="3"/>
      <c r="BA17" s="3"/>
      <c r="BB17" s="3"/>
      <c r="BC17" s="3"/>
      <c r="BD17" s="3"/>
      <c r="BE17" s="1" t="b">
        <v>1</v>
      </c>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row>
    <row r="18">
      <c r="A18" s="1" t="s">
        <v>341</v>
      </c>
      <c r="B18" s="1" t="s">
        <v>340</v>
      </c>
      <c r="C18" s="1" t="s">
        <v>340</v>
      </c>
      <c r="D18" s="1" t="s">
        <v>861</v>
      </c>
      <c r="E18" s="1" t="s">
        <v>862</v>
      </c>
      <c r="F18" s="1" t="s">
        <v>863</v>
      </c>
      <c r="G18" s="3"/>
      <c r="H18" s="3"/>
      <c r="I18" s="1" t="s">
        <v>691</v>
      </c>
      <c r="J18" s="1" t="s">
        <v>864</v>
      </c>
      <c r="K18" s="3">
        <f>+821097746116</f>
        <v>821097746116</v>
      </c>
      <c r="L18" s="3"/>
      <c r="M18" s="3"/>
      <c r="N18" s="3"/>
      <c r="O18" s="3"/>
      <c r="P18" s="1">
        <v>1.09981339E8</v>
      </c>
      <c r="Q18" s="1" t="b">
        <v>1</v>
      </c>
      <c r="R18" s="1">
        <v>537.0</v>
      </c>
      <c r="S18" s="1" t="s">
        <v>848</v>
      </c>
      <c r="T18" s="3"/>
      <c r="U18" s="1" t="s">
        <v>694</v>
      </c>
      <c r="V18" s="1" t="s">
        <v>695</v>
      </c>
      <c r="W18" s="1" t="s">
        <v>865</v>
      </c>
      <c r="X18" s="1" t="b">
        <v>0</v>
      </c>
      <c r="Y18" s="1" t="s">
        <v>697</v>
      </c>
      <c r="Z18" s="1" t="s">
        <v>866</v>
      </c>
      <c r="AB18" s="3"/>
      <c r="AC18" s="3"/>
      <c r="AD18" s="3"/>
      <c r="AE18" s="3"/>
      <c r="AF18" s="3"/>
      <c r="AG18" s="3"/>
      <c r="AH18" s="3"/>
      <c r="AI18" s="1" t="b">
        <v>0</v>
      </c>
      <c r="AJ18" s="1" t="b">
        <v>0</v>
      </c>
      <c r="AK18" s="1" t="s">
        <v>867</v>
      </c>
      <c r="AL18" s="1" t="s">
        <v>714</v>
      </c>
      <c r="AM18" s="1" t="s">
        <v>715</v>
      </c>
      <c r="AN18" s="1" t="s">
        <v>702</v>
      </c>
      <c r="AO18" s="1" t="s">
        <v>866</v>
      </c>
      <c r="AP18" s="1" t="s">
        <v>756</v>
      </c>
      <c r="AQ18" s="1" t="s">
        <v>704</v>
      </c>
      <c r="AR18" s="1">
        <v>537.0</v>
      </c>
      <c r="AS18" s="3"/>
      <c r="AT18" s="3"/>
      <c r="AU18" s="4" t="s">
        <v>719</v>
      </c>
      <c r="AW18" s="3"/>
      <c r="AX18" s="3"/>
      <c r="AY18" s="3"/>
      <c r="AZ18" s="3"/>
      <c r="BA18" s="3"/>
      <c r="BB18" s="3"/>
      <c r="BC18" s="3"/>
      <c r="BD18" s="3"/>
      <c r="BE18" s="1" t="b">
        <v>1</v>
      </c>
      <c r="BF18" s="3"/>
      <c r="BG18" s="3"/>
      <c r="BH18" s="3"/>
      <c r="BI18" s="3"/>
      <c r="BJ18" s="3"/>
      <c r="BK18" s="4" t="s">
        <v>719</v>
      </c>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row>
    <row r="19">
      <c r="A19" s="1" t="s">
        <v>169</v>
      </c>
      <c r="B19" s="1" t="s">
        <v>166</v>
      </c>
      <c r="C19" s="1" t="s">
        <v>166</v>
      </c>
      <c r="D19" s="1" t="s">
        <v>706</v>
      </c>
      <c r="E19" s="1" t="s">
        <v>868</v>
      </c>
      <c r="F19" s="1" t="s">
        <v>869</v>
      </c>
      <c r="G19" s="3"/>
      <c r="H19" s="1" t="s">
        <v>870</v>
      </c>
      <c r="I19" s="1" t="s">
        <v>691</v>
      </c>
      <c r="J19" s="1" t="s">
        <v>871</v>
      </c>
      <c r="L19" s="3"/>
      <c r="M19" s="3"/>
      <c r="N19" s="3"/>
      <c r="O19" s="3"/>
      <c r="P19" s="1">
        <v>1.14934067E8</v>
      </c>
      <c r="Q19" s="1" t="b">
        <v>1</v>
      </c>
      <c r="R19" s="1">
        <v>401.0</v>
      </c>
      <c r="S19" s="1" t="s">
        <v>761</v>
      </c>
      <c r="T19" s="3"/>
      <c r="U19" s="1" t="s">
        <v>694</v>
      </c>
      <c r="V19" s="1" t="s">
        <v>695</v>
      </c>
      <c r="W19" s="1" t="s">
        <v>872</v>
      </c>
      <c r="X19" s="1" t="b">
        <v>0</v>
      </c>
      <c r="Y19" s="1" t="s">
        <v>697</v>
      </c>
      <c r="Z19" s="1" t="s">
        <v>873</v>
      </c>
      <c r="AB19" s="1" t="s">
        <v>728</v>
      </c>
      <c r="AC19" s="1" t="s">
        <v>729</v>
      </c>
      <c r="AD19" s="1" t="s">
        <v>874</v>
      </c>
      <c r="AE19" s="1" t="s">
        <v>875</v>
      </c>
      <c r="AF19" s="1" t="s">
        <v>765</v>
      </c>
      <c r="AG19" s="1" t="s">
        <v>766</v>
      </c>
      <c r="AH19" s="1">
        <v>11.0</v>
      </c>
      <c r="AI19" s="1" t="b">
        <v>0</v>
      </c>
      <c r="AJ19" s="1" t="b">
        <v>0</v>
      </c>
      <c r="AK19" s="1" t="s">
        <v>873</v>
      </c>
      <c r="AL19" s="1" t="s">
        <v>714</v>
      </c>
      <c r="AM19" s="1" t="s">
        <v>715</v>
      </c>
      <c r="AN19" s="1" t="s">
        <v>702</v>
      </c>
      <c r="AO19" s="1" t="s">
        <v>873</v>
      </c>
      <c r="AP19" s="1" t="s">
        <v>756</v>
      </c>
      <c r="AQ19" s="1" t="s">
        <v>704</v>
      </c>
      <c r="AR19" s="1">
        <v>390.0</v>
      </c>
      <c r="AS19" s="3"/>
      <c r="AT19" s="3"/>
      <c r="AU19" s="4" t="s">
        <v>719</v>
      </c>
      <c r="AW19" s="3"/>
      <c r="AX19" s="3"/>
      <c r="AY19" s="3"/>
      <c r="AZ19" s="3"/>
      <c r="BA19" s="3"/>
      <c r="BB19" s="3"/>
      <c r="BC19" s="3"/>
      <c r="BD19" s="3"/>
      <c r="BE19" s="1" t="b">
        <v>1</v>
      </c>
      <c r="BF19" s="3"/>
      <c r="BG19" s="3"/>
      <c r="BH19" s="3"/>
      <c r="BI19" s="3"/>
      <c r="BJ19" s="3"/>
      <c r="BK19" s="4" t="s">
        <v>876</v>
      </c>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row>
    <row r="20">
      <c r="A20" s="1" t="s">
        <v>113</v>
      </c>
      <c r="B20" s="1" t="s">
        <v>111</v>
      </c>
      <c r="C20" s="1" t="s">
        <v>111</v>
      </c>
      <c r="D20" s="1" t="s">
        <v>774</v>
      </c>
      <c r="E20" s="3"/>
      <c r="F20" s="3"/>
      <c r="G20" s="3"/>
      <c r="H20" s="3"/>
      <c r="I20" s="1" t="s">
        <v>795</v>
      </c>
      <c r="J20" s="1" t="s">
        <v>877</v>
      </c>
      <c r="K20" s="3">
        <f>+821050442903</f>
        <v>821050442903</v>
      </c>
      <c r="L20" s="3"/>
      <c r="M20" s="3"/>
      <c r="N20" s="3"/>
      <c r="O20" s="3"/>
      <c r="P20" s="1">
        <v>1.08865232E8</v>
      </c>
      <c r="Q20" s="1" t="b">
        <v>1</v>
      </c>
      <c r="R20" s="1">
        <v>2.0</v>
      </c>
      <c r="S20" s="1" t="s">
        <v>878</v>
      </c>
      <c r="T20" s="3"/>
      <c r="U20" s="1" t="s">
        <v>694</v>
      </c>
      <c r="V20" s="1" t="s">
        <v>695</v>
      </c>
      <c r="W20" s="1" t="s">
        <v>879</v>
      </c>
      <c r="X20" s="1" t="b">
        <v>0</v>
      </c>
      <c r="Y20" s="1" t="s">
        <v>697</v>
      </c>
      <c r="Z20" s="1" t="s">
        <v>880</v>
      </c>
      <c r="AB20" s="3"/>
      <c r="AC20" s="3"/>
      <c r="AD20" s="3"/>
      <c r="AE20" s="3"/>
      <c r="AF20" s="3"/>
      <c r="AG20" s="3"/>
      <c r="AH20" s="3"/>
      <c r="AI20" s="1" t="b">
        <v>0</v>
      </c>
      <c r="AJ20" s="1" t="b">
        <v>0</v>
      </c>
      <c r="AK20" s="1" t="s">
        <v>881</v>
      </c>
      <c r="AL20" s="1" t="s">
        <v>714</v>
      </c>
      <c r="AM20" s="1" t="s">
        <v>715</v>
      </c>
      <c r="AN20" s="1" t="s">
        <v>716</v>
      </c>
      <c r="AO20" s="1" t="s">
        <v>880</v>
      </c>
      <c r="AP20" s="1" t="s">
        <v>717</v>
      </c>
      <c r="AQ20" s="1" t="s">
        <v>718</v>
      </c>
      <c r="AR20" s="1">
        <v>2.0</v>
      </c>
      <c r="AS20" s="3"/>
      <c r="AT20" s="3"/>
      <c r="AU20" s="4" t="s">
        <v>719</v>
      </c>
      <c r="AW20" s="3"/>
      <c r="AX20" s="3"/>
      <c r="AY20" s="3"/>
      <c r="AZ20" s="3"/>
      <c r="BA20" s="3"/>
      <c r="BB20" s="3"/>
      <c r="BC20" s="3"/>
      <c r="BD20" s="3"/>
      <c r="BE20" s="1" t="b">
        <v>1</v>
      </c>
      <c r="BF20" s="3"/>
      <c r="BG20" s="3"/>
      <c r="BH20" s="3"/>
      <c r="BI20" s="3"/>
      <c r="BJ20" s="3"/>
      <c r="BK20" s="4" t="s">
        <v>719</v>
      </c>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row>
    <row r="21">
      <c r="A21" s="1" t="s">
        <v>101</v>
      </c>
      <c r="B21" s="1" t="s">
        <v>97</v>
      </c>
      <c r="C21" s="1" t="s">
        <v>97</v>
      </c>
      <c r="D21" s="1" t="s">
        <v>706</v>
      </c>
      <c r="E21" s="1" t="s">
        <v>882</v>
      </c>
      <c r="F21" s="1" t="s">
        <v>883</v>
      </c>
      <c r="G21" s="3"/>
      <c r="H21" s="3"/>
      <c r="I21" s="1" t="s">
        <v>691</v>
      </c>
      <c r="J21" s="1" t="s">
        <v>884</v>
      </c>
      <c r="K21" s="3">
        <f>+821053960742</f>
        <v>821053960742</v>
      </c>
      <c r="L21" s="3"/>
      <c r="M21" s="3"/>
      <c r="N21" s="3"/>
      <c r="O21" s="3"/>
      <c r="P21" s="1">
        <v>1.08936944E8</v>
      </c>
      <c r="Q21" s="1" t="b">
        <v>1</v>
      </c>
      <c r="R21" s="1">
        <v>131.0</v>
      </c>
      <c r="S21" s="1" t="s">
        <v>885</v>
      </c>
      <c r="U21" s="1" t="s">
        <v>694</v>
      </c>
      <c r="V21" s="1" t="s">
        <v>695</v>
      </c>
      <c r="W21" s="1" t="s">
        <v>886</v>
      </c>
      <c r="X21" s="1" t="b">
        <v>0</v>
      </c>
      <c r="Y21" s="1" t="s">
        <v>697</v>
      </c>
      <c r="Z21" s="1" t="s">
        <v>887</v>
      </c>
      <c r="AB21" s="1" t="s">
        <v>728</v>
      </c>
      <c r="AC21" s="1" t="s">
        <v>729</v>
      </c>
      <c r="AD21" s="1" t="s">
        <v>764</v>
      </c>
      <c r="AE21" s="1" t="s">
        <v>888</v>
      </c>
      <c r="AF21" s="1" t="s">
        <v>765</v>
      </c>
      <c r="AG21" s="1" t="s">
        <v>766</v>
      </c>
      <c r="AH21" s="1">
        <v>16.0</v>
      </c>
      <c r="AI21" s="1" t="b">
        <v>0</v>
      </c>
      <c r="AJ21" s="1" t="b">
        <v>0</v>
      </c>
      <c r="AK21" s="1" t="s">
        <v>889</v>
      </c>
      <c r="AL21" s="1" t="s">
        <v>714</v>
      </c>
      <c r="AM21" s="1" t="s">
        <v>715</v>
      </c>
      <c r="AN21" s="1" t="s">
        <v>702</v>
      </c>
      <c r="AO21" s="1" t="s">
        <v>887</v>
      </c>
      <c r="AP21" s="1" t="s">
        <v>756</v>
      </c>
      <c r="AQ21" s="1" t="s">
        <v>704</v>
      </c>
      <c r="AR21" s="1">
        <v>115.0</v>
      </c>
      <c r="AS21" s="3"/>
      <c r="AT21" s="3"/>
      <c r="AU21" s="4" t="s">
        <v>890</v>
      </c>
      <c r="BB21" s="3"/>
      <c r="BC21" s="3"/>
      <c r="BD21" s="3"/>
      <c r="BE21" s="1" t="b">
        <v>1</v>
      </c>
      <c r="BF21" s="3"/>
      <c r="BG21" s="3"/>
      <c r="BH21" s="3"/>
      <c r="BI21" s="3"/>
      <c r="BJ21" s="3"/>
      <c r="BK21" s="4" t="s">
        <v>876</v>
      </c>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row>
    <row r="22">
      <c r="A22" s="1" t="s">
        <v>193</v>
      </c>
      <c r="B22" s="1" t="s">
        <v>190</v>
      </c>
      <c r="C22" s="1" t="s">
        <v>190</v>
      </c>
      <c r="D22" s="3"/>
      <c r="E22" s="3"/>
      <c r="F22" s="3"/>
      <c r="G22" s="3"/>
      <c r="H22" s="3"/>
      <c r="I22" s="1" t="s">
        <v>777</v>
      </c>
      <c r="J22" s="1" t="s">
        <v>891</v>
      </c>
      <c r="K22" s="3">
        <f>+821041025358</f>
        <v>821041025358</v>
      </c>
      <c r="L22" s="3"/>
      <c r="M22" s="3"/>
      <c r="N22" s="3"/>
      <c r="O22" s="3"/>
      <c r="P22" s="1" t="s">
        <v>892</v>
      </c>
      <c r="Q22" s="1" t="b">
        <v>0</v>
      </c>
      <c r="R22" s="1">
        <v>2.0</v>
      </c>
      <c r="S22" s="1" t="s">
        <v>893</v>
      </c>
      <c r="T22" s="3"/>
      <c r="U22" s="1" t="s">
        <v>694</v>
      </c>
      <c r="V22" s="1" t="s">
        <v>695</v>
      </c>
      <c r="W22" s="1" t="s">
        <v>894</v>
      </c>
      <c r="X22" s="1" t="b">
        <v>0</v>
      </c>
      <c r="Y22" s="1" t="s">
        <v>697</v>
      </c>
      <c r="Z22" s="1" t="s">
        <v>895</v>
      </c>
      <c r="AB22" s="3"/>
      <c r="AC22" s="3"/>
      <c r="AD22" s="3"/>
      <c r="AE22" s="3"/>
      <c r="AF22" s="3"/>
      <c r="AG22" s="3"/>
      <c r="AH22" s="3"/>
      <c r="AI22" s="1" t="b">
        <v>0</v>
      </c>
      <c r="AJ22" s="1" t="b">
        <v>0</v>
      </c>
      <c r="AK22" s="1" t="s">
        <v>896</v>
      </c>
      <c r="AL22" s="1" t="s">
        <v>714</v>
      </c>
      <c r="AM22" s="1" t="s">
        <v>715</v>
      </c>
      <c r="AN22" s="1" t="s">
        <v>716</v>
      </c>
      <c r="AO22" s="1" t="s">
        <v>895</v>
      </c>
      <c r="AP22" s="1" t="s">
        <v>717</v>
      </c>
      <c r="AQ22" s="1" t="s">
        <v>718</v>
      </c>
      <c r="AR22" s="1">
        <v>2.0</v>
      </c>
      <c r="AS22" s="3"/>
      <c r="AT22" s="3"/>
      <c r="AU22" s="3"/>
      <c r="AV22" s="3"/>
      <c r="AW22" s="3"/>
      <c r="AX22" s="3"/>
      <c r="AY22" s="3"/>
      <c r="AZ22" s="3"/>
      <c r="BA22" s="3"/>
      <c r="BB22" s="3"/>
      <c r="BC22" s="3"/>
      <c r="BD22" s="3"/>
      <c r="BE22" s="1" t="b">
        <v>1</v>
      </c>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row>
    <row r="23">
      <c r="A23" s="1" t="s">
        <v>272</v>
      </c>
      <c r="B23" s="1" t="s">
        <v>269</v>
      </c>
      <c r="C23" s="1" t="s">
        <v>269</v>
      </c>
      <c r="D23" s="1" t="s">
        <v>721</v>
      </c>
      <c r="E23" s="1" t="s">
        <v>897</v>
      </c>
      <c r="F23" s="1" t="s">
        <v>898</v>
      </c>
      <c r="G23" s="3"/>
      <c r="H23" s="3"/>
      <c r="I23" s="1" t="s">
        <v>777</v>
      </c>
      <c r="J23" s="1" t="s">
        <v>899</v>
      </c>
      <c r="K23" s="3">
        <f>+821030732476</f>
        <v>821030732476</v>
      </c>
      <c r="L23" s="3"/>
      <c r="M23" s="3"/>
      <c r="N23" s="3"/>
      <c r="O23" s="3"/>
      <c r="P23" s="1">
        <v>1.10991889E8</v>
      </c>
      <c r="Q23" s="1" t="b">
        <v>1</v>
      </c>
      <c r="R23" s="1">
        <v>3.0</v>
      </c>
      <c r="S23" s="1" t="s">
        <v>761</v>
      </c>
      <c r="T23" s="3"/>
      <c r="U23" s="1" t="s">
        <v>694</v>
      </c>
      <c r="V23" s="1" t="s">
        <v>695</v>
      </c>
      <c r="W23" s="1" t="s">
        <v>900</v>
      </c>
      <c r="X23" s="1" t="b">
        <v>0</v>
      </c>
      <c r="Y23" s="1" t="s">
        <v>697</v>
      </c>
      <c r="Z23" s="1" t="s">
        <v>901</v>
      </c>
      <c r="AB23" s="3"/>
      <c r="AC23" s="3"/>
      <c r="AD23" s="3"/>
      <c r="AE23" s="3"/>
      <c r="AF23" s="3"/>
      <c r="AG23" s="3"/>
      <c r="AH23" s="3"/>
      <c r="AI23" s="1" t="b">
        <v>0</v>
      </c>
      <c r="AJ23" s="1" t="b">
        <v>0</v>
      </c>
      <c r="AK23" s="1" t="s">
        <v>902</v>
      </c>
      <c r="AL23" s="1" t="s">
        <v>817</v>
      </c>
      <c r="AM23" s="1" t="s">
        <v>715</v>
      </c>
      <c r="AN23" s="1" t="s">
        <v>716</v>
      </c>
      <c r="AO23" s="1" t="s">
        <v>901</v>
      </c>
      <c r="AP23" s="1" t="s">
        <v>717</v>
      </c>
      <c r="AQ23" s="1" t="s">
        <v>718</v>
      </c>
      <c r="AR23" s="1">
        <v>3.0</v>
      </c>
      <c r="AS23" s="3"/>
      <c r="AT23" s="3"/>
      <c r="AU23" s="3"/>
      <c r="AV23" s="3"/>
      <c r="AW23" s="3"/>
      <c r="AX23" s="3"/>
      <c r="AY23" s="3"/>
      <c r="AZ23" s="3"/>
      <c r="BA23" s="3"/>
      <c r="BB23" s="3"/>
      <c r="BC23" s="3"/>
      <c r="BD23" s="3"/>
      <c r="BE23" s="1" t="b">
        <v>1</v>
      </c>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row>
    <row r="24">
      <c r="A24" s="1" t="s">
        <v>180</v>
      </c>
      <c r="B24" s="1" t="s">
        <v>177</v>
      </c>
      <c r="C24" s="1" t="s">
        <v>177</v>
      </c>
      <c r="D24" s="1" t="s">
        <v>903</v>
      </c>
      <c r="E24" s="1" t="s">
        <v>904</v>
      </c>
      <c r="F24" s="1" t="s">
        <v>905</v>
      </c>
      <c r="G24" s="3"/>
      <c r="H24" s="3"/>
      <c r="I24" s="1" t="s">
        <v>906</v>
      </c>
      <c r="J24" s="1" t="s">
        <v>907</v>
      </c>
      <c r="K24" s="3">
        <f>+821068525584</f>
        <v>821068525584</v>
      </c>
      <c r="L24" s="3"/>
      <c r="M24" s="3"/>
      <c r="N24" s="3"/>
      <c r="O24" s="3"/>
      <c r="P24" s="1">
        <v>1.22953658E8</v>
      </c>
      <c r="Q24" s="1" t="b">
        <v>1</v>
      </c>
      <c r="R24" s="1">
        <v>27.0</v>
      </c>
      <c r="S24" s="1" t="s">
        <v>761</v>
      </c>
      <c r="T24" s="3"/>
      <c r="U24" s="1" t="s">
        <v>694</v>
      </c>
      <c r="V24" s="1" t="s">
        <v>695</v>
      </c>
      <c r="W24" s="1" t="s">
        <v>908</v>
      </c>
      <c r="X24" s="1" t="b">
        <v>0</v>
      </c>
      <c r="Y24" s="1" t="s">
        <v>697</v>
      </c>
      <c r="Z24" s="1" t="s">
        <v>909</v>
      </c>
      <c r="AB24" s="3"/>
      <c r="AC24" s="3"/>
      <c r="AD24" s="3"/>
      <c r="AE24" s="3"/>
      <c r="AF24" s="3"/>
      <c r="AG24" s="3"/>
      <c r="AH24" s="3"/>
      <c r="AI24" s="1" t="b">
        <v>0</v>
      </c>
      <c r="AJ24" s="1" t="b">
        <v>0</v>
      </c>
      <c r="AK24" s="1" t="s">
        <v>910</v>
      </c>
      <c r="AL24" s="1" t="s">
        <v>714</v>
      </c>
      <c r="AM24" s="1" t="s">
        <v>715</v>
      </c>
      <c r="AN24" s="1" t="s">
        <v>702</v>
      </c>
      <c r="AO24" s="1" t="s">
        <v>909</v>
      </c>
      <c r="AP24" s="1" t="s">
        <v>756</v>
      </c>
      <c r="AQ24" s="1" t="s">
        <v>704</v>
      </c>
      <c r="AR24" s="1">
        <v>27.0</v>
      </c>
      <c r="AS24" s="3"/>
      <c r="AT24" s="3"/>
      <c r="AU24" s="4" t="s">
        <v>719</v>
      </c>
      <c r="AV24" s="1" t="s">
        <v>769</v>
      </c>
      <c r="AW24" s="1" t="s">
        <v>770</v>
      </c>
      <c r="AX24" s="1" t="s">
        <v>771</v>
      </c>
      <c r="AY24" s="1" t="s">
        <v>772</v>
      </c>
      <c r="AZ24" s="1" t="s">
        <v>773</v>
      </c>
      <c r="BA24" s="3"/>
      <c r="BB24" s="3"/>
      <c r="BC24" s="3"/>
      <c r="BD24" s="3"/>
      <c r="BE24" s="1" t="b">
        <v>1</v>
      </c>
      <c r="BF24" s="1" t="s">
        <v>772</v>
      </c>
      <c r="BG24" s="1" t="s">
        <v>771</v>
      </c>
      <c r="BH24" s="1" t="s">
        <v>769</v>
      </c>
      <c r="BI24" s="1" t="s">
        <v>770</v>
      </c>
      <c r="BJ24" s="1" t="s">
        <v>773</v>
      </c>
      <c r="BK24" s="4" t="s">
        <v>719</v>
      </c>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row>
    <row r="25">
      <c r="A25" s="1" t="s">
        <v>310</v>
      </c>
      <c r="B25" s="1" t="s">
        <v>309</v>
      </c>
      <c r="C25" s="1" t="s">
        <v>309</v>
      </c>
      <c r="D25" s="1" t="s">
        <v>911</v>
      </c>
      <c r="E25" s="1" t="s">
        <v>912</v>
      </c>
      <c r="F25" s="1" t="s">
        <v>913</v>
      </c>
      <c r="G25" s="3"/>
      <c r="H25" s="3"/>
      <c r="I25" s="3"/>
      <c r="J25" s="1" t="s">
        <v>914</v>
      </c>
      <c r="K25" s="3">
        <f>+821050979471</f>
        <v>821050979471</v>
      </c>
      <c r="L25" s="3"/>
      <c r="M25" s="3"/>
      <c r="N25" s="3"/>
      <c r="O25" s="3"/>
      <c r="P25" s="1">
        <v>1.09911733E8</v>
      </c>
      <c r="Q25" s="1" t="b">
        <v>1</v>
      </c>
      <c r="R25" s="1">
        <v>118.0</v>
      </c>
      <c r="S25" s="1" t="s">
        <v>915</v>
      </c>
      <c r="T25" s="3"/>
      <c r="U25" s="1" t="s">
        <v>694</v>
      </c>
      <c r="V25" s="1" t="s">
        <v>695</v>
      </c>
      <c r="W25" s="1" t="s">
        <v>916</v>
      </c>
      <c r="X25" s="1" t="b">
        <v>0</v>
      </c>
      <c r="Y25" s="1" t="s">
        <v>697</v>
      </c>
      <c r="Z25" s="1" t="s">
        <v>917</v>
      </c>
      <c r="AB25" s="3"/>
      <c r="AC25" s="3"/>
      <c r="AD25" s="3"/>
      <c r="AE25" s="3"/>
      <c r="AF25" s="3"/>
      <c r="AG25" s="3"/>
      <c r="AH25" s="3"/>
      <c r="AI25" s="1" t="b">
        <v>0</v>
      </c>
      <c r="AJ25" s="1" t="b">
        <v>0</v>
      </c>
      <c r="AK25" s="1" t="s">
        <v>918</v>
      </c>
      <c r="AL25" s="1" t="s">
        <v>919</v>
      </c>
      <c r="AM25" s="1" t="s">
        <v>715</v>
      </c>
      <c r="AN25" s="1" t="s">
        <v>702</v>
      </c>
      <c r="AO25" s="1" t="s">
        <v>917</v>
      </c>
      <c r="AP25" s="1" t="s">
        <v>756</v>
      </c>
      <c r="AQ25" s="1" t="s">
        <v>704</v>
      </c>
      <c r="AR25" s="1">
        <v>118.0</v>
      </c>
      <c r="AS25" s="3"/>
      <c r="AT25" s="3"/>
      <c r="AU25" s="4" t="s">
        <v>719</v>
      </c>
      <c r="AW25" s="3"/>
      <c r="AX25" s="3"/>
      <c r="AY25" s="3"/>
      <c r="AZ25" s="3"/>
      <c r="BA25" s="3"/>
      <c r="BB25" s="3"/>
      <c r="BC25" s="3"/>
      <c r="BD25" s="3"/>
      <c r="BE25" s="1" t="b">
        <v>1</v>
      </c>
      <c r="BF25" s="3"/>
      <c r="BG25" s="3"/>
      <c r="BH25" s="3"/>
      <c r="BI25" s="3"/>
      <c r="BJ25" s="3"/>
      <c r="BK25" s="4" t="s">
        <v>719</v>
      </c>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row>
    <row r="26">
      <c r="A26" s="1" t="s">
        <v>228</v>
      </c>
      <c r="B26" s="1" t="s">
        <v>226</v>
      </c>
      <c r="C26" s="1" t="s">
        <v>226</v>
      </c>
      <c r="D26" s="1" t="s">
        <v>920</v>
      </c>
      <c r="E26" s="1" t="s">
        <v>921</v>
      </c>
      <c r="F26" s="1" t="s">
        <v>922</v>
      </c>
      <c r="G26" s="3"/>
      <c r="H26" s="3"/>
      <c r="I26" s="1" t="s">
        <v>923</v>
      </c>
      <c r="J26" s="1" t="s">
        <v>924</v>
      </c>
      <c r="L26" s="3"/>
      <c r="M26" s="3"/>
      <c r="N26" s="3"/>
      <c r="O26" s="3"/>
      <c r="P26" s="1">
        <v>1.22988351E8</v>
      </c>
      <c r="Q26" s="1" t="b">
        <v>1</v>
      </c>
      <c r="R26" s="1">
        <v>11.0</v>
      </c>
      <c r="S26" s="1" t="s">
        <v>925</v>
      </c>
      <c r="T26" s="3"/>
      <c r="U26" s="1" t="s">
        <v>694</v>
      </c>
      <c r="V26" s="1" t="s">
        <v>695</v>
      </c>
      <c r="W26" s="1" t="s">
        <v>926</v>
      </c>
      <c r="X26" s="1" t="b">
        <v>0</v>
      </c>
      <c r="Y26" s="1" t="s">
        <v>697</v>
      </c>
      <c r="Z26" s="1" t="s">
        <v>927</v>
      </c>
      <c r="AB26" s="1" t="s">
        <v>728</v>
      </c>
      <c r="AC26" s="1" t="s">
        <v>729</v>
      </c>
      <c r="AD26" s="1" t="s">
        <v>730</v>
      </c>
      <c r="AE26" s="1" t="s">
        <v>927</v>
      </c>
      <c r="AF26" s="1" t="s">
        <v>928</v>
      </c>
      <c r="AG26" s="1" t="s">
        <v>733</v>
      </c>
      <c r="AH26" s="1">
        <v>3.0</v>
      </c>
      <c r="AI26" s="1" t="b">
        <v>0</v>
      </c>
      <c r="AJ26" s="1" t="b">
        <v>0</v>
      </c>
      <c r="AK26" s="1" t="s">
        <v>927</v>
      </c>
      <c r="AL26" s="1" t="s">
        <v>714</v>
      </c>
      <c r="AM26" s="1" t="s">
        <v>715</v>
      </c>
      <c r="AN26" s="1" t="s">
        <v>702</v>
      </c>
      <c r="AO26" s="1" t="s">
        <v>929</v>
      </c>
      <c r="AP26" s="1" t="s">
        <v>756</v>
      </c>
      <c r="AQ26" s="1" t="s">
        <v>704</v>
      </c>
      <c r="AR26" s="1">
        <v>8.0</v>
      </c>
      <c r="AS26" s="3"/>
      <c r="AT26" s="3"/>
      <c r="AU26" s="3"/>
      <c r="AV26" s="3"/>
      <c r="AW26" s="3"/>
      <c r="AX26" s="3"/>
      <c r="AY26" s="3"/>
      <c r="AZ26" s="3"/>
      <c r="BA26" s="3"/>
      <c r="BB26" s="3"/>
      <c r="BC26" s="3"/>
      <c r="BD26" s="3"/>
      <c r="BE26" s="1" t="b">
        <v>1</v>
      </c>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row>
    <row r="27">
      <c r="A27" s="1" t="s">
        <v>331</v>
      </c>
      <c r="B27" s="1" t="s">
        <v>330</v>
      </c>
      <c r="C27" s="1" t="s">
        <v>330</v>
      </c>
      <c r="D27" s="1" t="s">
        <v>930</v>
      </c>
      <c r="E27" s="1" t="s">
        <v>931</v>
      </c>
      <c r="F27" s="1" t="s">
        <v>932</v>
      </c>
      <c r="G27" s="3"/>
      <c r="H27" s="3"/>
      <c r="I27" s="3"/>
      <c r="J27" s="1" t="s">
        <v>933</v>
      </c>
      <c r="K27" s="3">
        <f>+821046211254</f>
        <v>821046211254</v>
      </c>
      <c r="L27" s="3"/>
      <c r="M27" s="3"/>
      <c r="N27" s="3"/>
      <c r="O27" s="3"/>
      <c r="P27" s="1">
        <v>1.22991449E8</v>
      </c>
      <c r="Q27" s="1" t="b">
        <v>1</v>
      </c>
      <c r="R27" s="1">
        <v>12.0</v>
      </c>
      <c r="S27" s="1" t="s">
        <v>725</v>
      </c>
      <c r="T27" s="3"/>
      <c r="U27" s="1" t="s">
        <v>694</v>
      </c>
      <c r="V27" s="1" t="s">
        <v>695</v>
      </c>
      <c r="W27" s="1" t="s">
        <v>934</v>
      </c>
      <c r="X27" s="1" t="b">
        <v>0</v>
      </c>
      <c r="Y27" s="1" t="s">
        <v>697</v>
      </c>
      <c r="Z27" s="1" t="s">
        <v>935</v>
      </c>
      <c r="AB27" s="3"/>
      <c r="AC27" s="3"/>
      <c r="AD27" s="3"/>
      <c r="AE27" s="3"/>
      <c r="AF27" s="3"/>
      <c r="AG27" s="3"/>
      <c r="AH27" s="3"/>
      <c r="AI27" s="1" t="b">
        <v>0</v>
      </c>
      <c r="AJ27" s="1" t="b">
        <v>0</v>
      </c>
      <c r="AK27" s="1" t="s">
        <v>936</v>
      </c>
      <c r="AL27" s="1" t="s">
        <v>714</v>
      </c>
      <c r="AM27" s="1" t="s">
        <v>715</v>
      </c>
      <c r="AN27" s="1" t="s">
        <v>716</v>
      </c>
      <c r="AO27" s="1" t="s">
        <v>935</v>
      </c>
      <c r="AP27" s="1" t="s">
        <v>717</v>
      </c>
      <c r="AQ27" s="1" t="s">
        <v>718</v>
      </c>
      <c r="AR27" s="1">
        <v>12.0</v>
      </c>
      <c r="AS27" s="3"/>
      <c r="AT27" s="3"/>
      <c r="AU27" s="4" t="s">
        <v>719</v>
      </c>
      <c r="AV27" s="1" t="s">
        <v>937</v>
      </c>
      <c r="AW27" s="1" t="s">
        <v>938</v>
      </c>
      <c r="AX27" s="1" t="s">
        <v>939</v>
      </c>
      <c r="AY27" s="1" t="s">
        <v>940</v>
      </c>
      <c r="AZ27" s="3"/>
      <c r="BA27" s="3"/>
      <c r="BB27" s="3"/>
      <c r="BC27" s="3"/>
      <c r="BD27" s="3"/>
      <c r="BE27" s="1" t="b">
        <v>1</v>
      </c>
      <c r="BF27" s="1" t="s">
        <v>940</v>
      </c>
      <c r="BG27" s="1" t="s">
        <v>939</v>
      </c>
      <c r="BH27" s="1" t="s">
        <v>937</v>
      </c>
      <c r="BI27" s="1" t="s">
        <v>938</v>
      </c>
      <c r="BK27" s="4" t="s">
        <v>719</v>
      </c>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row>
    <row r="28">
      <c r="A28" s="1" t="s">
        <v>217</v>
      </c>
      <c r="B28" s="1" t="s">
        <v>215</v>
      </c>
      <c r="C28" s="1" t="s">
        <v>215</v>
      </c>
      <c r="D28" s="3"/>
      <c r="E28" s="3"/>
      <c r="F28" s="3"/>
      <c r="G28" s="3"/>
      <c r="H28" s="3"/>
      <c r="I28" s="1" t="s">
        <v>777</v>
      </c>
      <c r="J28" s="3"/>
      <c r="K28" s="3">
        <f>+821037917467</f>
        <v>821037917467</v>
      </c>
      <c r="L28" s="3"/>
      <c r="M28" s="3"/>
      <c r="N28" s="3"/>
      <c r="O28" s="3"/>
      <c r="P28" s="1" t="s">
        <v>941</v>
      </c>
      <c r="Q28" s="1" t="b">
        <v>0</v>
      </c>
      <c r="R28" s="1">
        <v>8.0</v>
      </c>
      <c r="S28" s="1" t="s">
        <v>761</v>
      </c>
      <c r="T28" s="3"/>
      <c r="U28" s="1" t="s">
        <v>694</v>
      </c>
      <c r="V28" s="1" t="s">
        <v>695</v>
      </c>
      <c r="W28" s="1" t="s">
        <v>942</v>
      </c>
      <c r="X28" s="1" t="b">
        <v>0</v>
      </c>
      <c r="Y28" s="1" t="s">
        <v>697</v>
      </c>
      <c r="Z28" s="1" t="s">
        <v>943</v>
      </c>
      <c r="AB28" s="3"/>
      <c r="AC28" s="3"/>
      <c r="AD28" s="3"/>
      <c r="AE28" s="3"/>
      <c r="AF28" s="3"/>
      <c r="AG28" s="3"/>
      <c r="AH28" s="3"/>
      <c r="AI28" s="1" t="b">
        <v>0</v>
      </c>
      <c r="AJ28" s="1" t="b">
        <v>0</v>
      </c>
      <c r="AK28" s="1" t="s">
        <v>944</v>
      </c>
      <c r="AL28" s="1" t="s">
        <v>714</v>
      </c>
      <c r="AM28" s="1" t="s">
        <v>715</v>
      </c>
      <c r="AN28" s="1" t="s">
        <v>716</v>
      </c>
      <c r="AO28" s="1" t="s">
        <v>943</v>
      </c>
      <c r="AP28" s="1" t="s">
        <v>717</v>
      </c>
      <c r="AQ28" s="1" t="s">
        <v>718</v>
      </c>
      <c r="AR28" s="1">
        <v>8.0</v>
      </c>
      <c r="AS28" s="3"/>
      <c r="AT28" s="3"/>
      <c r="AU28" s="4" t="s">
        <v>852</v>
      </c>
      <c r="AV28" s="1" t="s">
        <v>945</v>
      </c>
      <c r="AW28" s="3"/>
      <c r="AX28" s="3"/>
      <c r="AY28" s="3"/>
      <c r="AZ28" s="3"/>
      <c r="BA28" s="3"/>
      <c r="BB28" s="3"/>
      <c r="BC28" s="3"/>
      <c r="BD28" s="3"/>
      <c r="BE28" s="1" t="b">
        <v>1</v>
      </c>
      <c r="BF28" s="3"/>
      <c r="BG28" s="3"/>
      <c r="BH28" s="1" t="s">
        <v>945</v>
      </c>
      <c r="BI28" s="3"/>
      <c r="BJ28" s="3"/>
      <c r="BK28" s="4" t="s">
        <v>719</v>
      </c>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row>
    <row r="29">
      <c r="A29" s="1" t="s">
        <v>235</v>
      </c>
      <c r="B29" s="1" t="s">
        <v>232</v>
      </c>
      <c r="C29" s="1" t="s">
        <v>232</v>
      </c>
      <c r="D29" s="1" t="s">
        <v>774</v>
      </c>
      <c r="E29" s="1" t="s">
        <v>946</v>
      </c>
      <c r="F29" s="1" t="s">
        <v>947</v>
      </c>
      <c r="G29" s="3"/>
      <c r="H29" s="3"/>
      <c r="I29" s="1" t="s">
        <v>795</v>
      </c>
      <c r="J29" s="1" t="s">
        <v>948</v>
      </c>
      <c r="K29" s="3">
        <f>+821031586686</f>
        <v>821031586686</v>
      </c>
      <c r="L29" s="3"/>
      <c r="M29" s="3"/>
      <c r="N29" s="3"/>
      <c r="O29" s="3"/>
      <c r="P29" s="1">
        <v>1.22991316E8</v>
      </c>
      <c r="Q29" s="1" t="b">
        <v>1</v>
      </c>
      <c r="R29" s="1">
        <v>3.0</v>
      </c>
      <c r="S29" s="1" t="s">
        <v>848</v>
      </c>
      <c r="T29" s="3"/>
      <c r="U29" s="1" t="s">
        <v>694</v>
      </c>
      <c r="V29" s="1" t="s">
        <v>695</v>
      </c>
      <c r="W29" s="1" t="s">
        <v>949</v>
      </c>
      <c r="X29" s="1" t="b">
        <v>0</v>
      </c>
      <c r="Y29" s="1" t="s">
        <v>697</v>
      </c>
      <c r="Z29" s="1" t="s">
        <v>950</v>
      </c>
      <c r="AB29" s="3"/>
      <c r="AC29" s="3"/>
      <c r="AD29" s="3"/>
      <c r="AE29" s="3"/>
      <c r="AF29" s="3"/>
      <c r="AG29" s="3"/>
      <c r="AH29" s="3"/>
      <c r="AI29" s="1" t="b">
        <v>0</v>
      </c>
      <c r="AJ29" s="1" t="b">
        <v>0</v>
      </c>
      <c r="AK29" s="1" t="s">
        <v>951</v>
      </c>
      <c r="AL29" s="1" t="s">
        <v>714</v>
      </c>
      <c r="AM29" s="1" t="s">
        <v>715</v>
      </c>
      <c r="AN29" s="1" t="s">
        <v>702</v>
      </c>
      <c r="AO29" s="1" t="s">
        <v>950</v>
      </c>
      <c r="AP29" s="1" t="s">
        <v>756</v>
      </c>
      <c r="AQ29" s="1" t="s">
        <v>704</v>
      </c>
      <c r="AR29" s="1">
        <v>3.0</v>
      </c>
      <c r="AS29" s="3"/>
      <c r="AT29" s="3"/>
      <c r="AU29" s="4" t="s">
        <v>818</v>
      </c>
      <c r="AV29" s="1" t="s">
        <v>952</v>
      </c>
      <c r="AW29" s="1" t="s">
        <v>953</v>
      </c>
      <c r="AX29" s="1" t="s">
        <v>939</v>
      </c>
      <c r="AY29" s="1" t="s">
        <v>940</v>
      </c>
      <c r="AZ29" s="1" t="s">
        <v>954</v>
      </c>
      <c r="BB29" s="3"/>
      <c r="BC29" s="3"/>
      <c r="BD29" s="3"/>
      <c r="BE29" s="1" t="b">
        <v>1</v>
      </c>
      <c r="BF29" s="1" t="s">
        <v>940</v>
      </c>
      <c r="BG29" s="1" t="s">
        <v>939</v>
      </c>
      <c r="BH29" s="1" t="s">
        <v>952</v>
      </c>
      <c r="BI29" s="1" t="s">
        <v>953</v>
      </c>
      <c r="BJ29" s="1" t="s">
        <v>954</v>
      </c>
      <c r="BK29" s="4" t="s">
        <v>818</v>
      </c>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row>
    <row r="30">
      <c r="A30" s="1" t="s">
        <v>144</v>
      </c>
      <c r="B30" s="1" t="s">
        <v>142</v>
      </c>
      <c r="C30" s="1" t="s">
        <v>142</v>
      </c>
      <c r="D30" s="1" t="s">
        <v>810</v>
      </c>
      <c r="E30" s="1" t="s">
        <v>955</v>
      </c>
      <c r="F30" s="1" t="s">
        <v>956</v>
      </c>
      <c r="G30" s="3"/>
      <c r="H30" s="1" t="s">
        <v>870</v>
      </c>
      <c r="I30" s="1" t="s">
        <v>957</v>
      </c>
      <c r="J30" s="1" t="s">
        <v>958</v>
      </c>
      <c r="K30" s="3">
        <f>+821075513096</f>
        <v>821075513096</v>
      </c>
      <c r="L30" s="3"/>
      <c r="M30" s="3"/>
      <c r="N30" s="3"/>
      <c r="O30" s="3"/>
      <c r="P30" s="1">
        <v>1.16712371E8</v>
      </c>
      <c r="Q30" s="1" t="b">
        <v>1</v>
      </c>
      <c r="R30" s="1">
        <v>1795.0</v>
      </c>
      <c r="S30" s="1" t="s">
        <v>761</v>
      </c>
      <c r="T30" s="3"/>
      <c r="U30" s="1" t="s">
        <v>694</v>
      </c>
      <c r="V30" s="1" t="s">
        <v>695</v>
      </c>
      <c r="W30" s="1" t="s">
        <v>959</v>
      </c>
      <c r="X30" s="1" t="b">
        <v>0</v>
      </c>
      <c r="Y30" s="1" t="s">
        <v>697</v>
      </c>
      <c r="Z30" s="1" t="s">
        <v>960</v>
      </c>
      <c r="AB30" s="1" t="s">
        <v>728</v>
      </c>
      <c r="AC30" s="1" t="s">
        <v>729</v>
      </c>
      <c r="AD30" s="1" t="s">
        <v>730</v>
      </c>
      <c r="AE30" s="1" t="s">
        <v>961</v>
      </c>
      <c r="AF30" s="1" t="s">
        <v>791</v>
      </c>
      <c r="AG30" s="1" t="s">
        <v>733</v>
      </c>
      <c r="AH30" s="1">
        <v>28.0</v>
      </c>
      <c r="AI30" s="1" t="b">
        <v>0</v>
      </c>
      <c r="AJ30" s="1" t="b">
        <v>0</v>
      </c>
      <c r="AK30" s="1" t="s">
        <v>962</v>
      </c>
      <c r="AL30" s="1" t="s">
        <v>714</v>
      </c>
      <c r="AM30" s="1" t="s">
        <v>715</v>
      </c>
      <c r="AN30" s="1" t="s">
        <v>702</v>
      </c>
      <c r="AO30" s="1" t="s">
        <v>960</v>
      </c>
      <c r="AP30" s="1" t="s">
        <v>756</v>
      </c>
      <c r="AQ30" s="1" t="s">
        <v>704</v>
      </c>
      <c r="AR30" s="1">
        <v>1767.0</v>
      </c>
      <c r="AS30" s="3"/>
      <c r="AT30" s="3"/>
      <c r="AU30" s="4" t="s">
        <v>719</v>
      </c>
      <c r="AW30" s="3"/>
      <c r="AX30" s="3"/>
      <c r="AY30" s="3"/>
      <c r="AZ30" s="3"/>
      <c r="BA30" s="3"/>
      <c r="BB30" s="3"/>
      <c r="BC30" s="3"/>
      <c r="BD30" s="3"/>
      <c r="BE30" s="1" t="b">
        <v>1</v>
      </c>
      <c r="BF30" s="3"/>
      <c r="BG30" s="3"/>
      <c r="BH30" s="3"/>
      <c r="BI30" s="3"/>
      <c r="BJ30" s="3"/>
      <c r="BK30" s="4" t="s">
        <v>963</v>
      </c>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row>
    <row r="31">
      <c r="A31" s="1" t="s">
        <v>281</v>
      </c>
      <c r="B31" s="1" t="s">
        <v>280</v>
      </c>
      <c r="C31" s="3"/>
      <c r="D31" s="3"/>
      <c r="E31" s="3"/>
      <c r="F31" s="3"/>
      <c r="G31" s="3"/>
      <c r="H31" s="3"/>
      <c r="I31" s="3"/>
      <c r="J31" s="3"/>
      <c r="K31" s="3"/>
      <c r="L31" s="3"/>
      <c r="M31" s="3"/>
      <c r="N31" s="3"/>
      <c r="O31" s="3"/>
      <c r="P31" s="1" t="s">
        <v>964</v>
      </c>
      <c r="Q31" s="1" t="b">
        <v>0</v>
      </c>
      <c r="R31" s="1">
        <v>2.0</v>
      </c>
      <c r="S31" s="1" t="s">
        <v>840</v>
      </c>
      <c r="T31" s="3"/>
      <c r="U31" s="1" t="s">
        <v>694</v>
      </c>
      <c r="V31" s="1" t="s">
        <v>695</v>
      </c>
      <c r="W31" s="1" t="s">
        <v>965</v>
      </c>
      <c r="X31" s="1" t="b">
        <v>0</v>
      </c>
      <c r="Y31" s="1" t="s">
        <v>697</v>
      </c>
      <c r="Z31" s="1" t="s">
        <v>966</v>
      </c>
      <c r="AB31" s="3"/>
      <c r="AC31" s="3"/>
      <c r="AD31" s="3"/>
      <c r="AE31" s="3"/>
      <c r="AF31" s="3"/>
      <c r="AG31" s="3"/>
      <c r="AH31" s="3"/>
      <c r="AI31" s="1" t="b">
        <v>0</v>
      </c>
      <c r="AJ31" s="1" t="b">
        <v>0</v>
      </c>
      <c r="AK31" s="1" t="s">
        <v>967</v>
      </c>
      <c r="AL31" s="1" t="s">
        <v>968</v>
      </c>
      <c r="AM31" s="1" t="s">
        <v>969</v>
      </c>
      <c r="AN31" s="1" t="s">
        <v>970</v>
      </c>
      <c r="AO31" s="1" t="s">
        <v>966</v>
      </c>
      <c r="AP31" s="1" t="s">
        <v>971</v>
      </c>
      <c r="AQ31" s="1" t="s">
        <v>766</v>
      </c>
      <c r="AR31" s="1">
        <v>2.0</v>
      </c>
      <c r="AS31" s="3"/>
      <c r="AT31" s="3"/>
      <c r="AU31" s="4" t="s">
        <v>972</v>
      </c>
      <c r="AV31" s="1" t="s">
        <v>973</v>
      </c>
      <c r="AW31" s="1" t="s">
        <v>974</v>
      </c>
      <c r="AX31" s="1" t="s">
        <v>771</v>
      </c>
      <c r="AY31" s="1" t="s">
        <v>833</v>
      </c>
      <c r="AZ31" s="1" t="s">
        <v>975</v>
      </c>
      <c r="BA31" s="3"/>
      <c r="BB31" s="3"/>
      <c r="BC31" s="3"/>
      <c r="BD31" s="3"/>
      <c r="BE31" s="1" t="b">
        <v>1</v>
      </c>
      <c r="BF31" s="1" t="s">
        <v>833</v>
      </c>
      <c r="BG31" s="1" t="s">
        <v>771</v>
      </c>
      <c r="BH31" s="1" t="s">
        <v>973</v>
      </c>
      <c r="BI31" s="1" t="s">
        <v>974</v>
      </c>
      <c r="BJ31" s="1" t="s">
        <v>975</v>
      </c>
      <c r="BK31" s="4" t="s">
        <v>972</v>
      </c>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row>
    <row r="32">
      <c r="A32" s="1" t="s">
        <v>150</v>
      </c>
      <c r="B32" s="1" t="s">
        <v>147</v>
      </c>
      <c r="C32" s="1" t="s">
        <v>147</v>
      </c>
      <c r="D32" s="1" t="s">
        <v>976</v>
      </c>
      <c r="E32" s="1" t="s">
        <v>977</v>
      </c>
      <c r="F32" s="1" t="s">
        <v>978</v>
      </c>
      <c r="G32" s="3"/>
      <c r="H32" s="3"/>
      <c r="I32" s="1" t="s">
        <v>691</v>
      </c>
      <c r="J32" s="1" t="s">
        <v>979</v>
      </c>
      <c r="L32" s="3"/>
      <c r="M32" s="3"/>
      <c r="N32" s="3"/>
      <c r="O32" s="3"/>
      <c r="P32" s="1">
        <v>1.22918806E8</v>
      </c>
      <c r="Q32" s="1" t="b">
        <v>1</v>
      </c>
      <c r="R32" s="1">
        <v>60.0</v>
      </c>
      <c r="S32" s="1" t="s">
        <v>980</v>
      </c>
      <c r="T32" s="3"/>
      <c r="U32" s="1" t="s">
        <v>694</v>
      </c>
      <c r="V32" s="1" t="s">
        <v>695</v>
      </c>
      <c r="W32" s="1" t="s">
        <v>981</v>
      </c>
      <c r="X32" s="1" t="b">
        <v>0</v>
      </c>
      <c r="Y32" s="1" t="s">
        <v>697</v>
      </c>
      <c r="Z32" s="1" t="s">
        <v>982</v>
      </c>
      <c r="AB32" s="1" t="s">
        <v>728</v>
      </c>
      <c r="AC32" s="1" t="s">
        <v>729</v>
      </c>
      <c r="AD32" s="1" t="s">
        <v>983</v>
      </c>
      <c r="AE32" s="1" t="s">
        <v>984</v>
      </c>
      <c r="AF32" s="1" t="s">
        <v>765</v>
      </c>
      <c r="AG32" s="1" t="s">
        <v>766</v>
      </c>
      <c r="AH32" s="1">
        <v>24.0</v>
      </c>
      <c r="AI32" s="1" t="b">
        <v>0</v>
      </c>
      <c r="AJ32" s="1" t="b">
        <v>0</v>
      </c>
      <c r="AK32" s="1" t="s">
        <v>985</v>
      </c>
      <c r="AL32" s="1" t="s">
        <v>714</v>
      </c>
      <c r="AM32" s="1" t="s">
        <v>715</v>
      </c>
      <c r="AN32" s="1" t="s">
        <v>702</v>
      </c>
      <c r="AO32" s="1" t="s">
        <v>982</v>
      </c>
      <c r="AP32" s="1" t="s">
        <v>756</v>
      </c>
      <c r="AQ32" s="1" t="s">
        <v>704</v>
      </c>
      <c r="AR32" s="1">
        <v>36.0</v>
      </c>
      <c r="AS32" s="3"/>
      <c r="AT32" s="3"/>
      <c r="AU32" s="4" t="s">
        <v>719</v>
      </c>
      <c r="AW32" s="3"/>
      <c r="AX32" s="3"/>
      <c r="AY32" s="3"/>
      <c r="AZ32" s="3"/>
      <c r="BA32" s="3"/>
      <c r="BB32" s="3"/>
      <c r="BC32" s="3"/>
      <c r="BD32" s="3"/>
      <c r="BE32" s="1" t="b">
        <v>1</v>
      </c>
      <c r="BF32" s="3"/>
      <c r="BG32" s="3"/>
      <c r="BH32" s="3"/>
      <c r="BI32" s="3"/>
      <c r="BJ32" s="3"/>
      <c r="BK32" s="4" t="s">
        <v>719</v>
      </c>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row>
    <row r="33">
      <c r="A33" s="1" t="s">
        <v>290</v>
      </c>
      <c r="B33" s="1" t="s">
        <v>289</v>
      </c>
      <c r="C33" s="1" t="s">
        <v>289</v>
      </c>
      <c r="D33" s="1" t="s">
        <v>721</v>
      </c>
      <c r="E33" s="1" t="s">
        <v>986</v>
      </c>
      <c r="F33" s="1" t="s">
        <v>987</v>
      </c>
      <c r="G33" s="3"/>
      <c r="H33" s="1" t="s">
        <v>870</v>
      </c>
      <c r="I33" s="1" t="s">
        <v>691</v>
      </c>
      <c r="J33" s="1" t="s">
        <v>988</v>
      </c>
      <c r="K33" s="3">
        <f>+821055797690</f>
        <v>821055797690</v>
      </c>
      <c r="L33" s="3"/>
      <c r="M33" s="3"/>
      <c r="N33" s="3"/>
      <c r="O33" s="3"/>
      <c r="P33" s="1">
        <v>1.10999257E8</v>
      </c>
      <c r="Q33" s="1" t="b">
        <v>1</v>
      </c>
      <c r="R33" s="1">
        <v>284.0</v>
      </c>
      <c r="S33" s="1" t="s">
        <v>989</v>
      </c>
      <c r="T33" s="3"/>
      <c r="U33" s="1" t="s">
        <v>694</v>
      </c>
      <c r="V33" s="1" t="s">
        <v>695</v>
      </c>
      <c r="W33" s="1" t="s">
        <v>990</v>
      </c>
      <c r="X33" s="1" t="b">
        <v>0</v>
      </c>
      <c r="Y33" s="1" t="s">
        <v>697</v>
      </c>
      <c r="Z33" s="1" t="s">
        <v>991</v>
      </c>
      <c r="AB33" s="1" t="s">
        <v>728</v>
      </c>
      <c r="AC33" s="1" t="s">
        <v>729</v>
      </c>
      <c r="AD33" s="1" t="s">
        <v>730</v>
      </c>
      <c r="AE33" s="1" t="s">
        <v>992</v>
      </c>
      <c r="AF33" s="1" t="s">
        <v>791</v>
      </c>
      <c r="AG33" s="1" t="s">
        <v>733</v>
      </c>
      <c r="AH33" s="1">
        <v>40.0</v>
      </c>
      <c r="AI33" s="1" t="b">
        <v>0</v>
      </c>
      <c r="AJ33" s="1" t="b">
        <v>0</v>
      </c>
      <c r="AK33" s="1" t="s">
        <v>993</v>
      </c>
      <c r="AL33" s="1" t="s">
        <v>700</v>
      </c>
      <c r="AM33" s="1" t="s">
        <v>701</v>
      </c>
      <c r="AN33" s="1" t="s">
        <v>702</v>
      </c>
      <c r="AO33" s="1" t="s">
        <v>991</v>
      </c>
      <c r="AP33" s="1" t="s">
        <v>703</v>
      </c>
      <c r="AQ33" s="1" t="s">
        <v>704</v>
      </c>
      <c r="AR33" s="1">
        <v>244.0</v>
      </c>
      <c r="AS33" s="3"/>
      <c r="AT33" s="3"/>
      <c r="AU33" s="4" t="s">
        <v>890</v>
      </c>
      <c r="BB33" s="3"/>
      <c r="BC33" s="3"/>
      <c r="BD33" s="3"/>
      <c r="BE33" s="1" t="b">
        <v>1</v>
      </c>
      <c r="BF33" s="3"/>
      <c r="BG33" s="3"/>
      <c r="BH33" s="3"/>
      <c r="BI33" s="3"/>
      <c r="BJ33" s="3"/>
      <c r="BK33" s="4" t="s">
        <v>994</v>
      </c>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row>
    <row r="34">
      <c r="A34" s="1" t="s">
        <v>128</v>
      </c>
      <c r="B34" s="1" t="s">
        <v>126</v>
      </c>
      <c r="C34" s="1" t="s">
        <v>126</v>
      </c>
      <c r="D34" s="1" t="s">
        <v>688</v>
      </c>
      <c r="E34" s="1" t="s">
        <v>995</v>
      </c>
      <c r="F34" s="1" t="s">
        <v>996</v>
      </c>
      <c r="G34" s="3"/>
      <c r="H34" s="3"/>
      <c r="I34" s="1" t="s">
        <v>691</v>
      </c>
      <c r="J34" s="1" t="s">
        <v>997</v>
      </c>
      <c r="L34" s="3"/>
      <c r="M34" s="3"/>
      <c r="N34" s="3"/>
      <c r="O34" s="3"/>
      <c r="P34" s="1">
        <v>1.11213915E8</v>
      </c>
      <c r="Q34" s="1" t="b">
        <v>1</v>
      </c>
      <c r="R34" s="1">
        <v>152.0</v>
      </c>
      <c r="S34" s="1" t="s">
        <v>797</v>
      </c>
      <c r="T34" s="3"/>
      <c r="U34" s="1" t="s">
        <v>694</v>
      </c>
      <c r="V34" s="1" t="s">
        <v>695</v>
      </c>
      <c r="W34" s="1" t="s">
        <v>998</v>
      </c>
      <c r="X34" s="1" t="b">
        <v>0</v>
      </c>
      <c r="Y34" s="1" t="s">
        <v>697</v>
      </c>
      <c r="Z34" s="1" t="s">
        <v>999</v>
      </c>
      <c r="AB34" s="3"/>
      <c r="AC34" s="3"/>
      <c r="AD34" s="3"/>
      <c r="AE34" s="3"/>
      <c r="AF34" s="3"/>
      <c r="AG34" s="3"/>
      <c r="AH34" s="3"/>
      <c r="AI34" s="1" t="b">
        <v>0</v>
      </c>
      <c r="AJ34" s="1" t="b">
        <v>0</v>
      </c>
      <c r="AK34" s="1" t="s">
        <v>999</v>
      </c>
      <c r="AL34" s="1" t="s">
        <v>714</v>
      </c>
      <c r="AM34" s="1" t="s">
        <v>715</v>
      </c>
      <c r="AN34" s="1" t="s">
        <v>702</v>
      </c>
      <c r="AO34" s="1" t="s">
        <v>999</v>
      </c>
      <c r="AP34" s="1" t="s">
        <v>756</v>
      </c>
      <c r="AQ34" s="1" t="s">
        <v>704</v>
      </c>
      <c r="AR34" s="1">
        <v>152.0</v>
      </c>
      <c r="AS34" s="3"/>
      <c r="AT34" s="3"/>
      <c r="AU34" s="4" t="s">
        <v>719</v>
      </c>
      <c r="AW34" s="3"/>
      <c r="AX34" s="3"/>
      <c r="AY34" s="3"/>
      <c r="AZ34" s="3"/>
      <c r="BA34" s="3"/>
      <c r="BB34" s="3"/>
      <c r="BC34" s="3"/>
      <c r="BD34" s="3"/>
      <c r="BE34" s="1" t="b">
        <v>1</v>
      </c>
      <c r="BF34" s="3"/>
      <c r="BG34" s="3"/>
      <c r="BH34" s="3"/>
      <c r="BI34" s="3"/>
      <c r="BJ34" s="3"/>
      <c r="BK34" s="4" t="s">
        <v>719</v>
      </c>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row>
    <row r="35">
      <c r="A35" s="1" t="s">
        <v>174</v>
      </c>
      <c r="B35" s="1" t="s">
        <v>172</v>
      </c>
      <c r="C35" s="1" t="s">
        <v>172</v>
      </c>
      <c r="D35" s="1" t="s">
        <v>706</v>
      </c>
      <c r="E35" s="1" t="s">
        <v>1000</v>
      </c>
      <c r="F35" s="1" t="s">
        <v>1001</v>
      </c>
      <c r="G35" s="3"/>
      <c r="H35" s="3"/>
      <c r="I35" s="1" t="s">
        <v>691</v>
      </c>
      <c r="J35" s="1" t="s">
        <v>1002</v>
      </c>
      <c r="K35" s="3">
        <f>+821096060874</f>
        <v>821096060874</v>
      </c>
      <c r="L35" s="3"/>
      <c r="M35" s="3"/>
      <c r="N35" s="3"/>
      <c r="O35" s="3"/>
      <c r="P35" s="1">
        <v>1.15799057E8</v>
      </c>
      <c r="Q35" s="1" t="b">
        <v>1</v>
      </c>
      <c r="R35" s="1">
        <v>32.0</v>
      </c>
      <c r="S35" s="1" t="s">
        <v>797</v>
      </c>
      <c r="T35" s="3"/>
      <c r="U35" s="1" t="s">
        <v>694</v>
      </c>
      <c r="V35" s="1" t="s">
        <v>695</v>
      </c>
      <c r="W35" s="1" t="s">
        <v>1003</v>
      </c>
      <c r="X35" s="1" t="b">
        <v>0</v>
      </c>
      <c r="Y35" s="1" t="s">
        <v>697</v>
      </c>
      <c r="Z35" s="1" t="s">
        <v>1004</v>
      </c>
      <c r="AB35" s="3"/>
      <c r="AC35" s="3"/>
      <c r="AD35" s="3"/>
      <c r="AE35" s="3"/>
      <c r="AF35" s="3"/>
      <c r="AG35" s="3"/>
      <c r="AH35" s="3"/>
      <c r="AI35" s="1" t="b">
        <v>0</v>
      </c>
      <c r="AJ35" s="1" t="b">
        <v>0</v>
      </c>
      <c r="AK35" s="1" t="s">
        <v>1005</v>
      </c>
      <c r="AL35" s="1" t="s">
        <v>1006</v>
      </c>
      <c r="AM35" s="1" t="s">
        <v>715</v>
      </c>
      <c r="AN35" s="1" t="s">
        <v>716</v>
      </c>
      <c r="AO35" s="1" t="s">
        <v>1004</v>
      </c>
      <c r="AP35" s="1" t="s">
        <v>717</v>
      </c>
      <c r="AQ35" s="1" t="s">
        <v>718</v>
      </c>
      <c r="AR35" s="1">
        <v>32.0</v>
      </c>
      <c r="AS35" s="3"/>
      <c r="AT35" s="3"/>
      <c r="AU35" s="4" t="s">
        <v>719</v>
      </c>
      <c r="AW35" s="3"/>
      <c r="AX35" s="3"/>
      <c r="AY35" s="3"/>
      <c r="AZ35" s="3"/>
      <c r="BA35" s="3"/>
      <c r="BB35" s="3"/>
      <c r="BC35" s="3"/>
      <c r="BD35" s="3"/>
      <c r="BE35" s="1" t="b">
        <v>1</v>
      </c>
      <c r="BF35" s="3"/>
      <c r="BG35" s="3"/>
      <c r="BH35" s="3"/>
      <c r="BI35" s="3"/>
      <c r="BJ35" s="3"/>
      <c r="BK35" s="4" t="s">
        <v>719</v>
      </c>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row>
    <row r="36">
      <c r="A36" s="1" t="s">
        <v>250</v>
      </c>
      <c r="B36" s="1" t="s">
        <v>248</v>
      </c>
      <c r="C36" s="1" t="s">
        <v>248</v>
      </c>
      <c r="D36" s="1" t="s">
        <v>810</v>
      </c>
      <c r="E36" s="1" t="s">
        <v>1007</v>
      </c>
      <c r="F36" s="1" t="s">
        <v>1008</v>
      </c>
      <c r="G36" s="3"/>
      <c r="H36" s="3"/>
      <c r="I36" s="1" t="s">
        <v>691</v>
      </c>
      <c r="J36" s="1" t="s">
        <v>1009</v>
      </c>
      <c r="K36" s="3"/>
      <c r="L36" s="3"/>
      <c r="M36" s="3"/>
      <c r="N36" s="3"/>
      <c r="O36" s="3"/>
      <c r="P36" s="1">
        <v>1.11232759E8</v>
      </c>
      <c r="Q36" s="1" t="b">
        <v>1</v>
      </c>
      <c r="R36" s="1">
        <v>386.0</v>
      </c>
      <c r="S36" s="1" t="s">
        <v>1010</v>
      </c>
      <c r="T36" s="3"/>
      <c r="U36" s="1" t="s">
        <v>694</v>
      </c>
      <c r="V36" s="1" t="s">
        <v>695</v>
      </c>
      <c r="W36" s="1" t="s">
        <v>1011</v>
      </c>
      <c r="X36" s="1" t="b">
        <v>0</v>
      </c>
      <c r="Y36" s="1" t="s">
        <v>697</v>
      </c>
      <c r="Z36" s="1" t="s">
        <v>1012</v>
      </c>
      <c r="AB36" s="1" t="s">
        <v>728</v>
      </c>
      <c r="AC36" s="1" t="s">
        <v>729</v>
      </c>
      <c r="AD36" s="1" t="s">
        <v>1013</v>
      </c>
      <c r="AE36" s="1" t="s">
        <v>1012</v>
      </c>
      <c r="AF36" s="1" t="s">
        <v>765</v>
      </c>
      <c r="AG36" s="1" t="s">
        <v>766</v>
      </c>
      <c r="AH36" s="1">
        <v>50.0</v>
      </c>
      <c r="AI36" s="1" t="b">
        <v>0</v>
      </c>
      <c r="AJ36" s="1" t="b">
        <v>0</v>
      </c>
      <c r="AK36" s="1" t="s">
        <v>1014</v>
      </c>
      <c r="AL36" s="1" t="s">
        <v>714</v>
      </c>
      <c r="AM36" s="1" t="s">
        <v>715</v>
      </c>
      <c r="AN36" s="1" t="s">
        <v>702</v>
      </c>
      <c r="AO36" s="1" t="s">
        <v>1015</v>
      </c>
      <c r="AP36" s="1" t="s">
        <v>756</v>
      </c>
      <c r="AQ36" s="1" t="s">
        <v>704</v>
      </c>
      <c r="AR36" s="1">
        <v>336.0</v>
      </c>
      <c r="AS36" s="3"/>
      <c r="AT36" s="3"/>
      <c r="AU36" s="4" t="s">
        <v>719</v>
      </c>
      <c r="AW36" s="3"/>
      <c r="AX36" s="3"/>
      <c r="AY36" s="3"/>
      <c r="AZ36" s="3"/>
      <c r="BA36" s="3"/>
      <c r="BB36" s="3"/>
      <c r="BC36" s="3"/>
      <c r="BD36" s="3"/>
      <c r="BE36" s="1" t="b">
        <v>1</v>
      </c>
      <c r="BF36" s="3"/>
      <c r="BG36" s="3"/>
      <c r="BH36" s="3"/>
      <c r="BI36" s="3"/>
      <c r="BJ36" s="3"/>
      <c r="BK36" s="4" t="s">
        <v>719</v>
      </c>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row>
    <row r="37">
      <c r="A37" s="1" t="s">
        <v>294</v>
      </c>
      <c r="B37" s="1" t="s">
        <v>293</v>
      </c>
      <c r="C37" s="1" t="s">
        <v>293</v>
      </c>
      <c r="D37" s="1" t="s">
        <v>810</v>
      </c>
      <c r="E37" s="1" t="s">
        <v>1016</v>
      </c>
      <c r="F37" s="1" t="s">
        <v>1017</v>
      </c>
      <c r="G37" s="3"/>
      <c r="H37" s="1" t="s">
        <v>870</v>
      </c>
      <c r="I37" s="1" t="s">
        <v>691</v>
      </c>
      <c r="J37" s="1" t="s">
        <v>1018</v>
      </c>
      <c r="K37" s="3">
        <f>+821035555476</f>
        <v>821035555476</v>
      </c>
      <c r="L37" s="3"/>
      <c r="M37" s="3"/>
      <c r="N37" s="3"/>
      <c r="O37" s="3"/>
      <c r="P37" s="1">
        <v>1.09980432E8</v>
      </c>
      <c r="Q37" s="1" t="b">
        <v>1</v>
      </c>
      <c r="R37" s="1">
        <v>1579.0</v>
      </c>
      <c r="S37" s="1" t="s">
        <v>1019</v>
      </c>
      <c r="T37" s="3"/>
      <c r="U37" s="1" t="s">
        <v>694</v>
      </c>
      <c r="V37" s="1" t="s">
        <v>695</v>
      </c>
      <c r="W37" s="1" t="s">
        <v>1020</v>
      </c>
      <c r="X37" s="1" t="b">
        <v>0</v>
      </c>
      <c r="Y37" s="1" t="s">
        <v>697</v>
      </c>
      <c r="Z37" s="1" t="s">
        <v>1021</v>
      </c>
      <c r="AB37" s="1" t="s">
        <v>728</v>
      </c>
      <c r="AC37" s="1" t="s">
        <v>1022</v>
      </c>
      <c r="AD37" s="1" t="s">
        <v>730</v>
      </c>
      <c r="AE37" s="1" t="s">
        <v>1023</v>
      </c>
      <c r="AF37" s="1" t="s">
        <v>732</v>
      </c>
      <c r="AG37" s="1" t="s">
        <v>733</v>
      </c>
      <c r="AH37" s="1">
        <v>3.0</v>
      </c>
      <c r="AI37" s="1" t="b">
        <v>0</v>
      </c>
      <c r="AJ37" s="1" t="b">
        <v>0</v>
      </c>
      <c r="AK37" s="1" t="s">
        <v>1024</v>
      </c>
      <c r="AL37" s="1" t="s">
        <v>714</v>
      </c>
      <c r="AM37" s="1" t="s">
        <v>715</v>
      </c>
      <c r="AN37" s="1" t="s">
        <v>702</v>
      </c>
      <c r="AO37" s="1" t="s">
        <v>1021</v>
      </c>
      <c r="AP37" s="1" t="s">
        <v>756</v>
      </c>
      <c r="AQ37" s="1" t="s">
        <v>704</v>
      </c>
      <c r="AR37" s="1">
        <v>1576.0</v>
      </c>
      <c r="AS37" s="3"/>
      <c r="AT37" s="3"/>
      <c r="AU37" s="4" t="s">
        <v>1025</v>
      </c>
      <c r="BE37" s="1" t="b">
        <v>1</v>
      </c>
      <c r="BF37" s="3"/>
      <c r="BG37" s="3"/>
      <c r="BH37" s="3"/>
      <c r="BI37" s="3"/>
      <c r="BJ37" s="3"/>
      <c r="BK37" s="4" t="s">
        <v>852</v>
      </c>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row>
    <row r="38">
      <c r="A38" s="1" t="s">
        <v>245</v>
      </c>
      <c r="B38" s="1" t="s">
        <v>244</v>
      </c>
      <c r="C38" s="1" t="s">
        <v>244</v>
      </c>
      <c r="D38" s="1" t="s">
        <v>688</v>
      </c>
      <c r="E38" s="1" t="s">
        <v>1026</v>
      </c>
      <c r="F38" s="1" t="s">
        <v>1027</v>
      </c>
      <c r="G38" s="3"/>
      <c r="H38" s="3"/>
      <c r="I38" s="1" t="s">
        <v>691</v>
      </c>
      <c r="J38" s="1" t="s">
        <v>1028</v>
      </c>
      <c r="K38" s="3"/>
      <c r="L38" s="3"/>
      <c r="M38" s="3"/>
      <c r="N38" s="3"/>
      <c r="O38" s="3"/>
      <c r="P38" s="1">
        <v>1.1246553E8</v>
      </c>
      <c r="Q38" s="1" t="b">
        <v>1</v>
      </c>
      <c r="R38" s="1">
        <v>106.0</v>
      </c>
      <c r="S38" s="1" t="s">
        <v>1029</v>
      </c>
      <c r="T38" s="3"/>
      <c r="U38" s="1" t="s">
        <v>694</v>
      </c>
      <c r="V38" s="1" t="s">
        <v>695</v>
      </c>
      <c r="W38" s="1" t="s">
        <v>1030</v>
      </c>
      <c r="X38" s="1" t="b">
        <v>0</v>
      </c>
      <c r="Y38" s="1" t="s">
        <v>697</v>
      </c>
      <c r="Z38" s="1" t="s">
        <v>1031</v>
      </c>
      <c r="AB38" s="1" t="s">
        <v>728</v>
      </c>
      <c r="AC38" s="1" t="s">
        <v>729</v>
      </c>
      <c r="AD38" s="1" t="s">
        <v>1032</v>
      </c>
      <c r="AE38" s="1" t="s">
        <v>1031</v>
      </c>
      <c r="AF38" s="1" t="s">
        <v>765</v>
      </c>
      <c r="AG38" s="1" t="s">
        <v>766</v>
      </c>
      <c r="AH38" s="1">
        <v>67.0</v>
      </c>
      <c r="AI38" s="1" t="b">
        <v>0</v>
      </c>
      <c r="AJ38" s="1" t="b">
        <v>0</v>
      </c>
      <c r="AK38" s="1" t="s">
        <v>1033</v>
      </c>
      <c r="AL38" s="1" t="s">
        <v>714</v>
      </c>
      <c r="AM38" s="1" t="s">
        <v>715</v>
      </c>
      <c r="AN38" s="1" t="s">
        <v>702</v>
      </c>
      <c r="AO38" s="1" t="s">
        <v>1034</v>
      </c>
      <c r="AP38" s="1" t="s">
        <v>756</v>
      </c>
      <c r="AQ38" s="1" t="s">
        <v>704</v>
      </c>
      <c r="AR38" s="1">
        <v>39.0</v>
      </c>
      <c r="AS38" s="3"/>
      <c r="AT38" s="3"/>
      <c r="AU38" s="3"/>
      <c r="AV38" s="3"/>
      <c r="AW38" s="3"/>
      <c r="AX38" s="3"/>
      <c r="AY38" s="3"/>
      <c r="AZ38" s="3"/>
      <c r="BA38" s="3"/>
      <c r="BB38" s="3"/>
      <c r="BC38" s="3"/>
      <c r="BD38" s="3"/>
      <c r="BE38" s="1" t="b">
        <v>1</v>
      </c>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row>
    <row r="39">
      <c r="A39" s="1" t="s">
        <v>204</v>
      </c>
      <c r="B39" s="1" t="s">
        <v>201</v>
      </c>
      <c r="C39" s="1" t="s">
        <v>201</v>
      </c>
      <c r="D39" s="1" t="s">
        <v>810</v>
      </c>
      <c r="E39" s="1" t="s">
        <v>1035</v>
      </c>
      <c r="F39" s="1" t="s">
        <v>1036</v>
      </c>
      <c r="G39" s="3"/>
      <c r="H39" s="3"/>
      <c r="I39" s="1" t="s">
        <v>1037</v>
      </c>
      <c r="J39" s="1" t="s">
        <v>1038</v>
      </c>
      <c r="K39" s="3">
        <f>+821092799888</f>
        <v>821092799888</v>
      </c>
      <c r="L39" s="3"/>
      <c r="M39" s="3"/>
      <c r="N39" s="3"/>
      <c r="O39" s="3"/>
      <c r="P39" s="1">
        <v>2.085783723E9</v>
      </c>
      <c r="Q39" s="1" t="b">
        <v>1</v>
      </c>
      <c r="R39" s="1">
        <v>122.0</v>
      </c>
      <c r="S39" s="1" t="s">
        <v>1019</v>
      </c>
      <c r="T39" s="3"/>
      <c r="U39" s="1" t="s">
        <v>694</v>
      </c>
      <c r="V39" s="1" t="s">
        <v>695</v>
      </c>
      <c r="W39" s="1" t="s">
        <v>1039</v>
      </c>
      <c r="X39" s="1" t="b">
        <v>0</v>
      </c>
      <c r="Y39" s="1" t="s">
        <v>697</v>
      </c>
      <c r="Z39" s="1" t="s">
        <v>1040</v>
      </c>
      <c r="AB39" s="1" t="s">
        <v>728</v>
      </c>
      <c r="AC39" s="1" t="s">
        <v>1022</v>
      </c>
      <c r="AD39" s="1" t="s">
        <v>730</v>
      </c>
      <c r="AE39" s="1" t="s">
        <v>1041</v>
      </c>
      <c r="AF39" s="1" t="s">
        <v>732</v>
      </c>
      <c r="AG39" s="1" t="s">
        <v>733</v>
      </c>
      <c r="AH39" s="1">
        <v>4.0</v>
      </c>
      <c r="AI39" s="1" t="b">
        <v>0</v>
      </c>
      <c r="AJ39" s="1" t="b">
        <v>0</v>
      </c>
      <c r="AK39" s="1" t="s">
        <v>1042</v>
      </c>
      <c r="AL39" s="1" t="s">
        <v>714</v>
      </c>
      <c r="AM39" s="1" t="s">
        <v>715</v>
      </c>
      <c r="AN39" s="1" t="s">
        <v>716</v>
      </c>
      <c r="AO39" s="1" t="s">
        <v>1040</v>
      </c>
      <c r="AP39" s="1" t="s">
        <v>717</v>
      </c>
      <c r="AQ39" s="1" t="s">
        <v>718</v>
      </c>
      <c r="AR39" s="1">
        <v>118.0</v>
      </c>
      <c r="AS39" s="3"/>
      <c r="AT39" s="3"/>
      <c r="AU39" s="3"/>
      <c r="AV39" s="3"/>
      <c r="AW39" s="3"/>
      <c r="AX39" s="3"/>
      <c r="AY39" s="3"/>
      <c r="AZ39" s="3"/>
      <c r="BA39" s="3"/>
      <c r="BB39" s="3"/>
      <c r="BC39" s="3"/>
      <c r="BD39" s="3"/>
      <c r="BE39" s="1" t="b">
        <v>1</v>
      </c>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row>
    <row r="40">
      <c r="A40" s="1" t="s">
        <v>306</v>
      </c>
      <c r="B40" s="1" t="s">
        <v>305</v>
      </c>
      <c r="C40" s="1" t="s">
        <v>305</v>
      </c>
      <c r="D40" s="1" t="s">
        <v>903</v>
      </c>
      <c r="E40" s="1" t="s">
        <v>1043</v>
      </c>
      <c r="F40" s="1" t="s">
        <v>1044</v>
      </c>
      <c r="G40" s="3"/>
      <c r="H40" s="3"/>
      <c r="I40" s="1" t="s">
        <v>1045</v>
      </c>
      <c r="J40" s="1" t="s">
        <v>1046</v>
      </c>
      <c r="K40" s="3">
        <f>+821077632682</f>
        <v>821077632682</v>
      </c>
      <c r="L40" s="3"/>
      <c r="M40" s="3"/>
      <c r="N40" s="3"/>
      <c r="O40" s="3"/>
      <c r="P40" s="1">
        <v>1.22953587E8</v>
      </c>
      <c r="Q40" s="1" t="b">
        <v>1</v>
      </c>
      <c r="R40" s="1">
        <v>14.0</v>
      </c>
      <c r="S40" s="1" t="s">
        <v>1047</v>
      </c>
      <c r="T40" s="3"/>
      <c r="U40" s="1" t="s">
        <v>694</v>
      </c>
      <c r="V40" s="1" t="s">
        <v>695</v>
      </c>
      <c r="W40" s="1" t="s">
        <v>1048</v>
      </c>
      <c r="X40" s="1" t="b">
        <v>0</v>
      </c>
      <c r="Y40" s="1" t="s">
        <v>697</v>
      </c>
      <c r="Z40" s="1" t="s">
        <v>1049</v>
      </c>
      <c r="AB40" s="3"/>
      <c r="AC40" s="3"/>
      <c r="AD40" s="3"/>
      <c r="AE40" s="3"/>
      <c r="AF40" s="3"/>
      <c r="AG40" s="3"/>
      <c r="AH40" s="3"/>
      <c r="AI40" s="1" t="b">
        <v>0</v>
      </c>
      <c r="AJ40" s="1" t="b">
        <v>0</v>
      </c>
      <c r="AK40" s="1" t="s">
        <v>1050</v>
      </c>
      <c r="AL40" s="1" t="s">
        <v>817</v>
      </c>
      <c r="AM40" s="1" t="s">
        <v>715</v>
      </c>
      <c r="AN40" s="1" t="s">
        <v>702</v>
      </c>
      <c r="AO40" s="1" t="s">
        <v>1049</v>
      </c>
      <c r="AP40" s="1" t="s">
        <v>756</v>
      </c>
      <c r="AQ40" s="1" t="s">
        <v>704</v>
      </c>
      <c r="AR40" s="1">
        <v>14.0</v>
      </c>
      <c r="AS40" s="3"/>
      <c r="AT40" s="3"/>
      <c r="AU40" s="4" t="s">
        <v>719</v>
      </c>
      <c r="AW40" s="3"/>
      <c r="AX40" s="3"/>
      <c r="AY40" s="3"/>
      <c r="AZ40" s="3"/>
      <c r="BA40" s="3"/>
      <c r="BB40" s="3"/>
      <c r="BC40" s="3"/>
      <c r="BD40" s="3"/>
      <c r="BE40" s="1" t="b">
        <v>1</v>
      </c>
      <c r="BF40" s="3"/>
      <c r="BG40" s="3"/>
      <c r="BH40" s="3"/>
      <c r="BI40" s="3"/>
      <c r="BJ40" s="3"/>
      <c r="BK40" s="4" t="s">
        <v>719</v>
      </c>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row>
    <row r="41">
      <c r="A41" s="1" t="s">
        <v>266</v>
      </c>
      <c r="B41" s="1" t="s">
        <v>264</v>
      </c>
      <c r="C41" s="1" t="s">
        <v>264</v>
      </c>
      <c r="D41" s="1" t="s">
        <v>774</v>
      </c>
      <c r="E41" s="1" t="s">
        <v>1051</v>
      </c>
      <c r="F41" s="1" t="s">
        <v>1052</v>
      </c>
      <c r="G41" s="3"/>
      <c r="H41" s="3"/>
      <c r="I41" s="1" t="s">
        <v>795</v>
      </c>
      <c r="J41" s="1" t="s">
        <v>1053</v>
      </c>
      <c r="K41" s="3">
        <f>+821099234732</f>
        <v>821099234732</v>
      </c>
      <c r="L41" s="3"/>
      <c r="M41" s="3"/>
      <c r="N41" s="3"/>
      <c r="O41" s="3"/>
      <c r="P41" s="1">
        <v>1.22988509E8</v>
      </c>
      <c r="Q41" s="1" t="b">
        <v>1</v>
      </c>
      <c r="R41" s="1">
        <v>9.0</v>
      </c>
      <c r="S41" s="1" t="s">
        <v>840</v>
      </c>
      <c r="T41" s="3"/>
      <c r="U41" s="1" t="s">
        <v>694</v>
      </c>
      <c r="V41" s="1" t="s">
        <v>695</v>
      </c>
      <c r="W41" s="1" t="s">
        <v>1054</v>
      </c>
      <c r="X41" s="1" t="b">
        <v>0</v>
      </c>
      <c r="Y41" s="1" t="s">
        <v>697</v>
      </c>
      <c r="Z41" s="1" t="s">
        <v>1055</v>
      </c>
      <c r="AB41" s="3"/>
      <c r="AC41" s="3"/>
      <c r="AD41" s="3"/>
      <c r="AE41" s="3"/>
      <c r="AF41" s="3"/>
      <c r="AG41" s="3"/>
      <c r="AH41" s="3"/>
      <c r="AI41" s="1" t="b">
        <v>0</v>
      </c>
      <c r="AJ41" s="1" t="b">
        <v>0</v>
      </c>
      <c r="AK41" s="1" t="s">
        <v>1056</v>
      </c>
      <c r="AL41" s="1" t="s">
        <v>714</v>
      </c>
      <c r="AM41" s="1" t="s">
        <v>715</v>
      </c>
      <c r="AN41" s="1" t="s">
        <v>702</v>
      </c>
      <c r="AO41" s="1" t="s">
        <v>1055</v>
      </c>
      <c r="AP41" s="1" t="s">
        <v>756</v>
      </c>
      <c r="AQ41" s="1" t="s">
        <v>704</v>
      </c>
      <c r="AR41" s="1">
        <v>9.0</v>
      </c>
      <c r="AS41" s="3"/>
      <c r="AT41" s="3"/>
      <c r="AU41" s="4" t="s">
        <v>852</v>
      </c>
      <c r="AV41" s="1" t="s">
        <v>973</v>
      </c>
      <c r="AW41" s="1" t="s">
        <v>1057</v>
      </c>
      <c r="AX41" s="1" t="s">
        <v>1058</v>
      </c>
      <c r="AY41" s="1" t="s">
        <v>1059</v>
      </c>
      <c r="AZ41" s="3"/>
      <c r="BA41" s="3"/>
      <c r="BB41" s="3"/>
      <c r="BC41" s="3"/>
      <c r="BD41" s="3"/>
      <c r="BE41" s="1" t="b">
        <v>1</v>
      </c>
      <c r="BF41" s="1" t="s">
        <v>1060</v>
      </c>
      <c r="BG41" s="1" t="s">
        <v>1058</v>
      </c>
      <c r="BH41" s="1" t="s">
        <v>945</v>
      </c>
      <c r="BI41" s="1" t="s">
        <v>1057</v>
      </c>
      <c r="BJ41" s="3"/>
      <c r="BK41" s="4" t="s">
        <v>852</v>
      </c>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row>
    <row r="42">
      <c r="A42" s="1" t="s">
        <v>157</v>
      </c>
      <c r="B42" s="1" t="s">
        <v>154</v>
      </c>
      <c r="C42" s="1" t="s">
        <v>154</v>
      </c>
      <c r="D42" s="1" t="s">
        <v>810</v>
      </c>
      <c r="E42" s="1" t="s">
        <v>1061</v>
      </c>
      <c r="F42" s="1" t="s">
        <v>1062</v>
      </c>
      <c r="G42" s="3"/>
      <c r="H42" s="1" t="s">
        <v>870</v>
      </c>
      <c r="I42" s="1" t="s">
        <v>691</v>
      </c>
      <c r="J42" s="1" t="s">
        <v>1063</v>
      </c>
      <c r="K42" s="3">
        <f>+821030232541</f>
        <v>821030232541</v>
      </c>
      <c r="L42" s="3"/>
      <c r="M42" s="3"/>
      <c r="N42" s="3"/>
      <c r="O42" s="3"/>
      <c r="P42" s="1">
        <v>1.17310335E8</v>
      </c>
      <c r="Q42" s="1" t="b">
        <v>1</v>
      </c>
      <c r="R42" s="1">
        <v>19.0</v>
      </c>
      <c r="S42" s="1" t="s">
        <v>779</v>
      </c>
      <c r="T42" s="3"/>
      <c r="U42" s="1" t="s">
        <v>694</v>
      </c>
      <c r="V42" s="1" t="s">
        <v>695</v>
      </c>
      <c r="W42" s="1" t="s">
        <v>1064</v>
      </c>
      <c r="X42" s="1" t="b">
        <v>0</v>
      </c>
      <c r="Y42" s="1" t="s">
        <v>697</v>
      </c>
      <c r="Z42" s="1" t="s">
        <v>1065</v>
      </c>
      <c r="AB42" s="3"/>
      <c r="AC42" s="3"/>
      <c r="AD42" s="3"/>
      <c r="AE42" s="3"/>
      <c r="AF42" s="3"/>
      <c r="AG42" s="3"/>
      <c r="AH42" s="3"/>
      <c r="AI42" s="1" t="b">
        <v>0</v>
      </c>
      <c r="AJ42" s="1" t="b">
        <v>0</v>
      </c>
      <c r="AK42" s="1" t="s">
        <v>1066</v>
      </c>
      <c r="AL42" s="1" t="s">
        <v>700</v>
      </c>
      <c r="AM42" s="1" t="s">
        <v>701</v>
      </c>
      <c r="AN42" s="1" t="s">
        <v>702</v>
      </c>
      <c r="AO42" s="1" t="s">
        <v>1065</v>
      </c>
      <c r="AP42" s="1" t="s">
        <v>703</v>
      </c>
      <c r="AQ42" s="1" t="s">
        <v>704</v>
      </c>
      <c r="AR42" s="1">
        <v>19.0</v>
      </c>
      <c r="AS42" s="3"/>
      <c r="AT42" s="3"/>
      <c r="AU42" s="4" t="s">
        <v>890</v>
      </c>
      <c r="BB42" s="3"/>
      <c r="BC42" s="3"/>
      <c r="BD42" s="3"/>
      <c r="BE42" s="1" t="b">
        <v>1</v>
      </c>
      <c r="BF42" s="3"/>
      <c r="BG42" s="3"/>
      <c r="BH42" s="3"/>
      <c r="BI42" s="3"/>
      <c r="BJ42" s="3"/>
      <c r="BK42" s="4" t="s">
        <v>719</v>
      </c>
      <c r="BL42" s="1" t="s">
        <v>720</v>
      </c>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row>
    <row r="43">
      <c r="A43" s="1" t="s">
        <v>211</v>
      </c>
      <c r="B43" s="1" t="s">
        <v>208</v>
      </c>
      <c r="C43" s="1" t="s">
        <v>208</v>
      </c>
      <c r="D43" s="1" t="s">
        <v>1067</v>
      </c>
      <c r="E43" s="1" t="s">
        <v>1068</v>
      </c>
      <c r="F43" s="1" t="s">
        <v>1069</v>
      </c>
      <c r="G43" s="3"/>
      <c r="H43" s="3"/>
      <c r="I43" s="1" t="s">
        <v>1037</v>
      </c>
      <c r="J43" s="1" t="s">
        <v>1070</v>
      </c>
      <c r="K43" s="3">
        <f>+821075311619</f>
        <v>821075311619</v>
      </c>
      <c r="L43" s="3"/>
      <c r="M43" s="3"/>
      <c r="N43" s="3"/>
      <c r="O43" s="3"/>
      <c r="P43" s="1">
        <v>1.11061791E8</v>
      </c>
      <c r="Q43" s="1" t="b">
        <v>1</v>
      </c>
      <c r="R43" s="1">
        <v>647.0</v>
      </c>
      <c r="S43" s="1" t="s">
        <v>797</v>
      </c>
      <c r="T43" s="3"/>
      <c r="U43" s="1" t="s">
        <v>694</v>
      </c>
      <c r="V43" s="1" t="s">
        <v>695</v>
      </c>
      <c r="W43" s="1" t="s">
        <v>1071</v>
      </c>
      <c r="X43" s="1" t="b">
        <v>0</v>
      </c>
      <c r="Y43" s="1" t="s">
        <v>697</v>
      </c>
      <c r="Z43" s="1" t="s">
        <v>1072</v>
      </c>
      <c r="AB43" s="3"/>
      <c r="AC43" s="3"/>
      <c r="AD43" s="3"/>
      <c r="AE43" s="3"/>
      <c r="AF43" s="3"/>
      <c r="AG43" s="3"/>
      <c r="AH43" s="3"/>
      <c r="AI43" s="1" t="b">
        <v>0</v>
      </c>
      <c r="AJ43" s="1" t="b">
        <v>0</v>
      </c>
      <c r="AK43" s="1" t="s">
        <v>1073</v>
      </c>
      <c r="AL43" s="1" t="s">
        <v>714</v>
      </c>
      <c r="AM43" s="1" t="s">
        <v>715</v>
      </c>
      <c r="AN43" s="1" t="s">
        <v>702</v>
      </c>
      <c r="AO43" s="1" t="s">
        <v>1072</v>
      </c>
      <c r="AP43" s="1" t="s">
        <v>756</v>
      </c>
      <c r="AQ43" s="1" t="s">
        <v>704</v>
      </c>
      <c r="AR43" s="1">
        <v>647.0</v>
      </c>
      <c r="AS43" s="3"/>
      <c r="AT43" s="3"/>
      <c r="AU43" s="4" t="s">
        <v>876</v>
      </c>
      <c r="AX43" s="3"/>
      <c r="AY43" s="3"/>
      <c r="AZ43" s="3"/>
      <c r="BA43" s="3"/>
      <c r="BB43" s="3"/>
      <c r="BC43" s="3"/>
      <c r="BD43" s="3"/>
      <c r="BE43" s="1" t="b">
        <v>1</v>
      </c>
      <c r="BF43" s="3"/>
      <c r="BG43" s="3"/>
      <c r="BH43" s="3"/>
      <c r="BI43" s="3"/>
      <c r="BJ43" s="3"/>
      <c r="BK43" s="4" t="s">
        <v>876</v>
      </c>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row>
    <row r="44">
      <c r="A44" s="1" t="s">
        <v>302</v>
      </c>
      <c r="B44" s="1" t="s">
        <v>301</v>
      </c>
      <c r="C44" s="1" t="s">
        <v>301</v>
      </c>
      <c r="D44" s="1" t="s">
        <v>706</v>
      </c>
      <c r="E44" s="1" t="s">
        <v>1074</v>
      </c>
      <c r="F44" s="1" t="s">
        <v>1075</v>
      </c>
      <c r="G44" s="3"/>
      <c r="H44" s="3"/>
      <c r="I44" s="1" t="s">
        <v>795</v>
      </c>
      <c r="J44" s="1" t="s">
        <v>1076</v>
      </c>
      <c r="K44" s="3">
        <f>+821043214733</f>
        <v>821043214733</v>
      </c>
      <c r="L44" s="3"/>
      <c r="M44" s="3"/>
      <c r="N44" s="3"/>
      <c r="O44" s="3"/>
      <c r="P44" s="1">
        <v>2.085810958E9</v>
      </c>
      <c r="Q44" s="1" t="b">
        <v>1</v>
      </c>
      <c r="R44" s="1">
        <v>18.0</v>
      </c>
      <c r="S44" s="1" t="s">
        <v>1077</v>
      </c>
      <c r="T44" s="3"/>
      <c r="U44" s="1" t="s">
        <v>694</v>
      </c>
      <c r="V44" s="1" t="s">
        <v>695</v>
      </c>
      <c r="W44" s="1" t="s">
        <v>1078</v>
      </c>
      <c r="X44" s="1" t="b">
        <v>0</v>
      </c>
      <c r="Y44" s="1" t="s">
        <v>697</v>
      </c>
      <c r="Z44" s="1" t="s">
        <v>1079</v>
      </c>
      <c r="AB44" s="3"/>
      <c r="AC44" s="3"/>
      <c r="AD44" s="3"/>
      <c r="AE44" s="3"/>
      <c r="AF44" s="3"/>
      <c r="AG44" s="3"/>
      <c r="AH44" s="3"/>
      <c r="AI44" s="1" t="b">
        <v>0</v>
      </c>
      <c r="AJ44" s="1" t="b">
        <v>0</v>
      </c>
      <c r="AK44" s="1" t="s">
        <v>1080</v>
      </c>
      <c r="AL44" s="1" t="s">
        <v>817</v>
      </c>
      <c r="AM44" s="1" t="s">
        <v>715</v>
      </c>
      <c r="AN44" s="1" t="s">
        <v>702</v>
      </c>
      <c r="AO44" s="1" t="s">
        <v>1079</v>
      </c>
      <c r="AP44" s="1" t="s">
        <v>756</v>
      </c>
      <c r="AQ44" s="1" t="s">
        <v>704</v>
      </c>
      <c r="AR44" s="1">
        <v>18.0</v>
      </c>
      <c r="AS44" s="3"/>
      <c r="AT44" s="3"/>
      <c r="AU44" s="4" t="s">
        <v>719</v>
      </c>
      <c r="AV44" s="1" t="s">
        <v>769</v>
      </c>
      <c r="AW44" s="1" t="s">
        <v>770</v>
      </c>
      <c r="AX44" s="1" t="s">
        <v>771</v>
      </c>
      <c r="AY44" s="1" t="s">
        <v>772</v>
      </c>
      <c r="AZ44" s="1" t="s">
        <v>773</v>
      </c>
      <c r="BA44" s="3"/>
      <c r="BB44" s="3"/>
      <c r="BC44" s="3"/>
      <c r="BD44" s="3"/>
      <c r="BE44" s="1" t="b">
        <v>1</v>
      </c>
      <c r="BF44" s="1" t="s">
        <v>772</v>
      </c>
      <c r="BG44" s="1" t="s">
        <v>771</v>
      </c>
      <c r="BH44" s="1" t="s">
        <v>769</v>
      </c>
      <c r="BI44" s="1" t="s">
        <v>770</v>
      </c>
      <c r="BJ44" s="1" t="s">
        <v>773</v>
      </c>
      <c r="BK44" s="4" t="s">
        <v>719</v>
      </c>
      <c r="BL44" s="1" t="s">
        <v>720</v>
      </c>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row>
    <row r="45">
      <c r="A45" s="1" t="s">
        <v>322</v>
      </c>
      <c r="B45" s="1" t="s">
        <v>321</v>
      </c>
      <c r="C45" s="1" t="s">
        <v>321</v>
      </c>
      <c r="D45" s="1" t="s">
        <v>774</v>
      </c>
      <c r="E45" s="1" t="s">
        <v>1081</v>
      </c>
      <c r="F45" s="1" t="s">
        <v>1082</v>
      </c>
      <c r="G45" s="3"/>
      <c r="H45" s="3"/>
      <c r="I45" s="3"/>
      <c r="J45" s="1" t="s">
        <v>1083</v>
      </c>
      <c r="K45" s="3">
        <f>+821086760669</f>
        <v>821086760669</v>
      </c>
      <c r="L45" s="3"/>
      <c r="M45" s="3"/>
      <c r="N45" s="3"/>
      <c r="O45" s="3"/>
      <c r="P45" s="1">
        <v>1.22991582E8</v>
      </c>
      <c r="Q45" s="1" t="b">
        <v>1</v>
      </c>
      <c r="R45" s="1">
        <v>10.0</v>
      </c>
      <c r="S45" s="1" t="s">
        <v>761</v>
      </c>
      <c r="T45" s="3"/>
      <c r="U45" s="1" t="s">
        <v>694</v>
      </c>
      <c r="V45" s="1" t="s">
        <v>695</v>
      </c>
      <c r="W45" s="1" t="s">
        <v>1084</v>
      </c>
      <c r="X45" s="1" t="b">
        <v>0</v>
      </c>
      <c r="Y45" s="1" t="s">
        <v>697</v>
      </c>
      <c r="Z45" s="1" t="s">
        <v>1085</v>
      </c>
      <c r="AB45" s="3"/>
      <c r="AC45" s="3"/>
      <c r="AD45" s="3"/>
      <c r="AE45" s="3"/>
      <c r="AF45" s="3"/>
      <c r="AG45" s="3"/>
      <c r="AH45" s="3"/>
      <c r="AI45" s="1" t="b">
        <v>0</v>
      </c>
      <c r="AJ45" s="1" t="b">
        <v>0</v>
      </c>
      <c r="AK45" s="1" t="s">
        <v>1085</v>
      </c>
      <c r="AL45" s="1" t="s">
        <v>714</v>
      </c>
      <c r="AM45" s="1" t="s">
        <v>715</v>
      </c>
      <c r="AN45" s="1" t="s">
        <v>702</v>
      </c>
      <c r="AO45" s="1" t="s">
        <v>1085</v>
      </c>
      <c r="AP45" s="1" t="s">
        <v>756</v>
      </c>
      <c r="AQ45" s="1" t="s">
        <v>704</v>
      </c>
      <c r="AR45" s="1">
        <v>10.0</v>
      </c>
      <c r="AS45" s="3"/>
      <c r="AT45" s="3"/>
      <c r="AU45" s="3"/>
      <c r="AV45" s="3"/>
      <c r="AW45" s="3"/>
      <c r="AX45" s="3"/>
      <c r="AY45" s="3"/>
      <c r="AZ45" s="3"/>
      <c r="BA45" s="3"/>
      <c r="BB45" s="3"/>
      <c r="BC45" s="3"/>
      <c r="BD45" s="3"/>
      <c r="BE45" s="1" t="b">
        <v>1</v>
      </c>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row>
    <row r="46">
      <c r="A46" s="1" t="s">
        <v>121</v>
      </c>
      <c r="B46" s="1" t="s">
        <v>117</v>
      </c>
      <c r="C46" s="1" t="s">
        <v>117</v>
      </c>
      <c r="D46" s="3"/>
      <c r="E46" s="3"/>
      <c r="F46" s="3"/>
      <c r="G46" s="3"/>
      <c r="H46" s="3"/>
      <c r="I46" s="1" t="s">
        <v>777</v>
      </c>
      <c r="J46" s="1" t="s">
        <v>1086</v>
      </c>
      <c r="K46" s="3">
        <f>+821072020235</f>
        <v>821072020235</v>
      </c>
      <c r="L46" s="3"/>
      <c r="M46" s="3"/>
      <c r="N46" s="3"/>
      <c r="O46" s="3"/>
      <c r="P46" s="1" t="s">
        <v>1087</v>
      </c>
      <c r="Q46" s="1" t="b">
        <v>0</v>
      </c>
      <c r="R46" s="1">
        <v>1.0</v>
      </c>
      <c r="S46" s="1" t="s">
        <v>761</v>
      </c>
      <c r="T46" s="3"/>
      <c r="U46" s="1" t="s">
        <v>694</v>
      </c>
      <c r="V46" s="1" t="s">
        <v>695</v>
      </c>
      <c r="W46" s="1" t="s">
        <v>1088</v>
      </c>
      <c r="X46" s="1" t="b">
        <v>0</v>
      </c>
      <c r="Y46" s="1" t="s">
        <v>697</v>
      </c>
      <c r="Z46" s="1" t="s">
        <v>1088</v>
      </c>
      <c r="AB46" s="3"/>
      <c r="AC46" s="3"/>
      <c r="AD46" s="3"/>
      <c r="AE46" s="3"/>
      <c r="AF46" s="3"/>
      <c r="AG46" s="3"/>
      <c r="AH46" s="3"/>
      <c r="AI46" s="1" t="b">
        <v>0</v>
      </c>
      <c r="AJ46" s="1" t="b">
        <v>0</v>
      </c>
      <c r="AK46" s="1" t="s">
        <v>1089</v>
      </c>
      <c r="AL46" s="1" t="s">
        <v>1090</v>
      </c>
      <c r="AM46" s="1" t="s">
        <v>823</v>
      </c>
      <c r="AN46" s="1" t="s">
        <v>716</v>
      </c>
      <c r="AO46" s="1" t="s">
        <v>1088</v>
      </c>
      <c r="AP46" s="1" t="s">
        <v>717</v>
      </c>
      <c r="AQ46" s="1" t="s">
        <v>718</v>
      </c>
      <c r="AR46" s="1">
        <v>1.0</v>
      </c>
      <c r="AS46" s="3"/>
      <c r="AT46" s="3"/>
      <c r="AU46" s="3"/>
      <c r="AV46" s="3"/>
      <c r="AW46" s="3"/>
      <c r="AX46" s="3"/>
      <c r="AY46" s="3"/>
      <c r="AZ46" s="3"/>
      <c r="BA46" s="3"/>
      <c r="BB46" s="3"/>
      <c r="BC46" s="3"/>
      <c r="BD46" s="3"/>
      <c r="BE46" s="1" t="b">
        <v>1</v>
      </c>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row>
    <row r="47">
      <c r="A47" s="1" t="s">
        <v>186</v>
      </c>
      <c r="B47" s="1" t="s">
        <v>183</v>
      </c>
      <c r="C47" s="1" t="s">
        <v>183</v>
      </c>
      <c r="D47" s="1" t="s">
        <v>810</v>
      </c>
      <c r="E47" s="1" t="s">
        <v>1091</v>
      </c>
      <c r="F47" s="1" t="s">
        <v>1092</v>
      </c>
      <c r="G47" s="3"/>
      <c r="H47" s="3"/>
      <c r="I47" s="1" t="s">
        <v>838</v>
      </c>
      <c r="J47" s="1" t="s">
        <v>1093</v>
      </c>
      <c r="K47" s="3">
        <f>+821034207919</f>
        <v>821034207919</v>
      </c>
      <c r="L47" s="3"/>
      <c r="M47" s="3"/>
      <c r="N47" s="3"/>
      <c r="O47" s="3"/>
      <c r="P47" s="1">
        <v>1.11352503E8</v>
      </c>
      <c r="Q47" s="1" t="b">
        <v>1</v>
      </c>
      <c r="R47" s="1">
        <v>45.0</v>
      </c>
      <c r="S47" s="1" t="s">
        <v>1094</v>
      </c>
      <c r="T47" s="3"/>
      <c r="U47" s="1" t="s">
        <v>694</v>
      </c>
      <c r="V47" s="1" t="s">
        <v>695</v>
      </c>
      <c r="W47" s="1" t="s">
        <v>1095</v>
      </c>
      <c r="X47" s="1" t="b">
        <v>0</v>
      </c>
      <c r="Y47" s="1" t="s">
        <v>697</v>
      </c>
      <c r="Z47" s="1" t="s">
        <v>1096</v>
      </c>
      <c r="AB47" s="3"/>
      <c r="AC47" s="3"/>
      <c r="AD47" s="3"/>
      <c r="AE47" s="3"/>
      <c r="AF47" s="3"/>
      <c r="AG47" s="3"/>
      <c r="AH47" s="3"/>
      <c r="AI47" s="1" t="b">
        <v>0</v>
      </c>
      <c r="AJ47" s="1" t="b">
        <v>0</v>
      </c>
      <c r="AK47" s="1" t="s">
        <v>1097</v>
      </c>
      <c r="AL47" s="1" t="s">
        <v>1098</v>
      </c>
      <c r="AM47" s="1" t="s">
        <v>701</v>
      </c>
      <c r="AN47" s="1" t="s">
        <v>702</v>
      </c>
      <c r="AO47" s="1" t="s">
        <v>1096</v>
      </c>
      <c r="AP47" s="1" t="s">
        <v>703</v>
      </c>
      <c r="AQ47" s="1" t="s">
        <v>704</v>
      </c>
      <c r="AR47" s="1">
        <v>45.0</v>
      </c>
      <c r="AS47" s="3"/>
      <c r="AT47" s="3"/>
      <c r="AU47" s="4" t="s">
        <v>1099</v>
      </c>
      <c r="BC47" s="3"/>
      <c r="BD47" s="3"/>
      <c r="BE47" s="1" t="b">
        <v>1</v>
      </c>
      <c r="BF47" s="3"/>
      <c r="BG47" s="3"/>
      <c r="BH47" s="3"/>
      <c r="BI47" s="3"/>
      <c r="BJ47" s="3"/>
      <c r="BK47" s="4" t="s">
        <v>994</v>
      </c>
      <c r="BL47" s="1" t="s">
        <v>720</v>
      </c>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row>
  </sheetData>
  <mergeCells count="117">
    <mergeCell ref="BK11:BL11"/>
    <mergeCell ref="BK12:BL12"/>
    <mergeCell ref="BK13:BL13"/>
    <mergeCell ref="BK14:BL14"/>
    <mergeCell ref="BK15:BL15"/>
    <mergeCell ref="BK16:BL16"/>
    <mergeCell ref="BK18:BL18"/>
    <mergeCell ref="BK19:BM19"/>
    <mergeCell ref="BK20:BL20"/>
    <mergeCell ref="BI27:BJ27"/>
    <mergeCell ref="BK27:BL27"/>
    <mergeCell ref="BK28:BL28"/>
    <mergeCell ref="BK31:BL31"/>
    <mergeCell ref="BK33:BL33"/>
    <mergeCell ref="BL44:BN44"/>
    <mergeCell ref="BL47:BN47"/>
    <mergeCell ref="BK35:BL35"/>
    <mergeCell ref="BK36:BL36"/>
    <mergeCell ref="BK37:BL37"/>
    <mergeCell ref="BK40:BL40"/>
    <mergeCell ref="BK41:BL41"/>
    <mergeCell ref="BL42:BN42"/>
    <mergeCell ref="BK43:BM43"/>
    <mergeCell ref="Z18:AA18"/>
    <mergeCell ref="Z19:AA19"/>
    <mergeCell ref="Z20:AA20"/>
    <mergeCell ref="S21:T21"/>
    <mergeCell ref="Z21:AA21"/>
    <mergeCell ref="Z22:AA22"/>
    <mergeCell ref="Z23:AA23"/>
    <mergeCell ref="Z24:AA24"/>
    <mergeCell ref="Z25:AA25"/>
    <mergeCell ref="Z27:AA27"/>
    <mergeCell ref="Z28:AA28"/>
    <mergeCell ref="Z29:AA29"/>
    <mergeCell ref="Z30:AA30"/>
    <mergeCell ref="Z31:AA31"/>
    <mergeCell ref="Z41:AA41"/>
    <mergeCell ref="Z42:AA42"/>
    <mergeCell ref="Z43:AA43"/>
    <mergeCell ref="Z44:AA44"/>
    <mergeCell ref="Z45:AA45"/>
    <mergeCell ref="Z46:AA46"/>
    <mergeCell ref="Z47:AA47"/>
    <mergeCell ref="Z33:AA33"/>
    <mergeCell ref="Z35:AA35"/>
    <mergeCell ref="Z36:AA36"/>
    <mergeCell ref="Z37:AA37"/>
    <mergeCell ref="Z38:AA38"/>
    <mergeCell ref="Z39:AA39"/>
    <mergeCell ref="Z40:AA40"/>
    <mergeCell ref="AU5:AV5"/>
    <mergeCell ref="AU6:AZ6"/>
    <mergeCell ref="AU8:AV8"/>
    <mergeCell ref="AU9:AV9"/>
    <mergeCell ref="AU12:AV12"/>
    <mergeCell ref="AU13:AV13"/>
    <mergeCell ref="AU15:AV15"/>
    <mergeCell ref="AU33:BA33"/>
    <mergeCell ref="AU35:AV35"/>
    <mergeCell ref="AU36:AV36"/>
    <mergeCell ref="AU37:BD37"/>
    <mergeCell ref="AU40:AV40"/>
    <mergeCell ref="AU42:BA42"/>
    <mergeCell ref="AU43:AW43"/>
    <mergeCell ref="AU47:BB47"/>
    <mergeCell ref="AU16:AV16"/>
    <mergeCell ref="AU18:AV18"/>
    <mergeCell ref="AU19:AV19"/>
    <mergeCell ref="AU20:AV20"/>
    <mergeCell ref="AU21:BA21"/>
    <mergeCell ref="AU25:AV25"/>
    <mergeCell ref="AZ29:BA29"/>
    <mergeCell ref="Z2:AA2"/>
    <mergeCell ref="S3:T3"/>
    <mergeCell ref="Z3:AA3"/>
    <mergeCell ref="AU3:AV3"/>
    <mergeCell ref="Z4:AA4"/>
    <mergeCell ref="Z5:AA5"/>
    <mergeCell ref="J7:K7"/>
    <mergeCell ref="Z6:AA6"/>
    <mergeCell ref="Z7:AA7"/>
    <mergeCell ref="Z8:AA8"/>
    <mergeCell ref="Z9:AA9"/>
    <mergeCell ref="J10:K10"/>
    <mergeCell ref="Z10:AA10"/>
    <mergeCell ref="Z11:AA11"/>
    <mergeCell ref="BK21:BM21"/>
    <mergeCell ref="BK24:BL24"/>
    <mergeCell ref="BK25:BL25"/>
    <mergeCell ref="BK29:BL29"/>
    <mergeCell ref="BK30:BL30"/>
    <mergeCell ref="BK32:BL32"/>
    <mergeCell ref="BK34:BL34"/>
    <mergeCell ref="BL3:BN3"/>
    <mergeCell ref="BK5:BL5"/>
    <mergeCell ref="BK6:BL6"/>
    <mergeCell ref="BK7:BL7"/>
    <mergeCell ref="BK8:BL8"/>
    <mergeCell ref="BL9:BN9"/>
    <mergeCell ref="BK10:BL10"/>
    <mergeCell ref="J26:K26"/>
    <mergeCell ref="Z26:AA26"/>
    <mergeCell ref="J32:K32"/>
    <mergeCell ref="Z32:AA32"/>
    <mergeCell ref="J34:K34"/>
    <mergeCell ref="Z34:AA34"/>
    <mergeCell ref="Z12:AA12"/>
    <mergeCell ref="Z13:AA13"/>
    <mergeCell ref="Z14:AA14"/>
    <mergeCell ref="Z15:AA15"/>
    <mergeCell ref="Z16:AA16"/>
    <mergeCell ref="Z17:AA17"/>
    <mergeCell ref="J19:K19"/>
    <mergeCell ref="AU30:AV30"/>
    <mergeCell ref="AU32:AV32"/>
    <mergeCell ref="AU34:AV34"/>
  </mergeCells>
  <hyperlinks>
    <hyperlink r:id="rId1" ref="C1"/>
    <hyperlink r:id="rId2" ref="AU2"/>
    <hyperlink r:id="rId3" ref="BK2"/>
    <hyperlink r:id="rId4" ref="AU3"/>
    <hyperlink r:id="rId5" ref="BK3"/>
    <hyperlink r:id="rId6" ref="AU5"/>
    <hyperlink r:id="rId7" ref="BK5"/>
    <hyperlink r:id="rId8" ref="AU6"/>
    <hyperlink r:id="rId9" ref="BK6"/>
    <hyperlink r:id="rId10" ref="AU7"/>
    <hyperlink r:id="rId11" ref="BK7"/>
    <hyperlink r:id="rId12" ref="AU8"/>
    <hyperlink r:id="rId13" ref="BK8"/>
    <hyperlink r:id="rId14" ref="AU9"/>
    <hyperlink r:id="rId15" ref="BK9"/>
    <hyperlink r:id="rId16" ref="AU10"/>
    <hyperlink r:id="rId17" ref="BK10"/>
    <hyperlink r:id="rId18" ref="AU11"/>
    <hyperlink r:id="rId19" ref="BK11"/>
    <hyperlink r:id="rId20" ref="AU12"/>
    <hyperlink r:id="rId21" ref="BK12"/>
    <hyperlink r:id="rId22" ref="AU13"/>
    <hyperlink r:id="rId23" ref="BK13"/>
    <hyperlink r:id="rId24" ref="AU14"/>
    <hyperlink r:id="rId25" ref="BK14"/>
    <hyperlink r:id="rId26" ref="AU15"/>
    <hyperlink r:id="rId27" ref="BK15"/>
    <hyperlink r:id="rId28" ref="AU16"/>
    <hyperlink r:id="rId29" ref="BK16"/>
    <hyperlink r:id="rId30" ref="AU18"/>
    <hyperlink r:id="rId31" ref="BK18"/>
    <hyperlink r:id="rId32" ref="AU19"/>
    <hyperlink r:id="rId33" ref="BK19"/>
    <hyperlink r:id="rId34" ref="AU20"/>
    <hyperlink r:id="rId35" ref="BK20"/>
    <hyperlink r:id="rId36" ref="AU21"/>
    <hyperlink r:id="rId37" ref="BK21"/>
    <hyperlink r:id="rId38" ref="AU24"/>
    <hyperlink r:id="rId39" ref="BK24"/>
    <hyperlink r:id="rId40" ref="AU25"/>
    <hyperlink r:id="rId41" ref="BK25"/>
    <hyperlink r:id="rId42" ref="AU27"/>
    <hyperlink r:id="rId43" ref="BK27"/>
    <hyperlink r:id="rId44" ref="AU28"/>
    <hyperlink r:id="rId45" ref="BK28"/>
    <hyperlink r:id="rId46" ref="AU29"/>
    <hyperlink r:id="rId47" ref="BK29"/>
    <hyperlink r:id="rId48" ref="AU30"/>
    <hyperlink r:id="rId49" ref="BK30"/>
    <hyperlink r:id="rId50" ref="AU31"/>
    <hyperlink r:id="rId51" ref="BK31"/>
    <hyperlink r:id="rId52" ref="AU32"/>
    <hyperlink r:id="rId53" ref="BK32"/>
    <hyperlink r:id="rId54" ref="AU33"/>
    <hyperlink r:id="rId55" ref="BK33"/>
    <hyperlink r:id="rId56" ref="AU34"/>
    <hyperlink r:id="rId57" ref="BK34"/>
    <hyperlink r:id="rId58" ref="AU35"/>
    <hyperlink r:id="rId59" ref="BK35"/>
    <hyperlink r:id="rId60" ref="AU36"/>
    <hyperlink r:id="rId61" ref="BK36"/>
    <hyperlink r:id="rId62" ref="AU37"/>
    <hyperlink r:id="rId63" ref="BK37"/>
    <hyperlink r:id="rId64" ref="AU40"/>
    <hyperlink r:id="rId65" ref="BK40"/>
    <hyperlink r:id="rId66" ref="AU41"/>
    <hyperlink r:id="rId67" ref="BK41"/>
    <hyperlink r:id="rId68" ref="AU42"/>
    <hyperlink r:id="rId69" ref="BK42"/>
    <hyperlink r:id="rId70" ref="AU43"/>
    <hyperlink r:id="rId71" ref="BK43"/>
    <hyperlink r:id="rId72" ref="AU44"/>
    <hyperlink r:id="rId73" ref="BK44"/>
    <hyperlink r:id="rId74" ref="AU47"/>
    <hyperlink r:id="rId75" ref="BK47"/>
  </hyperlinks>
  <drawing r:id="rId76"/>
</worksheet>
</file>