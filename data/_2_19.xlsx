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Chat" sheetId="1" r:id="rId5"/>
    <sheet state="visible" name="Message data" sheetId="2" r:id="rId6"/>
    <sheet state="visible" name="User data" sheetId="3" r:id="rId7"/>
  </sheets>
  <definedNames/>
  <calcPr/>
</workbook>
</file>

<file path=xl/sharedStrings.xml><?xml version="1.0" encoding="utf-8"?>
<sst xmlns="http://schemas.openxmlformats.org/spreadsheetml/2006/main" count="26335" uniqueCount="7245">
  <si>
    <t>id</t>
  </si>
  <si>
    <t>managedAt</t>
  </si>
  <si>
    <t>법인명</t>
  </si>
  <si>
    <t>사업자번호</t>
  </si>
  <si>
    <t>name</t>
  </si>
  <si>
    <t>title</t>
  </si>
  <si>
    <t>description</t>
  </si>
  <si>
    <t>summarizedMessage</t>
  </si>
  <si>
    <t>tags</t>
  </si>
  <si>
    <t>priority</t>
  </si>
  <si>
    <t>direction</t>
  </si>
  <si>
    <t>sync</t>
  </si>
  <si>
    <t>page</t>
  </si>
  <si>
    <t>userId</t>
  </si>
  <si>
    <t>assigneeId</t>
  </si>
  <si>
    <t>firstAssigneeId</t>
  </si>
  <si>
    <t>assigneeIdAtFirstClose</t>
  </si>
  <si>
    <t>managerIds</t>
  </si>
  <si>
    <t>teamId</t>
  </si>
  <si>
    <t>mediumType</t>
  </si>
  <si>
    <t>mediumName</t>
  </si>
  <si>
    <t>mediumSenderName</t>
  </si>
  <si>
    <t>state</t>
  </si>
  <si>
    <t>missedReason</t>
  </si>
  <si>
    <t>goalState</t>
  </si>
  <si>
    <t>goalCheckedAt</t>
  </si>
  <si>
    <t>everOpened</t>
  </si>
  <si>
    <t>reopened</t>
  </si>
  <si>
    <t>reassigned</t>
  </si>
  <si>
    <t>workflowTriggered</t>
  </si>
  <si>
    <t>alfTriggered</t>
  </si>
  <si>
    <t>replyCount</t>
  </si>
  <si>
    <t>replyCountInOperation</t>
  </si>
  <si>
    <t>reopenCount</t>
  </si>
  <si>
    <t>reassignmentCount</t>
  </si>
  <si>
    <t>createdAt</t>
  </si>
  <si>
    <t>updatedAt</t>
  </si>
  <si>
    <t>firstWorkflowStartedAt</t>
  </si>
  <si>
    <t>firstAskedAt</t>
  </si>
  <si>
    <t>firstAlfStartedAt</t>
  </si>
  <si>
    <t>firstAlfEndedAt</t>
  </si>
  <si>
    <t>firstWorkflowEndedAt</t>
  </si>
  <si>
    <t>firstQueueInAt</t>
  </si>
  <si>
    <t>queuedAt</t>
  </si>
  <si>
    <t>firstQueueOutAt</t>
  </si>
  <si>
    <t>firstOpenedAt</t>
  </si>
  <si>
    <t>openedAt</t>
  </si>
  <si>
    <t>firstMissedAt</t>
  </si>
  <si>
    <t>missedAt</t>
  </si>
  <si>
    <t>firstAssignedAt</t>
  </si>
  <si>
    <t>firstActiveAt</t>
  </si>
  <si>
    <t>firstAnsweredAt</t>
  </si>
  <si>
    <t>repliedAt</t>
  </si>
  <si>
    <t>snoozedAt</t>
  </si>
  <si>
    <t>firstClosedAt</t>
  </si>
  <si>
    <t>closedAt</t>
  </si>
  <si>
    <t>totalReplyTime</t>
  </si>
  <si>
    <t>totalReplyTimeInOperation</t>
  </si>
  <si>
    <t>avgReplyTime</t>
  </si>
  <si>
    <t>avgReplyTimeInOperation</t>
  </si>
  <si>
    <t>totalSnoozedTime</t>
  </si>
  <si>
    <t>totalSnoozedTimeInOperation</t>
  </si>
  <si>
    <t>firstQueueTime</t>
  </si>
  <si>
    <t>firstQueueTimeInOperation</t>
  </si>
  <si>
    <t>timeToFirstAssignment</t>
  </si>
  <si>
    <t>timeToFirstAssignmentInOperation</t>
  </si>
  <si>
    <t>timeToFirstAnswer</t>
  </si>
  <si>
    <t>timeToFirstAnswerInOperation</t>
  </si>
  <si>
    <t>timeFromFirstAskToFirstAnswer</t>
  </si>
  <si>
    <t>timeFromFirstAskToFirstAnswerInOperation</t>
  </si>
  <si>
    <t>timeFromFirstAssignmentToFirstAnswer</t>
  </si>
  <si>
    <t>timeFromFirstAssignmentToFirstAnswerInOperation</t>
  </si>
  <si>
    <t>timeFromFirstActiveToFirstAnswer</t>
  </si>
  <si>
    <t>timeFromFirstActiveToFirstAnswerInOperation</t>
  </si>
  <si>
    <t>timeFromFirstOpenToFirstAnswer</t>
  </si>
  <si>
    <t>timeFromFirstOpenToFirstAnswerInOperation</t>
  </si>
  <si>
    <t>timeToFirstClose</t>
  </si>
  <si>
    <t>timeToFirstCloseInOperation</t>
  </si>
  <si>
    <t>timeToClose</t>
  </si>
  <si>
    <t>timeToCloseInOperation</t>
  </si>
  <si>
    <t>timeFromFirstAskToFirstClose</t>
  </si>
  <si>
    <t>timeFromFirstAskToFirstCloseInOperation</t>
  </si>
  <si>
    <t>timeFromFirstAssignmentToFirstClose</t>
  </si>
  <si>
    <t>timeFromFirstAssignmentToFirstCloseInOperation</t>
  </si>
  <si>
    <t>timeFromFirstActiveToFirstClose</t>
  </si>
  <si>
    <t>timeFromFirstActiveToFirstCloseInOperation</t>
  </si>
  <si>
    <t>timeFromFirstOpenToFirstClose</t>
  </si>
  <si>
    <t>timeFromFirstOpenToFirstCloseInOperation</t>
  </si>
  <si>
    <t>memberHandlingTime</t>
  </si>
  <si>
    <t>memberHandlingTimeInOperation</t>
  </si>
  <si>
    <t>firstMemberHandlingTime</t>
  </si>
  <si>
    <t>firstMemberHandlingTimeInOperation</t>
  </si>
  <si>
    <t>workflowHandlingTime</t>
  </si>
  <si>
    <t>alfHandlingTime</t>
  </si>
  <si>
    <t>alfCxScore</t>
  </si>
  <si>
    <t>url</t>
  </si>
  <si>
    <t>profile.csat</t>
  </si>
  <si>
    <t>profile.csatComment</t>
  </si>
  <si>
    <t>6996f5f607c5323d04fc</t>
  </si>
  <si>
    <t>김지원</t>
  </si>
  <si>
    <t>medium</t>
  </si>
  <si>
    <t>INBOUND</t>
  </si>
  <si>
    <t>https://www.gowid.com</t>
  </si>
  <si>
    <t>69965e75e7898f2d426e</t>
  </si>
  <si>
    <t>native</t>
  </si>
  <si>
    <t>initial</t>
  </si>
  <si>
    <t>waiting</t>
  </si>
  <si>
    <t>https://desk.channel.io/gowid/user-chats/6996f5f607c5323d04fc</t>
  </si>
  <si>
    <t>6996e18029ec011e9717</t>
  </si>
  <si>
    <t>베이글 219</t>
  </si>
  <si>
    <t>6996e0e650385b354543</t>
  </si>
  <si>
    <t>https://desk.channel.io/gowid/user-chats/6996e18029ec011e9717</t>
  </si>
  <si>
    <t>6996e105f22aec26e769</t>
  </si>
  <si>
    <t>최진주</t>
  </si>
  <si>
    <t>[상담요약]
 - 고객사: 고위드
 - 문의요약: 고위드 탈퇴 요청
 - 문의유형: 해지
 - impact: L2
 - 처리내용: 고객 탈퇴 절차 안내, 의견 수렴
 - 결과: 상담 종료
 - 후속조치: 유선 연락 예정, 탈퇴 절차 진행</t>
  </si>
  <si>
    <t>탈회·탈퇴</t>
  </si>
  <si>
    <t>6996e0ba1115cac5d834</t>
  </si>
  <si>
    <t>594863, 607950</t>
  </si>
  <si>
    <t>closed</t>
  </si>
  <si>
    <t>none</t>
  </si>
  <si>
    <t>https://desk.channel.io/gowid/user-chats/6996e105f22aec26e769</t>
  </si>
  <si>
    <t>6996de144eda6fa56870</t>
  </si>
  <si>
    <t>권대화</t>
  </si>
  <si>
    <t>68db916bd8428156f1aa</t>
  </si>
  <si>
    <t>https://desk.channel.io/gowid/user-chats/6996de144eda6fa56870</t>
  </si>
  <si>
    <t>6996d57bbaa55f0e7c31</t>
  </si>
  <si>
    <t>장한솔</t>
  </si>
  <si>
    <t>[상담요약]
 - 고객사: 고위드
 - 문의요약: 법인 카드 결제 문제
 - 문의유형: 결제 관련
 - impact: L1
 - 처리내용: 카드 결제가 되지 않음, 한도 심사 완료
 - 결과: 담당자 안내 후 문제 해결 여부 확인
 - 후속조치: 추가 문의는 새 창에서 요청</t>
  </si>
  <si>
    <t>카드/한도상하향/오류</t>
  </si>
  <si>
    <t>67049b48d2f96f870032</t>
  </si>
  <si>
    <t>540030, 574085, 607950</t>
  </si>
  <si>
    <t>https://desk.channel.io/gowid/user-chats/6996d57bbaa55f0e7c31</t>
  </si>
  <si>
    <t>6996ce7029650198cbd4</t>
  </si>
  <si>
    <t>신혜서</t>
  </si>
  <si>
    <t>686b52afe94e86d525a9</t>
  </si>
  <si>
    <t>https://desk.channel.io/gowid/user-chats/6996ce7029650198cbd4</t>
  </si>
  <si>
    <t>6996cd3338319030d407</t>
  </si>
  <si>
    <t>박지민</t>
  </si>
  <si>
    <t>67f4efbd2d771506b220</t>
  </si>
  <si>
    <t>https://desk.channel.io/gowid/user-chats/6996cd3338319030d407</t>
  </si>
  <si>
    <t>697c672b52de5a403c86</t>
  </si>
  <si>
    <t>유화연</t>
  </si>
  <si>
    <t>[상담요약]
 - 고객사: 고위드
 - 문의요약: 회사 사무실 관리비 카드 자동 납부 가능 여부
 - 문의유형: 카드 이용 관련
 - impact: L2
 - 처리내용: 자동 납부 기능 신청 불가 안내, 신한카드 고객센터 번호 제공
 - 결과: 문제 해결 방법 안내
 - 후속조치: 추가 문의 가능 안내</t>
  </si>
  <si>
    <t>지출관리/카드관리</t>
  </si>
  <si>
    <t>681b3720f177b6c20783</t>
  </si>
  <si>
    <t>574085, 607950</t>
  </si>
  <si>
    <t>https://desk.channel.io/gowid/user-chats/697c672b52de5a403c86</t>
  </si>
  <si>
    <t>6996cb0be0a6e6c19f53</t>
  </si>
  <si>
    <t>풋볼 754</t>
  </si>
  <si>
    <t>신규발급(오류)</t>
  </si>
  <si>
    <t>6996c313ed0bfe931579</t>
  </si>
  <si>
    <t>opened</t>
  </si>
  <si>
    <t>https://desk.channel.io/gowid/user-chats/6996cb0be0a6e6c19f53</t>
  </si>
  <si>
    <t>6996c38339acf66f73db</t>
  </si>
  <si>
    <t>우산 411</t>
  </si>
  <si>
    <t>6996a9d33aac31bd8158</t>
  </si>
  <si>
    <t>https://desk.channel.io/gowid/user-chats/6996c38339acf66f73db</t>
  </si>
  <si>
    <t>6996b9fb528495ca8c69</t>
  </si>
  <si>
    <t>이상희</t>
  </si>
  <si>
    <t>문의 내용이 15글자 이하이므로 요약할 내용이 없습니다.</t>
  </si>
  <si>
    <t>698c0ad19c6b7bb05487</t>
  </si>
  <si>
    <t>https://desk.channel.io/gowid/user-chats/6996b9fb528495ca8c69</t>
  </si>
  <si>
    <t>6996b8ff711dff23d7ae</t>
  </si>
  <si>
    <t>오진연</t>
  </si>
  <si>
    <t>698e6abe35dc2af1bcf2</t>
  </si>
  <si>
    <t>https://desk.channel.io/gowid/user-chats/6996b8ff711dff23d7ae</t>
  </si>
  <si>
    <t>6996b2968cf1975c3cb5</t>
  </si>
  <si>
    <t>팔레트 582</t>
  </si>
  <si>
    <t>6996a69cd3ca03317e6e</t>
  </si>
  <si>
    <t>https://desk.channel.io/gowid/user-chats/6996b2968cf1975c3cb5</t>
  </si>
  <si>
    <t>6996b047df5bc0d1ba53</t>
  </si>
  <si>
    <t>주식회사 트위넬</t>
  </si>
  <si>
    <t>[상담요약]
 - 고객사: 고위드
 - 문의요약: 멤버 정보 변경 요청
 - 문의유형: 정보 수정
 - impact: L2
 - 처리내용: 회원가입 미완료 확인
 - 결과: 정보 수정 불가
 - 후속조치: 회원가입 완료 후 이메일로 변경 지원</t>
  </si>
  <si>
    <t>OUTBOUND</t>
  </si>
  <si>
    <t>6996af79a1277aaaf40a</t>
  </si>
  <si>
    <t>email</t>
  </si>
  <si>
    <t>snoozed</t>
  </si>
  <si>
    <t>https://desk.channel.io/gowid/user-chats/6996b047df5bc0d1ba53</t>
  </si>
  <si>
    <t>6996af7c373f0a18ddaf</t>
  </si>
  <si>
    <t>[상담요약]
 - 고객사: 
 - 문의요약: 메일 주소 오류
 - 문의유형: 정보 수정 요청
 - impact: L1
 - 처리내용: 고객의 메일 주소 확인, 멤버 정보 변경 요청
 - 결과: 법인명과 사업자 번호 요청
 - 후속조치: 고객의 추가 정보 대기</t>
  </si>
  <si>
    <t>https://gowid.channel.io</t>
  </si>
  <si>
    <t>https://desk.channel.io/gowid/user-chats/6996af7c373f0a18ddaf</t>
  </si>
  <si>
    <t>6996ac71bcd572c171f4</t>
  </si>
  <si>
    <t>김동은</t>
  </si>
  <si>
    <t>69857160abf7ab10bf7b</t>
  </si>
  <si>
    <t>https://desk.channel.io/gowid/user-chats/6996ac71bcd572c171f4</t>
  </si>
  <si>
    <t>6996ac37bdf4850a6fb0</t>
  </si>
  <si>
    <t>서호진</t>
  </si>
  <si>
    <t>686c7842bdfc6fd158a6</t>
  </si>
  <si>
    <t>https://desk.channel.io/gowid/user-chats/6996ac37bdf4850a6fb0</t>
  </si>
  <si>
    <t>6996a8437d5b72bf1640</t>
  </si>
  <si>
    <t>류지현</t>
  </si>
  <si>
    <t>65d6a61a8181fd32e65c</t>
  </si>
  <si>
    <t>https://desk.channel.io/gowid/user-chats/6996a8437d5b72bf1640</t>
  </si>
  <si>
    <t>6996a5d9e42382cabfa6</t>
  </si>
  <si>
    <t>신지은</t>
  </si>
  <si>
    <t>6711e6d10bd2776ab6b3</t>
  </si>
  <si>
    <t>https://desk.channel.io/gowid/user-chats/6996a5d9e42382cabfa6</t>
  </si>
  <si>
    <t>6996a5c85da03308cb7d</t>
  </si>
  <si>
    <t>양해민</t>
  </si>
  <si>
    <t>65d2e377ef7151c31c25</t>
  </si>
  <si>
    <t>https://desk.channel.io/gowid/user-chats/6996a5c85da03308cb7d</t>
  </si>
  <si>
    <t>6996a5821c6300cff115</t>
  </si>
  <si>
    <t>박준성</t>
  </si>
  <si>
    <t>696f31eeae4409bc6c96</t>
  </si>
  <si>
    <t>https://desk.channel.io/gowid/user-chats/6996a5821c6300cff115</t>
  </si>
  <si>
    <t>6996a3f63e6dfd8a17ef</t>
  </si>
  <si>
    <t>정진미</t>
  </si>
  <si>
    <t>69967cd2267eb0097db1</t>
  </si>
  <si>
    <t>https://desk.channel.io/gowid/user-chats/6996a3f63e6dfd8a17ef</t>
  </si>
  <si>
    <t>6996a1db5dfe1fb7581c</t>
  </si>
  <si>
    <t>박다솜</t>
  </si>
  <si>
    <t>6909a9ef55643f86a4d0</t>
  </si>
  <si>
    <t>https://desk.channel.io/gowid/user-chats/6996a1db5dfe1fb7581c</t>
  </si>
  <si>
    <t>69969b9781793e8a72d7</t>
  </si>
  <si>
    <t>정한길</t>
  </si>
  <si>
    <t>6954cdaf9c0ee46a027b</t>
  </si>
  <si>
    <t>https://desk.channel.io/gowid/user-chats/69969b9781793e8a72d7</t>
  </si>
  <si>
    <t>69969a5fe1fc17b96564</t>
  </si>
  <si>
    <t>백한열</t>
  </si>
  <si>
    <t>69969a3eada6ff84cc1d</t>
  </si>
  <si>
    <t>https://desk.channel.io/gowid/user-chats/69969a5fe1fc17b96564</t>
  </si>
  <si>
    <t>6996945158bb08e6d581</t>
  </si>
  <si>
    <t>박이훈</t>
  </si>
  <si>
    <t>660b9ca16bc23e2402b8</t>
  </si>
  <si>
    <t>https://desk.channel.io/gowid/user-chats/6996945158bb08e6d581</t>
  </si>
  <si>
    <t>6996900cec4cc2ff1764</t>
  </si>
  <si>
    <t>서강민</t>
  </si>
  <si>
    <t>6684d193243ee7c2e826</t>
  </si>
  <si>
    <t>https://desk.channel.io/gowid/user-chats/6996900cec4cc2ff1764</t>
  </si>
  <si>
    <t>6996900132e6ee07c769</t>
  </si>
  <si>
    <t>https://desk.channel.io/gowid/user-chats/6996900132e6ee07c769</t>
  </si>
  <si>
    <t>69968b6fc41146c130e6</t>
  </si>
  <si>
    <t>황중식</t>
  </si>
  <si>
    <t>요약할 내용이 없습니다.</t>
  </si>
  <si>
    <t>멤버관리(단순문의)</t>
  </si>
  <si>
    <t>698d2dc165342e2d8c0e</t>
  </si>
  <si>
    <t>https://desk.channel.io/gowid/user-chats/69968b6fc41146c130e6</t>
  </si>
  <si>
    <t>6996812c771869e2e69b</t>
  </si>
  <si>
    <t>팅커벨 026</t>
  </si>
  <si>
    <t>6996811f9fe00a4391fb</t>
  </si>
  <si>
    <t>https://desk.channel.io/gowid/user-chats/6996812c771869e2e69b</t>
  </si>
  <si>
    <t>699680185446fb920981</t>
  </si>
  <si>
    <t>스타 325</t>
  </si>
  <si>
    <t>https://docs.channel.io/gowid-guide/ko/articles/고위드-법인카드-스펙-안내-a97b7c3f</t>
  </si>
  <si>
    <t>698ed7de08d3482713fe</t>
  </si>
  <si>
    <t>https://desk.channel.io/gowid/user-chats/699680185446fb920981</t>
  </si>
  <si>
    <t>69967bcfa966a7cf3c4d</t>
  </si>
  <si>
    <t>퍼스트캔버스</t>
  </si>
  <si>
    <t>67217a30884027249f64</t>
  </si>
  <si>
    <t>https://desk.channel.io/gowid/user-chats/69967bcfa966a7cf3c4d</t>
  </si>
  <si>
    <t>698d979a04d5b1245178</t>
  </si>
  <si>
    <t>상담 내용이 15글자 이하이므로 요약할 내용이 없습니다.</t>
  </si>
  <si>
    <t>카드/한도상하향</t>
  </si>
  <si>
    <t>https://desk.channel.io/gowid/user-chats/698d979a04d5b1245178</t>
  </si>
  <si>
    <t>69967b01ae8debaaf0de</t>
  </si>
  <si>
    <t>박승표</t>
  </si>
  <si>
    <t>- 고객사: 고위드
 - 문의요약: 상담원 연결 요청 및 탄력 조정 적용 시기 문의
 - 문의유형: 상담 요청
 - impact: L2
 - 처리내용: 상담원과 연결 요청
 - 결과: 대기 중
 - 후속조치: 추가 확인 필요</t>
  </si>
  <si>
    <t>구독/GWS</t>
  </si>
  <si>
    <t>6728a0d15d906aa40765</t>
  </si>
  <si>
    <t>533671, 574085, 594863</t>
  </si>
  <si>
    <t>https://desk.channel.io/gowid/user-chats/69967b01ae8debaaf0de</t>
  </si>
  <si>
    <t>69967a4c2b07490a20c4</t>
  </si>
  <si>
    <t>https://desk.channel.io/gowid/user-chats/69967a4c2b07490a20c4</t>
  </si>
  <si>
    <t>69967989eaefdf6b94b4</t>
  </si>
  <si>
    <t>조명광</t>
  </si>
  <si>
    <t>[상담요약]
 - 고객사: 롯데카드
 - 문의요약: 카드 한도 상향 신청 진행 상황
 - 문의유형: 승인 상태 문의
 - impact: L2
 - 처리내용: 신청 중인 카드 한도 상향 심사 확인
 - 결과: 심사 차주 초 완료 예정, 메일 안내 예정
 - 후속조치: 추가 문의 필요 시 새 창에서 문의</t>
  </si>
  <si>
    <t>695c9837cb14ff9fd3b6</t>
  </si>
  <si>
    <t>https://desk.channel.io/gowid/user-chats/69967989eaefdf6b94b4</t>
  </si>
  <si>
    <t>699675ec3808cb178591</t>
  </si>
  <si>
    <t>이현주</t>
  </si>
  <si>
    <t>[상담요약]
 - 고객사: 
 - 문의요약: 날짜 변경 및 라이선스 추가 요청
 - 문의유형: 라이선스 변경
 - impact: L2
 - 처리내용: 3월 2일에서 3월 3일로 변경, 라이선스 3개 추가 요청
 - 결과: 3월 3일 자정 3개 라이선스 추가 확정
 - 후속조치: 세팅 진행 예정</t>
  </si>
  <si>
    <t>691681b63ec1d5a14061</t>
  </si>
  <si>
    <t>533671, 594863, 607950</t>
  </si>
  <si>
    <t>https://desk.channel.io/gowid/user-chats/699675ec3808cb178591</t>
  </si>
  <si>
    <t>699675f5aa3871542499</t>
  </si>
  <si>
    <t>서진희</t>
  </si>
  <si>
    <t>685a5613b7d1c5e11ae5</t>
  </si>
  <si>
    <t>https://desk.channel.io/gowid/user-chats/699675f5aa3871542499</t>
  </si>
  <si>
    <t>699675b48a63d6b03ed4</t>
  </si>
  <si>
    <t>지소영</t>
  </si>
  <si>
    <t>696db3205e96892e8e31</t>
  </si>
  <si>
    <t>https://desk.channel.io/gowid/user-chats/699675b48a63d6b03ed4</t>
  </si>
  <si>
    <t>69967557ccb0490826ab</t>
  </si>
  <si>
    <t>관리자</t>
  </si>
  <si>
    <t>67bc054f2965018319ee</t>
  </si>
  <si>
    <t>https://desk.channel.io/gowid/user-chats/69967557ccb0490826ab</t>
  </si>
  <si>
    <t>6996725aede844f38879</t>
  </si>
  <si>
    <t>김송아</t>
  </si>
  <si>
    <t>6847c819273b8e1e2e08</t>
  </si>
  <si>
    <t>https://desk.channel.io/gowid/user-chats/6996725aede844f38879</t>
  </si>
  <si>
    <t>69966ed04b12a996b578</t>
  </si>
  <si>
    <t>박혜수</t>
  </si>
  <si>
    <t>695c7fb517780ca87db9</t>
  </si>
  <si>
    <t>https://desk.channel.io/gowid/user-chats/69966ed04b12a996b578</t>
  </si>
  <si>
    <t>69966d7cde84a3ed71c9</t>
  </si>
  <si>
    <t>라로제 어드민</t>
  </si>
  <si>
    <t>679b26c501256631a6b2</t>
  </si>
  <si>
    <t>https://desk.channel.io/gowid/user-chats/69966d7cde84a3ed71c9</t>
  </si>
  <si>
    <t>69966b03377bbcd30756</t>
  </si>
  <si>
    <t>조성원</t>
  </si>
  <si>
    <t>69892b9420897bfe4de5</t>
  </si>
  <si>
    <t>https://desk.channel.io/gowid/user-chats/69966b03377bbcd30756</t>
  </si>
  <si>
    <t>69966ad0db252b7e9f9c</t>
  </si>
  <si>
    <t>Oudi 김현주</t>
  </si>
  <si>
    <t>[상담요약]
 - 고객사: 멤버관리
 - 문의요약: 퇴직자와 신규등록멤버 이메일 주소 겹침 문제
 - 문의유형: 이메일 중복 등록 문제
 - impact: L2
 - 처리내용: 퇴직자의 이메일 주소 변경 진행
 - 결과: 신규 멤버 등록 가능 확인
 - 후속조치: 추가 문의 시 지원 가능</t>
  </si>
  <si>
    <t>멤버관리(정보변경)</t>
  </si>
  <si>
    <t>68fed84e4e23b37f7bcb</t>
  </si>
  <si>
    <t>https://desk.channel.io/gowid/user-chats/69966ad0db252b7e9f9c</t>
  </si>
  <si>
    <t>699669909e77937c8ba7</t>
  </si>
  <si>
    <t>구름 376</t>
  </si>
  <si>
    <t>6996698f265d153e4901</t>
  </si>
  <si>
    <t>https://desk.channel.io/gowid/user-chats/699669909e77937c8ba7</t>
  </si>
  <si>
    <t>69966475af0d81faea0b</t>
  </si>
  <si>
    <t>도우법</t>
  </si>
  <si>
    <t>[상담요약]
 - 고객사: 해당 고객사
 - 문의요약: 계정 생성 시 오류 발생
 - 문의유형: 기술 지원
 - impact: L2
 - 처리내용: 오류 스크린샷 요청, 구글 확인, 시크릿 모드 안내
 - 결과: 고객에게 시크릿 모드 이용 권장, 라이선스 확인
 - 후속조치: 시크릿 모드 진행 후 결과 보고 요청</t>
  </si>
  <si>
    <t>69966098193ab38358d7</t>
  </si>
  <si>
    <t>533671, 574085, 594863, 607950</t>
  </si>
  <si>
    <t>https://desk.channel.io/gowid/user-chats/69966475af0d81faea0b</t>
  </si>
  <si>
    <t>699660087ecb2d6affe6</t>
  </si>
  <si>
    <t>안서현</t>
  </si>
  <si>
    <t>66f53171f11755c05d8c</t>
  </si>
  <si>
    <t>https://desk.channel.io/gowid/user-chats/699660087ecb2d6affe6</t>
  </si>
  <si>
    <t>69965cb527628d271556</t>
  </si>
  <si>
    <t>요트 040</t>
  </si>
  <si>
    <t>https://gowidsub.com/</t>
  </si>
  <si>
    <t>694113472a214463489e</t>
  </si>
  <si>
    <t>https://desk.channel.io/gowid/user-chats/69965cb527628d271556</t>
  </si>
  <si>
    <t>699656fc95e5363522d9</t>
  </si>
  <si>
    <t>빈태찬</t>
  </si>
  <si>
    <t>[상담요약]
 - 고객사: 고위드
 - 문의요약: 카드 한도 상향 승인 소요 시간 문의
 - 문의유형: 카드 한도 및 정산 방식
 - impact: L1
 - 처리내용: 한도 신청 완료 확인 및 카드사 심사 상황 안내
 - 결과: 영업일 기준 1~2일 소요 예상
 - 후속조치: 추가 자료 제출 시 지연 가능성 안내</t>
  </si>
  <si>
    <t>65f9019ee74976e27fa4</t>
  </si>
  <si>
    <t>https://desk.channel.io/gowid/user-chats/699656fc95e5363522d9</t>
  </si>
  <si>
    <t>6996516cc92726048c8e</t>
  </si>
  <si>
    <t>조성률</t>
  </si>
  <si>
    <t>697718155ce787a56670</t>
  </si>
  <si>
    <t>https://desk.channel.io/gowid/user-chats/6996516cc92726048c8e</t>
  </si>
  <si>
    <t>6996514f0ecc58d9ec12</t>
  </si>
  <si>
    <t>young</t>
  </si>
  <si>
    <t>[상담요약]
 - 고객사: 협력사
 - 문의요약: 기기 판매 신청 페이지 안내
 - 문의유형: 정보 제공
 - impact: L1
 - 처리내용: 기기 판매 신청 페이지 안내
 - 결과: 안내 완료
 - 후속조치: 없음</t>
  </si>
  <si>
    <t>67809d4aa7314954c090</t>
  </si>
  <si>
    <t>https://desk.channel.io/gowid/user-chats/6996514f0ecc58d9ec12</t>
  </si>
  <si>
    <t>6996485a380dd38bc9f0</t>
  </si>
  <si>
    <t>송현규</t>
  </si>
  <si>
    <t>698adac9d13b25e3a10b</t>
  </si>
  <si>
    <t>https://desk.channel.io/gowid/user-chats/6996485a380dd38bc9f0</t>
  </si>
  <si>
    <t>6996016789d5f7b91f1d</t>
  </si>
  <si>
    <t>Football 039</t>
  </si>
  <si>
    <t>69674a7f26cfe3d4eb0e</t>
  </si>
  <si>
    <t>https://desk.channel.io/gowid/user-chats/6996016789d5f7b91f1d</t>
  </si>
  <si>
    <t>6995e33fdcead327a338</t>
  </si>
  <si>
    <t>지니 217</t>
  </si>
  <si>
    <t>6995e3139d837d45c49f</t>
  </si>
  <si>
    <t>https://desk.channel.io/gowid/user-chats/6995e33fdcead327a338</t>
  </si>
  <si>
    <t>6995e1d1bb4103aa1859</t>
  </si>
  <si>
    <t>리본 189</t>
  </si>
  <si>
    <t>6995e08982e1b89fde86</t>
  </si>
  <si>
    <t>https://desk.channel.io/gowid/user-chats/6995e1d1bb4103aa1859</t>
  </si>
  <si>
    <t>6995c7e9c170f3de46d7</t>
  </si>
  <si>
    <t>이아현</t>
  </si>
  <si>
    <t>6995c7d5b5ed25c85e8b</t>
  </si>
  <si>
    <t>https://desk.channel.io/gowid/user-chats/6995c7e9c170f3de46d7</t>
  </si>
  <si>
    <t>6995888bb1831788c49f</t>
  </si>
  <si>
    <t>쿠키 302</t>
  </si>
  <si>
    <t>6995856f0600cf579084</t>
  </si>
  <si>
    <t>https://desk.channel.io/gowid/user-chats/6995888bb1831788c49f</t>
  </si>
  <si>
    <t>6995729789a153a92af6</t>
  </si>
  <si>
    <t>오상준</t>
  </si>
  <si>
    <t>68578b40595408f06d9b</t>
  </si>
  <si>
    <t>https://desk.channel.io/gowid/user-chats/6995729789a153a92af6</t>
  </si>
  <si>
    <t>699520c5dfe6d5ce53af</t>
  </si>
  <si>
    <t>최윤제</t>
  </si>
  <si>
    <t>699520ad2e55224f9f11</t>
  </si>
  <si>
    <t>https://desk.channel.io/gowid/user-chats/699520c5dfe6d5ce53af</t>
  </si>
  <si>
    <t>69945c7069e2d06bf27e</t>
  </si>
  <si>
    <t>다트 540</t>
  </si>
  <si>
    <t>69945ac2784498e93d8f</t>
  </si>
  <si>
    <t>https://desk.channel.io/gowid/user-chats/69945c7069e2d06bf27e</t>
  </si>
  <si>
    <t>6994491f3fb324d173b0</t>
  </si>
  <si>
    <t>구름 851</t>
  </si>
  <si>
    <t>699448427327e42794b5</t>
  </si>
  <si>
    <t>https://desk.channel.io/gowid/user-chats/6994491f3fb324d173b0</t>
  </si>
  <si>
    <t>699410fbd9cfa3c0f5e8</t>
  </si>
  <si>
    <t>무지개 726</t>
  </si>
  <si>
    <t>699410e025f48d8b37ed</t>
  </si>
  <si>
    <t>https://desk.channel.io/gowid/user-chats/699410fbd9cfa3c0f5e8</t>
  </si>
  <si>
    <t>6993edba454444025c3f</t>
  </si>
  <si>
    <t>케이크 543</t>
  </si>
  <si>
    <t>6993ed968779dded9c3a</t>
  </si>
  <si>
    <t>https://desk.channel.io/gowid/user-chats/6993edba454444025c3f</t>
  </si>
  <si>
    <t>6993d3183f9e8345c738</t>
  </si>
  <si>
    <t>허니 196</t>
  </si>
  <si>
    <t>https://docs.channel.io/gowid-guide/ko/articles/고위드-지출관리-서비스-활용하기-2edfad43</t>
  </si>
  <si>
    <t>69881f07e981a440cc4e</t>
  </si>
  <si>
    <t>https://desk.channel.io/gowid/user-chats/6993d3183f9e8345c738</t>
  </si>
  <si>
    <t>69938a7f06fa6b93af10</t>
  </si>
  <si>
    <t>테니스 120</t>
  </si>
  <si>
    <t>6993895dc61e631e5286</t>
  </si>
  <si>
    <t>https://desk.channel.io/gowid/user-chats/69938a7f06fa6b93af10</t>
  </si>
  <si>
    <t>6992b77913fa21e7ffaf</t>
  </si>
  <si>
    <t>무지개 666</t>
  </si>
  <si>
    <t>6992b7505a0b8a8e8c61</t>
  </si>
  <si>
    <t>https://desk.channel.io/gowid/user-chats/6992b77913fa21e7ffaf</t>
  </si>
  <si>
    <t>6992b3231e19dddd78a6</t>
  </si>
  <si>
    <t>선인장 042</t>
  </si>
  <si>
    <t>69871ca699c07bbb90e3</t>
  </si>
  <si>
    <t>https://desk.channel.io/gowid/user-chats/6992b3231e19dddd78a6</t>
  </si>
  <si>
    <t>69928fe6044e32d1e21c</t>
  </si>
  <si>
    <t>정동혁</t>
  </si>
  <si>
    <t>694273e1b5a840c4b2ae</t>
  </si>
  <si>
    <t>https://desk.channel.io/gowid/user-chats/69928fe6044e32d1e21c</t>
  </si>
  <si>
    <t>69928bb7d49eaf6ff80e</t>
  </si>
  <si>
    <t>요트 305</t>
  </si>
  <si>
    <t>69928b8f635abe949007</t>
  </si>
  <si>
    <t>https://desk.channel.io/gowid/user-chats/69928bb7d49eaf6ff80e</t>
  </si>
  <si>
    <t>69912d3a9f72a80a42c3</t>
  </si>
  <si>
    <t>https://desk.channel.io/gowid/user-chats/69912d3a9f72a80a42c3</t>
  </si>
  <si>
    <t>699090fa707eb709b1bf</t>
  </si>
  <si>
    <t>하트 822</t>
  </si>
  <si>
    <t>696cba172c6132f2c00e</t>
  </si>
  <si>
    <t>https://desk.channel.io/gowid/user-chats/699090fa707eb709b1bf</t>
  </si>
  <si>
    <t>699090245719cbe7c1f8</t>
  </si>
  <si>
    <t>https://desk.channel.io/gowid/user-chats/699090245719cbe7c1f8</t>
  </si>
  <si>
    <t>6990263d4821c0e6f577</t>
  </si>
  <si>
    <t>박지흠</t>
  </si>
  <si>
    <t>699022be5a739a2495f9</t>
  </si>
  <si>
    <t>https://desk.channel.io/gowid/user-chats/6990263d4821c0e6f577</t>
  </si>
  <si>
    <t>698feb2e42771f8d853e</t>
  </si>
  <si>
    <t>치즈 097</t>
  </si>
  <si>
    <t>698fe9f4249da3d7f712</t>
  </si>
  <si>
    <t>https://desk.channel.io/gowid/user-chats/698feb2e42771f8d853e</t>
  </si>
  <si>
    <t>698fd42f4a9cb35fc3b8</t>
  </si>
  <si>
    <t>정승익</t>
  </si>
  <si>
    <t>677c706e82ccffebf4fc</t>
  </si>
  <si>
    <t>https://desk.channel.io/gowid/user-chats/698fd42f4a9cb35fc3b8</t>
  </si>
  <si>
    <t>698f2c0f0df099d402db</t>
  </si>
  <si>
    <t>다트 165</t>
  </si>
  <si>
    <t>698f29591fab8fc7e3e8</t>
  </si>
  <si>
    <t>https://desk.channel.io/gowid/user-chats/698f2c0f0df099d402db</t>
  </si>
  <si>
    <t>698ee08c82eec0f7b72b</t>
  </si>
  <si>
    <t>심재한</t>
  </si>
  <si>
    <t>65dff0fa1cc4317ffbed</t>
  </si>
  <si>
    <t>https://desk.channel.io/gowid/user-chats/698ee08c82eec0f7b72b</t>
  </si>
  <si>
    <t>698ee05640c92be3e7a6</t>
  </si>
  <si>
    <t>https://desk.channel.io/gowid/user-chats/698ee05640c92be3e7a6</t>
  </si>
  <si>
    <t>698edbce1ad9f05bbb64</t>
  </si>
  <si>
    <t>서다정</t>
  </si>
  <si>
    <t>69699a278d19c56bc7be</t>
  </si>
  <si>
    <t>https://desk.channel.io/gowid/user-chats/698edbce1ad9f05bbb64</t>
  </si>
  <si>
    <t>698ecc788b8ccabfcf9f</t>
  </si>
  <si>
    <t>하승태</t>
  </si>
  <si>
    <t>6867605f2cafa5709471</t>
  </si>
  <si>
    <t>https://desk.channel.io/gowid/user-chats/698ecc788b8ccabfcf9f</t>
  </si>
  <si>
    <t>698ecb05c0b3187cda16</t>
  </si>
  <si>
    <t>하태승</t>
  </si>
  <si>
    <t>674d783230b1aed7f9d1</t>
  </si>
  <si>
    <t>https://desk.channel.io/gowid/user-chats/698ecb05c0b3187cda16</t>
  </si>
  <si>
    <t>698ecaf2d49947b1cfa6</t>
  </si>
  <si>
    <t>이석주</t>
  </si>
  <si>
    <t>698ed810761a32743f65</t>
  </si>
  <si>
    <t>https://desk.channel.io/gowid/user-chats/698ecaf2d49947b1cfa6</t>
  </si>
  <si>
    <t>698ec5a3ed85daa92bb3</t>
  </si>
  <si>
    <t>지니 617</t>
  </si>
  <si>
    <t>69770b11998d6c63371a</t>
  </si>
  <si>
    <t>https://desk.channel.io/gowid/user-chats/698ec5a3ed85daa92bb3</t>
  </si>
  <si>
    <t>698ec3f19bf8a3a99922</t>
  </si>
  <si>
    <t>핑퐁 036</t>
  </si>
  <si>
    <t>698ec2edbce95a302a4e</t>
  </si>
  <si>
    <t>https://desk.channel.io/gowid/user-chats/698ec3f19bf8a3a99922</t>
  </si>
  <si>
    <t>698ebf8c86f0063c0b38</t>
  </si>
  <si>
    <t>정규홍</t>
  </si>
  <si>
    <t>698ea4a315944a4bc626</t>
  </si>
  <si>
    <t>https://desk.channel.io/gowid/user-chats/698ebf8c86f0063c0b38</t>
  </si>
  <si>
    <t>698ebc0cdeebf6962e08</t>
  </si>
  <si>
    <t>박서영</t>
  </si>
  <si>
    <t>684676f303c0d7033d4d</t>
  </si>
  <si>
    <t>https://desk.channel.io/gowid/user-chats/698ebc0cdeebf6962e08</t>
  </si>
  <si>
    <t>698eb50e14d644d798ec</t>
  </si>
  <si>
    <t>하트 622</t>
  </si>
  <si>
    <t>697b17a98293dcf58e94</t>
  </si>
  <si>
    <t>https://desk.channel.io/gowid/user-chats/698eb50e14d644d798ec</t>
  </si>
  <si>
    <t>698eb1688796950ffe1b</t>
  </si>
  <si>
    <t>베리 530</t>
  </si>
  <si>
    <t>697c3c62e80a3b29f9fd</t>
  </si>
  <si>
    <t>https://desk.channel.io/gowid/user-chats/698eb1688796950ffe1b</t>
  </si>
  <si>
    <t>698eaf3084bb8d0135ad</t>
  </si>
  <si>
    <t>박혜민</t>
  </si>
  <si>
    <t>68914f9ea9b50ca1eb25</t>
  </si>
  <si>
    <t>https://desk.channel.io/gowid/user-chats/698eaf3084bb8d0135ad</t>
  </si>
  <si>
    <t>698eab6711a2100bb7c9</t>
  </si>
  <si>
    <t>박상욱</t>
  </si>
  <si>
    <t>66cbd213ba9575c1b13a</t>
  </si>
  <si>
    <t>https://desk.channel.io/gowid/user-chats/698eab6711a2100bb7c9</t>
  </si>
  <si>
    <t>698ea5e149c230cf78b3</t>
  </si>
  <si>
    <t>Jessy Kim</t>
  </si>
  <si>
    <t>[상담요약]
 - 고객사: 비씨카드
 - 문의요약: 롯데카드 및 신한카드 추가 신청 가능 여부
 - 문의유형: 카드 발급 문의
 - impact: L2
 - 처리내용: 롯데카드와 신한카드 추가 신청 가능 안내
 - 결과: 롯데카드와 신한카드 신청 절차 설명
 - 후속조치: 추가 문의 시 도움 제공</t>
  </si>
  <si>
    <t>68635e72b3630294ce73</t>
  </si>
  <si>
    <t>https://desk.channel.io/gowid/user-chats/698ea5e149c230cf78b3</t>
  </si>
  <si>
    <t>698ea42af0ecd7780afa</t>
  </si>
  <si>
    <t>김윤미</t>
  </si>
  <si>
    <t>문의 내용이 15글자 미만입니다. 요약할 내용이 없습니다.</t>
  </si>
  <si>
    <t>6969aca0931c24a457c0</t>
  </si>
  <si>
    <t>https://desk.channel.io/gowid/user-chats/698ea42af0ecd7780afa</t>
  </si>
  <si>
    <t>698ea42b0f3f3a1f6f63</t>
  </si>
  <si>
    <t>https://docs.channel.io/gowid-guide/ko/articles/한도-유지상향을-위한-공동인증서-관리-835de607</t>
  </si>
  <si>
    <t>https://desk.channel.io/gowid/user-chats/698ea42b0f3f3a1f6f63</t>
  </si>
  <si>
    <t>698e9cf308aafb0fd1d6</t>
  </si>
  <si>
    <t>김용우</t>
  </si>
  <si>
    <t>690f1f8a59e49ac09a14</t>
  </si>
  <si>
    <t>https://desk.channel.io/gowid/user-chats/698e9cf308aafb0fd1d6</t>
  </si>
  <si>
    <t>698e9a97ba6e6070345b</t>
  </si>
  <si>
    <t>김신우</t>
  </si>
  <si>
    <t>656eb93d0f351a64eb79</t>
  </si>
  <si>
    <t>https://desk.channel.io/gowid/user-chats/698e9a97ba6e6070345b</t>
  </si>
  <si>
    <t>698e9a665d87683de89f</t>
  </si>
  <si>
    <t>https://desk.channel.io/gowid/user-chats/698e9a665d87683de89f</t>
  </si>
  <si>
    <t>698e99b836ddecf547a7</t>
  </si>
  <si>
    <t>선인장 102</t>
  </si>
  <si>
    <t>698e99aec971dee8ce99</t>
  </si>
  <si>
    <t>https://desk.channel.io/gowid/user-chats/698e99b836ddecf547a7</t>
  </si>
  <si>
    <t>698e98b40c93c41c04e1</t>
  </si>
  <si>
    <t>김한결(Rex)</t>
  </si>
  <si>
    <t>https://docs.channel.io/gowid-guide/ko/categories/자주-묻는-질문-FAQ-b08261e0</t>
  </si>
  <si>
    <t>692d6e627b9d1da1d963</t>
  </si>
  <si>
    <t>https://desk.channel.io/gowid/user-chats/698e98b40c93c41c04e1</t>
  </si>
  <si>
    <t>698e98247cabc24f5904</t>
  </si>
  <si>
    <t>https://desk.channel.io/gowid/user-chats/698e98247cabc24f5904</t>
  </si>
  <si>
    <t>698e9464a8364b5ff83b</t>
  </si>
  <si>
    <t>박종호</t>
  </si>
  <si>
    <t>6927b0b8dc3cfc3fb32c</t>
  </si>
  <si>
    <t>https://desk.channel.io/gowid/user-chats/698e9464a8364b5ff83b</t>
  </si>
  <si>
    <t>698e9128c702bec703ac</t>
  </si>
  <si>
    <t>최성만</t>
  </si>
  <si>
    <t>6971bb6bde685cd74326</t>
  </si>
  <si>
    <t>https://desk.channel.io/gowid/user-chats/698e9128c702bec703ac</t>
  </si>
  <si>
    <t>698e8d9a1576c3b66f85</t>
  </si>
  <si>
    <t>한종빈</t>
  </si>
  <si>
    <t>6971d94bc3ded889e1b9</t>
  </si>
  <si>
    <t>https://desk.channel.io/gowid/user-chats/698e8d9a1576c3b66f85</t>
  </si>
  <si>
    <t>698e89f639b32e20c888</t>
  </si>
  <si>
    <t>서림세무법인</t>
  </si>
  <si>
    <t>698e79e9a6f1bb51438c</t>
  </si>
  <si>
    <t>https://desk.channel.io/gowid/user-chats/698e89f639b32e20c888</t>
  </si>
  <si>
    <t>698e88755865529660a6</t>
  </si>
  <si>
    <t>김재겸</t>
  </si>
  <si>
    <t>67651d71c66d19c0496b</t>
  </si>
  <si>
    <t>https://desk.channel.io/gowid/user-chats/698e88755865529660a6</t>
  </si>
  <si>
    <t>698e86448891294cc9c5</t>
  </si>
  <si>
    <t>지투지바이오</t>
  </si>
  <si>
    <t>[상담요약]
 - 고객사: 롯데카드
 - 문의요약: 카드 한도 상향 신청 후 5영업일 경과
 - 문의유형: 심사 진행 확인 요청
 - impact: L2
 - 처리내용: 심사 진행 상황 확인
 - 결과: 금일 오후 중으로 연락 예정
 - 후속조치: 심사 결과 안내</t>
  </si>
  <si>
    <t>684f6cc36ba131999906</t>
  </si>
  <si>
    <t>https://desk.channel.io/gowid/user-chats/698e86448891294cc9c5</t>
  </si>
  <si>
    <t>698e82251914167cf121</t>
  </si>
  <si>
    <t>카드/도입신청서·회원가입</t>
  </si>
  <si>
    <t>https://desk.channel.io/gowid/user-chats/698e82251914167cf121</t>
  </si>
  <si>
    <t>698e8124219a0d6dc8e5</t>
  </si>
  <si>
    <t>https://desk.channel.io/gowid/user-chats/698e8124219a0d6dc8e5</t>
  </si>
  <si>
    <t>698e8108bb8305e0104c</t>
  </si>
  <si>
    <t>https://desk.channel.io/gowid/user-chats/698e8108bb8305e0104c</t>
  </si>
  <si>
    <t>698e7ce08bba387b5b14</t>
  </si>
  <si>
    <t>최미정</t>
  </si>
  <si>
    <t>6747c4f36154e97c3cde</t>
  </si>
  <si>
    <t>https://desk.channel.io/gowid/user-chats/698e7ce08bba387b5b14</t>
  </si>
  <si>
    <t>698e75cd6fcaea0e8a45</t>
  </si>
  <si>
    <t>윤미영</t>
  </si>
  <si>
    <t>문의요약: 공동인증서 기간 만료 예정, 범용 가능성 문의 
 문의유형: 인증서 관련 
 impact: L2 
 처리내용: 범용인증서 사용 가능성 안내 
 결과: 추가 정보 제공 예정 
 후속조치: 고객에게 후속 연락 예정</t>
  </si>
  <si>
    <t>67ee034a1f87b57df5b2</t>
  </si>
  <si>
    <t>https://desk.channel.io/gowid/user-chats/698e75cd6fcaea0e8a45</t>
  </si>
  <si>
    <t>698e6a51df4789be1fb8</t>
  </si>
  <si>
    <t>박경애</t>
  </si>
  <si>
    <t>https://docs.channel.io/gowid-guide/ko</t>
  </si>
  <si>
    <t>682417fee9c940b1272b</t>
  </si>
  <si>
    <t>https://desk.channel.io/gowid/user-chats/698e6a51df4789be1fb8</t>
  </si>
  <si>
    <t>698e6a2772e0bc0e3d76</t>
  </si>
  <si>
    <t>https://desk.channel.io/gowid/user-chats/698e6a2772e0bc0e3d76</t>
  </si>
  <si>
    <t>698e5ef9166e4e950f0d</t>
  </si>
  <si>
    <t>전혜림</t>
  </si>
  <si>
    <t>6704c9ffda4cc452af14</t>
  </si>
  <si>
    <t>https://desk.channel.io/gowid/user-chats/698e5ef9166e4e950f0d</t>
  </si>
  <si>
    <t>698da53927fe09b35856</t>
  </si>
  <si>
    <t>고위드 컨택트</t>
  </si>
  <si>
    <t>639bced9e0073c30c4fe</t>
  </si>
  <si>
    <t>https://desk.channel.io/gowid/user-chats/698da53927fe09b35856</t>
  </si>
  <si>
    <t>698d99d1b730d5d0e4be</t>
  </si>
  <si>
    <t>김광민</t>
  </si>
  <si>
    <t>6982c546a76828f130b5</t>
  </si>
  <si>
    <t>https://desk.channel.io/gowid/user-chats/698d99d1b730d5d0e4be</t>
  </si>
  <si>
    <t>698d8f6a12f30d4c1d21</t>
  </si>
  <si>
    <t>배민혜</t>
  </si>
  <si>
    <t>[상담요약]
 - 고객사: 보살핌
 - 문의요약: 카드 한도 상향 조건 확인
 - 문의유형: 한도 상향
 - impact: L2
 - 처리내용: 현금 유지 조건 확인 요청
 - 결과: 정보 제공 필요
 - 후속조치: 현금 자산 내역 확인 후 안내</t>
  </si>
  <si>
    <t>697021be3bbba76c08d0</t>
  </si>
  <si>
    <t>https://desk.channel.io/gowid/user-chats/698d8f6a12f30d4c1d21</t>
  </si>
  <si>
    <t>698d8cd18c43e0ec9e50</t>
  </si>
  <si>
    <t>나비 423</t>
  </si>
  <si>
    <t>698d8c5976cc928d33b7</t>
  </si>
  <si>
    <t>https://desk.channel.io/gowid/user-chats/698d8cd18c43e0ec9e50</t>
  </si>
  <si>
    <t>698d8aa8aae60544b3c6</t>
  </si>
  <si>
    <t>ellia</t>
  </si>
  <si>
    <t>6888b58140a9649b8e61</t>
  </si>
  <si>
    <t>https://desk.channel.io/gowid/user-chats/698d8aa8aae60544b3c6</t>
  </si>
  <si>
    <t>698d8a894c3e8194b163</t>
  </si>
  <si>
    <t>Admin</t>
  </si>
  <si>
    <t>672dab8353c1c94e58eb</t>
  </si>
  <si>
    <t>https://desk.channel.io/gowid/user-chats/698d8a894c3e8194b163</t>
  </si>
  <si>
    <t>698d875a559ad256cbb6</t>
  </si>
  <si>
    <t>문의 내용이 15글자 이하로 요약할 내용이 없습니다.</t>
  </si>
  <si>
    <t>https://desk.channel.io/gowid/user-chats/698d875a559ad256cbb6</t>
  </si>
  <si>
    <t>698d86b94f7738c54e88</t>
  </si>
  <si>
    <t>https://desk.channel.io/gowid/user-chats/698d86b94f7738c54e88</t>
  </si>
  <si>
    <t>698d84132769dc49b862</t>
  </si>
  <si>
    <t>정소영</t>
  </si>
  <si>
    <t>68a2af36a7c7f5f0db08</t>
  </si>
  <si>
    <t>https://desk.channel.io/gowid/user-chats/698d84132769dc49b862</t>
  </si>
  <si>
    <t>698d81f71b7c12401dcf</t>
  </si>
  <si>
    <t>정지예</t>
  </si>
  <si>
    <t>68770b3bb053702816fc</t>
  </si>
  <si>
    <t>https://desk.channel.io/gowid/user-chats/698d81f71b7c12401dcf</t>
  </si>
  <si>
    <t>친절한 안내 감사드립니다.</t>
  </si>
  <si>
    <t>698d78e1c0751c26c2fc</t>
  </si>
  <si>
    <t>나비 653</t>
  </si>
  <si>
    <t>698d67c1bcf3a167c858</t>
  </si>
  <si>
    <t>https://desk.channel.io/gowid/user-chats/698d78e1c0751c26c2fc</t>
  </si>
  <si>
    <t>698d6f8111196cdf6c6d</t>
  </si>
  <si>
    <t>raye</t>
  </si>
  <si>
    <t>이용내역(단순문의)</t>
  </si>
  <si>
    <t>662718d00e027707531f</t>
  </si>
  <si>
    <t>https://desk.channel.io/gowid/user-chats/698d6f8111196cdf6c6d</t>
  </si>
  <si>
    <t>698d6f326d6f18e547ea</t>
  </si>
  <si>
    <t>https://desk.channel.io/gowid/user-chats/698d6f326d6f18e547ea</t>
  </si>
  <si>
    <t>698d6ad1b11b9cddf8d4</t>
  </si>
  <si>
    <t>팝콘 229</t>
  </si>
  <si>
    <t>6985975c832eebc0d300</t>
  </si>
  <si>
    <t>https://desk.channel.io/gowid/user-chats/698d6ad1b11b9cddf8d4</t>
  </si>
  <si>
    <t>698d69aba6b16914778d</t>
  </si>
  <si>
    <t>유광곤</t>
  </si>
  <si>
    <t>6982e8dd2a8486bdb9c9</t>
  </si>
  <si>
    <t>https://desk.channel.io/gowid/user-chats/698d69aba6b16914778d</t>
  </si>
  <si>
    <t>698d685107f7e9f842a4</t>
  </si>
  <si>
    <t>김진희</t>
  </si>
  <si>
    <t>68ec68659a8535a3b5b4</t>
  </si>
  <si>
    <t>https://desk.channel.io/gowid/user-chats/698d685107f7e9f842a4</t>
  </si>
  <si>
    <t>698d63bcf05a0a8f18e6</t>
  </si>
  <si>
    <t>최석영</t>
  </si>
  <si>
    <t>67e54abdedaf3f48e8a8</t>
  </si>
  <si>
    <t>https://desk.channel.io/gowid/user-chats/698d63bcf05a0a8f18e6</t>
  </si>
  <si>
    <t>698d3021e595b18e7276</t>
  </si>
  <si>
    <t>김규철</t>
  </si>
  <si>
    <t>6757dbe8ad95451dbb34</t>
  </si>
  <si>
    <t>https://desk.channel.io/gowid/user-chats/698d3021e595b18e7276</t>
  </si>
  <si>
    <t>698d57a4121a6d6a0e61</t>
  </si>
  <si>
    <t>멜론 058</t>
  </si>
  <si>
    <t>698d57831398dc9c2dca</t>
  </si>
  <si>
    <t>https://desk.channel.io/gowid/user-chats/698d57a4121a6d6a0e61</t>
  </si>
  <si>
    <t>698d3c10df8787c9e7a3</t>
  </si>
  <si>
    <t>[상담요약]
 - 고객사: 고위드
 - 문의요약: 상향한도 기존 카드 적용 방법 문의
 - 문의유형: 한도 상향
 - impact: L2
 - 처리내용: 한도 상향 완료 확인 및 재시도 요청
 - 결과: 처리 진행됨
 - 후속조치: 추가 문의 가능 안내</t>
  </si>
  <si>
    <t>https://desk.channel.io/gowid/user-chats/698d3c10df8787c9e7a3</t>
  </si>
  <si>
    <t>698d36201bc78fe23c6c</t>
  </si>
  <si>
    <t>전유미</t>
  </si>
  <si>
    <t>카드/법인유효기한갱신</t>
  </si>
  <si>
    <t>66a9e47e5bb83e56fdc7</t>
  </si>
  <si>
    <t>https://desk.channel.io/gowid/user-chats/698d36201bc78fe23c6c</t>
  </si>
  <si>
    <t>698d35f33e54a437ea4a</t>
  </si>
  <si>
    <t>https://desk.channel.io/gowid/user-chats/698d35f33e54a437ea4a</t>
  </si>
  <si>
    <t>698d3361110c16aff7b5</t>
  </si>
  <si>
    <t>김지인</t>
  </si>
  <si>
    <t>698d3332ba2f4436bfea</t>
  </si>
  <si>
    <t>https://desk.channel.io/gowid/user-chats/698d3361110c16aff7b5</t>
  </si>
  <si>
    <t>698d32186767c5049873</t>
  </si>
  <si>
    <t>유인아</t>
  </si>
  <si>
    <t>69265349b5c769f1cfb0</t>
  </si>
  <si>
    <t>https://desk.channel.io/gowid/user-chats/698d32186767c5049873</t>
  </si>
  <si>
    <t>698d31de678765b3ad26</t>
  </si>
  <si>
    <t>박선영</t>
  </si>
  <si>
    <t>6927ccf37278481179d7</t>
  </si>
  <si>
    <t>https://desk.channel.io/gowid/user-chats/698d31de678765b3ad26</t>
  </si>
  <si>
    <t>698d2d78c7ed61694483</t>
  </si>
  <si>
    <t>조윤주</t>
  </si>
  <si>
    <t>경비회계정책(단순문의)</t>
  </si>
  <si>
    <t>66fd348332a7248106d9</t>
  </si>
  <si>
    <t>https://desk.channel.io/gowid/user-chats/698d2d78c7ed61694483</t>
  </si>
  <si>
    <t>698d2cd2e226528bd98a</t>
  </si>
  <si>
    <t>이재훈</t>
  </si>
  <si>
    <t>문의가 15글자 이하로, 요약할 내용이 없습니다.</t>
  </si>
  <si>
    <t>APIkey문의</t>
  </si>
  <si>
    <t>66d5bcc2bccdaa760422</t>
  </si>
  <si>
    <t>https://desk.channel.io/gowid/user-chats/698d2cd2e226528bd98a</t>
  </si>
  <si>
    <t>698cb26d7c4de896ede0</t>
  </si>
  <si>
    <t>베리 245</t>
  </si>
  <si>
    <t>698cb1a00f8898e4149c</t>
  </si>
  <si>
    <t>https://desk.channel.io/gowid/user-chats/698cb26d7c4de896ede0</t>
  </si>
  <si>
    <t>698c9a123c2051dd2e45</t>
  </si>
  <si>
    <t>김재아</t>
  </si>
  <si>
    <t>693221a5c3b93240c492</t>
  </si>
  <si>
    <t>https://desk.channel.io/gowid/user-chats/698c9a123c2051dd2e45</t>
  </si>
  <si>
    <t>698c753c1509a7887c19</t>
  </si>
  <si>
    <t>장범준</t>
  </si>
  <si>
    <t>686225f99bab16c15849</t>
  </si>
  <si>
    <t>https://desk.channel.io/gowid/user-chats/698c753c1509a7887c19</t>
  </si>
  <si>
    <t>698c5fb81a382d6c1a71</t>
  </si>
  <si>
    <t>선인장 337</t>
  </si>
  <si>
    <t>698c5f6c6a1bac09c62e</t>
  </si>
  <si>
    <t>https://desk.channel.io/gowid/user-chats/698c5fb81a382d6c1a71</t>
  </si>
  <si>
    <t>698c51a681baab0bfaa1</t>
  </si>
  <si>
    <t>574085, 594863</t>
  </si>
  <si>
    <t>https://desk.channel.io/gowid/user-chats/698c51a681baab0bfaa1</t>
  </si>
  <si>
    <t>698c465c3f4b4ddfb9e5</t>
  </si>
  <si>
    <t>이수경</t>
  </si>
  <si>
    <t>685df7e2265f514a72a2</t>
  </si>
  <si>
    <t>https://desk.channel.io/gowid/user-chats/698c465c3f4b4ddfb9e5</t>
  </si>
  <si>
    <t>698c40dfedc8762c2601</t>
  </si>
  <si>
    <t>지니 127</t>
  </si>
  <si>
    <t>698c3ed95f3dc7144173</t>
  </si>
  <si>
    <t>https://desk.channel.io/gowid/user-chats/698c40dfedc8762c2601</t>
  </si>
  <si>
    <t>698c3a4aa5eafcc1703a</t>
  </si>
  <si>
    <t>한아란</t>
  </si>
  <si>
    <t>[상담요약]
 - 고객사: 개인 고객
 - 문의요약: 상담원 연결 요청 및 카드 수령 정보 문제
 - 문의유형: 상담원 연결 요청
 - impact: L2
 - 처리내용: 상담원 연결을 위한 확인 중
 - 결과: 상담원 대기 중
 - 후속조치: 고객에게 연락하여 상담 진행</t>
  </si>
  <si>
    <t>카드/신규발급/오류</t>
  </si>
  <si>
    <t>69895241d9230f276bdc</t>
  </si>
  <si>
    <t>https://desk.channel.io/gowid/user-chats/698c3a4aa5eafcc1703a</t>
  </si>
  <si>
    <t>698c39fce2e84f9d3974</t>
  </si>
  <si>
    <t>케이크 828</t>
  </si>
  <si>
    <t>698c39fb61fec13f60b1</t>
  </si>
  <si>
    <t>https://desk.channel.io/gowid/user-chats/698c39fce2e84f9d3974</t>
  </si>
  <si>
    <t>698c39a66152024677cb</t>
  </si>
  <si>
    <t>노아</t>
  </si>
  <si>
    <t>6822be03bed6dea9a47e</t>
  </si>
  <si>
    <t>https://desk.channel.io/gowid/user-chats/698c39a66152024677cb</t>
  </si>
  <si>
    <t>698c3986572c86ae1925</t>
  </si>
  <si>
    <t>Jiny</t>
  </si>
  <si>
    <t>[상담요약]
 - 고객사: 신한카드
 - 문의요약: 신한카드 명세서와 고위드의 금액 차이
 - 문의유형: 데이터 확인 요청
 - impact: L2
 - 처리내용: 고객이 청구 예정일 기준으로 데이터 요청, 매니저가 확인 방법 안내
 - 결과: 유관 부서 확인 중
 - 후속조치: 추가 문의 시 언제든지 답변 예정</t>
  </si>
  <si>
    <t>이용내역(정합성오류)</t>
  </si>
  <si>
    <t>670367117c4099b897f1</t>
  </si>
  <si>
    <t>370963, 574085, 607950</t>
  </si>
  <si>
    <t>https://desk.channel.io/gowid/user-chats/698c3986572c86ae1925</t>
  </si>
  <si>
    <t>698c38c55b88ef41117e</t>
  </si>
  <si>
    <t>양예지</t>
  </si>
  <si>
    <t>67eca42ab242c964164c</t>
  </si>
  <si>
    <t>https://desk.channel.io/gowid/user-chats/698c38c55b88ef41117e</t>
  </si>
  <si>
    <t>698c3613033a1c46d721</t>
  </si>
  <si>
    <t>엘리 618</t>
  </si>
  <si>
    <t>690b179224b7c60bd8e3</t>
  </si>
  <si>
    <t>https://desk.channel.io/gowid/user-chats/698c3613033a1c46d721</t>
  </si>
  <si>
    <t>698c1e492491286af5e0</t>
  </si>
  <si>
    <t>박정웅</t>
  </si>
  <si>
    <t>659cd039610cffa631f0</t>
  </si>
  <si>
    <t>https://desk.channel.io/gowid/user-chats/698c1e492491286af5e0</t>
  </si>
  <si>
    <t>698c1e10e4fc0e7252a3</t>
  </si>
  <si>
    <t>이효진</t>
  </si>
  <si>
    <t>67fcdcbb363f51322030</t>
  </si>
  <si>
    <t>https://desk.channel.io/gowid/user-chats/698c1e10e4fc0e7252a3</t>
  </si>
  <si>
    <t>698c1ce19f9f8211c255</t>
  </si>
  <si>
    <t>구독</t>
  </si>
  <si>
    <t>526753, 574085, 594863, 607950</t>
  </si>
  <si>
    <t>https://desk.channel.io/gowid/user-chats/698c1ce19f9f8211c255</t>
  </si>
  <si>
    <t>698c1ab12dcdb01352c1</t>
  </si>
  <si>
    <t>정주영</t>
  </si>
  <si>
    <t>672db2419052445705a0</t>
  </si>
  <si>
    <t>https://desk.channel.io/gowid/user-chats/698c1ab12dcdb01352c1</t>
  </si>
  <si>
    <t>698c16a2a8b329754159</t>
  </si>
  <si>
    <t>베리 275</t>
  </si>
  <si>
    <t>694b3c0a80436f863d74</t>
  </si>
  <si>
    <t>https://desk.channel.io/gowid/user-chats/698c16a2a8b329754159</t>
  </si>
  <si>
    <t>698c16ac1fb47070a7db</t>
  </si>
  <si>
    <t>문정원</t>
  </si>
  <si>
    <t>6875a5f48fa954bc5379</t>
  </si>
  <si>
    <t>https://desk.channel.io/gowid/user-chats/698c16ac1fb47070a7db</t>
  </si>
  <si>
    <t>698c15a4b174bae8fe04</t>
  </si>
  <si>
    <t>안상우</t>
  </si>
  <si>
    <t>676a5e2206832b1af958</t>
  </si>
  <si>
    <t>https://desk.channel.io/gowid/user-chats/698c15a4b174bae8fe04</t>
  </si>
  <si>
    <t>698c120d3d61ff1c45da</t>
  </si>
  <si>
    <t>https://desk.channel.io/gowid/user-chats/698c120d3d61ff1c45da</t>
  </si>
  <si>
    <t>698c11e197f7245cd64a</t>
  </si>
  <si>
    <t>피치</t>
  </si>
  <si>
    <t>670c6a6946dd7e59d002</t>
  </si>
  <si>
    <t>https://desk.channel.io/gowid/user-chats/698c11e197f7245cd64a</t>
  </si>
  <si>
    <t>698c11b669403203ea8b</t>
  </si>
  <si>
    <t>김민지</t>
  </si>
  <si>
    <t>690c2bd33cb3791d77c6</t>
  </si>
  <si>
    <t>https://desk.channel.io/gowid/user-chats/698c11b669403203ea8b</t>
  </si>
  <si>
    <t>698c10439f181d59f3ec</t>
  </si>
  <si>
    <t>박희준</t>
  </si>
  <si>
    <t>68b08a82b00ebed2aa97</t>
  </si>
  <si>
    <t>https://desk.channel.io/gowid/user-chats/698c10439f181d59f3ec</t>
  </si>
  <si>
    <t>698c0418f1e1efa2351a</t>
  </si>
  <si>
    <t>카드/추가발급·재발급</t>
  </si>
  <si>
    <t>https://desk.channel.io/gowid/user-chats/698c0418f1e1efa2351a</t>
  </si>
  <si>
    <t>698c037d2b1a9ec03ffc</t>
  </si>
  <si>
    <t>박진하</t>
  </si>
  <si>
    <t>67f5ceadc26f50579877</t>
  </si>
  <si>
    <t>https://desk.channel.io/gowid/user-chats/698c037d2b1a9ec03ffc</t>
  </si>
  <si>
    <t>698bf0ab86ca73e5bf84</t>
  </si>
  <si>
    <t>김희선</t>
  </si>
  <si>
    <t>698bef47d107fbbec4ca</t>
  </si>
  <si>
    <t>https://desk.channel.io/gowid/user-chats/698bf0ab86ca73e5bf84</t>
  </si>
  <si>
    <t>698be6022b5307e148eb</t>
  </si>
  <si>
    <t>Lara Park (박민희)</t>
  </si>
  <si>
    <t>670f10549d5d9ce2643b</t>
  </si>
  <si>
    <t>https://desk.channel.io/gowid/user-chats/698be6022b5307e148eb</t>
  </si>
  <si>
    <t>698be0e8072ebc3dcc49</t>
  </si>
  <si>
    <t>finance</t>
  </si>
  <si>
    <t>6895924d773a79ef317c</t>
  </si>
  <si>
    <t>https://desk.channel.io/gowid/user-chats/698be0e8072ebc3dcc49</t>
  </si>
  <si>
    <t>698be0b76df37ec34af5</t>
  </si>
  <si>
    <t>https://desk.channel.io/gowid/user-chats/698be0b76df37ec34af5</t>
  </si>
  <si>
    <t>698be07bd3e8cf85b791</t>
  </si>
  <si>
    <t>https://desk.channel.io/gowid/user-chats/698be07bd3e8cf85b791</t>
  </si>
  <si>
    <t>698bdc9b4336df7a0b9f</t>
  </si>
  <si>
    <t>윤수경</t>
  </si>
  <si>
    <t>698a8781130ef7ac506f</t>
  </si>
  <si>
    <t>https://desk.channel.io/gowid/user-chats/698bdc9b4336df7a0b9f</t>
  </si>
  <si>
    <t>698bdc20b673ff0bd155</t>
  </si>
  <si>
    <t>고현준</t>
  </si>
  <si>
    <t>698bd406986c77b3556f</t>
  </si>
  <si>
    <t>https://desk.channel.io/gowid/user-chats/698bdc20b673ff0bd155</t>
  </si>
  <si>
    <t>698bdb21c9451465ae7f</t>
  </si>
  <si>
    <t>박건태</t>
  </si>
  <si>
    <t>6568070ef3d393441fc8</t>
  </si>
  <si>
    <t>https://desk.channel.io/gowid/user-chats/698bdb21c9451465ae7f</t>
  </si>
  <si>
    <t>698bd8d60290e3db94e3</t>
  </si>
  <si>
    <t>김지현</t>
  </si>
  <si>
    <t>69856b834d2936a16319</t>
  </si>
  <si>
    <t>https://desk.channel.io/gowid/user-chats/698bd8d60290e3db94e3</t>
  </si>
  <si>
    <t>698bd8b70913f7c8c704</t>
  </si>
  <si>
    <t>권지연</t>
  </si>
  <si>
    <t>67207d9eceeaf85d2ea1</t>
  </si>
  <si>
    <t>https://desk.channel.io/gowid/user-chats/698bd8b70913f7c8c704</t>
  </si>
  <si>
    <t>698bd76410537611f1fb</t>
  </si>
  <si>
    <t>박현수</t>
  </si>
  <si>
    <t>이용내역(오류)</t>
  </si>
  <si>
    <t>698bd7621265aa338c2a</t>
  </si>
  <si>
    <t>https://desk.channel.io/gowid/user-chats/698bd76410537611f1fb</t>
  </si>
  <si>
    <t>698bb4913fc93584026f</t>
  </si>
  <si>
    <t>이영경</t>
  </si>
  <si>
    <t>698bb4789b092f2590a3</t>
  </si>
  <si>
    <t>https://desk.channel.io/gowid/user-chats/698bb4913fc93584026f</t>
  </si>
  <si>
    <t>698b7a4b63301ae10cd7</t>
  </si>
  <si>
    <t>멜론 468</t>
  </si>
  <si>
    <t>698b79d6776952158304</t>
  </si>
  <si>
    <t>https://desk.channel.io/gowid/user-chats/698b7a4b63301ae10cd7</t>
  </si>
  <si>
    <t>698b70ed0dfb26de17eb</t>
  </si>
  <si>
    <t>애플 299</t>
  </si>
  <si>
    <t>698b6ce1e2df3c8b0642</t>
  </si>
  <si>
    <t>https://desk.channel.io/gowid/user-chats/698b70ed0dfb26de17eb</t>
  </si>
  <si>
    <t>698b6d44cf05b1109bb1</t>
  </si>
  <si>
    <t>https://desk.channel.io/gowid/user-chats/698b6d44cf05b1109bb1</t>
  </si>
  <si>
    <t>698b48d35e6a85b7e2d7</t>
  </si>
  <si>
    <t>윤환준</t>
  </si>
  <si>
    <t>68be39452a7444a0fe56</t>
  </si>
  <si>
    <t>https://desk.channel.io/gowid/user-chats/698b48d35e6a85b7e2d7</t>
  </si>
  <si>
    <t>698b4876641676b4282d</t>
  </si>
  <si>
    <t>우지철</t>
  </si>
  <si>
    <t>68413f7b2146cad1240d</t>
  </si>
  <si>
    <t>https://desk.channel.io/gowid/user-chats/698b4876641676b4282d</t>
  </si>
  <si>
    <t>698b3e905d744f34c6c4</t>
  </si>
  <si>
    <t>리본 699</t>
  </si>
  <si>
    <t>698b3e259dae0bdcd3bf</t>
  </si>
  <si>
    <t>https://desk.channel.io/gowid/user-chats/698b3e905d744f34c6c4</t>
  </si>
  <si>
    <t>698b2cb08c8177567e40</t>
  </si>
  <si>
    <t>로즈 654</t>
  </si>
  <si>
    <t>698b2c97b9220878a744</t>
  </si>
  <si>
    <t>https://desk.channel.io/gowid/user-chats/698b2cb08c8177567e40</t>
  </si>
  <si>
    <t>698b2075db67c166aa57</t>
  </si>
  <si>
    <t>방정훈</t>
  </si>
  <si>
    <t>688b815dcc8379f5698f</t>
  </si>
  <si>
    <t>https://desk.channel.io/gowid/user-chats/698b2075db67c166aa57</t>
  </si>
  <si>
    <t>698b100c546fb54aa270</t>
  </si>
  <si>
    <t>https://desk.channel.io/gowid/user-chats/698b100c546fb54aa270</t>
  </si>
  <si>
    <t>698af9dcc458137228e5</t>
  </si>
  <si>
    <t>Jasmine</t>
  </si>
  <si>
    <t>[상담요약]
 - 고객사: 고객
 - 문의요약: 문제 해결 진행 상황 확인 요청
 - 문의유형: 문제 해결 관련
 - impact: L2
 - 처리내용: 카드사와 소통하며 문제 구체화 진행 중
 - 결과: 3월 중 해결 예상
 - 후속조치: 해결 시 별도 안내 예정</t>
  </si>
  <si>
    <t>지출관리/경비회계정책/단순문의</t>
  </si>
  <si>
    <t>656706b29ba8399ef5a0</t>
  </si>
  <si>
    <t>https://desk.channel.io/gowid/user-chats/698af9dcc458137228e5</t>
  </si>
  <si>
    <t>698aef419d5fbdfeeb12</t>
  </si>
  <si>
    <t>박성민</t>
  </si>
  <si>
    <t>6721e497ab826076e03c</t>
  </si>
  <si>
    <t>574085, 594863, 607950</t>
  </si>
  <si>
    <t>https://desk.channel.io/gowid/user-chats/698aef419d5fbdfeeb12</t>
  </si>
  <si>
    <t>친절하고 빠른대응!</t>
  </si>
  <si>
    <t>698aef05797ad0461c4b</t>
  </si>
  <si>
    <t>https://desk.channel.io/gowid/user-chats/698aef05797ad0461c4b</t>
  </si>
  <si>
    <t>698aea382703e5eb5655</t>
  </si>
  <si>
    <t>황용</t>
  </si>
  <si>
    <t>66ed16d6a05d5830fd5e</t>
  </si>
  <si>
    <t>https://desk.channel.io/gowid/user-chats/698aea382703e5eb5655</t>
  </si>
  <si>
    <t>698ae9996804e4e85638</t>
  </si>
  <si>
    <t>https://desk.channel.io/gowid/user-chats/698ae9996804e4e85638</t>
  </si>
  <si>
    <t>698ae9467a0198087b18</t>
  </si>
  <si>
    <t>유석호</t>
  </si>
  <si>
    <t>672da65317db06cbf938</t>
  </si>
  <si>
    <t>https://desk.channel.io/gowid/user-chats/698ae9467a0198087b18</t>
  </si>
  <si>
    <t>698ae82108e0489f3641</t>
  </si>
  <si>
    <t>황혜린</t>
  </si>
  <si>
    <t>666fe651a89a198a06d5</t>
  </si>
  <si>
    <t>https://desk.channel.io/gowid/user-chats/698ae82108e0489f3641</t>
  </si>
  <si>
    <t>698ae67ea1dae2bb3f6f</t>
  </si>
  <si>
    <t>오성천</t>
  </si>
  <si>
    <t>66dabb926f5871e475b1</t>
  </si>
  <si>
    <t>https://desk.channel.io/gowid/user-chats/698ae67ea1dae2bb3f6f</t>
  </si>
  <si>
    <t>698ae19f9829b7e25c27</t>
  </si>
  <si>
    <t>전진주</t>
  </si>
  <si>
    <t>[상담요약]
 - 고객사: 고위드
 - 문의요약: 공동인증서 미연동 및 한도 제거 안내
 - 문의유형: 인증서 관리
 - impact: L2
 - 처리내용: 공동인증서 갱신 요청 및 등록 방법 안내
 - 결과: 한도 제거 예정
 - 후속조치: 2일 내 등록 필요</t>
  </si>
  <si>
    <t>663085f02c07b4e1d80b</t>
  </si>
  <si>
    <t>https://desk.channel.io/gowid/user-chats/698ae19f9829b7e25c27</t>
  </si>
  <si>
    <t>698ae1769eaed48b2110</t>
  </si>
  <si>
    <t>김태용</t>
  </si>
  <si>
    <t>- 고객사: 고위드
 - 문의요약: 공동인증서 미연동에 따른 법인 한도 제거 안내
 - 문의유형: 인증서 관리
 - impact: L2
 - 처리내용: 공동인증서 갱신 요청 및 등록 방법 안내
 - 결과: 한도 조정 가능성 알림
 - 후속조치: 영업일 2일 내 등록 요청</t>
  </si>
  <si>
    <t>6784aa3ef1b58cf039a5</t>
  </si>
  <si>
    <t>https://desk.channel.io/gowid/user-chats/698ae1769eaed48b2110</t>
  </si>
  <si>
    <t>698ae156e716b16663f5</t>
  </si>
  <si>
    <t>박지운</t>
  </si>
  <si>
    <t>- 고객사: 고위드
 - 문의요약: 공동인증서 미연동 안내
 - 문의유형: 인증서 관리
 - impact: L2
 - 처리내용: 공동인증서 미연동 시 한도 제거 예정 안내 및 갱신 요청
 - 결과: 인증서 등록 방법 안내
 - 후속조치: 영업일 2일 내 등록 필요</t>
  </si>
  <si>
    <t>664a9aa8f1c757f1ac45</t>
  </si>
  <si>
    <t>https://desk.channel.io/gowid/user-chats/698ae156e716b16663f5</t>
  </si>
  <si>
    <t>698ae1152e19f8404b85</t>
  </si>
  <si>
    <t>한재희</t>
  </si>
  <si>
    <t>- 고객사: 고위드
 - 문의요약: 공동인증서 미연동으로 한도 제거 예정 안내
 - 문의유형: 인증서 관리
 - impact: L2
 - 처리내용: 인증서 연동 방법 안내
 - 결과: 한도 유지 및 이용 불편 방지
 - 후속조치: 인증서 갱신 및 연동 상태 확인 요청</t>
  </si>
  <si>
    <t>66f527f368aa3851799c</t>
  </si>
  <si>
    <t>https://desk.channel.io/gowid/user-chats/698ae1152e19f8404b85</t>
  </si>
  <si>
    <t>698ae0ac49d05b567324</t>
  </si>
  <si>
    <t>이양우</t>
  </si>
  <si>
    <t>[상담요약]
 - 고객사: 고위드
 - 문의요약: 공동인증서 연동 안내
 - 문의유형: 인증서 관리
 - impact: L2
 - 처리내용: 공동인증서 미연동 시 한도 제거 예정 안내
 - 결과: 인증서 갱신 필요성 강조
 - 후속조치: 영업일 2일 내 등록 권장</t>
  </si>
  <si>
    <t>67c1bede3e8a34a86c28</t>
  </si>
  <si>
    <t>https://desk.channel.io/gowid/user-chats/698ae0ac49d05b567324</t>
  </si>
  <si>
    <t>698ae07eee365e38356b</t>
  </si>
  <si>
    <t>지형근</t>
  </si>
  <si>
    <t>- 고객사: 고위드
 - 문의요약: 공동인증서 미연동 안내
 - 문의유형: 한도 관리
 - impact: L2
 - 처리내용: 공동인증서 갱신 요청
 - 결과: 한도 제거 예정
 - 후속조치: 인증서 등록 촉구</t>
  </si>
  <si>
    <t>679f227e32e8a1ee76a1</t>
  </si>
  <si>
    <t>https://desk.channel.io/gowid/user-chats/698ae07eee365e38356b</t>
  </si>
  <si>
    <t>698ae0255efb499e9cfc</t>
  </si>
  <si>
    <t>서소영</t>
  </si>
  <si>
    <t>[상담요약]
 - 고객사: 고위드
 - 문의요약: 공동인증서 연동 지연으로 인한 한도 제거 안내
 - 문의유형: 인증서 관리
 - impact: L2
 - 처리내용: 한도 제거 예정 안내 및 공동인증서 갱신 요청
 - 결과: 인증서 갱신 전 한도 유지 방안 안내
 - 후속조치: 갱신 전 연동 상태 확인 요청</t>
  </si>
  <si>
    <t>6763a13429553b2e52d3</t>
  </si>
  <si>
    <t>https://desk.channel.io/gowid/user-chats/698ae0255efb499e9cfc</t>
  </si>
  <si>
    <t>698adfed81adef71cded</t>
  </si>
  <si>
    <t>전상아</t>
  </si>
  <si>
    <t>- 고객사: 고위드
 - 문의요약: 공동인증서 미연동 안내
 - 문의유형: 인증서 관리
 - impact: L1
 - 처리내용: 인증서 갱신 요청
 - 결과: 한도 제거 예정
 - 후속조치: 등록 방법 안내</t>
  </si>
  <si>
    <t>677f3220e29b9eac5933</t>
  </si>
  <si>
    <t>https://desk.channel.io/gowid/user-chats/698adfed81adef71cded</t>
  </si>
  <si>
    <t>698adf0c7cc1942453f4</t>
  </si>
  <si>
    <t>정지혜</t>
  </si>
  <si>
    <t>[상담요약]
 - 고객사: 고위드
 - 문의요약: 공동인증서 미연동 안내
 - 문의유형: 인증서 관리
 - impact: L2
 - 처리내용: 공동인증서 등록 방법 안내
 - 결과: 한도 유지 조건 설명
 - 후속조치: 인증서 갱신 요청</t>
  </si>
  <si>
    <t>6703475407468a5ee0ef</t>
  </si>
  <si>
    <t>https://desk.channel.io/gowid/user-chats/698adf0c7cc1942453f4</t>
  </si>
  <si>
    <t>698adc779a8fceaca810</t>
  </si>
  <si>
    <t>대니</t>
  </si>
  <si>
    <t>683d94f7a1e6570a0144</t>
  </si>
  <si>
    <t>https://desk.channel.io/gowid/user-chats/698adc779a8fceaca810</t>
  </si>
  <si>
    <t>698ad54dc759822db346</t>
  </si>
  <si>
    <t>김명희</t>
  </si>
  <si>
    <t>698ad083af1aaaf6f481</t>
  </si>
  <si>
    <t>https://desk.channel.io/gowid/user-chats/698ad54dc759822db346</t>
  </si>
  <si>
    <t>698ad1fca6bbfb8b4294</t>
  </si>
  <si>
    <t>김응식</t>
  </si>
  <si>
    <t>6757b1eddfc9a27defea</t>
  </si>
  <si>
    <t>https://desk.channel.io/gowid/user-chats/698ad1fca6bbfb8b4294</t>
  </si>
  <si>
    <t>698ad1b915681df6ba6b</t>
  </si>
  <si>
    <t>임찬솔</t>
  </si>
  <si>
    <t>6551dbb105b66add6f86</t>
  </si>
  <si>
    <t>https://desk.channel.io/gowid/user-chats/698ad1b915681df6ba6b</t>
  </si>
  <si>
    <t>698ac1e5d55fd19df206</t>
  </si>
  <si>
    <t>케이크 988</t>
  </si>
  <si>
    <t>6983f1453940bbe5f4b4</t>
  </si>
  <si>
    <t>https://desk.channel.io/gowid/user-chats/698ac1e5d55fd19df206</t>
  </si>
  <si>
    <t>698ac48e4894f2695b02</t>
  </si>
  <si>
    <t>김산회</t>
  </si>
  <si>
    <t>67ff486731e439b1d270</t>
  </si>
  <si>
    <t>https://desk.channel.io/gowid/user-chats/698ac48e4894f2695b02</t>
  </si>
  <si>
    <t>698ac26b0a06a089006a</t>
  </si>
  <si>
    <t>권영환</t>
  </si>
  <si>
    <t>69842bac1918e0322835</t>
  </si>
  <si>
    <t>https://desk.channel.io/gowid/user-chats/698ac26b0a06a089006a</t>
  </si>
  <si>
    <t>698ac2380939fae85082</t>
  </si>
  <si>
    <t>https://desk.channel.io/gowid/user-chats/698ac2380939fae85082</t>
  </si>
  <si>
    <t>698ac1ddeae17688bb30</t>
  </si>
  <si>
    <t>65c07ddf5f25062d88a1</t>
  </si>
  <si>
    <t>https://desk.channel.io/gowid/user-chats/698ac1ddeae17688bb30</t>
  </si>
  <si>
    <t>698ac0f54890bc707706</t>
  </si>
  <si>
    <t>나비 698</t>
  </si>
  <si>
    <t>69854caf083aba6bdb0c</t>
  </si>
  <si>
    <t>https://desk.channel.io/gowid/user-chats/698ac0f54890bc707706</t>
  </si>
  <si>
    <t>698ac03d5cbf7386404a</t>
  </si>
  <si>
    <t>임수현</t>
  </si>
  <si>
    <t>645d7e82ca57ef469aaa</t>
  </si>
  <si>
    <t>https://desk.channel.io/gowid/user-chats/698ac03d5cbf7386404a</t>
  </si>
  <si>
    <t>698aba6ba7bfa69dfd34</t>
  </si>
  <si>
    <t>박민선</t>
  </si>
  <si>
    <t>657277593ed057db70f5</t>
  </si>
  <si>
    <t>https://desk.channel.io/gowid/user-chats/698aba6ba7bfa69dfd34</t>
  </si>
  <si>
    <t>698aba1b15a5f60396f7</t>
  </si>
  <si>
    <t>김세연</t>
  </si>
  <si>
    <t>개선제안</t>
  </si>
  <si>
    <t>665e7d42eef15e001f7c</t>
  </si>
  <si>
    <t>https://desk.channel.io/gowid/user-chats/698aba1b15a5f60396f7</t>
  </si>
  <si>
    <t>698ab9c8a83a578e85d5</t>
  </si>
  <si>
    <t>https://desk.channel.io/gowid/user-chats/698ab9c8a83a578e85d5</t>
  </si>
  <si>
    <t>698ab91d5d6b44e2a981</t>
  </si>
  <si>
    <t>지니 792</t>
  </si>
  <si>
    <t>698ab8f337bc8195640a</t>
  </si>
  <si>
    <t>https://desk.channel.io/gowid/user-chats/698ab91d5d6b44e2a981</t>
  </si>
  <si>
    <t>698ab6abeda278e706de</t>
  </si>
  <si>
    <t>박형석</t>
  </si>
  <si>
    <t>696dcc593b530b6d530b</t>
  </si>
  <si>
    <t>https://desk.channel.io/gowid/user-chats/698ab6abeda278e706de</t>
  </si>
  <si>
    <t>698ab1ba398ec6c34648</t>
  </si>
  <si>
    <t>송재희</t>
  </si>
  <si>
    <t>69899b73b9cfa05c1458</t>
  </si>
  <si>
    <t>https://desk.channel.io/gowid/user-chats/698ab1ba398ec6c34648</t>
  </si>
  <si>
    <t>698aaea914ccb5712c58</t>
  </si>
  <si>
    <t>성현정</t>
  </si>
  <si>
    <t>공동인증서(재연동요청)</t>
  </si>
  <si>
    <t>6864a2ca7e7032732025</t>
  </si>
  <si>
    <t>https://desk.channel.io/gowid/user-chats/698aaea914ccb5712c58</t>
  </si>
  <si>
    <t>문제가 생겨서 불편한 부분을 해결해 주시려고 해주셨어요.</t>
  </si>
  <si>
    <t>698aabe6144ed5872fcf</t>
  </si>
  <si>
    <t>박지연</t>
  </si>
  <si>
    <t>68685d73f166cc034502</t>
  </si>
  <si>
    <t>https://desk.channel.io/gowid/user-chats/698aabe6144ed5872fcf</t>
  </si>
  <si>
    <t>697328b8bdcaadf08f62</t>
  </si>
  <si>
    <t>안진혁</t>
  </si>
  <si>
    <t>68749682e6cea38cc2b5</t>
  </si>
  <si>
    <t>526753, 533671, 594863, 78191</t>
  </si>
  <si>
    <t>https://desk.channel.io/gowid/user-chats/697328b8bdcaadf08f62</t>
  </si>
  <si>
    <t>698aa2c53b5b1410fc3b</t>
  </si>
  <si>
    <t>손영대</t>
  </si>
  <si>
    <t>698303df388c96cc8194</t>
  </si>
  <si>
    <t>https://desk.channel.io/gowid/user-chats/698aa2c53b5b1410fc3b</t>
  </si>
  <si>
    <t>698a9b1eaba8a5692e86</t>
  </si>
  <si>
    <t>테니스 000</t>
  </si>
  <si>
    <t>69770ade7897b1fd7ac0</t>
  </si>
  <si>
    <t>https://desk.channel.io/gowid/user-chats/698a9b1eaba8a5692e86</t>
  </si>
  <si>
    <t>698035a0a3782dd64ff7</t>
  </si>
  <si>
    <t>카드/신규발급</t>
  </si>
  <si>
    <t>https://desk.channel.io/gowid/user-chats/698035a0a3782dd64ff7</t>
  </si>
  <si>
    <t>698a96dec5e34d7c85d4</t>
  </si>
  <si>
    <t>김혜인</t>
  </si>
  <si>
    <t>67e367833197c197413b</t>
  </si>
  <si>
    <t>https://desk.channel.io/gowid/user-chats/698a96dec5e34d7c85d4</t>
  </si>
  <si>
    <t>698a91d15116eed12489</t>
  </si>
  <si>
    <t>이혜연</t>
  </si>
  <si>
    <t>[상담요약]
 - 고객사: 관리자가 아닌 멤버
 - 문의요약: 카드 한도 확인 방법
 - 문의유형: 사용 방법
 - impact: L2
 - 처리내용: 웹에서 카드 한도 확인 불가, 일반 멤버는 이용내역 조회 가능
 - 결과: 카드 한도 앱으로만 확인 가능
 - 후속조치: 추가 문의 시 안내 필요</t>
  </si>
  <si>
    <t>67f47b6638172f2a5476</t>
  </si>
  <si>
    <t>https://desk.channel.io/gowid/user-chats/698a91d15116eed12489</t>
  </si>
  <si>
    <t>698a915da2c813421afb</t>
  </si>
  <si>
    <t>아이엠디티</t>
  </si>
  <si>
    <t>673bebbed18416d186f7</t>
  </si>
  <si>
    <t>https://desk.channel.io/gowid/user-chats/698a915da2c813421afb</t>
  </si>
  <si>
    <t>698a8d6f7dc9dea909a6</t>
  </si>
  <si>
    <t>임현이</t>
  </si>
  <si>
    <t>67a17f639fd921689bf6</t>
  </si>
  <si>
    <t>https://desk.channel.io/gowid/user-chats/698a8d6f7dc9dea909a6</t>
  </si>
  <si>
    <t>698a8787d9011de18e0d</t>
  </si>
  <si>
    <t>송미진</t>
  </si>
  <si>
    <t>695c656b6c1199ff0ffb</t>
  </si>
  <si>
    <t>https://desk.channel.io/gowid/user-chats/698a8787d9011de18e0d</t>
  </si>
  <si>
    <t>698a84c81b0f16b1260c</t>
  </si>
  <si>
    <t>Dina</t>
  </si>
  <si>
    <t>65f7c72ba417eb018125</t>
  </si>
  <si>
    <t>https://desk.channel.io/gowid/user-chats/698a84c81b0f16b1260c</t>
  </si>
  <si>
    <t>698a834f2047b3132708</t>
  </si>
  <si>
    <t>이아진</t>
  </si>
  <si>
    <t>66b17501ead0803c0bc0</t>
  </si>
  <si>
    <t>https://desk.channel.io/gowid/user-chats/698a834f2047b3132708</t>
  </si>
  <si>
    <t>6989b770f0af1942a2e9</t>
  </si>
  <si>
    <t>https://desk.channel.io/gowid/user-chats/6989b770f0af1942a2e9</t>
  </si>
  <si>
    <t>6989b23f4ed4212b9b3b</t>
  </si>
  <si>
    <t>김우진</t>
  </si>
  <si>
    <t>66d7c4b468b3ddd31875</t>
  </si>
  <si>
    <t>https://desk.channel.io/gowid/user-chats/6989b23f4ed4212b9b3b</t>
  </si>
  <si>
    <t>6989b21bf351359affb9</t>
  </si>
  <si>
    <t>류원경</t>
  </si>
  <si>
    <t>69898b284a5c04a7b1e5</t>
  </si>
  <si>
    <t>https://desk.channel.io/gowid/user-chats/6989b21bf351359affb9</t>
  </si>
  <si>
    <t>6989b1dc4109a700cdcf</t>
  </si>
  <si>
    <t>박진홍</t>
  </si>
  <si>
    <t>667964bea6e7980d7cf2</t>
  </si>
  <si>
    <t>https://desk.channel.io/gowid/user-chats/6989b1dc4109a700cdcf</t>
  </si>
  <si>
    <t>6989acc564dbe8015740</t>
  </si>
  <si>
    <t>이현우(Matthew)</t>
  </si>
  <si>
    <t>6985704fb8193c0d83e3</t>
  </si>
  <si>
    <t>https://desk.channel.io/gowid/user-chats/6989acc564dbe8015740</t>
  </si>
  <si>
    <t>69899997abd7e0ef4565</t>
  </si>
  <si>
    <t>이선용</t>
  </si>
  <si>
    <t>6964c223d0feb4f62369</t>
  </si>
  <si>
    <t>https://desk.channel.io/gowid/user-chats/69899997abd7e0ef4565</t>
  </si>
  <si>
    <t>6989955b1233c2e81f71</t>
  </si>
  <si>
    <t>유지민</t>
  </si>
  <si>
    <t>68edf9facf2c4a0abfd3</t>
  </si>
  <si>
    <t>https://desk.channel.io/gowid/user-chats/6989955b1233c2e81f71</t>
  </si>
  <si>
    <t>698993802bc6122bed70</t>
  </si>
  <si>
    <t>아보카도 307</t>
  </si>
  <si>
    <t>69899379cd8f1cfed30f</t>
  </si>
  <si>
    <t>https://desk.channel.io/gowid/user-chats/698993802bc6122bed70</t>
  </si>
  <si>
    <t>698986bae29abbd7d206</t>
  </si>
  <si>
    <t>노현섭</t>
  </si>
  <si>
    <t>651622793a68250a7e7f</t>
  </si>
  <si>
    <t>https://desk.channel.io/gowid/user-chats/698986bae29abbd7d206</t>
  </si>
  <si>
    <t>698986514b1e68694239</t>
  </si>
  <si>
    <t>https://desk.channel.io/gowid/user-chats/698986514b1e68694239</t>
  </si>
  <si>
    <t>698985f1a2048ace8a40</t>
  </si>
  <si>
    <t>김주리</t>
  </si>
  <si>
    <t>684a5cfd87c51f783511</t>
  </si>
  <si>
    <t>https://desk.channel.io/gowid/user-chats/698985f1a2048ace8a40</t>
  </si>
  <si>
    <t>6989800d290e82d1b7ee</t>
  </si>
  <si>
    <t>한기남</t>
  </si>
  <si>
    <t>6865dd9d9942936cdcae</t>
  </si>
  <si>
    <t>https://desk.channel.io/gowid/user-chats/6989800d290e82d1b7ee</t>
  </si>
  <si>
    <t>69844ef7503a60c32bea</t>
  </si>
  <si>
    <t>이제관</t>
  </si>
  <si>
    <t>카드/한도상하향/신청및단순문의</t>
  </si>
  <si>
    <t>68fb09af9f84ef60cc58</t>
  </si>
  <si>
    <t>https://desk.channel.io/gowid/user-chats/69844ef7503a60c32bea</t>
  </si>
  <si>
    <t>69842346e26ef6c70da0</t>
  </si>
  <si>
    <t>신규발급(단순문의)</t>
  </si>
  <si>
    <t>540030, 567580, 574085, 595545, 607950</t>
  </si>
  <si>
    <t>https://desk.channel.io/gowid/user-chats/69842346e26ef6c70da0</t>
  </si>
  <si>
    <t>6989761e4c1dc370ba54</t>
  </si>
  <si>
    <t>김규미</t>
  </si>
  <si>
    <t>6982b190b5806a8bc906</t>
  </si>
  <si>
    <t>https://desk.channel.io/gowid/user-chats/6989761e4c1dc370ba54</t>
  </si>
  <si>
    <t>698971f0f357cb9284b9</t>
  </si>
  <si>
    <t>https://desk.channel.io/gowid/user-chats/698971f0f357cb9284b9</t>
  </si>
  <si>
    <t>6989716d445f3bd2798c</t>
  </si>
  <si>
    <t>이송이</t>
  </si>
  <si>
    <t>6929641be9cc829c7709</t>
  </si>
  <si>
    <t>https://desk.channel.io/gowid/user-chats/6989716d445f3bd2798c</t>
  </si>
  <si>
    <t>69896d9e1d23ade47167</t>
  </si>
  <si>
    <t>https://desk.channel.io/gowid/user-chats/69896d9e1d23ade47167</t>
  </si>
  <si>
    <t>69896c082cfd43944645</t>
  </si>
  <si>
    <t>무지개 616</t>
  </si>
  <si>
    <t>69896bde2f5c2aefe857</t>
  </si>
  <si>
    <t>https://desk.channel.io/gowid/user-chats/69896c082cfd43944645</t>
  </si>
  <si>
    <t>6989680260cb83446f08</t>
  </si>
  <si>
    <t>정서익</t>
  </si>
  <si>
    <t>UI오류</t>
  </si>
  <si>
    <t>698965498ee0f6db4ae7</t>
  </si>
  <si>
    <t>https://desk.channel.io/gowid/user-chats/6989680260cb83446f08</t>
  </si>
  <si>
    <t>69896461b7daf1e5aa2f</t>
  </si>
  <si>
    <t>문다현</t>
  </si>
  <si>
    <t>6969beeac5bc9ba3eec2</t>
  </si>
  <si>
    <t>https://desk.channel.io/gowid/user-chats/69896461b7daf1e5aa2f</t>
  </si>
  <si>
    <t>69895ec6e8e8aeeebde8</t>
  </si>
  <si>
    <t>https://desk.channel.io/gowid/user-chats/69895ec6e8e8aeeebde8</t>
  </si>
  <si>
    <t>6989487dca1137292d03</t>
  </si>
  <si>
    <t>경영지원실</t>
  </si>
  <si>
    <t>66bb1104f3078b3acd6e</t>
  </si>
  <si>
    <t>https://desk.channel.io/gowid/user-chats/6989487dca1137292d03</t>
  </si>
  <si>
    <t>69894538cdf2840abbdb</t>
  </si>
  <si>
    <t>https://desk.channel.io/gowid/user-chats/69894538cdf2840abbdb</t>
  </si>
  <si>
    <t>698945079d2796bd0fac</t>
  </si>
  <si>
    <t>유채림</t>
  </si>
  <si>
    <t>698444e9680bdac3cd46</t>
  </si>
  <si>
    <t>https://desk.channel.io/gowid/user-chats/698945079d2796bd0fac</t>
  </si>
  <si>
    <t>698944352aafe9a9ff82</t>
  </si>
  <si>
    <t>유승완</t>
  </si>
  <si>
    <t>698936d1bc94ae7dbf8f</t>
  </si>
  <si>
    <t>https://desk.channel.io/gowid/user-chats/698944352aafe9a9ff82</t>
  </si>
  <si>
    <t>6989437e24bc0cfa7bc5</t>
  </si>
  <si>
    <t>Pizza 068</t>
  </si>
  <si>
    <t>6989437bb64b29e09f74</t>
  </si>
  <si>
    <t>https://desk.channel.io/gowid/user-chats/6989437e24bc0cfa7bc5</t>
  </si>
  <si>
    <t>69893b004f9dc324e73b</t>
  </si>
  <si>
    <t>정하빈</t>
  </si>
  <si>
    <t>696dd855bbf22f70b618</t>
  </si>
  <si>
    <t>https://desk.channel.io/gowid/user-chats/69893b004f9dc324e73b</t>
  </si>
  <si>
    <t>69893a60472efeea61b4</t>
  </si>
  <si>
    <t>Ryan</t>
  </si>
  <si>
    <t>아래 템플릿으로 고객문의 정리해줘.
 최대한 간명하게 작성해주되, 문제요약은 구체적으로 이해하기 쉽게 고위드 용어로 작성해줘. * 표시는 다 안 들어가도록 빼줘.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</si>
  <si>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688876055d7a767fbdb7</t>
  </si>
  <si>
    <t>https://desk.channel.io/gowid/user-chats/69893a60472efeea61b4</t>
  </si>
  <si>
    <t>698939d2d4fc8757d454</t>
  </si>
  <si>
    <t>이진아</t>
  </si>
  <si>
    <t>66cd404d48fff67f77e3</t>
  </si>
  <si>
    <t>https://desk.channel.io/gowid/user-chats/698939d2d4fc8757d454</t>
  </si>
  <si>
    <t>698938d96ef656cfaf7f</t>
  </si>
  <si>
    <t>주식회사 한백</t>
  </si>
  <si>
    <t>672037f064d0d63b730d</t>
  </si>
  <si>
    <t>https://desk.channel.io/gowid/user-chats/698938d96ef656cfaf7f</t>
  </si>
  <si>
    <t>69893795b6d72016218c</t>
  </si>
  <si>
    <t>펌킨 084</t>
  </si>
  <si>
    <t>69893791657bb9439250</t>
  </si>
  <si>
    <t>https://desk.channel.io/gowid/user-chats/69893795b6d72016218c</t>
  </si>
  <si>
    <t>698936a001cbbe64e5d7</t>
  </si>
  <si>
    <t>https://desk.channel.io/gowid/user-chats/698936a001cbbe64e5d7</t>
  </si>
  <si>
    <t>69893372be3d05859622</t>
  </si>
  <si>
    <t>원소현</t>
  </si>
  <si>
    <t>65f4010755b1a0eb957f</t>
  </si>
  <si>
    <t>https://desk.channel.io/gowid/user-chats/69893372be3d05859622</t>
  </si>
  <si>
    <t>6989327c5082507023da</t>
  </si>
  <si>
    <t>이요셉</t>
  </si>
  <si>
    <t>6567e4d9bffb933fd4d0</t>
  </si>
  <si>
    <t>https://desk.channel.io/gowid/user-chats/6989327c5082507023da</t>
  </si>
  <si>
    <t>69892fde208ca5a4dfcd</t>
  </si>
  <si>
    <t>정보라</t>
  </si>
  <si>
    <t>675f9997e699e244a354</t>
  </si>
  <si>
    <t>https://desk.channel.io/gowid/user-chats/69892fde208ca5a4dfcd</t>
  </si>
  <si>
    <t>6989271d55595a4e59a4</t>
  </si>
  <si>
    <t>김진혁</t>
  </si>
  <si>
    <t>문의 내용이 너무 짧아 요약할 내용이 없습니다.</t>
  </si>
  <si>
    <t>695ca0bd3e134b9aea79</t>
  </si>
  <si>
    <t>506375, 574085, 607950</t>
  </si>
  <si>
    <t>https://desk.channel.io/gowid/user-chats/6989271d55595a4e59a4</t>
  </si>
  <si>
    <t>698926fb6533a6e2f8fb</t>
  </si>
  <si>
    <t>박가연</t>
  </si>
  <si>
    <t>68db35213edea346416a</t>
  </si>
  <si>
    <t>https://desk.channel.io/gowid/user-chats/698926fb6533a6e2f8fb</t>
  </si>
  <si>
    <t>69888bae7a7f48bd66b5</t>
  </si>
  <si>
    <t>애플 339</t>
  </si>
  <si>
    <t>69888b59a04eb20019a5</t>
  </si>
  <si>
    <t>https://desk.channel.io/gowid/user-chats/69888bae7a7f48bd66b5</t>
  </si>
  <si>
    <t>6987e1a363451d08c3d6</t>
  </si>
  <si>
    <t>다트 445</t>
  </si>
  <si>
    <t>697f58630b8b911f2f5a</t>
  </si>
  <si>
    <t>https://desk.channel.io/gowid/user-chats/6987e1a363451d08c3d6</t>
  </si>
  <si>
    <t>6986f4195e4cb01f4c1c</t>
  </si>
  <si>
    <t>김병조</t>
  </si>
  <si>
    <t>6308121f5c66b7d034d3</t>
  </si>
  <si>
    <t>https://desk.channel.io/gowid/user-chats/6986f4195e4cb01f4c1c</t>
  </si>
  <si>
    <t>6986ef353b2ba2dd5279</t>
  </si>
  <si>
    <t>햇님 690</t>
  </si>
  <si>
    <t>69659d6002774d410004</t>
  </si>
  <si>
    <t>https://desk.channel.io/gowid/user-chats/6986ef353b2ba2dd5279</t>
  </si>
  <si>
    <t>69868f0d8996a3d7ddce</t>
  </si>
  <si>
    <t>이나경</t>
  </si>
  <si>
    <t>68367d301f281d26b90b</t>
  </si>
  <si>
    <t>https://desk.channel.io/gowid/user-chats/69868f0d8996a3d7ddce</t>
  </si>
  <si>
    <t>69868e3eb81325b6d3eb</t>
  </si>
  <si>
    <t>허니 991</t>
  </si>
  <si>
    <t>69868e2068f66eadad86</t>
  </si>
  <si>
    <t>https://desk.channel.io/gowid/user-chats/69868e3eb81325b6d3eb</t>
  </si>
  <si>
    <t>69868d507637ab98cb9d</t>
  </si>
  <si>
    <t>https://desk.channel.io/gowid/user-chats/69868d507637ab98cb9d</t>
  </si>
  <si>
    <t>6985e45f86ee598fdbee</t>
  </si>
  <si>
    <t>https://desk.channel.io/gowid/user-chats/6985e45f86ee598fdbee</t>
  </si>
  <si>
    <t>6985de7581daee1dd480</t>
  </si>
  <si>
    <t>지니 377</t>
  </si>
  <si>
    <t>6985de552b5fdb08f8ed</t>
  </si>
  <si>
    <t>https://desk.channel.io/gowid/user-chats/6985de7581daee1dd480</t>
  </si>
  <si>
    <t>6985db9aae64bf2f0891</t>
  </si>
  <si>
    <t>버섯 823</t>
  </si>
  <si>
    <t>698208534c810e89363f</t>
  </si>
  <si>
    <t>https://desk.channel.io/gowid/user-chats/6985db9aae64bf2f0891</t>
  </si>
  <si>
    <t>6985b36aa697899957a9</t>
  </si>
  <si>
    <t>https://desk.channel.io/gowid/user-chats/6985b36aa697899957a9</t>
  </si>
  <si>
    <t>6985ae64cbeeb3eea231</t>
  </si>
  <si>
    <t>https://desk.channel.io/gowid/user-chats/6985ae64cbeeb3eea231</t>
  </si>
  <si>
    <t>6985aad04b2eacf051fd</t>
  </si>
  <si>
    <t>https://desk.channel.io/gowid/user-chats/6985aad04b2eacf051fd</t>
  </si>
  <si>
    <t>6985ab2de10dd03070ad</t>
  </si>
  <si>
    <t>https://desk.channel.io/gowid/user-chats/6985ab2de10dd03070ad</t>
  </si>
  <si>
    <t>6985aae5c742c9fdf2ea</t>
  </si>
  <si>
    <t>한겨레</t>
  </si>
  <si>
    <t>한도상하향문의(보증금)</t>
  </si>
  <si>
    <t>6846967816cfc0e842cc</t>
  </si>
  <si>
    <t>https://desk.channel.io/gowid/user-chats/6985aae5c742c9fdf2ea</t>
  </si>
  <si>
    <t>6985a4656985d6264704</t>
  </si>
  <si>
    <t>송윤지</t>
  </si>
  <si>
    <t>678dfc113f7398c84803</t>
  </si>
  <si>
    <t>https://desk.channel.io/gowid/user-chats/6985a4656985d6264704</t>
  </si>
  <si>
    <t>6985a1797dd1f75bea5f</t>
  </si>
  <si>
    <t>케이크 378</t>
  </si>
  <si>
    <t>6985a16dc614f51202d0</t>
  </si>
  <si>
    <t>https://desk.channel.io/gowid/user-chats/6985a1797dd1f75bea5f</t>
  </si>
  <si>
    <t>6985a060cbfb2ee3b193</t>
  </si>
  <si>
    <t>오스카(강진형)</t>
  </si>
  <si>
    <t>6908050478796bec6d04</t>
  </si>
  <si>
    <t>https://desk.channel.io/gowid/user-chats/6985a060cbfb2ee3b193</t>
  </si>
  <si>
    <t>69859ad9e87079764904</t>
  </si>
  <si>
    <t>재무팀</t>
  </si>
  <si>
    <t>67201a42c50c9890b794</t>
  </si>
  <si>
    <t>https://desk.channel.io/gowid/user-chats/69859ad9e87079764904</t>
  </si>
  <si>
    <t>69859835589c85ea1f25</t>
  </si>
  <si>
    <t>김혜현</t>
  </si>
  <si>
    <t>666a5425e964b2953a45</t>
  </si>
  <si>
    <t>https://desk.channel.io/gowid/user-chats/69859835589c85ea1f25</t>
  </si>
  <si>
    <t>698597b8218491e9e6e0</t>
  </si>
  <si>
    <t>https://desk.channel.io/gowid/user-chats/698597b8218491e9e6e0</t>
  </si>
  <si>
    <t>6985946ea1f39c7d75e0</t>
  </si>
  <si>
    <t>전현선</t>
  </si>
  <si>
    <t>카드/카드사용/단순문의</t>
  </si>
  <si>
    <t>66a337bf58b09e8bb14b</t>
  </si>
  <si>
    <t>https://desk.channel.io/gowid/user-chats/6985946ea1f39c7d75e0</t>
  </si>
  <si>
    <t>6985935c2a1a307a1539</t>
  </si>
  <si>
    <t>anny</t>
  </si>
  <si>
    <t>6568028c2dac016ca196</t>
  </si>
  <si>
    <t>https://desk.channel.io/gowid/user-chats/6985935c2a1a307a1539</t>
  </si>
  <si>
    <t>698592a82dadd44dd3dd</t>
  </si>
  <si>
    <t>이지율</t>
  </si>
  <si>
    <t>6842a51c912feeba452e</t>
  </si>
  <si>
    <t>https://desk.channel.io/gowid/user-chats/698592a82dadd44dd3dd</t>
  </si>
  <si>
    <t>698591fab36e9f670822</t>
  </si>
  <si>
    <t>https://desk.channel.io/gowid/user-chats/698591fab36e9f670822</t>
  </si>
  <si>
    <t>69857d380c3743b6c295</t>
  </si>
  <si>
    <t>센터_전민석</t>
  </si>
  <si>
    <t>671f484ecf13d5c809a2</t>
  </si>
  <si>
    <t>https://desk.channel.io/gowid/user-chats/69857d380c3743b6c295</t>
  </si>
  <si>
    <t>698578038e0d0516fc12</t>
  </si>
  <si>
    <t>https://desk.channel.io/gowid/user-chats/698578038e0d0516fc12</t>
  </si>
  <si>
    <t>698577bf30255388e6b9</t>
  </si>
  <si>
    <t>https://docs.channel.io/gowid-guide/ko/articles/고위드-서비스-및-혜택-안내-839267ab</t>
  </si>
  <si>
    <t>https://desk.channel.io/gowid/user-chats/698577bf30255388e6b9</t>
  </si>
  <si>
    <t>69857482426518db37d5</t>
  </si>
  <si>
    <t>https://desk.channel.io/gowid/user-chats/69857482426518db37d5</t>
  </si>
  <si>
    <t>안녕하세요 매니저님, 방금 고위드 법인카드 신청완료했는데</t>
  </si>
  <si>
    <t>698572673ab400033ab5</t>
  </si>
  <si>
    <t>박상호</t>
  </si>
  <si>
    <t>6722e4963a2df158089d</t>
  </si>
  <si>
    <t>https://desk.channel.io/gowid/user-chats/698572673ab400033ab5</t>
  </si>
  <si>
    <t>6985713318661f71f812</t>
  </si>
  <si>
    <t>이승환</t>
  </si>
  <si>
    <t>69856c27e08eafb02bda</t>
  </si>
  <si>
    <t>https://desk.channel.io/gowid/user-chats/6985713318661f71f812</t>
  </si>
  <si>
    <t>6985667a9840f19821b2</t>
  </si>
  <si>
    <t>https://desk.channel.io/gowid/user-chats/6985667a9840f19821b2</t>
  </si>
  <si>
    <t>698565ef47f500145f88</t>
  </si>
  <si>
    <t>백승찬</t>
  </si>
  <si>
    <t>[상담요약]
 - 고객사: 보증금 관련 고객
 - 문의요약: 보증금과 카드 한도 확인 요청
 - 문의유형: 보증금 및 카드 한도
 - impact: L2
 - 처리내용: 한도 산출 불가 시 보증금 거치 안내, 기존 한도 사용 후 재산출 설명
 - 결과: 지출관리 서비스 안내 및 추가 문의 가능성 제시
 - 후속조치: 고객 추가 문의 대기</t>
  </si>
  <si>
    <t>697970ad3d0bebd23a87</t>
  </si>
  <si>
    <t>https://desk.channel.io/gowid/user-chats/698565ef47f500145f88</t>
  </si>
  <si>
    <t>698560953c9f8a2a68ba</t>
  </si>
  <si>
    <t>조서연</t>
  </si>
  <si>
    <t>694b6e91111ea2e5497a</t>
  </si>
  <si>
    <t>https://desk.channel.io/gowid/user-chats/698560953c9f8a2a68ba</t>
  </si>
  <si>
    <t>69856078b9febe924884</t>
  </si>
  <si>
    <t>https://desk.channel.io/gowid/user-chats/69856078b9febe924884</t>
  </si>
  <si>
    <t>6985537a20e5ad3311d5</t>
  </si>
  <si>
    <t>정재식</t>
  </si>
  <si>
    <t>66dea44d813d143c976f</t>
  </si>
  <si>
    <t>https://desk.channel.io/gowid/user-chats/6985537a20e5ad3311d5</t>
  </si>
  <si>
    <t>69854bac30bc0daf12f0</t>
  </si>
  <si>
    <t>우산 446</t>
  </si>
  <si>
    <t>6985495830e71287916a</t>
  </si>
  <si>
    <t>https://desk.channel.io/gowid/user-chats/69854bac30bc0daf12f0</t>
  </si>
  <si>
    <t>69854b17db290c1abbc7</t>
  </si>
  <si>
    <t>초콜릿 444</t>
  </si>
  <si>
    <t>698544ea4610683b182a</t>
  </si>
  <si>
    <t>https://desk.channel.io/gowid/user-chats/69854b17db290c1abbc7</t>
  </si>
  <si>
    <t>69854a42a14d5a214ea5</t>
  </si>
  <si>
    <t>이유리</t>
  </si>
  <si>
    <t>67636ac92901baa13bcd</t>
  </si>
  <si>
    <t>https://desk.channel.io/gowid/user-chats/69854a42a14d5a214ea5</t>
  </si>
  <si>
    <t>6985484b85c4e3216b9f</t>
  </si>
  <si>
    <t>https://desk.channel.io/gowid/user-chats/6985484b85c4e3216b9f</t>
  </si>
  <si>
    <t>698542ca56cd4f03c0dd</t>
  </si>
  <si>
    <t>치즈 272</t>
  </si>
  <si>
    <t>69847351c6e41bd16e9c</t>
  </si>
  <si>
    <t>https://desk.channel.io/gowid/user-chats/698542ca56cd4f03c0dd</t>
  </si>
  <si>
    <t>6985428a8065ef1bab3d</t>
  </si>
  <si>
    <t>윤시원</t>
  </si>
  <si>
    <t>68a675c456dd07c0cca6</t>
  </si>
  <si>
    <t>https://desk.channel.io/gowid/user-chats/6985428a8065ef1bab3d</t>
  </si>
  <si>
    <t>6985420ef3658791491b</t>
  </si>
  <si>
    <t>무지개 891</t>
  </si>
  <si>
    <t>6985265cc017563d84a9</t>
  </si>
  <si>
    <t>https://desk.channel.io/gowid/user-chats/6985420ef3658791491b</t>
  </si>
  <si>
    <t>698541259e70f13d2f02</t>
  </si>
  <si>
    <t>https://desk.channel.io/gowid/user-chats/698541259e70f13d2f02</t>
  </si>
  <si>
    <t>6985411ec55ea75ef37e</t>
  </si>
  <si>
    <t>구름 661</t>
  </si>
  <si>
    <t>69853c5261efe2b1cb89</t>
  </si>
  <si>
    <t>https://desk.channel.io/gowid/user-chats/6985411ec55ea75ef37e</t>
  </si>
  <si>
    <t>6985345e6fccd0cb44e7</t>
  </si>
  <si>
    <t>[상담요약]
 - 고객사: 롯데카드
 - 문의요약: 12월 카드 내역 확인 요청
 - 문의유형: 내역 확인
 - impact: L1
 - 처리내용: 내부 확인 후 안내 예정
 - 결과: 안내 예정
 - 후속조치: 연락 예정</t>
  </si>
  <si>
    <t>https://desk.channel.io/gowid/user-chats/6985345e6fccd0cb44e7</t>
  </si>
  <si>
    <t>6985314b44fcceee8e72</t>
  </si>
  <si>
    <t>https://desk.channel.io/gowid/user-chats/6985314b44fcceee8e72</t>
  </si>
  <si>
    <t>69852fb7015340b4c1cf</t>
  </si>
  <si>
    <t>포도 955</t>
  </si>
  <si>
    <t>69852d516ce63697b74e</t>
  </si>
  <si>
    <t>https://desk.channel.io/gowid/user-chats/69852fb7015340b4c1cf</t>
  </si>
  <si>
    <t>698526fc2d5ef56e8b81</t>
  </si>
  <si>
    <t>https://desk.channel.io/gowid/user-chats/698526fc2d5ef56e8b81</t>
  </si>
  <si>
    <t>698522892c1681206c53</t>
  </si>
  <si>
    <t>https://desk.channel.io/gowid/user-chats/698522892c1681206c53</t>
  </si>
  <si>
    <t>698520d2efada2f508cc</t>
  </si>
  <si>
    <t>https://desk.channel.io/gowid/user-chats/698520d2efada2f508cc</t>
  </si>
  <si>
    <t>69851a6d061b543f7806</t>
  </si>
  <si>
    <t>아보카도 652</t>
  </si>
  <si>
    <t>698519c16a71c79a907e</t>
  </si>
  <si>
    <t>https://desk.channel.io/gowid/user-chats/69851a6d061b543f7806</t>
  </si>
  <si>
    <t>69845ea47031139f2143</t>
  </si>
  <si>
    <t>최유은</t>
  </si>
  <si>
    <t>65b7495a9b170d51382d</t>
  </si>
  <si>
    <t>526753, 533671, 540030, 567580, 594863, 595545, 78191</t>
  </si>
  <si>
    <t>https://desk.channel.io/gowid/user-chats/69845ea47031139f2143</t>
  </si>
  <si>
    <t>69845b10713f079622df</t>
  </si>
  <si>
    <t>https://desk.channel.io/gowid/user-chats/69845b10713f079622df</t>
  </si>
  <si>
    <t>698450bd5cebee71a5c4</t>
  </si>
  <si>
    <t>정연우</t>
  </si>
  <si>
    <t>685bbb99aa5410480b9e</t>
  </si>
  <si>
    <t>540030, 567580, 595545</t>
  </si>
  <si>
    <t>https://desk.channel.io/gowid/user-chats/698450bd5cebee71a5c4</t>
  </si>
  <si>
    <t>698445cf7e6a85e8d1ee</t>
  </si>
  <si>
    <t>신혜란</t>
  </si>
  <si>
    <t>• 법인명: 더앤트
 • 사업자번호: 7068701020
 • 문의 경로: 채널톡
 • 문의 고객 성함 및 이메일: 신혜란 
 • 문제 요약: 고위드 '이용내역관리' 화면과 '위하고 다운로드 자료' 간의 카드 이용 내역(거래일자 및 품목) 불일치 문제
 • impact Level: L2</t>
  </si>
  <si>
    <t>경비회계정책(오류)</t>
  </si>
  <si>
    <t>673af2c278e491d44d1e</t>
  </si>
  <si>
    <t>https://desk.channel.io/gowid/user-chats/698445cf7e6a85e8d1ee</t>
  </si>
  <si>
    <t>698441bd0ba376912b2e</t>
  </si>
  <si>
    <t>여은주</t>
  </si>
  <si>
    <t>66b95a72304b00e22495</t>
  </si>
  <si>
    <t>https://desk.channel.io/gowid/user-chats/698441bd0ba376912b2e</t>
  </si>
  <si>
    <t>69843c3273cb1866cdba</t>
  </si>
  <si>
    <t>고경은</t>
  </si>
  <si>
    <t>66ac46502f815db67e14</t>
  </si>
  <si>
    <t>https://desk.channel.io/gowid/user-chats/69843c3273cb1866cdba</t>
  </si>
  <si>
    <t>698433a199bcb25bfaa5</t>
  </si>
  <si>
    <t>김사무엘</t>
  </si>
  <si>
    <t>[상담요약]
 - 고객사: 올림플래닛
 - 문의요약: 법인 카드 결제 내역과 실제 결제 금액 상이
 - 문의유형: 기타 오류 제보
 - impact: L2
 - 처리내용: 고객의 결제 내역 엑셀 다운로드와 카드사 홈페이지 내역 확인 요청, 캡쳐본 필요
 - 결과: 고객의 결제 단위의 오류 확인 필요
 - 후속조치: 고객에게 카드사 캡쳐본 요청, 내부 개발팀 수기 확인 진행 중</t>
  </si>
  <si>
    <t>https://docs.channel.io/gowid-guide/ko/categories/고객센터-f0be7227</t>
  </si>
  <si>
    <t>69005264a67e0b71a8a7</t>
  </si>
  <si>
    <t>https://desk.channel.io/gowid/user-chats/698433a199bcb25bfaa5</t>
  </si>
  <si>
    <t>6980291d667fe8e0c52d</t>
  </si>
  <si>
    <t>오현진</t>
  </si>
  <si>
    <t>법인명 : 케미컴퍼니
 사업자번호 : 3618803119
 문의 경로: 채널톡 (데스크 링크 첨부)
 문의 고객 성함 및 이메일: 오현진, admin@heart-travel.co.kr
 문제 요약: 고객 로그인 아이디(이메일) 변경 요청 (admin@heart-travel.co.kr) 후, 연속 시도로 인한 변경 처리 지연 및 수동 변경 완료.
 impact Level : L3</t>
  </si>
  <si>
    <t>6960a22c6350c06e65f2</t>
  </si>
  <si>
    <t>https://desk.channel.io/gowid/user-chats/6980291d667fe8e0c52d</t>
  </si>
  <si>
    <t>베리굳</t>
  </si>
  <si>
    <t>698431221c9768573445</t>
  </si>
  <si>
    <t>이아름</t>
  </si>
  <si>
    <t>66ed202b07d401938433</t>
  </si>
  <si>
    <t>https://desk.channel.io/gowid/user-chats/698431221c9768573445</t>
  </si>
  <si>
    <t>69842d28dbf595ab449f</t>
  </si>
  <si>
    <t>최다혜</t>
  </si>
  <si>
    <t>[상담요약]
 법인명: 주식회사 모요 
 사업자번호: 7168702405
 문의 경로: 채널톡
 문의 고객 성함 및 이메일: 최다혜 (이메일 정보 없음)
 문제 요약: 지출 제출 시, 권한별 경비 용도 가시성 제한 기능 부재로 사용자에게 불필요한 용도가 노출되어 용도 선택에 비효율 발생 및 기능 개발 요청
 Impact Level: Level 2</t>
  </si>
  <si>
    <t>67cfa1f478cd174ea1ed</t>
  </si>
  <si>
    <t>https://desk.channel.io/gowid/user-chats/69842d28dbf595ab449f</t>
  </si>
  <si>
    <t>698429afc6f537aad131</t>
  </si>
  <si>
    <t>앤잡스</t>
  </si>
  <si>
    <t>공동인증서연동(단순문의)</t>
  </si>
  <si>
    <t>65681a85826983030494</t>
  </si>
  <si>
    <t>https://desk.channel.io/gowid/user-chats/698429afc6f537aad131</t>
  </si>
  <si>
    <t>698421f05c52ed7f8789</t>
  </si>
  <si>
    <t>조현수</t>
  </si>
  <si>
    <t>66f6c726d22ffee248e0</t>
  </si>
  <si>
    <t>https://desk.channel.io/gowid/user-chats/698421f05c52ed7f8789</t>
  </si>
  <si>
    <t>69842141ea5dfb94142c</t>
  </si>
  <si>
    <t>https://desk.channel.io/gowid/user-chats/69842141ea5dfb94142c</t>
  </si>
  <si>
    <t>69841d1be333cd98e771</t>
  </si>
  <si>
    <t>슈팅스타 680</t>
  </si>
  <si>
    <t>697ab5dbac5a48712ab1</t>
  </si>
  <si>
    <t>https://desk.channel.io/gowid/user-chats/69841d1be333cd98e771</t>
  </si>
  <si>
    <t>69840bebc0cac4bdab84</t>
  </si>
  <si>
    <t>526753, 533671, 594863, 607950, 78191</t>
  </si>
  <si>
    <t>https://desk.channel.io/gowid/user-chats/69840bebc0cac4bdab84</t>
  </si>
  <si>
    <t>69840151eafc63498ab7</t>
  </si>
  <si>
    <t>고은별</t>
  </si>
  <si>
    <t>67fccd25e4a885744cc9</t>
  </si>
  <si>
    <t>https://desk.channel.io/gowid/user-chats/69840151eafc63498ab7</t>
  </si>
  <si>
    <t>6983fbd644765a32c59c</t>
  </si>
  <si>
    <t>강태구</t>
  </si>
  <si>
    <t>6949fef39ddf14254aa5</t>
  </si>
  <si>
    <t>https://desk.channel.io/gowid/user-chats/6983fbd644765a32c59c</t>
  </si>
  <si>
    <t>6983f4869a6a088b52d8</t>
  </si>
  <si>
    <t>도진현</t>
  </si>
  <si>
    <t>6729d204c5c471407ab9</t>
  </si>
  <si>
    <t>https://desk.channel.io/gowid/user-chats/6983f4869a6a088b52d8</t>
  </si>
  <si>
    <t>6983ec3d32807c1c9508</t>
  </si>
  <si>
    <t>김수연</t>
  </si>
  <si>
    <t>67185266092739e1507a</t>
  </si>
  <si>
    <t>https://desk.channel.io/gowid/user-chats/6983ec3d32807c1c9508</t>
  </si>
  <si>
    <t>6983ec4255bff84eac40</t>
  </si>
  <si>
    <t>https://desk.channel.io/gowid/user-chats/6983ec4255bff84eac40</t>
  </si>
  <si>
    <t>6983df75bf9c2ebda536</t>
  </si>
  <si>
    <t>전태준</t>
  </si>
  <si>
    <t>[상담요약]
 법인명: (주)바이오컴
 사업자번호: 431-86-02657
 문의 경로: 채널톡
 문의 고객 성함 및 이메일: 전태준 / taejun@biocom.kr
 문제 요약: 고객이 flex, 위하고 ERP 연동 및 자체 대시보드 툴 생성을 위해 API Key 발급 방법을 문의하며, 현재 고위드에서 지원하는 모든 API 데이터(지출내역 조회 및 자동 분류 목적)가 필요함. 기존 다운로드 기능으로는 연동이 어려워 API 사용을 요청.
 impact Level: Level 3 (Opportunistic)</t>
  </si>
  <si>
    <t>[상담요약]
 - 고객사: 고객
 - 문의요약: 슈퍼관리자 상태 확인 요청
 - 문의유형: 상태 확인
 - impact: L2
 - 처리내용: API 발급 담당자에게 전달
 - 결과: 발급 안내 메일 발송 예정
 - 후속조치: 확인 후 안내 메일 발송</t>
  </si>
  <si>
    <t>6980a463629a60292a08</t>
  </si>
  <si>
    <t>https://desk.channel.io/gowid/user-chats/6983df75bf9c2ebda536</t>
  </si>
  <si>
    <t>6983d6d46fad4e77a224</t>
  </si>
  <si>
    <t>박현정</t>
  </si>
  <si>
    <t>69310d6f6babf2920388</t>
  </si>
  <si>
    <t>https://desk.channel.io/gowid/user-chats/6983d6d46fad4e77a224</t>
  </si>
  <si>
    <t>69830642dfd276bc3866</t>
  </si>
  <si>
    <t>506375, 540030, 567580, 574085, 595545, 607950</t>
  </si>
  <si>
    <t>https://desk.channel.io/gowid/user-chats/69830642dfd276bc3866</t>
  </si>
  <si>
    <t>6982f79cf2925b461d19</t>
  </si>
  <si>
    <t>강혜민</t>
  </si>
  <si>
    <t>상담요약]
 • 법인명: 이마고웍스 주식회사
 • 사업자번호: 460-81-01758
 • 문의 경로: 채널톡
 • 문의 고객 성함 및 이메일: 강혜민 (이메일 정보 없음)
 • 문제 요약: 고위드 이용내역과 카드사 매입내역 불일치로 인해 카드대금명세서가 상이하게 표시되는 현상 발생 (승인-승인취소-매입 과정 오류로 추정
 • Impact Level: L2
 카드사소통요청</t>
  </si>
  <si>
    <t>64cafa284b95358659b9</t>
  </si>
  <si>
    <t>https://desk.channel.io/gowid/user-chats/6982f79cf2925b461d19</t>
  </si>
  <si>
    <t>6982f022241cd892e618</t>
  </si>
  <si>
    <t>추가발급재발급문의</t>
  </si>
  <si>
    <t>https://desk.channel.io/gowid/user-chats/6982f022241cd892e618</t>
  </si>
  <si>
    <t>6982ee58507f1082cfe7</t>
  </si>
  <si>
    <t>정효은</t>
  </si>
  <si>
    <t>6953719e9657971d5b61</t>
  </si>
  <si>
    <t>https://desk.channel.io/gowid/user-chats/6982ee58507f1082cfe7</t>
  </si>
  <si>
    <t>6982eb8c213a7107269e</t>
  </si>
  <si>
    <t>이준형</t>
  </si>
  <si>
    <t>이용내역(기능오류)</t>
  </si>
  <si>
    <t>65dee417ee12734a076f</t>
  </si>
  <si>
    <t>https://desk.channel.io/gowid/user-chats/6982eb8c213a7107269e</t>
  </si>
  <si>
    <t>6982eaed61297cd27192</t>
  </si>
  <si>
    <t>강영화</t>
  </si>
  <si>
    <t>697312002b281d37c090</t>
  </si>
  <si>
    <t>https://desk.channel.io/gowid/user-chats/6982eaed61297cd27192</t>
  </si>
  <si>
    <t>6982d16b5ee337155abf</t>
  </si>
  <si>
    <t>류지선</t>
  </si>
  <si>
    <t>672331cb6a3e2486e06e</t>
  </si>
  <si>
    <t>https://desk.channel.io/gowid/user-chats/6982d16b5ee337155abf</t>
  </si>
  <si>
    <t>6979a23a87403a5dccc3</t>
  </si>
  <si>
    <t>김폴혁</t>
  </si>
  <si>
    <t>발급진행일정문의</t>
  </si>
  <si>
    <t>695b668ae958f88374e8</t>
  </si>
  <si>
    <t>https://desk.channel.io/gowid/user-chats/6979a23a87403a5dccc3</t>
  </si>
  <si>
    <t>6982c470bc4ae79bc742</t>
  </si>
  <si>
    <t>전기범</t>
  </si>
  <si>
    <t>카드사소통(심사지연)</t>
  </si>
  <si>
    <t>카드/진행일정</t>
  </si>
  <si>
    <t>697b654e15262eb7872a</t>
  </si>
  <si>
    <t>https://desk.channel.io/gowid/user-chats/6982c470bc4ae79bc742</t>
  </si>
  <si>
    <t>69829a289f118b75c29e</t>
  </si>
  <si>
    <t>윤종운</t>
  </si>
  <si>
    <t>697b29ed758c5eff5776</t>
  </si>
  <si>
    <t>https://desk.channel.io/gowid/user-chats/69829a289f118b75c29e</t>
  </si>
  <si>
    <t>6982a59862d33cb3773a</t>
  </si>
  <si>
    <t>신은주</t>
  </si>
  <si>
    <t>6710dbfc49860aa8085a</t>
  </si>
  <si>
    <t>574085, 580658, 607950</t>
  </si>
  <si>
    <t>https://desk.channel.io/gowid/user-chats/6982a59862d33cb3773a</t>
  </si>
  <si>
    <t>698166bc980ded1408cc</t>
  </si>
  <si>
    <t>506375, 540030, 543287, 566275, 567580, 574085, 595545, 607950</t>
  </si>
  <si>
    <t>https://desk.channel.io/gowid/user-chats/698166bc980ded1408cc</t>
  </si>
  <si>
    <t>698296fd2516ade73db9</t>
  </si>
  <si>
    <t>https://desk.channel.io/gowid/user-chats/698296fd2516ade73db9</t>
  </si>
  <si>
    <t>698295bf79d5f942794d</t>
  </si>
  <si>
    <t>박수정</t>
  </si>
  <si>
    <t>68f850caf1070d87f6d0</t>
  </si>
  <si>
    <t>https://desk.channel.io/gowid/user-chats/698295bf79d5f942794d</t>
  </si>
  <si>
    <t>6981d7424f31ae1b40fb</t>
  </si>
  <si>
    <t>https://desk.channel.io/gowid/user-chats/6981d7424f31ae1b40fb</t>
  </si>
  <si>
    <t>6981c414ce87eb62f6e0</t>
  </si>
  <si>
    <t>https://desk.channel.io/gowid/user-chats/6981c414ce87eb62f6e0</t>
  </si>
  <si>
    <t>6981ba0fc228e7a3ba50</t>
  </si>
  <si>
    <t>이기헌</t>
  </si>
  <si>
    <t>한도상하향신청(단순문의)</t>
  </si>
  <si>
    <t>681b1e73af079dbf7881</t>
  </si>
  <si>
    <t>https://desk.channel.io/gowid/user-chats/6981ba0fc228e7a3ba50</t>
  </si>
  <si>
    <t>6981a4d368cf6993c10d</t>
  </si>
  <si>
    <t>이세미</t>
  </si>
  <si>
    <t>671eebf8984e0cf33e06</t>
  </si>
  <si>
    <t>https://desk.channel.io/gowid/user-chats/6981a4d368cf6993c10d</t>
  </si>
  <si>
    <t>69818496a0f1ad268353</t>
  </si>
  <si>
    <t>양재영</t>
  </si>
  <si>
    <t>672c20e8934170f650b3</t>
  </si>
  <si>
    <t>526753, 533671, 540030, 567580, 594863, 595545, 607950, 78191</t>
  </si>
  <si>
    <t>https://desk.channel.io/gowid/user-chats/69818496a0f1ad268353</t>
  </si>
  <si>
    <t>6981755d43cb95b51a6e</t>
  </si>
  <si>
    <t>진혜린</t>
  </si>
  <si>
    <t>카드사 소통</t>
  </si>
  <si>
    <t>68ae4d394ea67bda9421</t>
  </si>
  <si>
    <t>https://desk.channel.io/gowid/user-chats/6981755d43cb95b51a6e</t>
  </si>
  <si>
    <t>69816ebe75d6375f4e73</t>
  </si>
  <si>
    <t>큐피스트(본사)</t>
  </si>
  <si>
    <t>6704bc642ae81333b360</t>
  </si>
  <si>
    <t>https://desk.channel.io/gowid/user-chats/69816ebe75d6375f4e73</t>
  </si>
  <si>
    <t>69816a203470f4bc2c8a</t>
  </si>
  <si>
    <t>라한솔</t>
  </si>
  <si>
    <t>6836b57e790ae574866b</t>
  </si>
  <si>
    <t>https://desk.channel.io/gowid/user-chats/69816a203470f4bc2c8a</t>
  </si>
  <si>
    <t>698166f89b54bf2f3095</t>
  </si>
  <si>
    <t>카드관리(단순문의)</t>
  </si>
  <si>
    <t>540030, 543287, 566275, 567580, 574085, 595545, 607950</t>
  </si>
  <si>
    <t>https://desk.channel.io/gowid/user-chats/698166f89b54bf2f3095</t>
  </si>
  <si>
    <t>69815ed87eea5d2f4e25</t>
  </si>
  <si>
    <t>강지형</t>
  </si>
  <si>
    <t>68c123a01f9ccde4d257</t>
  </si>
  <si>
    <t>https://desk.channel.io/gowid/user-chats/69815ed87eea5d2f4e25</t>
  </si>
  <si>
    <t>69815925041a97a121be</t>
  </si>
  <si>
    <t>구름 966</t>
  </si>
  <si>
    <t>698139d215edfdb486d5</t>
  </si>
  <si>
    <t>https://desk.channel.io/gowid/user-chats/69815925041a97a121be</t>
  </si>
  <si>
    <t>698156866ecd2f157cda</t>
  </si>
  <si>
    <t>김나현</t>
  </si>
  <si>
    <t>카드사소통 필요</t>
  </si>
  <si>
    <t>69682fb37d09c3f958b5</t>
  </si>
  <si>
    <t>506375, 580658, 607950</t>
  </si>
  <si>
    <t>https://desk.channel.io/gowid/user-chats/698156866ecd2f157cda</t>
  </si>
  <si>
    <t>698147c7c4cb87285c6d</t>
  </si>
  <si>
    <t>https://desk.channel.io/gowid/user-chats/698147c7c4cb87285c6d</t>
  </si>
  <si>
    <t>69814b84d494c09ddd18</t>
  </si>
  <si>
    <t>김민희</t>
  </si>
  <si>
    <t>69795e4e0b9346f05747</t>
  </si>
  <si>
    <t>https://desk.channel.io/gowid/user-chats/69814b84d494c09ddd18</t>
  </si>
  <si>
    <t>698149f15be04747751b</t>
  </si>
  <si>
    <t>엘리 123</t>
  </si>
  <si>
    <t>698148e86faf6b159f42</t>
  </si>
  <si>
    <t>https://desk.channel.io/gowid/user-chats/698149f15be04747751b</t>
  </si>
  <si>
    <t>698095bc7cb0f85d9b97</t>
  </si>
  <si>
    <t>신현덕</t>
  </si>
  <si>
    <t>ServiceCenterActivity</t>
  </si>
  <si>
    <t>697c7ab241a7ede35164</t>
  </si>
  <si>
    <t>https://desk.channel.io/gowid/user-chats/698095bc7cb0f85d9b97</t>
  </si>
  <si>
    <t>698093946b27eab7f0bb</t>
  </si>
  <si>
    <t>https://desk.channel.io/gowid/user-chats/698093946b27eab7f0bb</t>
  </si>
  <si>
    <t>69808892cff649bb9c51</t>
  </si>
  <si>
    <t>https://desk.channel.io/gowid/user-chats/69808892cff649bb9c51</t>
  </si>
  <si>
    <t>69806b3c86ad486688a6</t>
  </si>
  <si>
    <t>정현강</t>
  </si>
  <si>
    <t>65693bb77842d481d244</t>
  </si>
  <si>
    <t>https://desk.channel.io/gowid/user-chats/69806b3c86ad486688a6</t>
  </si>
  <si>
    <t>69806a8082fbb9c80a1a</t>
  </si>
  <si>
    <t>https://desk.channel.io/gowid/user-chats/69806a8082fbb9c80a1a</t>
  </si>
  <si>
    <t>698067c33bdaaf6266ca</t>
  </si>
  <si>
    <t>김가희</t>
  </si>
  <si>
    <t>6567f0cce1fd1a752da6</t>
  </si>
  <si>
    <t>https://desk.channel.io/gowid/user-chats/698067c33bdaaf6266ca</t>
  </si>
  <si>
    <t>69805477b660cf2c7a99</t>
  </si>
  <si>
    <t>관리</t>
  </si>
  <si>
    <t>6613f0b34ba032bc15d0</t>
  </si>
  <si>
    <t>https://desk.channel.io/gowid/user-chats/69805477b660cf2c7a99</t>
  </si>
  <si>
    <t>698054127e297579144a</t>
  </si>
  <si>
    <t>이해령</t>
  </si>
  <si>
    <t>673d2dbe10fca09f429b</t>
  </si>
  <si>
    <t>https://desk.channel.io/gowid/user-chats/698054127e297579144a</t>
  </si>
  <si>
    <t>69805194f37c208a1985</t>
  </si>
  <si>
    <t>한나</t>
  </si>
  <si>
    <t>UIHostingController&lt;CustomerCenterView&gt;</t>
  </si>
  <si>
    <t>6909c7b66d417e3db9e6</t>
  </si>
  <si>
    <t>https://desk.channel.io/gowid/user-chats/69805194f37c208a1985</t>
  </si>
  <si>
    <t>69804844a6ab7f2c1563</t>
  </si>
  <si>
    <t>강미덥</t>
  </si>
  <si>
    <t>2/3일 유선 인입 예정</t>
  </si>
  <si>
    <t>697990a46bb55e715bf8</t>
  </si>
  <si>
    <t>https://desk.channel.io/gowid/user-chats/69804844a6ab7f2c1563</t>
  </si>
  <si>
    <t>69804798ce74a0228e84</t>
  </si>
  <si>
    <t>백승엽</t>
  </si>
  <si>
    <t>660540e9b5310dbf2176</t>
  </si>
  <si>
    <t>526753, 533671, 574085, 594863, 607950, 78191</t>
  </si>
  <si>
    <t>https://desk.channel.io/gowid/user-chats/69804798ce74a0228e84</t>
  </si>
  <si>
    <t>69804399e80e191ca237</t>
  </si>
  <si>
    <t>오소영</t>
  </si>
  <si>
    <t>페이바이카드</t>
  </si>
  <si>
    <t>https://docs.channel.io/gowid-guide/ko/articles/광고비-특화카드체크카드-소개-dad1a896</t>
  </si>
  <si>
    <t>6949ff85f0ae29341baf</t>
  </si>
  <si>
    <t>540179, 574085, 607950</t>
  </si>
  <si>
    <t>https://desk.channel.io/gowid/user-chats/69804399e80e191ca237</t>
  </si>
  <si>
    <t>69803d334250e5e55d48</t>
  </si>
  <si>
    <t>수박 252</t>
  </si>
  <si>
    <t>697c74946feec1d864d9</t>
  </si>
  <si>
    <t>https://desk.channel.io/gowid/user-chats/69803d334250e5e55d48</t>
  </si>
  <si>
    <t>6980380f38c0b155adc4</t>
  </si>
  <si>
    <t>쥬스 646</t>
  </si>
  <si>
    <t>https://docs.channel.io/gowid-guide/ko/articles/신한-무기명기명-추가발급-78946564</t>
  </si>
  <si>
    <t>69803700a32b41449b83</t>
  </si>
  <si>
    <t>https://desk.channel.io/gowid/user-chats/6980380f38c0b155adc4</t>
  </si>
  <si>
    <t>69802ada6a5f0ec25211</t>
  </si>
  <si>
    <t>697c6d7f9261a9626484</t>
  </si>
  <si>
    <t>https://desk.channel.io/gowid/user-chats/69802ada6a5f0ec25211</t>
  </si>
  <si>
    <t>698034ce8b9c7bc43135</t>
  </si>
  <si>
    <t>주식회사 베스펙스</t>
  </si>
  <si>
    <t>6721f2c596f2ce5f8836</t>
  </si>
  <si>
    <t>https://desk.channel.io/gowid/user-chats/698034ce8b9c7bc43135</t>
  </si>
  <si>
    <t>6980336f91e30ff42e13</t>
  </si>
  <si>
    <t>https://desk.channel.io/gowid/user-chats/6980336f91e30ff42e13</t>
  </si>
  <si>
    <t>6980181d685d187e8d3d</t>
  </si>
  <si>
    <t>https://desk.channel.io/gowid/user-chats/6980181d685d187e8d3d</t>
  </si>
  <si>
    <t>698011a35b4d7e682355</t>
  </si>
  <si>
    <t>https://desk.channel.io/gowid/user-chats/698011a35b4d7e682355</t>
  </si>
  <si>
    <t>69800c4bd08be52254ba</t>
  </si>
  <si>
    <t>이환희</t>
  </si>
  <si>
    <t>카드사</t>
  </si>
  <si>
    <t>법인정보변경(소재지)</t>
  </si>
  <si>
    <t>67604dcd5da1abb08b87</t>
  </si>
  <si>
    <t>https://desk.channel.io/gowid/user-chats/69800c4bd08be52254ba</t>
  </si>
  <si>
    <t>69800908071121485af5</t>
  </si>
  <si>
    <t>임국화</t>
  </si>
  <si>
    <t>695f766d073f41a660ff</t>
  </si>
  <si>
    <t>https://desk.channel.io/gowid/user-chats/69800908071121485af5</t>
  </si>
  <si>
    <t>697ff99e3337b6c25c7f</t>
  </si>
  <si>
    <t>조현영</t>
  </si>
  <si>
    <t>697b17316a5d1d200619</t>
  </si>
  <si>
    <t>506375, 574085</t>
  </si>
  <si>
    <t>https://desk.channel.io/gowid/user-chats/697ff99e3337b6c25c7f</t>
  </si>
  <si>
    <t>697ffeb6d25bbbf751d3</t>
  </si>
  <si>
    <t>박은주</t>
  </si>
  <si>
    <t>67ca51aa42666784521d</t>
  </si>
  <si>
    <t>370963, 540030, 567580, 574085, 595545, 607950</t>
  </si>
  <si>
    <t>https://desk.channel.io/gowid/user-chats/697ffeb6d25bbbf751d3</t>
  </si>
  <si>
    <t>697ffc1c8d3269df513b</t>
  </si>
  <si>
    <t>한명준</t>
  </si>
  <si>
    <t>697b66131178f306e680</t>
  </si>
  <si>
    <t>https://desk.channel.io/gowid/user-chats/697ffc1c8d3269df513b</t>
  </si>
  <si>
    <t>697ff97fe53dd6a4dc60</t>
  </si>
  <si>
    <t>법인카드 발급 문의
  • 계좌 사본 요청
  • 농협 중앙회 또는 지역 농협 확인 요청
  • 발급 과정 중 오류 발생</t>
  </si>
  <si>
    <t>https://desk.channel.io/gowid/user-chats/697ff97fe53dd6a4dc60</t>
  </si>
  <si>
    <t>697ff7f16f4629a13b80</t>
  </si>
  <si>
    <t>이소현</t>
  </si>
  <si>
    <t>695362248196dfe3dc5f</t>
  </si>
  <si>
    <t>https://desk.channel.io/gowid/user-chats/697ff7f16f4629a13b80</t>
  </si>
  <si>
    <t>697e1c67084066cb8d09</t>
  </si>
  <si>
    <t>조현상</t>
  </si>
  <si>
    <t>65671d0b07a172827ce3</t>
  </si>
  <si>
    <t>506375, 540179, 574085, 607950</t>
  </si>
  <si>
    <t>https://desk.channel.io/gowid/user-chats/697e1c67084066cb8d09</t>
  </si>
  <si>
    <t>697d84ff105589b02fb8</t>
  </si>
  <si>
    <t>Bob</t>
  </si>
  <si>
    <t>69444ec552e0036a094c</t>
  </si>
  <si>
    <t>https://desk.channel.io/gowid/user-chats/697d84ff105589b02fb8</t>
  </si>
  <si>
    <t>697c665134f84db904f6</t>
  </si>
  <si>
    <t>기타</t>
  </si>
  <si>
    <t>697c660d7bc0033871c1</t>
  </si>
  <si>
    <t>https://desk.channel.io/gowid/user-chats/697c665134f84db904f6</t>
  </si>
  <si>
    <t>697c59be995f1692820b</t>
  </si>
  <si>
    <t>애플 539</t>
  </si>
  <si>
    <t>697c5989557dc4a25412</t>
  </si>
  <si>
    <t>https://desk.channel.io/gowid/user-chats/697c59be995f1692820b</t>
  </si>
  <si>
    <t>697c549473fb41b9775f</t>
  </si>
  <si>
    <t>https://desk.channel.io/gowid/user-chats/697c549473fb41b9775f</t>
  </si>
  <si>
    <t>697c537b11e0e55b3cc9</t>
  </si>
  <si>
    <t>박성남</t>
  </si>
  <si>
    <t>카드사 총괄관리자</t>
  </si>
  <si>
    <t>6939265b78513f9ab6e4</t>
  </si>
  <si>
    <t>https://desk.channel.io/gowid/user-chats/697c537b11e0e55b3cc9</t>
  </si>
  <si>
    <t>697c501131de8f331abc</t>
  </si>
  <si>
    <t>로디 149</t>
  </si>
  <si>
    <t>https://docs.channel.io/gowid-guide/ko/articles/기업은행-인증서에-연결된-계좌가-보이지-않음-ad1771c9</t>
  </si>
  <si>
    <t>697c50091d5301bd22a5</t>
  </si>
  <si>
    <t>https://desk.channel.io/gowid/user-chats/697c501131de8f331abc</t>
  </si>
  <si>
    <t>697b48bc8ce7ce912034</t>
  </si>
  <si>
    <t>임성희</t>
  </si>
  <si>
    <t>공동인증서 만료 이후 재등록</t>
  </si>
  <si>
    <t>697995e0cbd429c4bea4</t>
  </si>
  <si>
    <t>https://desk.channel.io/gowid/user-chats/697b48bc8ce7ce912034</t>
  </si>
  <si>
    <t>697c39ef5bb888a0e52e</t>
  </si>
  <si>
    <t>박성철</t>
  </si>
  <si>
    <t>673305ef506eb7326a3b</t>
  </si>
  <si>
    <t>526753, 533671, 574085, 594863, 78191</t>
  </si>
  <si>
    <t>https://desk.channel.io/gowid/user-chats/697c39ef5bb888a0e52e</t>
  </si>
  <si>
    <t>697c35fc01ff1c02f715</t>
  </si>
  <si>
    <t>https://desk.channel.io/gowid/user-chats/697c35fc01ff1c02f715</t>
  </si>
  <si>
    <t>697c2e9743927066edea</t>
  </si>
  <si>
    <t>김미래</t>
  </si>
  <si>
    <t>68d6081e874a3a679b93</t>
  </si>
  <si>
    <t>https://desk.channel.io/gowid/user-chats/697c2e9743927066edea</t>
  </si>
  <si>
    <t>697c2baede58c1ab87e7</t>
  </si>
  <si>
    <t>https://docs.channel.io/gowid-guide/ko/articles/해외-서비스-결제-시-오류-발생-838690da</t>
  </si>
  <si>
    <t>https://desk.channel.io/gowid/user-chats/697c2baede58c1ab87e7</t>
  </si>
  <si>
    <t>697c145212a1de4f84b0</t>
  </si>
  <si>
    <t>백선희</t>
  </si>
  <si>
    <t>672d62c87937cb4be5ed</t>
  </si>
  <si>
    <t>https://desk.channel.io/gowid/user-chats/697c145212a1de4f84b0</t>
  </si>
  <si>
    <t>697bffe1b4e07836646f</t>
  </si>
  <si>
    <t>이수지</t>
  </si>
  <si>
    <t>69489b8a4738c7e8d79a</t>
  </si>
  <si>
    <t>https://desk.channel.io/gowid/user-chats/697bffe1b4e07836646f</t>
  </si>
  <si>
    <t>697bf0d97d008f18c390</t>
  </si>
  <si>
    <t>김종호</t>
  </si>
  <si>
    <t>최대 지분권자 실소유자와 대표자와 실무자의 차이 혼동하심. 위 내용으로 혼동하지 않도록 가이드 개선을 요청</t>
  </si>
  <si>
    <t>https://docs.channel.io/gowid-guide/ko/articles/신한-법인-유효기한-갱신-202e954a</t>
  </si>
  <si>
    <t>6706201d3ac12c641dc6</t>
  </si>
  <si>
    <t>https://desk.channel.io/gowid/user-chats/697bf0d97d008f18c390</t>
  </si>
  <si>
    <t>697b47938158453306fa</t>
  </si>
  <si>
    <t>https://desk.channel.io/gowid/user-chats/697b47938158453306fa</t>
  </si>
  <si>
    <t>697b25b634255b054fd7</t>
  </si>
  <si>
    <t>캔디 963</t>
  </si>
  <si>
    <t>697b220289ad3a739fe7</t>
  </si>
  <si>
    <t>https://desk.channel.io/gowid/user-chats/697b25b634255b054fd7</t>
  </si>
  <si>
    <t>697b1e946451042c0b96</t>
  </si>
  <si>
    <t>69799f6440544ce1197a</t>
  </si>
  <si>
    <t>506375, 526753, 533671, 540030, 567580, 594863, 595545, 78191</t>
  </si>
  <si>
    <t>https://desk.channel.io/gowid/user-chats/697b1e946451042c0b96</t>
  </si>
  <si>
    <t>697b1752427bb1d7b7a0</t>
  </si>
  <si>
    <t>https://desk.channel.io/gowid/user-chats/697b1752427bb1d7b7a0</t>
  </si>
  <si>
    <t>697b160347c018109711</t>
  </si>
  <si>
    <t>박클레어</t>
  </si>
  <si>
    <t>671f045361fe17c2baca</t>
  </si>
  <si>
    <t>https://desk.channel.io/gowid/user-chats/697b160347c018109711</t>
  </si>
  <si>
    <t>697afee7de71a8b0756f</t>
  </si>
  <si>
    <t>https://desk.channel.io/gowid/user-chats/697afee7de71a8b0756f</t>
  </si>
  <si>
    <t>697ae8255a89d74aa6e5</t>
  </si>
  <si>
    <t>정민진</t>
  </si>
  <si>
    <t>65921f1b05254de39656</t>
  </si>
  <si>
    <t>506375, 594863</t>
  </si>
  <si>
    <t>https://desk.channel.io/gowid/user-chats/697ae8255a89d74aa6e5</t>
  </si>
  <si>
    <t>697ada208e160a9cf66d</t>
  </si>
  <si>
    <t>https://desk.channel.io/gowid/user-chats/697ada208e160a9cf66d</t>
  </si>
  <si>
    <t>697acce5291d97f4d087</t>
  </si>
  <si>
    <t>https://desk.channel.io/gowid/user-chats/697acce5291d97f4d087</t>
  </si>
  <si>
    <t>697abd511b11b14f6ce2</t>
  </si>
  <si>
    <t>https://desk.channel.io/gowid/user-chats/697abd511b11b14f6ce2</t>
  </si>
  <si>
    <t>697abdf2218ae60c817d</t>
  </si>
  <si>
    <t>김시하(Fia)</t>
  </si>
  <si>
    <t>67e4dbda6a1c3cbc9018</t>
  </si>
  <si>
    <t>https://desk.channel.io/gowid/user-chats/697abdf2218ae60c817d</t>
  </si>
  <si>
    <t>697ab691189ac7726828</t>
  </si>
  <si>
    <t>박누리</t>
  </si>
  <si>
    <t>694272b4aa1f29c43417</t>
  </si>
  <si>
    <t>https://desk.channel.io/gowid/user-chats/697ab691189ac7726828</t>
  </si>
  <si>
    <t>697ab391d78e947150c3</t>
  </si>
  <si>
    <t>송영은</t>
  </si>
  <si>
    <t>67ec9f7ac938d48b1736</t>
  </si>
  <si>
    <t>https://desk.channel.io/gowid/user-chats/697ab391d78e947150c3</t>
  </si>
  <si>
    <t>697ab1fd04f71ebce249</t>
  </si>
  <si>
    <t>정홍주</t>
  </si>
  <si>
    <t>664306c0253686dabcde</t>
  </si>
  <si>
    <t>506375, 540030, 567580, 574085, 595545</t>
  </si>
  <si>
    <t>https://desk.channel.io/gowid/user-chats/697ab1fd04f71ebce249</t>
  </si>
  <si>
    <t>69707792ccb5efbface7</t>
  </si>
  <si>
    <t>https://desk.channel.io/gowid/user-chats/69707792ccb5efbface7</t>
  </si>
  <si>
    <t>6979f4809d9fc95edca0</t>
  </si>
  <si>
    <t>심상보</t>
  </si>
  <si>
    <t>67481f2a7b45d3666f5e</t>
  </si>
  <si>
    <t>506375, 526753, 533671, 594863, 78191</t>
  </si>
  <si>
    <t>https://desk.channel.io/gowid/user-chats/6979f4809d9fc95edca0</t>
  </si>
  <si>
    <t>6979d56f2c57c0027a33</t>
  </si>
  <si>
    <t>https://desk.channel.io/gowid/user-chats/6979d56f2c57c0027a33</t>
  </si>
  <si>
    <t>6979c4bc907a52353a68</t>
  </si>
  <si>
    <t>김중희</t>
  </si>
  <si>
    <t>신한카드 총괄 관리자 계정 연동이 안됨, 비밀번호 변경 시도 다수</t>
  </si>
  <si>
    <t>66727059da85f1f563bb</t>
  </si>
  <si>
    <t>https://desk.channel.io/gowid/user-chats/6979c4bc907a52353a68</t>
  </si>
  <si>
    <t>6979bc9c0f845358cb59</t>
  </si>
  <si>
    <t>안정규</t>
  </si>
  <si>
    <t>6960c856ae7dee806ace</t>
  </si>
  <si>
    <t>https://desk.channel.io/gowid/user-chats/6979bc9c0f845358cb59</t>
  </si>
  <si>
    <t>6979b9d1b93fdc26530c</t>
  </si>
  <si>
    <t>이윤수</t>
  </si>
  <si>
    <t>695e04f9e085dd3cfa29</t>
  </si>
  <si>
    <t>https://desk.channel.io/gowid/user-chats/6979b9d1b93fdc26530c</t>
  </si>
  <si>
    <t>6979affd0b1edb434c0a</t>
  </si>
  <si>
    <t>김소연</t>
  </si>
  <si>
    <t>신규발급(광고비특화카드)</t>
  </si>
  <si>
    <t>6639df04ad97ea2324a7</t>
  </si>
  <si>
    <t>https://desk.channel.io/gowid/user-chats/6979affd0b1edb434c0a</t>
  </si>
  <si>
    <t>6979aa3608a965a6da82</t>
  </si>
  <si>
    <t>https://desk.channel.io/gowid/user-chats/6979aa3608a965a6da82</t>
  </si>
  <si>
    <t>6979a42628cd7016b82f</t>
  </si>
  <si>
    <t>유수빈</t>
  </si>
  <si>
    <t>보유 공동인증서 은행 및 홈택스 연동 문의</t>
  </si>
  <si>
    <t>6978161a146a046dbfbd</t>
  </si>
  <si>
    <t>https://desk.channel.io/gowid/user-chats/6979a42628cd7016b82f</t>
  </si>
  <si>
    <t>6979a37475cd2eba2678</t>
  </si>
  <si>
    <t>FUEL</t>
  </si>
  <si>
    <t>506375, 543287, 566275</t>
  </si>
  <si>
    <t>https://desk.channel.io/gowid/user-chats/6979a37475cd2eba2678</t>
  </si>
  <si>
    <t>김윤지 님이 상담을 매우 잘 해주셨습니다.</t>
  </si>
  <si>
    <t>6979a0e134dcb1b6e459</t>
  </si>
  <si>
    <t>임휘랑</t>
  </si>
  <si>
    <t>693a59971cbe69deb891</t>
  </si>
  <si>
    <t>https://desk.channel.io/gowid/user-chats/6979a0e134dcb1b6e459</t>
  </si>
  <si>
    <t>69799f6fc382624537e9</t>
  </si>
  <si>
    <t>https://desk.channel.io/gowid/user-chats/69799f6fc382624537e9</t>
  </si>
  <si>
    <t>69799d07d927293b43f4</t>
  </si>
  <si>
    <t>성우석</t>
  </si>
  <si>
    <t>68551e740d8e5f4c1938</t>
  </si>
  <si>
    <t>https://desk.channel.io/gowid/user-chats/69799d07d927293b43f4</t>
  </si>
  <si>
    <t>6979989ee02f25cb2c53</t>
  </si>
  <si>
    <t>허효선</t>
  </si>
  <si>
    <t>6967060043f331484f62</t>
  </si>
  <si>
    <t>https://desk.channel.io/gowid/user-chats/6979989ee02f25cb2c53</t>
  </si>
  <si>
    <t>697995a82b2f4b23de1d</t>
  </si>
  <si>
    <t>김민경</t>
  </si>
  <si>
    <t>67451fe390d088e53c52</t>
  </si>
  <si>
    <t>https://desk.channel.io/gowid/user-chats/697995a82b2f4b23de1d</t>
  </si>
  <si>
    <t>697986a192c4250d536f</t>
  </si>
  <si>
    <t>카드사문의(카드발급)</t>
  </si>
  <si>
    <t>506375, 540030, 567580, 574085, 580658, 595545</t>
  </si>
  <si>
    <t>https://desk.channel.io/gowid/user-chats/697986a192c4250d536f</t>
  </si>
  <si>
    <t>6979831fa818bd5c3b95</t>
  </si>
  <si>
    <t>최찬</t>
  </si>
  <si>
    <t>69523443097a1ccede9d</t>
  </si>
  <si>
    <t>https://desk.channel.io/gowid/user-chats/6979831fa818bd5c3b95</t>
  </si>
  <si>
    <t>697979b76b191221633b</t>
  </si>
  <si>
    <t>신혜림</t>
  </si>
  <si>
    <t>69703f5e64cc24042600</t>
  </si>
  <si>
    <t>https://desk.channel.io/gowid/user-chats/697979b76b191221633b</t>
  </si>
  <si>
    <t>697978ac8097e6d340a3</t>
  </si>
  <si>
    <t>김세은</t>
  </si>
  <si>
    <t>67a9b97dd18695616f09</t>
  </si>
  <si>
    <t>https://desk.channel.io/gowid/user-chats/697978ac8097e6d340a3</t>
  </si>
  <si>
    <t>69796fdd43f469906e62</t>
  </si>
  <si>
    <t>안지준</t>
  </si>
  <si>
    <t>68a28785a4a14663c90e</t>
  </si>
  <si>
    <t>540030, 567580, 574085, 595545</t>
  </si>
  <si>
    <t>https://desk.channel.io/gowid/user-chats/69796fdd43f469906e62</t>
  </si>
  <si>
    <t>69796e2029dc7c8b2ae0</t>
  </si>
  <si>
    <t>박진희</t>
  </si>
  <si>
    <t>69796dfd4a2cd36ed9d1</t>
  </si>
  <si>
    <t>https://desk.channel.io/gowid/user-chats/69796e2029dc7c8b2ae0</t>
  </si>
  <si>
    <t>6979669bc56f0f5247ff</t>
  </si>
  <si>
    <t>홍민</t>
  </si>
  <si>
    <t>697786d70154fc20f2d4</t>
  </si>
  <si>
    <t>https://desk.channel.io/gowid/user-chats/6979669bc56f0f5247ff</t>
  </si>
  <si>
    <t>697965fb4b063937871b</t>
  </si>
  <si>
    <t>김영은</t>
  </si>
  <si>
    <t>6634a6b329a901df9466</t>
  </si>
  <si>
    <t>271857, 506375, 574085</t>
  </si>
  <si>
    <t>https://desk.channel.io/gowid/user-chats/697965fb4b063937871b</t>
  </si>
  <si>
    <t>69796566bfd45bc55f33</t>
  </si>
  <si>
    <t>https://desk.channel.io/gowid/user-chats/69796566bfd45bc55f33</t>
  </si>
  <si>
    <t>69795d5cf2e7adaa9592</t>
  </si>
  <si>
    <t>이한(Noa)</t>
  </si>
  <si>
    <t>6937a8da7ef3dc339ae3</t>
  </si>
  <si>
    <t>https://desk.channel.io/gowid/user-chats/69795d5cf2e7adaa9592</t>
  </si>
  <si>
    <t>697874262043a5663cd0</t>
  </si>
  <si>
    <t>https://desk.channel.io/gowid/user-chats/697874262043a5663cd0</t>
  </si>
  <si>
    <t>69786d0595609f74c2e0</t>
  </si>
  <si>
    <t>주식회사 와트</t>
  </si>
  <si>
    <t>660265add203bf2237f1</t>
  </si>
  <si>
    <t>https://desk.channel.io/gowid/user-chats/69786d0595609f74c2e0</t>
  </si>
  <si>
    <t>69780dd904fbd55d7b30</t>
  </si>
  <si>
    <t>506375, 526753, 533671, 540030, 567580, 574085, 594863, 595545, 78191</t>
  </si>
  <si>
    <t>https://desk.channel.io/gowid/user-chats/69780dd904fbd55d7b30</t>
  </si>
  <si>
    <t>6978664eb3c5625f4fdb</t>
  </si>
  <si>
    <t>지출관리/멤버관리/단순문의</t>
  </si>
  <si>
    <t>https://desk.channel.io/gowid/user-chats/6978664eb3c5625f4fdb</t>
  </si>
  <si>
    <t>697861f5ec04d4d43fee</t>
  </si>
  <si>
    <t>박나연</t>
  </si>
  <si>
    <t>[LOTTECARD]Re: [인터넷 메일] Re: [고위드 Gowid] 안녕하세요 담당자님, 고위드입니다.</t>
  </si>
  <si>
    <t>카드사용(단순문의)</t>
  </si>
  <si>
    <t>697861f5e2db96465dad</t>
  </si>
  <si>
    <t>https://desk.channel.io/gowid/user-chats/697861f5ec04d4d43fee</t>
  </si>
  <si>
    <t>6977163ca0c7d3dd0c98</t>
  </si>
  <si>
    <t>김선중</t>
  </si>
  <si>
    <t>670f25d79ec63a60565b</t>
  </si>
  <si>
    <t>https://desk.channel.io/gowid/user-chats/6977163ca0c7d3dd0c98</t>
  </si>
  <si>
    <t>6978572643a3418cbcc7</t>
  </si>
  <si>
    <t>https://desk.channel.io/gowid/user-chats/6978572643a3418cbcc7</t>
  </si>
  <si>
    <t>697844b96119f991bcb3</t>
  </si>
  <si>
    <t>이지원</t>
  </si>
  <si>
    <t>67369718eee0e307df5c</t>
  </si>
  <si>
    <t>506375, 540030, 543287, 566275, 567580, 574085, 595545</t>
  </si>
  <si>
    <t>https://desk.channel.io/gowid/user-chats/697844b96119f991bcb3</t>
  </si>
  <si>
    <t>697839f0f1d15ef36549</t>
  </si>
  <si>
    <t>황유정</t>
  </si>
  <si>
    <t>673d3c285b45fc72852c</t>
  </si>
  <si>
    <t>https://desk.channel.io/gowid/user-chats/697839f0f1d15ef36549</t>
  </si>
  <si>
    <t>697837329527ec30f42a</t>
  </si>
  <si>
    <t>https://docs.channel.io/gowid-guide/ko/articles/이용내역-관리-e6b7d4df</t>
  </si>
  <si>
    <t>https://desk.channel.io/gowid/user-chats/697837329527ec30f42a</t>
  </si>
  <si>
    <t>69782ee1a02499dd8958</t>
  </si>
  <si>
    <t>https://desk.channel.io/gowid/user-chats/69782ee1a02499dd8958</t>
  </si>
  <si>
    <t>69782cf263d403b5a328</t>
  </si>
  <si>
    <t>https://desk.channel.io/gowid/user-chats/69782cf263d403b5a328</t>
  </si>
  <si>
    <t>69782cec31cf20317801</t>
  </si>
  <si>
    <t>https://desk.channel.io/gowid/user-chats/69782cec31cf20317801</t>
  </si>
  <si>
    <t>69781c8926b18b5f1be8</t>
  </si>
  <si>
    <t>지출관리/카드관리/기능오류</t>
  </si>
  <si>
    <t>370963, 506375, 540030, 567580, 574085, 595545</t>
  </si>
  <si>
    <t>https://desk.channel.io/gowid/user-chats/69781c8926b18b5f1be8</t>
  </si>
  <si>
    <t>697813681b4c743ac27f</t>
  </si>
  <si>
    <t>박상현</t>
  </si>
  <si>
    <t>6978112adeadaadfd160</t>
  </si>
  <si>
    <t>https://desk.channel.io/gowid/user-chats/697813681b4c743ac27f</t>
  </si>
  <si>
    <t>69780a540eafbffc4810</t>
  </si>
  <si>
    <t>https://desk.channel.io/gowid/user-chats/69780a540eafbffc4810</t>
  </si>
  <si>
    <t>6977eb2bbec190cb63ec</t>
  </si>
  <si>
    <t>https://desk.channel.io/gowid/user-chats/6977eb2bbec190cb63ec</t>
  </si>
  <si>
    <t>6977509f0f559b5880d3</t>
  </si>
  <si>
    <t>박지혜</t>
  </si>
  <si>
    <t>6976ca4e3302155df609</t>
  </si>
  <si>
    <t>https://desk.channel.io/gowid/user-chats/6977509f0f559b5880d3</t>
  </si>
  <si>
    <t>6977412207c06755ac82</t>
  </si>
  <si>
    <t>브로콜리 844</t>
  </si>
  <si>
    <t>697741149bae1c47a9e4</t>
  </si>
  <si>
    <t>https://desk.channel.io/gowid/user-chats/6977412207c06755ac82</t>
  </si>
  <si>
    <t>697737a7a612042dd2ab</t>
  </si>
  <si>
    <t>달님 526</t>
  </si>
  <si>
    <t>697736472dcaec706594</t>
  </si>
  <si>
    <t>https://desk.channel.io/gowid/user-chats/697737a7a612042dd2ab</t>
  </si>
  <si>
    <t>697737c7ca2b82c045c4</t>
  </si>
  <si>
    <t>심건호</t>
  </si>
  <si>
    <t>65693b3c779e1f31905b</t>
  </si>
  <si>
    <t>https://desk.channel.io/gowid/user-chats/697737c7ca2b82c045c4</t>
  </si>
  <si>
    <t>6977248dbaa61a1b3ab0</t>
  </si>
  <si>
    <t>https://desk.channel.io/gowid/user-chats/6977248dbaa61a1b3ab0</t>
  </si>
  <si>
    <t>697723557f8e8b6fc4e5</t>
  </si>
  <si>
    <t>구다현</t>
  </si>
  <si>
    <t>691ea28af0c586c99af6</t>
  </si>
  <si>
    <t>https://desk.channel.io/gowid/user-chats/697723557f8e8b6fc4e5</t>
  </si>
  <si>
    <t>69772138407430ebcff1</t>
  </si>
  <si>
    <t>https://desk.channel.io/gowid/user-chats/69772138407430ebcff1</t>
  </si>
  <si>
    <t>69771c237033962db881</t>
  </si>
  <si>
    <t>신정현</t>
  </si>
  <si>
    <t>693a761b0d639639b0b9</t>
  </si>
  <si>
    <t>https://desk.channel.io/gowid/user-chats/69771c237033962db881</t>
  </si>
  <si>
    <t>69771b7989733f3365ef</t>
  </si>
  <si>
    <t>지출관리/API연동문의</t>
  </si>
  <si>
    <t>https://desk.channel.io/gowid/user-chats/69771b7989733f3365ef</t>
  </si>
  <si>
    <t>6976f5b2f0c2193e6b16</t>
  </si>
  <si>
    <t>https://desk.channel.io/gowid/user-chats/6976f5b2f0c2193e6b16</t>
  </si>
  <si>
    <t>6976f2782ff10ed7f373</t>
  </si>
  <si>
    <t>정다은</t>
  </si>
  <si>
    <t>692fde270ba8d2e2ab14</t>
  </si>
  <si>
    <t>https://desk.channel.io/gowid/user-chats/6976f2782ff10ed7f373</t>
  </si>
  <si>
    <t>6976f1d6915115dcda9b</t>
  </si>
  <si>
    <t>https://desk.channel.io/gowid/user-chats/6976f1d6915115dcda9b</t>
  </si>
  <si>
    <t>6976cc6bc562a95cafde</t>
  </si>
  <si>
    <t>miyu@mwd.kr</t>
  </si>
  <si>
    <t>6976cbfbd830f379026d</t>
  </si>
  <si>
    <t>https://desk.channel.io/gowid/user-chats/6976cc6bc562a95cafde</t>
  </si>
  <si>
    <t>6976e56a2dc3b1d463ba</t>
  </si>
  <si>
    <t>안지영</t>
  </si>
  <si>
    <t>69536249e451766ff1d3</t>
  </si>
  <si>
    <t>https://desk.channel.io/gowid/user-chats/6976e56a2dc3b1d463ba</t>
  </si>
  <si>
    <t>6976e00899068c09f125</t>
  </si>
  <si>
    <t>박혜윤</t>
  </si>
  <si>
    <t>66babcce38e030e53940</t>
  </si>
  <si>
    <t>https://desk.channel.io/gowid/user-chats/6976e00899068c09f125</t>
  </si>
  <si>
    <t>6976dfd682fad6291852</t>
  </si>
  <si>
    <t>국경민</t>
  </si>
  <si>
    <t>구독/IT구독</t>
  </si>
  <si>
    <t>696652e08c7a12256ccc</t>
  </si>
  <si>
    <t>506375, 526753, 574085, 594863</t>
  </si>
  <si>
    <t>https://desk.channel.io/gowid/user-chats/6976dfd682fad6291852</t>
  </si>
  <si>
    <t>6976df5a0f37416de16a</t>
  </si>
  <si>
    <t>장소희(아리)</t>
  </si>
  <si>
    <t>6620c5e86ae019035421</t>
  </si>
  <si>
    <t>https://desk.channel.io/gowid/user-chats/6976df5a0f37416de16a</t>
  </si>
  <si>
    <t>6976de550cc59754f118</t>
  </si>
  <si>
    <t>https://desk.channel.io/gowid/user-chats/6976de550cc59754f118</t>
  </si>
  <si>
    <t>6976d61d254e45e36801</t>
  </si>
  <si>
    <t>https://desk.channel.io/gowid/user-chats/6976d61d254e45e36801</t>
  </si>
  <si>
    <t>6976d18fd1ad3fad2ac6</t>
  </si>
  <si>
    <t>도예은</t>
  </si>
  <si>
    <t>지출관리/기타오류</t>
  </si>
  <si>
    <t>66a32e6f5c2687d0a1e3</t>
  </si>
  <si>
    <t>https://desk.channel.io/gowid/user-chats/6976d18fd1ad3fad2ac6</t>
  </si>
  <si>
    <t>6976cf73cb53e553fa96</t>
  </si>
  <si>
    <t>김대근</t>
  </si>
  <si>
    <t>Re:</t>
  </si>
  <si>
    <t>695ca774b479cd296de4</t>
  </si>
  <si>
    <t>https://desk.channel.io/gowid/user-chats/6976cf73cb53e553fa96</t>
  </si>
  <si>
    <t>6976c81bde9186f60b7a</t>
  </si>
  <si>
    <t>선하다 복지용구사업소</t>
  </si>
  <si>
    <t>지출관리/멤버관리/최초계약자_변경</t>
  </si>
  <si>
    <t>66b97ad2dbc638bf7456</t>
  </si>
  <si>
    <t>https://desk.channel.io/gowid/user-chats/6976c81bde9186f60b7a</t>
  </si>
  <si>
    <t>6976c63b7ff568629b43</t>
  </si>
  <si>
    <t>https://desk.channel.io/gowid/user-chats/6976c63b7ff568629b43</t>
  </si>
  <si>
    <t>6976bcf86eb9a25e8354</t>
  </si>
  <si>
    <t>김지은</t>
  </si>
  <si>
    <t>66946e4fa6ee2b22e45e</t>
  </si>
  <si>
    <t>https://desk.channel.io/gowid/user-chats/6976bcf86eb9a25e8354</t>
  </si>
  <si>
    <t>chatId</t>
  </si>
  <si>
    <t>personType</t>
  </si>
  <si>
    <t>personId</t>
  </si>
  <si>
    <t>plainText</t>
  </si>
  <si>
    <t>isPrivate</t>
  </si>
  <si>
    <t>user</t>
  </si>
  <si>
    <t>안녕하세요. 고위드 신규 가입 상담 중인 헬로스킨 인사팀 지소영입니다. 전 직장에서 고위드 사용했어서 그대로 도입하고자 합니다. 
 1. 저희는 자체 기장을 하고 있지 않고 세무법인을 통해 기장 중입니다. 위하고를 사용하고 있는 것으로 전달 받았는데 고위드- 위하고 간 연결이 가능한가요? 
 2. 구글워크스페이스 도입을 하려고 합니다. (기존은 Google Workspace Enterprise Essentials 요금제를 쓰고 있습니다. 메일 기능이 없는 드라이브 용 요금제이나 엔터프라이즈 로 분류됐어서 리셀러사 문의시 스탠다드, 플러스 요금제에서 당장 큰 할인이 없었습니다. 고위드를 통해 구글워크스페이스 업그레이드를 진행하면 안내된 금액대로 이용이 가능한지요? 
 3. 구글 워크스페이스 기능 등에 대한 문의시 리셀러사처럼 안내를 받을 수 있나요?</t>
  </si>
  <si>
    <t>추가로 메일 마이그레이션 지원도 여쭤봅니다</t>
  </si>
  <si>
    <t>기존 사용 사 기준 홈페이지상 견적이 공식홈페이지와 같은데 고위드 추가 할인이 없는 걸까요?</t>
  </si>
  <si>
    <t>manager</t>
  </si>
  <si>
    <t>소영님 안녕하세요, 고위드입니다.
 우선 문의 주신 내용 중 1번 문의부터 답변 드리도록 하게습니다.
 고위드에서는 카드 지출 내역을 더존-위하고 양식으로 다운로드 가능한 점 안내드립니다.
 구독 관련 문의에 대해서는 담당자님 확인 후 안내드릴 수 있도록 하겠습니다. 감사합니다.</t>
  </si>
  <si>
    <t>@고위드 김일경 매니저 일경님 구독 문의 들어왔습니다</t>
  </si>
  <si>
    <t>넵!</t>
  </si>
  <si>
    <t>안녕하세요 지소영님 ☺️
 고위드 구독 서비스 김일경 매니저입니다.
 구독 상품 관련 안내 드립니다. :)
 1. 고위드를 통해 구글워크스페이스 업그레이드를 진행하면 안내된 금액대로 이용이 가능한지요?
 → 네, 비즈니스 요금제로 전환 하신 후 고위드 리셀러 신청을 해주시면 고위드 사이트에서 확인하실 수 있는 견적서대로 10%할인을 받으실 수 있습니다. 다만, 비즈니스 모델 특성 상 300명이 초과되는 인원은 상품 전환이 어려운 점 참고 부탁 드립니다.
 2. 구글 워크스페이스 기능 등에 대한 문의시 리셀러사처럼 안내를 받을 수 있나요?
 → 네, 물론입니다. 기능 문의에 대한 부분은 담당자께서 상담을 통한 안내를 드리고 있습니다.
 더해서, 고위드 구글워크스페이스는 버전 변경, 라이센스 수 변경을 고위드 홈페이지 내에서 진행 하실 수 있도록 서비스를 운영하고 있습니다. 이 외에도 기존에 사용하시던 모든 기능을 구글 콘솔을 통해서도 사용이 가능합니다. :)</t>
  </si>
  <si>
    <t>안녕하세요 -</t>
  </si>
  <si>
    <t>저희가 사용했던 요금제가 메일 기능이 없기는 하다</t>
  </si>
  <si>
    <t>엔터프라이즈 에센셜로 명칭이있어</t>
  </si>
  <si>
    <t>스탠다드로 변경하는 경우 '다운그레이드'라</t>
  </si>
  <si>
    <t>할인가를 당장 받을 수 없다고 다른 리셀러사에서 연락을 받았습니다.</t>
  </si>
  <si>
    <t>고위드를 통하면 문제가 확실히 없는 것일까요?</t>
  </si>
  <si>
    <t>더하여, 공식 홈페이지 견적과 가격이 같게 나와서,</t>
  </si>
  <si>
    <t>저희는 신규 구글워크스페이스 도입이 아니어서 추가 할인이 안되는 것인지요?</t>
  </si>
  <si>
    <t>해당 내용 유선 통해 자세히 안내 드리면 더욱 좋을 것 같은데요!
 희망 하시면 유선 문의로 전환 도와드릴까요? 아니면 채팅 답변도 가능합니다!</t>
  </si>
  <si>
    <t>오후 1시쯤에 통화 가능할까요?</t>
  </si>
  <si>
    <t>미팅이 있어서요</t>
  </si>
  <si>
    <t>네! :) 13시 30분 경에 유선 안내 드릴 수 있도록 하겠습니다! 감사합니다.</t>
  </si>
  <si>
    <t>네 감사합니다</t>
  </si>
  <si>
    <t>유선 안내 예정</t>
  </si>
  <si>
    <t>유선으로 상담 마무리 되어 이번 상담은 여기서 종료하도록 하겠습니다.
 다른 문의가 있으시면 새로운 창에서 문의 부탁드립니다.
 좋은 하루 되시길 바랍니다 :)</t>
  </si>
  <si>
    <t>안녕하세요 법인카드 상향 신청 문의 드립니다.
 1월 중 진행했었는데, 심사는 완료되었는데 계속하여 오류가 발생하는 것 같습니다. (동일 화면 재송신) 관련하여 확인 부탁 드립니다. 감사합니다.
 - 알리콘 주식회사 / 363-88-00097
 - 법인카드 상향 심사 상황 및 가능여부</t>
  </si>
  <si>
    <t>안녕하세요 지은님, 고위드입니다.
 불편을 드려 죄송합니다..!
 내부적으로 확인 결과, 1/15 즈음 해당시기에 한도를 부여받기 어려우심을 안내받으신 것으로 확인되시는데요,
 혹 지금 만나보시는 화면이 어떻게 되실까요? 오류일 시 확인 후 응대 도와드리고자 합니다!</t>
  </si>
  <si>
    <t>상세하게 안내해드리기 위해 말씀해주신 증상에 대한 전체화면 캡쳐본을 보내주시면 감사하겠습니다.</t>
  </si>
  <si>
    <t>주주명부를 왜줘야하나요--&gt;/</t>
  </si>
  <si>
    <t>상담사연결</t>
  </si>
  <si>
    <t>그냥 상담사연결해주세요</t>
  </si>
  <si>
    <t>네 맞습니다 상담사연결해주세요</t>
  </si>
  <si>
    <t>안녕하세요.</t>
  </si>
  <si>
    <t>주주명부를 왜전달해야하는지 모르겠어서 이야기드립니다.
 그리고 저희회사는 싱가폴회사가 100%지분을가지고있는데 주주 명부가 필요할까요?</t>
  </si>
  <si>
    <t>종빈님 안녕하세요, 고위드입니다.
 법인 신용 카드 입회 시 금융소비자보호법에 따라 해당 법인의 실제 소유자를 확인하는 것은 필수 사항입니다. 이는 고위드 내부 정책이 아니라 카드사 입회 시 카드사에서 요구하는 필수 서류입니다.
 더욱 정확한 안내를 위하여 법인께서 입회 희망하시는 카드사(신한/롯데/비씨 중)가 어디실지 여쭙습니다.</t>
  </si>
  <si>
    <t>롯데카드입니다</t>
  </si>
  <si>
    <t>롯데카드의 경우 
 1. 법인(A)의 최대 주주가 타 법인(B)일 경우, B법인의 주주명부 또한 요구하고 있습니다.
 2. 다만 해외 법인으로 주주명부 수취가 불가할 경우 A법인 명의의 공문서를 통하여 갈음이 가능합니다.
 주주명부 업로드하는 단계에서
 1. 주식회사 라디우스랩의 주주명부
 2. 주식회사 라디우스랩의 공문서 (최대 법인 주주명부 수취 불가)
 를 함께 첨부하여 주시면 됩니다!
 공문서 양식을 사진 첨부하여 함께 보내드리며, 수신에는 '롯데카드' 작성 부탁드립니다.</t>
  </si>
  <si>
    <t>작성하셔야 하는 '롯데카드 실제소유자 확인서'에는
 실제소유자 구분 &gt; 3. '2항'을 확인할 수 없는 경우, 법인 또는 단체의 대표자 중 1인에 체크하여 주시고
 아래 실제 소유자 정보에는 싱가포르 법인 정보 작성 부탁드립니다.</t>
  </si>
  <si>
    <t>답장 오면 사실상 지배자 그 내용도 안내하기</t>
  </si>
  <si>
    <t>여기서질문이 저희는 
 싱가폴 회사가 모회사이고 지금 현재 카드를 신청하는회사가 자회사입니다.</t>
  </si>
  <si>
    <t>이때는 싱가폴 회사인 모회사의 주주명부를 줘야하는건가요?</t>
  </si>
  <si>
    <t>종빈님 혹시 유선으로 안내드려도 괜찮으실까요?
 주주명부 관련 내용이 복잡하고, 최대 주주가 해외 법인일 경우 작성 방법이 별도로 있어 안내드리고자 합니다.
 채널톡이 더 편하실 경우 제가 여기서 그대로 안내 도와드리도록 하겠습니다./</t>
  </si>
  <si>
    <t>네네</t>
  </si>
  <si>
    <t>전화주시면 감사하겠습니다</t>
  </si>
  <si>
    <t>아..</t>
  </si>
  <si>
    <t>제가 지금 핸드폰을 집에놓고와서..</t>
  </si>
  <si>
    <t>다른번호로 전화부탁드리겠습니다.</t>
  </si>
  <si>
    <t>넵 유선 희망하시는 번호 남겨주시면 제가 바로 전화드리겠습니다.</t>
  </si>
  <si>
    <t>010-46840787</t>
  </si>
  <si>
    <t>입니다</t>
  </si>
  <si>
    <t>안녕하세요 한종빈 담당자님, 유선 안내드린 고위드 권민규 매니저입니다.
 추가적으로 현재 주식회사 라디우스랩의 부여받으신 한도는 내일까지 유효하시기에 금일 중 카드 신청 완료하시길 권유 드립니다.
 유효 기간이 끝나면 다시 한도 산출부터 확인하셔야 하는 불편함이 있어 안내드립니다.
 감사합니다.</t>
  </si>
  <si>
    <t>6976c76fb3e08e7ef3ed</t>
  </si>
  <si>
    <t>- 주식회사 선하다 / 301-88-01711
 - 내 정보에 등록된 핸드폰번호가 퇴사자의 번호로 등록되어있어, 최초계약자 변경 요청 메일을 전송하였습니다. 1월 16일에 메일을 전송하였으나 아직 처리가 되지 않아, 변경까지 소요되는 시간을 문의드립니다.</t>
  </si>
  <si>
    <t>@망고 매니저 님!</t>
  </si>
  <si>
    <t>나영님 안녕하세요, 고위드입니다.
 우선 1월 16일에 메일 발송하시고 아직까지 회신을 받아보지 못하시고 계셔서 많이 불편하셨으리라 생각합니다.
 서비스 이용에 불편을 드려 죄송합니다.
 다만 1월 16일에 주식회사 선하다 로 부터 발송된 메일이 확인되지 않고 있습니다.
 메일 주소 card_bizops@gowid.com
 로 보내신 게 맞으실까요? 
 법인께서 발송하신 메일 주소도 전달 주시면 제가 다시 확인해보겠습니다!</t>
  </si>
  <si>
    <t>최고</t>
  </si>
  <si>
    <t>확인해봤는데 없어요 ㅠㅠ 제가 마무리하겠슴닷!</t>
  </si>
  <si>
    <t>호잉 ㅠㅠ</t>
  </si>
  <si>
    <t>넵 해당 메일주소로 발송하였습니다.
 발송일자 : 26년 1월 16일
 발송 메일주소 : ny.kim@caring.co.kr 입니다 !</t>
  </si>
  <si>
    <t>나영님, 확인해주셔서 감사합니다. 
 제가 메일을 다시 확인해보았지만, 해당 계정으로 발송된 메일이 확인되지 않는 상황입니다.
 괜찮으시다면 해당 채널톡으로 서류 3종 보내주시면 제가 바로 변경 도와드리도록 하겠습니다!
 번거롭게 해드려 죄송합니다.</t>
  </si>
  <si>
    <t>감사합니다. 자료 송부드립니다 !</t>
  </si>
  <si>
    <t>현재 변경 진행하시려는 이메일이 고위드 계정으로 가입되어있지 않으십니다.
 법인의 멤버 중 ny.kimn@caring.co.kr 계정이 확인되지 않는데, 멤버 초대 및 가입 후 말씀 주시면 바로 변경해드리도록 하겠습니다!</t>
  </si>
  <si>
    <t>메일주소는 기존 sunhada1233@naver.com 메일주소에서 변경하지 않고, 핸드폰 번호만 변경가능할까요 ??</t>
  </si>
  <si>
    <t>넵 가능하십니다. 현재 법인담당자님께서
 - 선하다 복지용구사업소 / 010-8375-6553 / sunhada1233@naver.com
 로 되어계시는데 전화번호 변경만 도와드릴까요?</t>
  </si>
  <si>
    <t>넵 맞습니다. 핸드폰 번호만 010-8975-7263으로 변경 요청드립니다 !</t>
  </si>
  <si>
    <t>변경 완료했습니다. 
 기존 법인담당자와 동일하게 해두었으며, 전화 번호만 변경 도와드렸습니다.감사합니다.</t>
  </si>
  <si>
    <t>확인 하였습니다. 감사합니다 ~</t>
  </si>
  <si>
    <t>감사합니다.
 이번 상담은 여기서 종료하도록 하겠습니다.
 다른 문의가 있으시면 새로운 창에서 문의 부탁드립니다.
 좋은 하루 되시길 바랍니다 :)</t>
  </si>
  <si>
    <t>혹시 총 120명 되는 회사 규모에서 일부는 스탠다드, 일부는 스타터로 구독 가능합까</t>
  </si>
  <si>
    <t>안녕하세요 고객님 ☺️
 고위드 김일경 매니저입니다.
 해당 내용 내부에서 검토가 필요한 상황인데요!
 담당자님께 유선 또는 메일로 회신 드리고자 합니다.
 miyu@mwd.kr 로 안내 도와드릴까요? 유선 번호도 남겨 주시면 감사 드립니다!</t>
  </si>
  <si>
    <t>메일로 전달 드려 이번 상담은 여기서 종료하도록 하겠습니다.
 다른 문의가 있으시면 새로운 창에서 문의 부탁드립니다.
 좋은 하루 되시길 바랍니다 :)</t>
  </si>
  <si>
    <t>매니저님, 
 계정 갯수 파악이 잘못되어서 확정하고 다시 리셀러 고위드로 진행하려고요. 
 사용하지 않는 계정을 파악 중입니다. 
 여러가지 다른 문의도 있어서 전화 한번 부탁드려도 될는지요? 01093628321
 감사합니다. 
 김대근 드림
 2026. 1. 26. 오전 11:17, 고위드 김일경 매니저 &lt;team@gowid.mail.channel.io&gt; 작성:
 안녕하세요 김대근님 ☺️
 고위드 김일경 매니저입니다.
 leanonme.co.kr 도메인 전환 가능 여부 내부에서 빠르게 검토하여 안내 드리겠습니다.
 관련하여, 다시 구글로 재전환을 하시는 이유가 어떻게 되시는지 알 수 있을까요? 더 많은 도움을 드리기 위해 여쭙습니다.
 감사합니다.
 채널톡으로 보냄</t>
  </si>
  <si>
    <t>유선으로 안내 완료
 1. GWS 요금제 변경 이전 철회 가능 여부를 구글에 문의하는 것으로 응대
 2. 이후, 답변 받은 내용 메일로 전달 드리는 것으로 진행</t>
  </si>
  <si>
    <t>네 맞습니다</t>
  </si>
  <si>
    <t>오류 뜹니다 비밀번호 재설정필요해요</t>
  </si>
  <si>
    <t>예은님 안녕하세요, 고위드입니다.
 서비스 이용에 불편을 드려 죄송합니다.
 비밀번호는 https://www.gowid.com/login/search2 에서 재설정 가능하십니다만,
 보내주신 캡쳐 화면은 해당 링크로 접속하셨을 때 화면이실까요?</t>
  </si>
  <si>
    <t>예은님 제가 추가적으로 확인해본 결과, 해당 메일 계정으로 고위드 가입이 안 되어 계신 것으로 확인됩니다.
 ye.**@wave******.live 로 고위드 계정 가입이 되어 계십니다.
 해당 계정으로 비빌번호 재설정 확인 부탁드립니다!
 (개인정보 보호를 위하여 일부 마스킹 된 계정으로 전달 드립니다.)</t>
  </si>
  <si>
    <t>법인이 달라서요</t>
  </si>
  <si>
    <t>웨이브로는 로그인이되는데 웨이브 법인과</t>
  </si>
  <si>
    <t>주식회사 포이저로 로그인을 해야합니다. 회원가입은 되어있다고 뜨고요. cs@poiser.kr 로요</t>
  </si>
  <si>
    <t>아 현재 문의주시고 계시는 계정이 
 웨이브스튜디오라이브 주식회사
 여서 제가 해당 법인으로 확인 도와드렸습니다.</t>
  </si>
  <si>
    <t>넵넵</t>
  </si>
  <si>
    <t>잠시만 기다려주시면 내부적으로도 한 번 확인을 해보겠습니다.</t>
  </si>
  <si>
    <t>넵 !</t>
  </si>
  <si>
    <t>비밀번호는 https://www.gowid.com/login/search2 에서 재설정 가능하십니다만,
 보내주신 캡쳐 화면은 해당 링크로 접속하셨을 때 화면이실까요?</t>
  </si>
  <si>
    <t>주신링크로 해도 오류뜨네요</t>
  </si>
  <si>
    <t>주식회사 포이저 사업자등록번호 말씀 한 번 부탁드립니다!</t>
  </si>
  <si>
    <t>주식회사 포이저의 이메일은 
 cs@wave******.live로 확인되십니다.
 해당 메일 주소로 비밀번호 재설정 확인 부탁드립니다. 감사합니다.</t>
  </si>
  <si>
    <t>감사합니다 !!</t>
  </si>
  <si>
    <t>안녕하세요.
 고위드 통하여 최초로 카드 발급하려고 합니다,
 1. 법인용 법인카드로 교통카드만 하게 카드 6장
 2. 법인용 법인카드 일반카드 2장
 우선 저렇게 신청하려고 하는데 교통카드만 이용할 수 있는 카드를 신청할 수가 있을까요?</t>
  </si>
  <si>
    <t>- 어떤 카드사(신한/BC/롯데) 공용카드인지 : BC
 - 비밀번호 설정 시도하신 날짜/시간대 (대략적으로) : 2026년 1월 26일 오후 4시
 - 동일 화면에서 여러 번 시도해도 항상 같은 오류가 발생하는지 여부 : 계속 오류가 납니다</t>
  </si>
  <si>
    <t>임직원 복지카드 발급 문의. 1.충전형 체크카드 가능 여부. 가능하지 않다면 기명 신용카드로 발급 2. 사용처 제한이 가능한지 (유흥업소 등)</t>
  </si>
  <si>
    <t>상담원 연결</t>
  </si>
  <si>
    <t>맞아요</t>
  </si>
  <si>
    <t>선중님 안녕하세요, 고위드입니다.
 고위드에서 발급 가능한 체크카드는 광고비 특화용 체크카드로, 광고비 용처에만 사용이 가능하십니다. 현재 법인의 니즈와는 다르리라 생각합니다.
 기명 신용카드 발급 가능하며, 사용처 제한 또한 가능합니다. 현재 롯데카드 사용 중으로 확인되시는데, 롯데카드 업종 제한 (클린 서비스) 설정 안내 링크 보내드립니다.</t>
  </si>
  <si>
    <t>클린 시스템이 있군요 네 확인 감사합니다~</t>
  </si>
  <si>
    <t>추가로 고위드에서 [롯데카드 - 그룹 추가] 가능한가요? 복지카드 항목으로 카드별 관리 및 한도를 제한하려고 합니다.</t>
  </si>
  <si>
    <t>넵 가능합니다. 롯데카드 그룹 한도 설정 및 카드 한도 설정 방법 안내드립니다.
 함께 보내드리는 링크 통해서 가이드 확인 가능하십니다.</t>
  </si>
  <si>
    <t>아 해당 내용은 알고 있습니다. 제가 말씀드린건 [새로운 그룹명]이 추가가 되는가 입니다. [버킷히어로(주) 임직원복지]</t>
  </si>
  <si>
    <t>@루시 매니저 롯데도 똑같이 그룹 추가 불가이지요??!!</t>
  </si>
  <si>
    <t>그룹한도 설정 가이드가 있는만큼
 가능할 거 같기도 한데..</t>
  </si>
  <si>
    <t>확인 한 번 부탁드립니다.</t>
  </si>
  <si>
    <t>ㅁㅣ안해 맥은 알림이 안떠..</t>
  </si>
  <si>
    <t>그룹추가는 롯데에 직접 요청해야 함! 나연님 메일로!</t>
  </si>
  <si>
    <t>법인 총괄관리자가 직접!</t>
  </si>
  <si>
    <t>아하</t>
  </si>
  <si>
    <t>오케케 제가 메일 히스토리 뒤져서 찾아보고
 안 보이면 말씀 드릴게요</t>
  </si>
  <si>
    <t>루시님께서 ㄱㄱ</t>
  </si>
  <si>
    <t>@ALF 그룹한도 설정 가이드 &gt; 
 그룹추가는 롯데에 직접 요청해야 함! 나연님 메일로!
 법인 총괄관리자가 직접!
 의 내용을 작성해줘</t>
  </si>
  <si>
    <t>bot</t>
  </si>
  <si>
    <t>ALF-434</t>
  </si>
  <si>
    <t>롯데카드 그룹 추가는 직접 롯데카드 측에 요청해야 합니다. 법인 총괄 관리자께서 나연님 메일로 요청하시면 됩니다.</t>
  </si>
  <si>
    <t>ㅋㅋ 알프 싸가지ㅠㅠ</t>
  </si>
  <si>
    <t>안녕하세요 담당자님, 고위드입니다.
 그룹추가는 롯데 담당자에게 요청 시에만 가능하십니다! 롯데카드 관리책임자 계정으로 parkna@lottecard.co.kr 메일로 "버킷히어로(주) 임직원복지" 새로운 그룹 추가 가능한 지 문의 부탁드립니다.
 감사합니다.</t>
  </si>
  <si>
    <t>안녕하세요! 비씨카드 추가 발급 받으려 하는데,
 지난 주에 신청을 완료..했던 것 같은데
 아직 신청중이에요 라는 문구가 떠서요
 🥹
 해당 화면 중, 인증서 추가 연동 버튼을 누르면 기본 홈페이지로 돌아가는데 어떻게 하면 될까요?</t>
  </si>
  <si>
    <t>특별심사는 희망 한도가 현재 한도보다 적거나 같은 금액은 신청할 수 없다고 뜨는데
 비씨카드는 외부인원 제공용도라서 한도 낮게 발급 받고 싶어서요!</t>
  </si>
  <si>
    <t>@루시 매니저 민선님 여기 현재 신한 쓰고 있고 비씨 신규 카드사 입회로 발급 희망하십니다.</t>
  </si>
  <si>
    <t>인께서 프리랜서 분들께 지급할 카드를 비씨카드로 신규 발급 희망하십니다. 업종 제한 서비스 일괄 적용하여 제한된 용처/낮은 한도로 사용하게끔 하기 위하여 신규 카드사 입회 진행 중...</t>
  </si>
  <si>
    <t>한도 내용
 최대 제공 가능 한도: 487,000,000원
 즉시 신청 가능 한도: 0원
 한도 산정 기준
 리스크 한도: 811,000,000원
 ㄴ 기준 자산: 2,704,658,085원
 ㄴ 한도 승수: 30%</t>
  </si>
  <si>
    <t>이렇게 떴는데, 비씨 신규 입회는 리스크 한도의 60퍼까지 가능하니깐</t>
  </si>
  <si>
    <t>리스크 한도의 60퍼는 487--- 현재 법인이 사용하는 한도보다 낮은데..</t>
  </si>
  <si>
    <t>한도 부여가 가능할까요?</t>
  </si>
  <si>
    <t>ㅡㅡㅡㅡㅡㅡㅡㅡㅡㅡㅡㅡㅡㅡㅡㅡㅡㅡㅡㅡㅡㅡㅡㅡㅡㅡㅡㅡ
 2. 특심 신청할 때 법인께서 작성하시는 한도는 (현재 사용 중인)신한 + (상향될)비씨의 총 한도를 작성하셔야 하는거죠?</t>
  </si>
  <si>
    <t>제가 헷갈리는 부분이 있어서 여쭙습니다... 아님 제가 옆 자리 가서 한 번 말씀 드릴게요 ㅠㅠ!!</t>
  </si>
  <si>
    <t>1. 특별심사를 신청해주셔야 한다
 2. 총 한도 작성이 맞다</t>
  </si>
  <si>
    <t>1-1) 특심신청 화면이 안 뜨실 시엔, 헤렌이 아마 코어일 수 있으니 am 이관 후 rm과 한도싱크하도록 권장</t>
  </si>
  <si>
    <t>@ALF 내가 아래 말해준 내용을 잘 정리해서 법인향으로 작성해줘.
 우선 현재 사용 중인 신한카드 한도에 추가하여 비씨카드 한도를 사용하는 거다보니
 1. 한도 부여(상향된 한도) → 2. 비씨카드 신청
 으로 진행하셔야 한다. 지금 법인께서는 1 상황이시다.
 특별심사를 통해 한도 검토를 요청하셔야 하고, 그 때 작성하시는 한도는 신한카드 한도(현재 사용중 한도) + 비씨카드 한도(추가로 받으실 한도)로 작성햐셔야 한다. 현재 신한 신한: 500,000,000원 한도 사용 중이시니 여기에 추가될 비씨카드 한도 고려해서 작성해달라. 그러면 내가 확인하고 심사부서에 한도 상향 신청 사유까지 함께 전달드리겠다.</t>
  </si>
  <si>
    <t>비씨카드 추가 발급과 관련하여 문의 주신 내용에 대해 안내해 드립니다.
 현재 사용 중이신 신한카드 한도에 비씨카드 한도를 추가하여 사용하시는 경우, 다음 두 단계로 진행됩니다.
 1. 한도 부여 (상향된 한도)
 2. 비씨카드 신청
 고객님께서는 현재 1단계인 한도 부여 상황에 해당합니다.
 특별 심사를 통해 한도 검토를 요청하셔야 하며, 이때 작성하시는 희망 한도는 현재 사용 중인 신한카드 한도와 추가로 받으실 비씨카드 한도를 합산한 총 한도로 작성해 주셔야 합니다.
 예를 들어, 현재 신한카드 한도가 5억 원이시고 비씨카드 한도를 추가로 받으시려는 경우, 두 한도를 합산한 금액으로 특별 심사를 신청해 주시면 됩니다.
 고객님께서 비씨카드를 외부 인원 제공 용도로 낮은 한도로 발급받기를 희망하시는 점을 고려하여, 총 한도를 작성해 주시면 제가 확인 후 심사 부서에 한도 상향 신청 사유와 함께 전달해 드리겠습니다.</t>
  </si>
  <si>
    <t>소희님 안녕하세요. 고위드입니다.
 현재 사용 중이신 신한카드 한도에 비씨카드 한도를 추가하여 사용하시는 경우, 다음 두 단계로 진행됩니다.
 1. 한도 부여 (상향된 한도)
 2. 비씨카드 신청
 소희님께서는 현재 1단계인 한도 부여 상황에 해당합니다.
 특별 심사를 통해 한도 검토를 요청하셔야 하며, 이때 작성하시는 희망 한도는 현재 사용 중인 신한카드 한도와 추가로 받으실 비씨카드 한도를 합산한 총 한도로 작성해 주셔야 합니다.
 예를 들어, 현재 신한카드 한도가 5억 원이시고 비씨카드 한도를 추가로 받으시려는 경우, 두 한도를 합산한 금액으로 특별 심사를 신청해 주시면 됩니다.
 소희님께서 비씨카드를 외부 인원 제공 용도로 낮은 한도로 발급받기를 희망하시는 점을 고려하여, 총 한도를 작성해 주시면 제가 확인 후 심사 부서에 한도 상향 신청 사유와 함께 전달해 드리겠습니다.
 감사합니다.</t>
  </si>
  <si>
    <t>안녕하세요!!
 어제쯤 신청했는데 혹시 승인까지는 좀 더 걸릴까요!?🥹</t>
  </si>
  <si>
    <t>소희님 안녕하세요, 고위드입니다. 
 혹시 카드 발급 일정이 촉박하시다면, 급건으로 처리될 수 있게끔, 유관 부서에 전달해두도록 하겠습니다.
 카드 수령 희망 일자가 있으실까요?</t>
  </si>
  <si>
    <t>헝 ㅠㅠ 너무 감사합니다.
 파트너가 사적 사용을 해서 제한하려고 해서요 ㅠㅠ 
 최대한 빠르면 좋습니다. (다만 운영팀에서 무리가 안 가는 일정에서요!)</t>
  </si>
  <si>
    <t>비씨카드도 혹시 1회 결제한도를 제한할 수 있을까요?! 
 한 번 결제할 때 5만원 초과되면 결제가 안 되도록?!!?</t>
  </si>
  <si>
    <t>우선 한도 상향 일정 관련해서는 내부 유관 부서에 전달해두겠습니다!
 비씨카드의 경우 결제 회당 결제 한도 설정은 불가하며, 일한도 관련해서는 설정 가능할지 비씨카드와 소통 중에 있습니다!
 제가 비씨카드 회신 오는대로 안내드려도 괜찮으실까요?</t>
  </si>
  <si>
    <t>네 감사합니다!!!</t>
  </si>
  <si>
    <t>비씨 업종제한은 세세하게 가능하다고 하셨죠옹?!?</t>
  </si>
  <si>
    <t>비씨 업종 제한 관련해서 안내 가이드 전달드립니다!
 타 법인에서 등록한 승인 제한 업종표 또한 확인 가능하시기에, 참고하시어 법인의 필요에 맞게 신청해주시길 권유드립니다.</t>
  </si>
  <si>
    <t>확인 결과 비씨카드는 일한도 / 결제 건당 한도 설정을 제공하고 있지 않습니다. 
 관련하여 도움을 드리지 못하여 죄송합니다.</t>
  </si>
  <si>
    <t>개별 카드 별로 월한도 설정은 가능하십니다!</t>
  </si>
  <si>
    <t>헉............................ 매니저님 제가 버튼 잘못 눌러서
 카드 신청 중에 없어졌어요.................</t>
  </si>
  <si>
    <t>다시 한도 조회하라고 나오는데 복원할 수 있는 방법 없을까요.........................</t>
  </si>
  <si>
    <t>소희님 괜찮으시면 제가 유선으로 한 번 안내드리면 어떠실까요?</t>
  </si>
  <si>
    <t>너무 좋습니다. 죄송해요 번거롭게 해드려서.....
 010-3202-3819</t>
  </si>
  <si>
    <t>소희님 안녕하세요! 유선으로 안내드린 망고 매니저입니다.
 특별심사 다시 신청 부탁드리고, 한도는 5억 1천만원으로 작성 부탁드립니다!
 그럼 비씨카드 1천만원 한도 및 이후 신한카드 한도 하향으로 진행될 예정입니다.
 신청해주시면 급건으로 특별심사 승인될 예정이니 참고 부탁드립니다. 감사합니다.</t>
  </si>
  <si>
    <t>헝헝 덕분에 완료했습니다. 넘 감사합니다!</t>
  </si>
  <si>
    <t>소희님 추가로, 혹시 법인의 신한카드 한도 하향을 익일에 하향 조치해도 사용에 무리가 없으실지 여쭙습니다! 우선적으로 하향 조치 진행하며 동시에 특별심사도 진행하려고 합니다. 혹시 괜찮으실까요?</t>
  </si>
  <si>
    <t>네네 괜찮습니다!!!! 내일 3억으로 변경되어도 괜찮습니다!</t>
  </si>
  <si>
    <t>확인 감사합니다! 한도 상향 과정에서 추가적인 문의사항 있으시면 편히 문의 부탁드립니다! 감사합니다.</t>
  </si>
  <si>
    <t>무시해주세요!! ㅎㅎ 신청 단계에서 기명식 카드 발급을 어떻게 하는지 문의드린 건데,
 가이드를 뒤늦게 확인하고 삭제했습니다! ㅋㅋㅋ 
 제거 먼저 테스트로 신청하고 완료되면
 사이트에서 기명식 카드 신청할게요 ㅎㅎㅎ</t>
  </si>
  <si>
    <t>@ALF 망고매니저님 부재중이라서 내가 답해드린다 일단 종결 해드리겠다 감사하다 라고 내용 작성해줘</t>
  </si>
  <si>
    <t>망고 매니저님 부재로 제가 답변드립니다. 우선 대화를 종결하겠습니다. 감사합니다.</t>
  </si>
  <si>
    <t>아냐!! 내가 할게</t>
  </si>
  <si>
    <t>ㅋㅋㅋㅋㅋ</t>
  </si>
  <si>
    <t>알프한테 한 마링에요 휴ㅠ</t>
  </si>
  <si>
    <t>ㅇㅋㅇㅋ</t>
  </si>
  <si>
    <t>소희님 확인 감사합니다.
 신한카드 한도 하향 관련해서 고위드 소통 진행해주셨던 담당자님께서는 3억 5천만원으로 변경하는 걸로 기록해두셨더라고요!
 혹시 희망하시는 한도가 3억이실까요 3억 5천만원이실까요? 법인께서 희망하시는 한도로 조정 진행하려고 합니다.</t>
  </si>
  <si>
    <t>아?! 그런가요..!?!?
 신한은 5억 너무 잔여한도가 많다고 하셔서 
 3억에서 3.5억까지 하면 좋겠다고 같이 이야기 되어서</t>
  </si>
  <si>
    <t>3억이든 3.5억이든 괜찮은데요!
 가능하다면 조금 여유있는 게 좋을 것 같아서!
 가능하다면 3.5억을 희망하긴 합니다!!</t>
  </si>
  <si>
    <t>넵 알겠습니다. 3억 5천만원으로 전달 드리고 해당 금액으로 한도 하향 진행하도록 하겠습니다!
 확인 감사합니다!</t>
  </si>
  <si>
    <t>저 거래상태 (부분취소, 전체취소) 궁금한 부분이 있습니다!!! 
 이용금액이 0원으로 똑같은데
 전체취소, 부분취소로 나뉘는 이유가 궁금합니다!</t>
  </si>
  <si>
    <t>소희님 안녕하세요! 
 이번에 지출관리 서비스가 개편됨에 따라 전체 취소 / 부분 취소 취소 건이 세분화 되었는데요!
 관련해서 문의 주신 내용은 유관 부서 확인 후 안내드릴 수 있도록 하겠습니다.
 감사합니다.</t>
  </si>
  <si>
    <t>@신현덕 님 이럴 때 제품이슈 갑니다! 제가 올릴게요!</t>
  </si>
  <si>
    <t>소희님 안녕하세요! 고위드입니다.
 확인 결과 단순 표기 오류이며, 고위드 지출관리 서비스 수정 예정입니다.
 서비스 이용에 불편에 드려서 죄송합니다!
 빠른 시간 내에 개선할 수 있도록 하겠습니다.
 감사합니다.</t>
  </si>
  <si>
    <t>아유 아닙니다! 제가 뭘 놓쳤나 싶어서 문의했어요. 감사합니다!</t>
  </si>
  <si>
    <t>친절한 말씀 감사드립니다. 상담은 여기서 종료하도록 하며, 주말 잘 보내시길 바랍니다. 감사합니다. 😀</t>
  </si>
  <si>
    <t>한도에 대한 상담 필요합니다. 본점/지점 관계라서</t>
  </si>
  <si>
    <t>010-2799-2713 가입된 기관 입니다</t>
  </si>
  <si>
    <t>경민님 안녕하세요, 문의 남겨주시면 확인 후 안내 도와드리겠습니다.</t>
  </si>
  <si>
    <t>안녕하세요 경민님, 고위드입니다.
 일전에 통화해주신 담당자님께서 안 그래도 연락드리려 했는데, 내부확인이 늦어져 오늘 회신드리려 하였다고 합니다. 사업운영부에서 전달받아 CX팀에서 안내드립니다. 관련 안내가 늦어져 정말 죄송합니다.
 내부확인 결과, 전산상 (사업자등록번호가 다른) 지점의 인증서 연동이 어렵다고 합니다..! 이에 따라 같은 사업자등록번호(즉 웰케어스테이션 본점번호)의 인증서 연동 후 한도 산출 시 만나뵙는 화면이 오류가 아니라고 전달받아 안내드립니다..!</t>
  </si>
  <si>
    <t>한도가 너무 낮게 나왔어요.</t>
  </si>
  <si>
    <t>도와주세요. 작년매출 20억 넘었습니다.</t>
  </si>
  <si>
    <t>앗 넵 경민님, 
 고위드 내 법인관리 담당자에게 해당 말씀 전달드려 한도부여 최대한 받으실 수 있는지 안내 도와드리겠습니다.
 혹 특별심사 신청하기 버튼은 별도로 만나보시지 못하신 것 맞으실까요? 여러 번 여쭙게 되어 죄송합니다. 빠른 해결을 위해 직접 데이터 확인 전 여쭙게 되는 점 양해 부탁드립니다..!</t>
  </si>
  <si>
    <t>특심 화면 만났는지 확인 후 rm과 싱크 예ㅈ정</t>
  </si>
  <si>
    <t>안녕하세요 경민님, 고위드입니다^^
 혹 특별심사 신청 별도로 가능하셨을지요?</t>
  </si>
  <si>
    <t>특별심사 신청이 어디에 있나요?</t>
  </si>
  <si>
    <t>내일 통화로 해결하면 좋겠습니다.</t>
  </si>
  <si>
    <t>@루시 매니저 
 루시님.... 출근하시면 한 번 확인 부탁드립니다! 아프지 마세요..</t>
  </si>
  <si>
    <t>안녕하세요 경민님, 고위드입니다.
 카드사입회/한도상향 신청 화면에서 카드 발급 신청하기 버튼 클릭 후, 보이시는 해당 화면에서 "이전" 버튼 눌러주신 후 한도조회화면에서 "특별심사 신청하기" 혹은 "보증금 거치하기" 버튼이 안 보이실까요?
 1551-9020으로 전화드렸으나 부재중이어서 답변으로 회신드리는 점 양해 부탁드립니다.</t>
  </si>
  <si>
    <t>신청했습니다. IT구독도 한도가 안보이던데 한번 확인 부탁드립니다.</t>
  </si>
  <si>
    <t>@고위드 김일경 매니저</t>
  </si>
  <si>
    <t>안녕하세요 고객님, 고위드입니다.
 해당 사항 관련 담당자 연결드리겠습니다. 잠시만 기다려주십시오. 현재 담당자의 문의량이 많아 다소 지연될 수 있는 점 미리 사과의 말씀 드립니다. 최대 3 영업시간까지 소요되는 점 참고 부탁드립니다. 감사합니다.</t>
  </si>
  <si>
    <t>@고위드 이규호 님, it구독 한도 안보이는 건 관련하여 내용 안내 부탁 드립니다!</t>
  </si>
  <si>
    <t>@루시 매니저 님 혹시 해당 법인 특심 진행할 예정일까요?
 저희도 현재 기준으로는 구독 한도 0원이 나와서요.</t>
  </si>
  <si>
    <t>안녕하세요 고객님
 고위드 구독팀에서 안내드립니다.
 현재 기준으로는 구독 한도 부여가 어려운 상황으로 확인됩니다.
 다만, 카드 한도 특별심사 진행 후에 구독 한도 부여 가능한지 다시 확인하여 안내드릴 수 있도록 하겠습니다.</t>
  </si>
  <si>
    <t>네 언제쯤 결과가 나올까요?</t>
  </si>
  <si>
    <t>안녕하세요 경민님, 
 차주 중으로 결과 받아보실 수 있을 것으로 예상됩니다!</t>
  </si>
  <si>
    <t>(주)마플코퍼레이션 105-88-13322</t>
  </si>
  <si>
    <t>설정 멤버관리 기존 퇴사직원과 신규직원의 이메일주소가 중복되어 신규직원 멤버 등록 불가</t>
  </si>
  <si>
    <t>신규직원 멤버 등록 가능한 방법 문의 드립니다.</t>
  </si>
  <si>
    <t>혜윤님 안녕하세요, 고위드입니다.
 1. 해당 메일 주소 전달 주시면 확인해보도록 하겠습니다.
 2. 퇴사한 직원분의 고위드 게정을 휴/퇴직 처리 또는 탈퇴 처리 하셨을까요?</t>
  </si>
  <si>
    <t>넹 김민향
 mh.kim@marpple.com</t>
  </si>
  <si>
    <t>휴/퇴직 처리 해놨습니다.</t>
  </si>
  <si>
    <t>확인 감사합니다. 신규 직원분께서 해당 메일 주소를 그대로 사용하실 예정이신걸까요?</t>
  </si>
  <si>
    <t>넹 맞습니다.</t>
  </si>
  <si>
    <t>동일 메일 계정이기에 신규 가입을 불가능하십니다.
 법인께서 해당 메일 계정으로 계속 사용 희망하시는 것이라면
 1. (슈퍼관리자 로그인) 해당 계정 휴/퇴직 해제 및 성함, 연락처 변경
 2. 계정 비밀번호 재설정을 통하여 해당 계정 로그인
 으로 가능하십니다.
 성함 및 연락처 변경 희망하시면 지금 남겨주시면 제가 변경해드리도록 하겠습니다.
 계정 비밀번호 재설정은 아래 링크를 통해 가능하십니다.
 https://www.gowid.com/login/search2
 감사합니다.</t>
  </si>
  <si>
    <t>695763967622652a56a0</t>
  </si>
  <si>
    <t>법인회원 가입한 이메일 주소 변경</t>
  </si>
  <si>
    <t>킨도프 주식회사 담당자님 안녕하세요, 고위드입니다.
 - 멤버 성함 / 현재 사용 중인 메일 주소 / 변경할 메일 주소
 말씀해주시면 변경 도와드리도록 하겠습니다.</t>
  </si>
  <si>
    <t>안녕하세요. 김선빈/ seonbin.kim@2000archivestudio.com / finance@kyndof.com 입니다.</t>
  </si>
  <si>
    <t>지영님 안녕하세요. 관련해서 변경 완료 되었습니다. 
 변경된 메일 주소로 로그인하시어 확인 부탁드립니다. 감사합니다.</t>
  </si>
  <si>
    <t>멤버 추가 후, 멤버 관리에 조회가 안됩니다.
 새로 재생성하려 해도, 이미 등록된 이메일 계정이라 뜨는 상황입니다!
 (오류 계정: 문소정, sojeong.moon@need.ai)</t>
  </si>
  <si>
    <t>상담사 연결 버튼이 안보여. 어떻게 눌러?</t>
  </si>
  <si>
    <t>- 오류 계정 이름: 문소정
 - 이메일: sojeong.moon@need.ai ​
 - 멤버 추가 후 멤버 관리 목록에 노출되지 않고, 재추가 시 ‘이미 등록된 이메일’로 표시된다는 점
 상담사에게 질문하라고 너가 그랬는데, 어디에도 그런 버튼/기능이 안보여</t>
  </si>
  <si>
    <t>멤버 관리 &gt; 멤버 추가 하여 신규 멤버 추가
 멤버 현황에서 이름 검색하지 검색되지 않음
 다시 동일한 방법으로 추가하려하니, 이미 등록된 계정이라고 에러 뜸</t>
  </si>
  <si>
    <t>6976f528442752abe9fb</t>
  </si>
  <si>
    <t>1월 19일에 카드 신청 후 22일 목요일에 수령하여 23일 금요일에 결제한 건이 고위드 어플 및 홈페이지에 뜨지 않아서 문의드립니다.</t>
  </si>
  <si>
    <t>그럼 어떻게 해야하나요?</t>
  </si>
  <si>
    <t>📌 기존 상담: (https://desk.channel.io/gowid/user-chats/%EA%B9%80%EC%84%A0%EC%A4%91-6976de550cc59754f118)</t>
  </si>
  <si>
    <t>안녕하세요.
 버킷히어로 김선중 입니다.
 아래와 같이 법인카드 그룹 추가 가능한지 문의드립니다.
 그룹명 : 버킷히어로(주) 임직원복지
 감사합니다.
 김선중 드림
 _____________________________________
 버킷히어로 주식회사
 Kevin Kim 김선중, CEO
 사무실 : 서울 동대문구 왕산로 200, 롯데캐슬 SKY L65 섹션오피스, 1716호
 연락처 : +82-10-5525-2890
 ______________________________________</t>
  </si>
  <si>
    <t>-완료</t>
  </si>
  <si>
    <t>안녕하세요, 사용가이드에서 고위드에서 사용내역에 관한 API를 제공하는 안내를 확인했습니다. API 사용하려면 어떤 절차를 거쳐야 하는지 설명해주시면 감사하겠습니다.</t>
  </si>
  <si>
    <t>담당자 연락채널이 궁금합니다</t>
  </si>
  <si>
    <t>이제 담당자 연락채널 안내해주세요</t>
  </si>
  <si>
    <t>@ALF 아래 템플릿으로 고객문의 정리해줘.
 최대한 간명하게 작성해주되, 문제요약은 구체적으로 이해하기 쉽게 고위드 용어로 작성해줘. * 표시는 다 안 들어가도록 빼줘.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</si>
  <si>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다음은 요청하신 고객 문의 정리 내용입니다.
 - 법인명: 정보 없음
 - 사업자번호: 정보 없음
 - 문의 경로: 채널톡
 - 문의 고객 성함 및 이메일: 신정현 (이메일 정보 없음)
 - 문의 인입 일시: 2026-01-26 16:56:45
 - 문제 요약: 고위드 사용내역 API 사용 절차 및 API Key 발급을 위한 담당자 연락 채널 문의
 - 발생 시점: 해당 없음 (기능 문의)
 - 고객영향도: 중</t>
  </si>
  <si>
    <t>@ALF 상담사 연결로 넘어오게 하려면 어떤거 눌러야하는지알려줘</t>
  </si>
  <si>
    <t>저는 AI 어시스턴트이기 때문에, 상담사님이 사용하시는 채널톡 시스템의 UI 조작 방법에 대해서는 직접 안내해 드릴 수 없습니다.
 일반적으로 상담사 연결 기능은 채널톡 인터페이스 내에 별도의 버튼이나 메뉴로 제공됩니다. 사용하시는 채널톡 화면에서 '상담사 연결', '상담 이전', '다른 상담사에게 넘기기' 등과 유사한 기능을 찾아보시거나, 채널톡 사용 가이드를 참고해 주시면 정확한 방법을 확인하실 수 있습니다.</t>
  </si>
  <si>
    <t>안녕하세요, 정현님
 문의주신 API KEY발급에 대해 담당자에게 전달드린 점 공유드립니다.
 채팅 상담 이용에 불편을 드려 죄송합니다.
 chris@akrosinvest.com
 메일로 발송해드릴 수 있도록 하겠습니다
 감사합니다!</t>
  </si>
  <si>
    <t>정현님 안녕하세요, 고위드입니다.API 키 발급 안내 드립니다.
 슈퍼관리자 계정 메일로만 api 발송이 가능합니다.
 한도상향/신규카드사 입회가 가능한 슈퍼관리자 분께 내부 협의 후 해당 이메일 전달 부탁드립니다!
 우선적으로, 해당 상담창에 API Key 발급을 위해 아래 내용 전달 부탁드립니다!
 - 법인명/사업자번호
 - 담당자 성함/직책/메일:
 (해당 담당자는 슈퍼관리자 권한 부여 必)
 - 필요한 API 데이터(예시: 지출내역 조회):
 - 요청사유(예시: 법인카드 지출 내역을 ERP에 연동):
 정보 확인 후 담당자 님이 안내 메일 드릴 예정입니다.
 참고하실 수 있는 가이드도 첨부 드립니다.
 감사합니다.</t>
  </si>
  <si>
    <t>법인명: 주식회사 아크로스테크놀로지스
 사업자번호: 160-88-02104
 담당자 성명: 신정현/이사/chris@akrostec.com
 (슈퍼관리자 해당)
 필요한 API 데이터: 지출내역 조회
 요청사유: 법인카드 지출 내역을 ERP에 연동</t>
  </si>
  <si>
    <t>정현님 확인 감사합니다. 
 고위드 API 담당자 확인 후 금일 ~ 익일 메일 안내드릴 예정입니다.
 참고 부탁드리겠습니다.
 추가적으로 궁금하신 점 있으시면 편히 회신 부탁드립니다.</t>
  </si>
  <si>
    <t>네 감사합니다 편안한 저녁 되세요.</t>
  </si>
  <si>
    <t>API KEY 발급 관련 담당자 연락채널</t>
  </si>
  <si>
    <t>저희 법인 신한카드는 공동인증서 로그인만 사용 중인데, 고위드 카드사 총괄 관리자 계정 연동 화면에서 ID/PW 방식만 노출됩니다. 이 경우 어떻게 해야 하나요</t>
  </si>
  <si>
    <t>상담사 연결 부탁드립니다.</t>
  </si>
  <si>
    <t>신한카드 총괄관리자 계정을 연동하려고 하는데 고위드 카드사 총괄 관리자 계정 연동 화면에서 ID/PW 방식만 노출됩니다. 저희 법인 신한카드는 공동인증서 로그인만 사용 중인데, 이 경우 어떻게 해야 하나요?
 또한, 어제 오전에 신한카드 발급 후 사용등록을 진행했는데 아직도 카드보유내역에서 고위드 카드가 뜨지 않습니다. 혹시 이 문제는 신한카드 측에 문의를 해야 하는 문제일까요? 임직원 기명카드 발급 신청은 정상적으로 처리가 됐는데, 관리자 계정 로그인 후 승인하려고 보니 신청 내역은 뜨는데 보유 목록에 카드가 뜨지 않아 문의 남깁니다.</t>
  </si>
  <si>
    <t>@ALF 신한카드 총괄관리자 계정을 연동하려고 하는데 고위드 카드사 총괄 관리자 계정 연동 화면에서 ID/PW 방식만 노출됩니다. 저희 법인 신한카드는 공동인증서 로그인만 사용 중인데, 이 경우 어떻게 해야 하나요?</t>
  </si>
  <si>
    <t>허효선님, 문의하신 내용에 대해 답변드립니다.
 1. 신한카드 총괄 관리자 계정 연동 시 ID/PW 방식만 노출되고 공동인증서 로그인이 안 되는 문제
 이전 답변에서도 안내해 드렸듯이, 현재 저희 지식 기반에서는 신한카드 연동 시 공동인증서 로그인만 사용하는 법인을 위한 구체적인 연동 방법이나 예외 처리 방안에 대한 정보를 찾을 수 없습니다.
 2. 신한카드 발급 후 사용 등록을 했음에도 카드 보유 내역에 카드가 뜨지 않는 문제
 이 문제에 대해서도 현재 저희 지식 기반에서 관련 정보를 찾을 수 없습니다. 카드 발급 및 보유 내역 표시에 대한 상세한 절차나 문제 해결 방안에 대한 내용은 확인되지 않습니다.
 두 가지 문의 사항 모두 복합적인 상황으로 보이며, 이미 상담사 연결이 진행 중이므로 담당 상담사가 허효선님의 상황을 확인한 후 정확한 답변을 드릴 예정입니다. 잠시만 기다려 주시면 상담사가 확인 후 안내해 드리겠습니다.</t>
  </si>
  <si>
    <t>효선님 안녕하세요, 고위드입니다.
 공동인증서 통하여 신한카드 로그인을 진행해주셨다고 하더라도, 고위드 연동을 위해서는 아이디/비밀번호가 필요합니다. 
 신한카드 법인 홈페이지에서 회원가입을 통하여 총괄관리자 회원가입 진행 후 고위드 연동 부탁드립니다.
 연동 이후에도 신한카드 홈페이지에서 보유 내역에 고위드 카드가 확인되지 않을 시 신한카드 고객센터로 문의 부탁드립니다. 바로 안내를 도와드리지 못해 죄송합니다.
 - 신한카드 고객센터 : 1544-7000
 감사합니다.</t>
  </si>
  <si>
    <t>기존에 가지고 있던 총괄관리자 계정이 있음에도 새로운 아이디로 회원가입을 해야 하는 건가요?</t>
  </si>
  <si>
    <t>맞습니다! 우선 회원가입 통해서 아이디 비밀번호를 생성해주셔야 합니다.</t>
  </si>
  <si>
    <t>네 확인했습니다. 추후에 다른 문제 발생 시 추가 문의 드리겠습니다. 답변 감사합니다.</t>
  </si>
  <si>
    <t>카드 한도가 너무 작은 것 같은데 한도의 기준이 어떻게 되나요?</t>
  </si>
  <si>
    <t>비씨카드입니다</t>
  </si>
  <si>
    <t>한도가 600만원으로 책정 됐는데 6개의 카드를 발급 받았으면 6개 카드의 총 한도가 600만원이고 카드별로 100만원의 한도라고 생각하면 되나요?</t>
  </si>
  <si>
    <t>일반 개인의 신용카드 한도도 600인데 법인의 법인카드가 달에 600만원인건 너무 작은것같습니다</t>
  </si>
  <si>
    <t>관리자가 카드이용내역을 승인하지 않으면 카드 청구가 안되는 건가요?</t>
  </si>
  <si>
    <t>펌이체 해지했는데 다시 등록하려면?</t>
  </si>
  <si>
    <t>카드 정지하면 고위드에서 미사용 카드로 분류 되는지</t>
  </si>
  <si>
    <t>롯데카드사 입니다.</t>
  </si>
  <si>
    <t>지출관리하는 사이트 주소</t>
  </si>
  <si>
    <t>19일에 카드 신청 후 22일에 수령, 사용은 23일, 고위드 가입은 26일에 했습니다. 23일에 사용한 카드 내역이 안 뜨는데 업데이트까지 시간이 걸리나요?</t>
  </si>
  <si>
    <t>프레시오리진 / 566-88-03446</t>
  </si>
  <si>
    <t>보증금서비스를 사용하고 싶은데 신청을 못하고 있었습니다. 오늘 특별심사 완료 안내로 카드신청이 어렵다고 메일이 왔는데요. 확인 부탁드립니다.</t>
  </si>
  <si>
    <t>데이터독 확인 중</t>
  </si>
  <si>
    <t>형석님 안녕하세요. 고위드입니다. 
 보증금 안내 메일을 발송드렸지만 서비스 신청을 해주시지 않아서 부결된 것으로 확인되었습니다! 
 보증금 서비스 희망하시면 다시 메일 받아보실 수 있도록 유관 부서에 전달해두겠습니다.
 희망하실까요?</t>
  </si>
  <si>
    <t>네 부탁드리겠습니다</t>
  </si>
  <si>
    <t>형석님 확인 결과 해당 신청 건이 만료되어서, 다시 신청해주셔야 합니다.
 번거로우시겠지만, 고위드 홈페이지 접속하시어, 보증금 서비스 신청 부탁드리겠습니다!</t>
  </si>
  <si>
    <t>미사용 카드 등록</t>
  </si>
  <si>
    <t>카드관리 &gt; 미사용카드&gt; 카드 사용할 수 있도록 등록</t>
  </si>
  <si>
    <t>사용등록 완료된 카드가 미사용 카드 상태일때 &gt; 사용카드로 바꾼는 방법</t>
  </si>
  <si>
    <t>상담사 연결</t>
  </si>
  <si>
    <t>네</t>
  </si>
  <si>
    <t>영은님 안녕하세요, 고위드입니다.
 사용 등록 완료된 카드가 미사용 카드 상태일때 사용 카드로 바꾸는 방법 문의 주신 바 확인했습니다.
 현재 문의주시는 카드가 신규 발급 카드이실까요? 혹은 분실 신고/정지 카드를 다시 사용하시는 카드로 변경하신 카드이실까요?</t>
  </si>
  <si>
    <t>사용등록 된 카드가 미사용 카드 상태 입니다. 사용카드로 등록 원합니다.</t>
  </si>
  <si>
    <t>신규 발급도 신규 정지도 아니고,
 갖고 있던 카드를 사용카드로 등록 한 것 입니다.</t>
  </si>
  <si>
    <t>카드사에는 등록 완료, 반영 완료 되었습니다.</t>
  </si>
  <si>
    <t>고위드에 반영이 안되네요</t>
  </si>
  <si>
    <t>발급 받으신 카드를 사용등록 안 하고 계시다가, 금일 사용 등록하신 걸까요?</t>
  </si>
  <si>
    <t>법인께서 현재 사용 중이신 카드가 롯데카드로 확인되십니다.
 롯데카드는 카드사 홈페이지 등록 후 최대 3시간까지 고위드 반영에 소요될 수 있습니다.
 우선 카드사 홈페이지에서 사용 등록을 완료하셨으면 카드 결제하실 때는 문제없이 사용 가능하십니다.
 혹여, 3시간 이후에도 사용 카드로 전환이 안 되신다면 다시 문의 부탁드리겠습니다.
 감사합니다.</t>
  </si>
  <si>
    <t>아, 네 알겠습니다.</t>
  </si>
  <si>
    <t>감사합니다.</t>
  </si>
  <si>
    <t>상담 종료 합니다.</t>
  </si>
  <si>
    <t>고위드 롯데카드 한도상향</t>
  </si>
  <si>
    <t>롯데카드 한도 상향신청을해서 7천만원 한도 상향 되었다는 메일을 받았는데, 아직 고위드에서 한도가 0원으로 나와서요~</t>
  </si>
  <si>
    <t>@루시 매니저 @망고 매니저 카드 문의인 것 같습니다!</t>
  </si>
  <si>
    <t>네엡</t>
  </si>
  <si>
    <t>안녕하세요 세미님, 고위드입니다!
 고위드 홈페이지 로그인해주시고, [카드사 입회/한도상향 신청] 탭에서 초록버튼 활성화된 [이어서 신청하기] 클릭해주신 후 전자서명 및 한도상향 신청완료해주시면 바로 카드사 심사로 넘어가 최대 3~5영업일 이내로 한도가 반영되십니다!</t>
  </si>
  <si>
    <t>넵, 감사합니다~!</t>
  </si>
  <si>
    <t>신규 카드 신청이아니라, 한도 상향인데도 작성해야된다는거죠?</t>
  </si>
  <si>
    <t>네네 세미님, 
 별도로 추가로 많이 작성하셔야 할 건 없습니다. ㅎㅎ 전자서명 및 간단히만 기입 해주시면 됩니다^^!</t>
  </si>
  <si>
    <t>주주명부랑 제출하는게 있던데, 그것도 제출해야하는거지요~?</t>
  </si>
  <si>
    <t>대표자 링크 승인도 필요한데요;;</t>
  </si>
  <si>
    <t>세미님, 잠시만 기다려주세요
 보고계신 화면 확인 후에 회신드리도록 하겠습니다!</t>
  </si>
  <si>
    <t>넵, 정미희님께서 진행하고계셔서요</t>
  </si>
  <si>
    <t>안녕하세요 세미님, 
 개발팀 확인 내용 공유드립니다..!
 법인정보를 지속적으로 업데이트받아 수취해야 한다는 카드사 내규정책에 따라, 주주명부 제출 주기가 돌아오셔서 제출해야 한다고 하십니다..!
 더불어, 법인의 한도상향은 법인 및 대표자의 진위여부 판단후 신용/한도심사가 진행되기 때문에 대표자인증 절차가 필수라고 합니다..!
 미리 안내드리지 못해 정말 죄송합니다.
 - 주주명부 제출
 - 대표자 인증(24시간 이내)
 가능하실까요?</t>
  </si>
  <si>
    <t>네넵! 아까 진행했습니다~!</t>
  </si>
  <si>
    <t>신청 완료했는데 얼마나 걸릴까요?ㅠㅠ</t>
  </si>
  <si>
    <t>네 감사합니다 세미님!!
 롯데의 경우, 별도로 추가서류 수취가 필요하지 않은 이상 3~4 영업일 이내로 반영될 예정입니다!
 추가서류 필요할 시에는 평균 1~2영업일 더 소요됩니다. 해당 경우 바로 고위드 법인담당자 정보로 메일드릴 예정이오니 참고 부탁드립니다!</t>
  </si>
  <si>
    <t>감사합니다 매니저님
 편안한 오후보내세요ㅡ😃</t>
  </si>
  <si>
    <t>감사합니다 세미님
 친절한 답변 너무 감사드립니다..!
 이번 상담은 여기서 종료하도록 하겠습니다.
 다른 문의가 있으시면 새로운 창에서 문의 부탁드립니다.
 좋은 하루 되시길 바랍니다 :)</t>
  </si>
  <si>
    <t>- 코코지
 - 오류사항
 1. 카드관리 &gt;기존 카드 추가 발급 &gt; 고위드 BC바로 법인카드 &gt; 기명카드 신청하기
 2. 운전면허증 정보 입력 후 다음 버튼
 3. 이후 서버 오류가 발생했다는 팝업되면서 이후 진행 불가</t>
  </si>
  <si>
    <t>010-8713-3099 로 알림톡이나 진행상황 공유 부탁드립니다.</t>
  </si>
  <si>
    <t>상현님 안녕하세요, 고위드입니다.
 혹시 운전면허증 일련번호에서 숫자-알파벳 (ex. 0 또는 O)를 잘못 작성하셨을지 확인 부탁드립니다.
 일련번호는 앞 네자리 숫자와 뒷 두자리 알파벳으로 구성되어 있습니다.
 일련번호가 오기재 될 시 해당 팝업이 노출되기에 한 번 확인 부탁드리겠습니다.
 감사합니다.</t>
  </si>
  <si>
    <t>일련번호는 모두 영문으로 보여요. 앞에 4자리가 항상 숫자인게 맞나요?</t>
  </si>
  <si>
    <t>상현님, 문의 주신 사항은 개발팀에 전달하여, 문제 원인 파악 및 해결 도와드리겠습니다. 시간이 소요될 수 있어 조금만 시간 양해해주시면 감사하겠습니다. 혹 금일 저녁 ~ 내일 오전 중으로 해결 회신드려도 괜찮을까요? 개발팀의 수기 확인을 필요로 하는지라 시간이 소요되는 점 참고 부탁드립니다. 문의 해결이 지연되어 죄송합니다.</t>
  </si>
  <si>
    <t>다음은 고객 문의를 정리한 내용입니다.
 - 법인명: 코코지
 - 사업자번호: (정보 없음)
 - 문의 경로: 채널톡 (데스크 링크: [링크 없음])
 - 문의 고객 성함 및 이메일: 박상현 (연락처: 010-8713-3099)
 - 문의 인입 일시: 2026-01-27 11:07:48
 - 문제 요약: 고위드 BC바로 법인카드 기명카드 신청 시, 운전면허증 정보 입력 후 '신분증 인증하기' 단계에서 '서버 오류가 발생했습니다.' 팝업이 발생하며 진행 불가. 운전면허증 일련번호 입력 형식(숫자-알파벳)에 대한 문의도 있음.
 - 발생 시점: 현재 발생 중인 현상으로 보임.
 - 고객영향도: 상</t>
  </si>
  <si>
    <t>기명카드 신청하시는 분 계정은 박상현님 맞으실까요?</t>
  </si>
  <si>
    <t>상현님 기다려주셔서 감사합니다. 
 내부 확인 결과 실명인증 과정에서 존재하지 않는 주민등록번호를 기입하셔서 발생한 오류로 확인됩니다.
 확인 후 재시도 부탁드리겠습니다. 감사합니다.</t>
  </si>
  <si>
    <t>- 아이리스브라이트/ 863-81-01831
 - 개인 법인카드 한도 확인하려는데, 앱/홈페이지의 홈화면에서 이번달 지출금액 및 남은 한도가 안뜹니다 
 - 카드번호 : 5525 7642 1590 0453
 - 접속 계정 : seonny04@irisbr.com</t>
  </si>
  <si>
    <t>안녕하세요 서연님, 고위드입니다.
 불편을 드려 정말 죄송합니다.
 혹시 앱 업데이트 및 웹 재로그인까지 하셨을 때도 동일 문제가 보이실까요?</t>
  </si>
  <si>
    <t>문의 주신 사항은 개발팀에 전달하여, 문제 원인 파악 및 해결 도와드리겠습니다.
  시간이 소요될 수 있어 조금만 시간 양해해주시면 감사하겠습니다. 혹 금일 저녁 중으로 해결 회신드려도 괜찮을까요? 개발팀의 수기 확인을 필요로 하는지라 시간이 소요되는 점 참고 부탁드립니다. 문의 해결이 지연되어 죄송합니다.</t>
  </si>
  <si>
    <t>앱 업데이트랑 상관 없습니다. 관리자에게 소지자 지정 해줬는지 확인 요청드린다고 해주세요.</t>
  </si>
  <si>
    <t>네~</t>
  </si>
  <si>
    <t>안녕하세요 서연님, 확인 내용 공유드립니다 :)
 혹시 내부 고위드카드 관리자분께서 조서연님을 카드에 '소지자로 설정'하셨는지 확인 가능하실까요~?</t>
  </si>
  <si>
    <t>앱 재설치하니 떴습니다!</t>
  </si>
  <si>
    <t>아 네네 감사합니다 :)
 이번 상담은 여기서 종료하도록 하겠습니다.
 다른 문의가 있으시면 새로운 창에서 문의 부탁드립니다.
 좋은 하루 되시길 바랍니다 :)</t>
  </si>
  <si>
    <t>@망고 매니저 일단 종결인데 태그만 달아둘게요!</t>
  </si>
  <si>
    <t>조서연님 개인 기명카드</t>
  </si>
  <si>
    <t>@ALF 기명카드도 자신의 고위드 계정에서 확인하기 위해서는 소지자 설정이 필요해?</t>
  </si>
  <si>
    <t>네, 기명카드는 임직원 본인의 고위드 계정으로 직접 신청해야 합니다. 이 과정에서 카드는 해당 임직원에게 자동으로 연결됩니다.
 다만, 기명카드 신청 전에 카드 명의자를 고위드 홈페이지 내 멤버로 먼저 추가해야 합니다. 이 '멤버 추가' 과정이 카드 소지자를 설정하는 초기 단계라고 볼 수 있습니다.
 따라서, 임직원이 직접 신청한 기명카드는 별도의 추가적인 '소지자 설정' 없이 본인의 고위드 계정에서 확인 가능해야 합니다. 만약 보이지 않는다면, 시스템적인 문제일 가능성이 있습니다.</t>
  </si>
  <si>
    <t>@ALF 그게 아니라, 개인식 기명카드를 발급 완료한 사람이, 고위드 앱 / 웹에서 자신의 계정으로 로그인 했을 때
 해당 카드 사용 내역 / 잔여 한도 등을 확인 하기 위해서는
 1. 개인식 기명카드의 소지자 설정이 필요한지
 2. 개인식 기명카드의 소지자 설정이 시스템적으로 가능한지
 를 묻는거야/</t>
  </si>
  <si>
    <t>개인식 기명카드와 관련하여 문의하신 내용에 대해 답변드립니다.
 1. 개인식 기명카드의 소지자 설정이 필요한지 여부:
  개인식 기명카드는 임직원 본인이 직접 고위드 계정을 통해 신청하는 카드입니다. 이 신청 과정에서 카드는 자동으로 해당 임직원의 계정에 연결되므로, 관리자가 별도로 '소지자 설정'을 할 필요는 없습니다. 즉, 신청이 완료되면 카드 사용 내역이나 잔여 한도 등은 본인 계정에서 바로 확인 가능해야 합니다.
 2. 개인식 기명카드의 소지자 설정이 시스템적으로 가능한지 여부:
  개인식 기명카드의 경우, 관리자가 특정 카드를 임직원에게 '소지자로 설정'하는 기능은 시스템적으로 제공되지 않습니다. '소지자 설정'은 주로 법인카드를 특정 임직원에게 할당할 때 사용되는 기능입니다. 개인식 기명카드는 신청 시점에 이미 해당 임직원에게 귀속되도록 설계되어 있습니다.
 만약 개인식 기명카드가 본인 계정에서 보이지 않는다면, 이는 시스템적인 오류이거나 카드 신청 과정에 문제가 있었을 가능성이 높습니다.</t>
  </si>
  <si>
    <t>여기서 말하는 법인청구 잔여 한도가 각 카드마다 한도야 아니면 우리 법인 전체 한도야? 우리가 법인청구카드 12개를 받았고 각 카드 한도가 200만원으로 되어있어서 헷갈려.</t>
  </si>
  <si>
    <t>그러면 우리 회사 전체 한도도 200만원이고, 개별 한도도 200이야?</t>
  </si>
  <si>
    <t>이러면 이미 한도가 증액 된건가? 언제 결과 보통 나와?</t>
  </si>
  <si>
    <t>안녕하세요! 담당자님, 
 당사 카드 중에서 5790카드에 마케팅 비용을 사용하고 있습니다. 
 기존에는 광고비 비용이 적어서, 고위드 일반카드를 사용하였으나, 현재 광고비가 증가할 예정으로 광고비에 특화된 카드가 있는지 문의드립니다. 
 광고비 캐시백 등 가능한 카드가 있는지 확인 요청 드립니다.</t>
  </si>
  <si>
    <t>안녕하세요 소연님! 고위드입니다.
 광고비 특화 체크카드가 있습니다.
 안내 가이드 (혜택 비교서) 드립니다.
 페이백률
 롯데: 해외 결제 시 2.0% / 국내 결제 시 1.5%
 신한: 해외 결제 시 2.3%/ 국내 없음
 💡 ‘소기업’ 인증 법인 기준이며, 만약 소기업 미인증 법인인 경우에는 국내외 모두 0.5%로 페이백률이 제한됩니다. (중소기업현황정보시스템 페이지에서 소기업 인증 여부 확인 가능하십니다)</t>
  </si>
  <si>
    <t>현재 고위드 카드의 경우에는 혜택을 아예 못받나요?</t>
  </si>
  <si>
    <t>체크카드 말고 신용카드로 만들고 싶어서요</t>
  </si>
  <si>
    <t>@ALF 답변해줘</t>
  </si>
  <si>
    <t>네, 신용카드로 광고비 특화 카드를 발급받고 싶으시다는 말씀이시군요.
 고위드에서는 신한카드와 롯데카드에서 광고비 특화 법인카드(신용카드)를 제공하고 있습니다. 이 카드들은 일반적으로 최대 0.5%의 페이백률을 제공합니다.
 이전에 안내해 드린 높은 페이백률(롯데 해외 2.0%/국내 1.5%, 신한 해외 2.3%)은 '광고비 특화 체크카드'에 해당하며, '소기업 인증 법인'에 한해 적용되는 혜택입니다.
 따라서 신용카드로 광고비 특화 카드를 원하신다면, 신한카드 또는 롯데카드의 법인카드를 고려해 보실 수 있습니다.</t>
  </si>
  <si>
    <t>@ALF 법인신용카드 3사 페이백</t>
  </si>
  <si>
    <t>법인 신용카드의 페이백 또는 포인트 적립률에 대해 문의 주셨습니다. 주요 카드사별 내용은 다음과 같습니다.
 - 롯데카드: 법인 신용카드의 경우, 일반적으로 최대 0.5%의 페이백률이 적용됩니다. (이는 소기업 미인증 법인의 광고비 특화 체크카드 페이백률과 유사한 수준입니다.)
 - 신한카드: 법인 신용카드는 국내 결제 시 최대 0.45%, 해외 결제 시 최대 0.5%의 포인트가 적립됩니다. 적립된 포인트는 캐시백, 청구 대금 결제 등으로 활용할 수 있습니다.
 - 비씨카드: 법인 신용카드는 결제액의 5%가 포인트로 적립됩니다. 이 포인트는 캐시백, 상품권, 항공 마일리지 등으로 전환하여 이용할 수 있습니다.
 이전에 안내해 드렸던 높은 페이백률(롯데 해외 2.0%/국내 1.5%, 신한 해외 2.3%)은 '광고비 특화 체크카드' 중 '소기업 인증 법인'에 한해 적용되는 혜택이므로, 신용카드와는 차이가 있습니다.</t>
  </si>
  <si>
    <t>별도의 곽고비 특화 신용카드는 없으십니다만, 페이백을 받아보실 수는 있습니다!
 - 롯데카드: 법인 신용카드의 경우, 일반적으로 최대 0.5%의 페이백률이 적용됩니다. (이는 소기업 미인증 법인의 광고비 특화 체크카드 페이백률과 유사한 수준입니다.)
 - 신한카드: 법인 신용카드는 국내 결제 시 최대 0.45%, 해외 결제 시 최대 0.5%의 포인트가 적립됩니다. 적립된 포인트는 캐시백, 청구 대금 결제 등으로 활용할 수 있습니다.
 - 비씨카드: 법인 신용카드는 결제액의 0.5%가 포인트로 적립됩니다. 이 포인트는 캐시백, 상품권, 항공 마일리지 등으로 전환하여 이용할 수 있습니다.</t>
  </si>
  <si>
    <t>매니저님 확인 감사합니다! 
 고위드 특화 체크카드보다는 혜택이 떨어지는 것 같네요ㅠㅠ
 다른 카드사 광고비 특화 신용카드는 진행하지 않으시는 걸까요?
 찾아보다 보니, 고위드같은 툴로 광고비 카드만 진행하는 사이트가 있더라구요!</t>
  </si>
  <si>
    <t>저희 내부적으로 확인 후에 답변드리겠습니다 :)
 기다려주시면 내일 오전 중으로 회신 드리도록 하겠습니다 괜찮으실까요~?</t>
  </si>
  <si>
    <t>네! 참고를 위해서 첨부드립니다. 
 ㄴ 비즈제이 (롯데카드) : https://www.bizjei.co.kr/card/
 아래 2가지 사유로 고위드에 신용카드로 신규 발행 희망하여 요청드립니다. 
 1. 업무 효율상 법인카드 고위드 사이트에서 통일하여 관리 
 2. 고위드와 협업하는 업무가 많아, 가능한 고위드 서비스 이용</t>
  </si>
  <si>
    <t>긴급건으로 가능하시면 빠르게 회신 부탁드립니다.</t>
  </si>
  <si>
    <t>저희 광고비 특화카드랑 거의 똑같은 상품 같슴다...!</t>
  </si>
  <si>
    <t>매니저님, 회신 부탁드려요~</t>
  </si>
  <si>
    <t>소연님, 현재 확인중이오며, 10분 이내로 회신드릴 수 있도록 하겠습니다! 기다리게 해드려 죄송합니다..!</t>
  </si>
  <si>
    <t>소연님!
 해당 비즈제이 내용 확인해보니, 저희와 동일한 혜택입니다..! ㅎㅎ 
 또한, 법인포인트는 최대 0.5%만 페이백 가능합니다 (모든 제휴처, 에이전트사 동일, 법적으로 규정된 최대 페이백) 아마 저 홈페이지사도 0.5%이내일 것입니다!
 다만 저 비즈제이 카드를 사용하시고자 하는 거면, 저 광고 결제처에만 결제할 수 있도록 제한되어 있어서이실까요?</t>
  </si>
  <si>
    <t>고위드도 해당 용도 목적으로만 따로 무기명 카드 발급받으셔서, 관리자만 그 카드를 소지하시면 광고비에만 사용하실 수 있도록 할 수 있습니다!</t>
  </si>
  <si>
    <t>매니저님, 
 비즈제이 신용카드 적립률이 최대 2%로 소개 받았어서요. (아직 최종 답변은 오기 전입니다)
 광고 결제처에서만 사용 목적이라기보다는, 광고비에 특화된 카드를 찾고 있습니다!
 고위드의 카드도 있지만 체크카드여서요 ㅠㅠ</t>
  </si>
  <si>
    <t>@ALF 대화 전부 확인하고 너가 할 수 있는 답변 3가지 만들어봐바</t>
  </si>
  <si>
    <t>김소연 고객님, 광고비 특화 신용카드 혜택에 대해 문의 주셔서 감사합니다. 비즈제이 카드에 대한 정보와 함께 고위드 카드에 대한 고객님의 의견을 종합하여 세 가지 답변을 준비했습니다.
 ***
 1. 법인 신용카드 페이백 규정 및 비즈제이 카드 혜택 확인 요청
 고객님께서 비즈제이 신용카드의 적립률이 최대 2%로 소개받으셨다는 점을 확인했습니다. 하지만 현재 법인 신용카드의 페이백 또는 포인트 적립률은 일반적으로 최대 0.5%로 규정되어 있습니다. 이는 모든 제휴처 및 에이전트사에 동일하게 적용되는 법적 최대 페이백률입니다.
 따라서 비즈제이 카드의 2% 적립률이 어떤 조건(예: 체크카드, 특정 프로모션, 특정 결제처 한정, 소기업 인증 등)에서 적용되는지, 또는 직접적인 페이백이 아닌 다른 형태의 혜택인지 해당 카드사에 다시 한번 확인해 보시는 것을 권해 드립니다. 고위드에서 제공하는 신한카드 및 롯데카드의 법인 신용카드 역시 최대 0.5%의 페이백/포인트 적립률을 제공하고 있습니다.
 ***
 2. 고위드 서비스의 강점 및 신용카드 혜택 재안내
 고객님께서 업무 효율을 위해 고위드 사이트에서 법인카드를 통일하여 관리하고, 고위드 서비스 이용을 선호하시는 점을 잘 이해하고 있습니다. 고위드는 이러한 고객님의 니즈를 충족시키기 위해 최선을 다하고 있습니다.
 현재 고위드와 제휴된 법인 신용카드(신한, 롯데)는 광고비 결제 시 최대 0.5%의 페이백 또는 포인트 적립 혜택을 제공합니다. 이는 법적으로 허용되는 일반적인 법인 신용카드 혜택 범위 내에서 제공되는 최고 수준입니다. 비즈제이 카드의 2% 혜택이 신용카드에 적용되는 것이 맞다면, 이는 매우 이례적인 경우이므로 상세 조건을 확인해 보시는 것이 중요합니다. 고위드는 고객님의 카드 관리 편의성과 기존 서비스 연동의 이점을 제공합니다.
 ***
 3. 광고비 특화 신용카드 시장 동향 및 고위드의 노력
 고객님께서 광고비 특화 신용카드를 찾으시는 니즈를 충분히 공감합니다. 현재 고위드에서는 법인 신용카드에 대해 최대 0.5%의 페이백/포인트 적립 혜택을 제공하고 있으며, 이는 법인 신용카드 시장의 일반적인 수준입니다. 이전에 안내해 드린 높은 페이백률은 '소기업 인증 법인'을 위한 '광고비 특화 체크카드'에 해당합니다.
 비즈제이와 같은 다른 플랫폼에서 2%의 신용카드 적립률을 제공한다는 정보에 대해서는 저희도 해당 상품의 구체적인 약관과 조건을 면밀히 검토해 볼 필요가 있습니다. 고위드는 고객님께 더 나은 혜택을 제공하기 위해 지속적으로 카드사들과 협의하고 있으며, 시장의 새로운 상품 동향을 주시하고 있습니다. 현재로서는 고위드를 통한 카드 통합 관리의 편리성과 기존 서비스 연동의 이점을 고려해 주시면 감사하겠습니다.</t>
  </si>
  <si>
    <t>소연님께서 업무 효율을 위해 고위드 사이트에서 법인카드를 통일하여 관리하고, 고위드 서비스 이용을 선호하시는 점을 잘 이해하고 있습니다. 고위드는 이러한 고객님의 니즈를 충족시키기 위해 최선을 다하고 있습니다.
 현재 고위드와 제휴된 법인 신용카드(신한, 롯데)는 광고비 결제 시 최대 0.5%의 페이백 또는 포인트 적립 혜택을 제공합니다. 이는 법적으로 허용되는 일반적인 법인 신용카드 혜택 범위 내에서 제공되는 최고 수준입니다. 비즈제이 카드의 2% 혜택이 신용카드에 적용되는 것이 맞다면, 이는 매우 이례적인 경우이므로 상세 조건을 확인해 보시는 것이 중요합니다. 
 고위드는 고객님의 카드 관리 편의성과 기존 서비스 연동의 이점을 제공드리고 있으니, 비즈제이 카드 답변 확인 후 진행해주셔도 좋으리라 생각합니다! 감사합니다.</t>
  </si>
  <si>
    <t>매니저님 확인했습니다~! 
 추후 광고비 관련 업데이트 되는 내용 있으시면 사이트상 공지 또는 알림 주시면 감사드리겠습니다</t>
  </si>
  <si>
    <t>이제 처음 고위드 도입해서 직원에게 사용 방법 공유하고자 합니다. 카드는 도착했는데 지금 바로 사용 가능한 상태일까요?</t>
  </si>
  <si>
    <t>영업팀에 문의 부탁합니다.</t>
  </si>
  <si>
    <t>카드 별칭 설정이나 소지자 연결은 어떻게 해?</t>
  </si>
  <si>
    <t>697831c488622cff0944</t>
  </si>
  <si>
    <t>처음 사용하는거라 자세히 알려줘. 직원들이 오프라인에서 카드를 사용하고 영수증을 꼭 사진 찍어서 올려야해? 자동으로 결제 내역이 프로덕트로 들어오고, 나중에 그게 무슨 용도로 사용했는지만 작성해서 나한테 승인 올리면 되지 않아?</t>
  </si>
  <si>
    <t>그럼 IT솔루션처럼 인터넷에서 결제하는 것도 결제 돼?</t>
  </si>
  <si>
    <t>용도마다 사용자 제한을 설정할 수 있는지 확인부탁드립니다
 예) 차량유지비 (직원 홍길동은 사용하지 못하도록)</t>
  </si>
  <si>
    <t>미스터아빠
 448-87-01712
 이지원
 010-8691-0598
 FUEL카드 매입거래처 추가 신청</t>
  </si>
  <si>
    <t>안녕하세요 지원님! 고위드 FUEL 운영팀입니다.
 유선으로 안내드린 것처럼, 아래 PG가입 폼 작성하여 제출 부탁 드립니다:) 
 https://forms.gle/eSaszkDULXCp5Yuc8</t>
  </si>
  <si>
    <t>안녕하세요 지원님! 고위드 FUEL 운영팀입니다.
 유선으로 안내드린 것처럼, 아래 PG가입 폼 작성하여 제출 부탁 드립니다:)
 https://forms.gle/eSaszkDULXCp5Yuc8</t>
  </si>
  <si>
    <t>고위드 제휴사에는 미스터아빠 정보 기입 부탁드리며, 매입처 정보는 다음 장에 있다는 점 확인 부탁드립니다.</t>
  </si>
  <si>
    <t>안녕하세요.
 구글 워크스페이스 리셀러 등록 완료 후 문의 드립니다.
 기존 체험 기간이 남은 상태에서 신규 가입을 하자마자 리셀러 등록을 했는데, 고위드 홈페이지의 구독 관리로 들어가니 아직 기간이 남아있던 체험 기간은 확인할 수 없고 1월 26일부터 바로 과금이 시작하는 것처럼 보여지고 있습니다. 체험기간 이후부터 과금이 시작되는 것이 맞는지 확인하고 싶습니다.</t>
  </si>
  <si>
    <t>안녕하세요 오현진님 ☺️
 고위드 김일경 매니저입니다.
 현재 고위드 어드민 화면 상으로 14일 무료체험이 일시적으로 반영되지 않은 사실 확인했습니다. 서비스 이용에 불편 드려 죄송합니다.
 말씀 하신대로 2월 7일부터 결제가 진행 될 예정이며, 27년 2월 7일까지 20명 내외 35% 적용 되어 있으니 참고 부탁 드립니다. :)
 감사합니다.</t>
  </si>
  <si>
    <t>네 감사합니다.</t>
  </si>
  <si>
    <t>안녕하십니까.
 롯데카드 법인카드사업3팀 박나연입니다.
 첨부파일 작성 후 스캔된 파일을 메일로 첨부해 주시면 정보변경 심사 접수하겠습니다.
 감사합니다.
 좋은하루 되십시오.
 [Image 1]
 박나연 | PARK NA YEON
 법인카드사업3팀 | 팀원
 02-2050-1970 | 010-2059-7549 
  parkna@lottecard.co.kr
 LOCA COMPANY
 03185, 서울시 종로구 새문안로 76 ,
 (신문로1가, 콘코디언빌딩)
 76 Saemunan-ro Jongro-gu, Seoul, Korea 03185
 [Image 2]
 ----- 원본 메시지 -----
 보낸 사람: 김선중 &lt;kevin.kim@buckethero.net&gt;
 받는 사람: parkna@lottecard.co.kr
 참조: team@gowid.mail.channel.io
 날짜: 2026-01-27 15:37
 제목: [인터넷 메일] Re: [고위드 Gowid] 안녕하세요 담당자님, 고위드입니다.
 보낸사람: 김선중 &lt;kevin.kim@buckethero.net&gt;
 받는사람: parkna@lottecard.co.kr
 참 조: team@gowid.mail.channel.io
 받은날짜: 2026-01-27 15:37:58
  해당 외부 메일은 수신된 본문 및 첨부파일의 바이러스/악성코드 검사가 완료된 메일입니다. 
  검사 결과에 따라 원본 메일과 일부 차이가 있을 수 있으며 원본 메일은 로카 웹메일에서 확인 부탁드립니다. 안녕하세요.. 
  버킷히어로 김선중 입니다. 
 아래와 같이 법인카드 그룹 추가 가능한지 문의드립니다. 
  그룹명 : 버킷히어로(주) 임직원복지
  감사합니다. 
  김선중 드림 
  _____________________________________ 
 버킷히어로 주식회사 
 Kevin Kim 김선중, CEO 
 사무실 : 서울 동대문구 왕산로 200, 롯데캐슬 SKY L65 섹션오피스, 1716호 
 연락처 : +82-10-5525-2890 
 ______________________________________
  On Jan 26, 2026, at 4:22 PM, 루시 매니저 &lt;team@gowid.mail.channel.io&gt; wrote:
 루시 매니저 : 
  안녕하세요 담당자님, 고위드입니다. 
 그룹추가는 롯데 담당자에게 요청 시에만 가능하십니다! 롯데카드 관리책임자 계정으로 parkna@lottecard.co.kr 메일로 "버킷히어로(주) 임직원복지" 새로운 그룹 추가 가능한 지 문의 부탁드립니다. 
 감사합니다. [Image 3] 고위드 Gowid
 이메일로 바로 답장하거나 메신저로 대화할 수 있습니다.
 [Image 4] 이 메일은 채널톡에서 발송되었습니다. 
 상기 메일은 지정된 수신인만을 위한 것이며, 부정경쟁방지 및 영업비밀의 보호에 관한 법률을 포함하여
 관계 법령에 따라 보호의 대상이 되는 영업비밀, 기밀정보 등을 포함하고 있을 수 있습니다.
 본 문서에 포함된 정보의 전부 또는 일부를 무단으로 제3자에게 공개, 배포, 복사 또는 사용하는 것은 엄격히 금지됩니다.
 본 메일이 잘못 전송된 경우, 발신인 또는 당사에 알려주시고, 본 메일을 즉시 삭제하여 주시기 바랍니다.
 The above message is intended solely for the named addressee and may contain information that is privileged,
 confidential or otherwise protected under applicable law. Any unauthorized dissemination, distribution,
 copying or use of the information contained in this communication is strictly prohibited. if you have received
 this communication in error, please notify the sender by email and erase this communication immediately.
 상기 메일은 지정된 수신인만을 위한 것이며, 부정경쟁방지 및 영업비밀의 보호에 관한 법률을 포함하여
 관계 법령에 따라 보호의 대상이 되는 영업비밀, 기밀정보 등을 포함하고 있을 수 있습니다.
 본 문서에 포함된 정보의 전부 또는 일부를 무단으로 제3자에게 공개, 배포, 복사 또는 사용하는 것은 엄격히 금지됩니다.
 본 메일이 잘못 전송된 경우, 발신인 또는 당사에 알려주시고, 본 메일을 즉시 삭제하여 주시기 바랍니다.
 The above message is intended solely for the named addressee and may contain information that is privileged,
 confidential or otherwise protected under applicable law. Any unauthorized dissemination, distribution,
 copying or use of the information contained in this communication is strictly prohibited. if you have received
 this communication in error, please notify the sender by email and erase this communication immediately.</t>
  </si>
  <si>
    <t>잉?? @망고 매니저 
 우리 대화를 바로 나연님께 쏴버리셨나봐요..^^</t>
  </si>
  <si>
    <t>ㅋㅋㅋㅋ @망고 매니저 님 우리 참조입니다
  참조: team@gowid.mail.channel.io</t>
  </si>
  <si>
    <t>재무 담당자 고위드 추가</t>
  </si>
  <si>
    <t>ms.ju@refundy.co 로 담당자를 추가하고 싶스빈다</t>
  </si>
  <si>
    <t>재겸님, 고위드 멤버 추가 안내 드리겠습니다. 
 - 슈퍼관리자 로그인 &gt; 좌측 탭 '설정' &gt; '멤버 관리'
 로그인 하시어 우상단 멤버 추가 버튼으로 멤버 초대 가능하십니! 감사합니다.</t>
  </si>
  <si>
    <t>기존에 설정한 경비정책을 변경하려고 하는데</t>
  </si>
  <si>
    <t>이전 자료에도 영향이 있는지 궁금합니다.</t>
  </si>
  <si>
    <t>기존에 세분화해서 정리했던 용도를 간단하게 정리해서 사용하려고해요
 이런경우는 기존데이터 변경을 원하지 않는다면
 현재사용중인 경비정책을 모두 비활성화시키고 
 새로 만들어서 사용하는 방법도 가능한가요?</t>
  </si>
  <si>
    <t>한도 상향 심사 중으로 가결산 재무제표를 제출하려면 어디에 어떻게 제출하면 될까요?</t>
  </si>
  <si>
    <t>가결산 재무제표 송부드립니다.</t>
  </si>
  <si>
    <t>재무제표 제출 경로(시스템 업로드 메뉴 또는 별도 이메일/담당자)를 전달받지 않았습니다. 연락주십시오~</t>
  </si>
  <si>
    <t>카드 총 한도가 1천만원인데 이용금액을 3,922,280원 사용했습니다.
 그런데 잔여한도가 3,879,520원이라고 떠서요.</t>
  </si>
  <si>
    <t>대금선결제한건 언제 반영되나요?</t>
  </si>
  <si>
    <t>697965034d473b489e42</t>
  </si>
  <si>
    <t>BC카드 몇개까지 신청가능</t>
  </si>
  <si>
    <t>안녕하세요. 고위드입니다.
 안내드린 화면 캡쳐본을 요청드립니다. (신한카드 및 고위드 홈페이지 해당 카드 한도 보유 현황)</t>
  </si>
  <si>
    <t>8849 ㅋㅏ드의 한도를 3백만원으로 조정했는데, 계속 7백만원으로 고위드 홈페이지에 노출되는 상황. (한도 조정일정은 한달가량 되었다고 함)</t>
  </si>
  <si>
    <t>지은님 감사합니다! 옵스에서 확인 후 안내드리도록 하겠습니다!</t>
  </si>
  <si>
    <t>영은님 확인해주셔서 감사합니다.
 8849 카드 한도를 신한카드 통해서 300백만원으로 조정해주셨는데, 계속 700백만원으로 보이시는 상황으로 전달 받았습니다.
 혹시 괜찮으시다면, 고위드 좌측 택에서
 - 카드 관리 &gt; 한도 관리
 접속하시고, 우측의 '한도 업데이트' 버튼을 클릭하셔서 새로고침 부탁드려도 될까요?</t>
  </si>
  <si>
    <t>그래도 7백으로 되있어요</t>
  </si>
  <si>
    <t>아. 이제 300 바꼈어요</t>
  </si>
  <si>
    <t>감사합니다! 앞으로 한도 재설정 이후 해당 버튼 클릭하시어 새로고침 부탁드리겠습니다.</t>
  </si>
  <si>
    <t>@고위드 김지은 매니저 지은님 해결 완료입니당 ㅎㅎ 감사해요!!</t>
  </si>
  <si>
    <t>카드 몇개까지 발급가능</t>
  </si>
  <si>
    <t>롯데카드로 5장 각각 100만원씩 한도를 지정해야 하나요</t>
  </si>
  <si>
    <t>영어 지원이 되나요?</t>
  </si>
  <si>
    <t>지출관리 프로그램을 영어로 이용이 가능한가요?</t>
  </si>
  <si>
    <t>그럼 누가 안내할 수 있나요? 상담 가능한 방법을 알려주세요.</t>
  </si>
  <si>
    <t>외국계기업으로 영어를 사용해야 합니다. 법인카드 사용 및 지출관리프로그램을 영어로 사용이 가능한지 상담을 요청드립니다.</t>
  </si>
  <si>
    <t>상담사연결버튼이 안보이는데요?</t>
  </si>
  <si>
    <t>상담사와 연결해주세요.</t>
  </si>
  <si>
    <t>법인카드 사용 및 지출관리프로그램 사용에 있어서 영어 지원이 되는지 궁금합니다.</t>
  </si>
  <si>
    <t>진희님 안녕하세요, 고위드입니다.
 현재 고위드에서는 영어 지원을 하고 있지 않습니다.
 서비스 이용에 불편을 드려 죄송합니다.
 감사합니다.</t>
  </si>
  <si>
    <t>그렇군요. 안내 고맙습니다.</t>
  </si>
  <si>
    <t>1.테라퓨젠바이오 / 629-86-03025
 2.직원 이메일 id 변경
 기존: mjk@terafugen.com
 변경: kmj@terafugen.com
 입니다.</t>
  </si>
  <si>
    <t>연락처 맞습니다.</t>
  </si>
  <si>
    <t>안녕하세요, 지준님. 고위드입니다.
 변경 희망하시는 멤버 분 성항이 김묘진 님 맞으실까요?</t>
  </si>
  <si>
    <t>변경 처리 도와드렸습니다! 로그인하실 때 변경된 메일로 로그인 부탁드립니다. 감사합니다.</t>
  </si>
  <si>
    <t>넵 고맙습니다 !</t>
  </si>
  <si>
    <t>김묘진님 맞습니다 !</t>
  </si>
  <si>
    <t>- 지금 40개 계정을 starter 플랜으로 연구독하고 있는데요. 
 - 계정 중 일부만 standard 플랜으로 업그레이드 하고 싶은데 가능할까요? 
 - 40개 계정을 14개, 26개 2개 조직 이런식으로 나눠서 플랜을 다르게 운영할 수 있을지 궁금합니다~</t>
  </si>
  <si>
    <t>감사합니다</t>
  </si>
  <si>
    <t>안녕하세요 김세은님 ☺️
 고위드 김일경 매니저입니다.
 문의 주신 내용 답변 드립니다.
 계정 중 일부만 standard 플랜으로 업그레이드 하고 싶은데 가능할까요?
 → 아쉽게도 구글 정책 상 한 도메인 당 2개의 요금제를 분리해서 사용하는 것은 어렵습니다. 다만, 스타터에서 스텐다드로의 전체 업그레이드는 가능한 점 안내 드립니다.
 감사합니다.</t>
  </si>
  <si>
    <t>그렇군요 ㅠ 감사합니다</t>
  </si>
  <si>
    <t>심사 기간은 얼마나 걸리나요?</t>
  </si>
  <si>
    <t>카드 발급 심사 중입니다 22일자로 신청했었어요</t>
  </si>
  <si>
    <t>애경산업 계약건으로 2월 초 광고비 결제가 이루어져야 하는데 심사중에서 발급 관련 안내가 안왔습니다. 세부 진행 단계를 알 수 있을까요?</t>
  </si>
  <si>
    <t>심사 후에 수령까지 7-10일 정도라고 이야기를 해주셨는데, 발급 심사가 완료되면 발급된다고 따로 연락이 오는거죠?</t>
  </si>
  <si>
    <t>개인명의 법인카드 문자 알림 신청 가능한가요?</t>
  </si>
  <si>
    <t>앱에서는 안돼나요?</t>
  </si>
  <si>
    <t>닷터블릿/382-88-01869
 김폴혁(kim paul hyuk) 
 글로벌 HQ 팀 
 카드 신청한지 1 달이 넘었습니다</t>
  </si>
  <si>
    <t>@루시 매니저 루시님.. 닥터블릿이라 일단 태그 드립니다.. CC. @안나 매니저</t>
  </si>
  <si>
    <t>@ALF 정하아린 담당자에게 보완내용 필요해서 요청했는데 아직 못 받았다고 말해줄래?
 카드사에서 해당 서류 받지 못하면 발급 중지한다 해서 중지상태이다 죄송하다까지 구구절절 말해줘</t>
  </si>
  <si>
    <t>김폴혁님, 카드 신청이 한 달 이상 지연되어 불편을 드려 죄송합니다.
 확인 결과, 카드사에서 요청한 서류가 정하아린 담당자님으로부터 아직 접수되지 않아 카드 발급이 보류된 상태입니다. 해당 서류가 제출되지 않으면 카드 발급이 중단될 수 있습니다.
 빠른 처리를 위해 정하아린 담당자님께 서류 제출을 요청해 주시면 감사하겠습니다.</t>
  </si>
  <si>
    <t>김폴혁님, 카드 신청이 한 달 이상 지연되어 불편을 드려 죄송합니다.
 확인 결과, 1/12 정하아린 담당자님께 폴혁님의 카드발급 보완서류를 요청드린 상태입니다. 다만 메일 회신이 오지 않으셔서 카드 발급이 보류된 상태입니다..! 신청자님께도 안내드렸어야 했는데 선안내드리지 못해 죄송합니다.
 닥터블릿 정하아린 담당자님과 소통하시는 고위드 담당자에게도 재안내 요청해두어 빠른 발급 도와드리도록 하겠습니다.</t>
  </si>
  <si>
    <t>혹 괜찮으시다면, 김폴혁님 앞으로 메일 발송드려도 괜찮을까요? 해당 메일에 회신으로 답장주시면 감사하겠습니다!</t>
  </si>
  <si>
    <t>넵 제가 준비해서 보내드리겠습니다</t>
  </si>
  <si>
    <t>Phkim121@drblet.com</t>
  </si>
  <si>
    <t>메일 보내드렸습니다. 불편을 드려 죄송합니다..!
 회신 주시는 대로 즉시 빠른 발급 도와드리겠습니다.
 감사합니다.</t>
  </si>
  <si>
    <t>네 답변 드렸습니다</t>
  </si>
  <si>
    <t>메일로 파일 보내드렸어요,</t>
  </si>
  <si>
    <t>폴혁님, 확인되셨습니다!
 바로 카드사에 전달하여 발급재개될 수 있도록 도와드리겠습니다.
 수령까지 5~7 영업일 정도 소요될 수 있음을 안내드립니다.
 감사합니다.</t>
  </si>
  <si>
    <t>신청일은 많이 지나 기억이 안나고 
 제출 후 주주명부 파일을 변경 제출한 이력이 있는데, 심사에 누락된 것은 아닌지 확인바랍니다</t>
  </si>
  <si>
    <t>@ALF 담당자가 직접 연락할 거다 죄송하다 안내해줘</t>
  </si>
  <si>
    <t>한도 상향 심사 지연으로 불편을 드려 죄송합니다.
 남겨주신 주주명부 파일 변경 제출 이력과 심사 누락 여부에 대한 문의는 담당자가 직접 확인 후 연락드리겠습니다.</t>
  </si>
  <si>
    <t>@ALF 길고 장황하게</t>
  </si>
  <si>
    <t>고객님, 한도 상향 심사가 지연되어 많이 답답하고 불편하셨을 것으로 생각됩니다. 먼저, 심사 과정에서 발생한 지연으로 인해 불편을 드린 점 진심으로 사과드립니다.
 특히, 신청일이 명확히 기억나지 않으시는 상황에서 주주명부 파일을 변경 제출하신 이력이 있으시고, 혹시라도 이 과정에서 심사 누락이 발생했을까 염려하시는 마음을 충분히 이해하고 있습니다. 고객님의 소중한 신청 건이 저희 시스템 내에서 정확하게 처리되고 있는지 확인하는 것은 매우 중요합니다.
 이러한 상황을 고려하여, 저희 한도 심사 담당자가 고객님의 신청 건을 직접 확인하고 상세한 내용을 파악하기 위해 연락을 드릴 예정입니다. 담당자는 고객님께서 제출하신 자료와 변경 이력을 면밀히 검토하여, 심사 진행 상황과 주주명부 파일 변경 제출이 심사에 미친 영향 등에 대해 정확하게 안내해 드릴 것입니다.
 최대한 빠른 시일 내에 담당자가 고객님께 연락을 드릴 수 있도록 조치하겠습니다. 다시 한번 불편을 드려 죄송하다는 말씀을 전하며, 너른 양해 부탁드립니다.</t>
  </si>
  <si>
    <t>고객님, 한도 상향 심사가 지연되어 많이 불편하셨을 것으로 생각됩니다. 먼저, 심사 과정에서 발생한 지연으로 인해 불편을 드린 점 진심으로 사과드립니다.
 저희 한도 심사 담당자가 고객님의 신청 건을 직접 확인하고 상세한 내용을 파악하기 위해 연락을 드릴 예정입니다. 최대한 빠른 시간 내 바로, 금일 오후 중으로 고객님께 연락을 드릴 수 있도록 조치하겠습니다. 다시 한번 불편을 드려 죄송하다는 말씀을 전하며, 너른 양해 부탁드립니다.</t>
  </si>
  <si>
    <t>재훈님께서 컨텍 및 종결 예정</t>
  </si>
  <si>
    <t>법인카드 최초 발급 당시, 추후 한도 조정이 가능하다는 안내를 받아 일단 보수적으로 한도를 설정해 카드 발급을 신청했습니다.
 당시에는 한도 심사를 받은 범위 내에서 추후 증액 조정이 가능한 의미로 이해했는데, 실제로는 카드 발급 신청 시 설정한 한도 내에서만 조정이 가능하다는 점을 뒤늦게 인지했습니다.
 현재 기존 심사 범위 내에서 한도 증액이 가능한지, 또는 증액을 위해 재심사가 필요한지 확인 부탁드립니다.</t>
  </si>
  <si>
    <t>구글워크스페이스 구독중인데,
 탄력요금제 사용하고 있습니다.
 현재 144개 사용 중인데,
 2/2자로 추가 계정생성이 필요한 상황입니다.
 현재 1개 삭제하여 여유분이 있는 상황인데,
 탄력요금제 정산 기간이 어떻게 되는지,
 2/2자에 계정 3개 추가하면되는지,
 2/2자에 4개 추가 생성해야하는지 문의드립니다.</t>
  </si>
  <si>
    <t>안녕하세요 성우석님 ☺️
 고위드 김일경 매니저입니다.
 탄력 요금제의 경우, 라이선스 수를 자유롭게 지정이 가능한 요금제입니다. :) 이미 삭제를 하셨다면, 1개 삭제 된 사항은 다음날 즉시 반영 됩니다.
 다만, 현재 저희가 확인해보니 콥틱(@breezm.com)의 경우, 탄력요금제가 아닌 연간요금제를 결제 중이신 것으로 확인했습니다.
 연간요금제는 이미 늘린 라이선스를 1년 재계약 단위로 최적화(쓴만큼 결제 분으로 진행)되며, 그 전까진 늘린 수를 줄일 수 없는 요금제 입니다.
 하여, 4개가 필요하신 상황이면 2/2자에 3개 추가 생성 진행해주시면 됩니다.
 감사합니다. :)</t>
  </si>
  <si>
    <t>제가 26/1/5에 유저수 148개인것을 확인 했고,
 4개를 삭제 진행해서 현재 144개인것을 확인했습니다.
 그래서 탄력요금제라고 생각했는데
 워크스페이스 계약이 2025.01.24-2026.01.24로 조회되는데 혹시 갱신이 된걸까요?</t>
  </si>
  <si>
    <t>네, 맞습니다! 1월에 갱신이 되었습니다.
 아시다시피 고위드 GWS는 갱신 시 현재 사용하고 있는 수 만큼 최적화 되어 자동 재계약이 되는 점 안내 드립니다. :)</t>
  </si>
  <si>
    <t>이미 계약이 갱신 되었지만,
 자동 갱신전에 계약조건에 대해서 협의할 수 있는지 궁금합니다</t>
  </si>
  <si>
    <t>갱신 전에 협의가 필요하다고 요청 주신 점 충분히 이해합니다!
 필요 시, 계약이 진행이 되었어도 재계약 조건 관련 궁금하신 사항 건에 대해선 충분히 문의를 주실 수 있습니다.
 하여, 해당 내용에 대해 고위드 구글 워크스페이스 사업 담당자에게 메일 통해 문의 주시면, 자세히 답변 드릴 수 있도록 조치 하겠습니다.
 안경렬 리드 | IT 구독 사업부
 M. 010.9848.1190 | E. kan@gowid.com 
 (주)고위드|서울시 강남구 도산대로 317, 15층 (신사동, 호림아트센터 1빌딩)</t>
  </si>
  <si>
    <t>라이선스 1개추가해야합니다,
 마스터 계정 정보가 없어서 공유부탁드립니다.</t>
  </si>
  <si>
    <t>안녕하세요 도우법님 ☺️
 고위드 김일경 매니저입니다.
 오래 기다려주셔서 감사합니다.
 도우법님 계정을 마스터 계정으로 승격 도와드릴까요? :)
 혹은, 마스터 계정이 어떤 계정인지 확인을 요청 주시는 것일까요? 해당 내용 말씀 주시면 빠르게 도와드리겠습니다!</t>
  </si>
  <si>
    <t>해당 답변 리마인드 드립니다!
 말씀 해주시면 적용 도와드리겠습니다. 감사합니다. :)</t>
  </si>
  <si>
    <t>회사 '의식주컴퍼니'에 카드관리 실무자가 변경되었습니다.
 이로 인하여 회사의 카드 전체를 관리할 수 있는 권한을 부여받고자 합니다.</t>
  </si>
  <si>
    <t>비씨</t>
  </si>
  <si>
    <t>누가 슈퍼관리자인이 확인이 어렵습니다.</t>
  </si>
  <si>
    <t>📌 기존 상담: (https://desk.channel.io/gowid/user-chats/%EA%B9%80%ED%8F%B4%ED%98%81-697986a192c4250d536f)</t>
  </si>
  <si>
    <t>6979a372f1b6dc65739c</t>
  </si>
  <si>
    <t>주식회사 벤치링크
 32387-02784
 강미덥
 010-7763-2682
 저희는 기업-전문가 간 자문 중개업으로, 변동비가 '자문료'입니다. 아마도, 인건비 성격이라 FUEL 사용이 어려워 보이기는 하나, 저희가 해외 전문가에게 자문료를 보낼 때는 PayPal로 보내는 경우가 많습니다. 이 경우에 FUEL 사용이 가능한지 궁금합니다.</t>
  </si>
  <si>
    <t>안녕하세요 고객님, 고위드입니다.
 해당 사항 관련 담당자 연결드리겠습니다. 잠시만 기다려주십시오. 현재 담당자의 문의량이 많아 다소 지연될 수 있는 점 미리 사과의 말씀 드립니다. 최대 1 영업시간까지 소요되는 점 참고 부탁드립니다. 감사합니다.</t>
  </si>
  <si>
    <t>@ALF "김윤지 매니저님이 유선 안내 드린 것으로 확인되어 채팅 종료하고 FUEL 87일 상품과 페이바이카드 해외송금 안내는 메일로 안내드릴 수 있도록 하겠다고 답변 주시면 감사하겠습니다!" 라는 내용 고객향으로 써줘</t>
  </si>
  <si>
    <t>안녕하세요 고객님.
 김윤지 매니저님께서 유선으로 안내해 드린 것으로 확인되었습니다. 이에 따라 채팅은 종료하겠습니다.
 FUEL 87일 상품과 페이바이카드 해외송금 관련 안내는 메일로 자세히 보내드리겠습니다. 감사합니다.</t>
  </si>
  <si>
    <t>6979a3b464def768d09d</t>
  </si>
  <si>
    <t>(주)프라이데이스튜디오/434-88-02136
 범용 CrossCert 공동인증서 기간만료 안내가 뜨는데 저희는 tradesign 공동인증서만 사용되는거같아서요</t>
  </si>
  <si>
    <t>안녕하세요 수빈님, 고위드입니다.
 확인 후 안내 도와드리겠습니다. 잠시만 대기해주시면 감사하겠습니다!</t>
  </si>
  <si>
    <t>넵</t>
  </si>
  <si>
    <t>수빈님, 죄송합니다
 확인을 위해 잠시 시간이 소요되고 있습니다.
 이용에 불편드려 죄송합니다.
 4시 전으로 안내드리도록 하겠습니다!</t>
  </si>
  <si>
    <t>메타베이스 확인 주</t>
  </si>
  <si>
    <t>CrossCert는 곧 만료고, 근데 그거 만료되어도 인증서 만료 기한이 더 긴 TradeSign이 연결되어 있어 문제는 없음.
 다만!!! TradeSign이 홈택스, 은행 모두 연동이 안 되어있는 상황 → GAM 스크래핑도 불가.</t>
  </si>
  <si>
    <t>@ALF 고객 문의가 '범용 CrossCert 공동인증서 기간만료 안내가 뜨는데 저희는 tradesign 공동인증서만 사용되는거같아서요' 이렇게 왔는데,
 확인 결과 둘 다 등록되어있는 게 맞음. CrossCert는 곧 만료고, 근데 그거 만료되어도 인증서 만료 기한이 더 긴 TradeSign이 연결되어 있어 문제는 없음.
 다만!!! TradeSign이 홈택스, 은행 모두 연동이 안 되어있는 상황임. 그래서 TradeSign 인증서가 연동이 되어야함. 
 이 내용을 전달하고 + 어떻게 연동할 수 있는지는 다큐먼트 참고해서 해당 내용까지 넣어줘</t>
  </si>
  <si>
    <t>고객님, 문의하신 내용 확인했습니다.
 현재 (주)프라이데이스튜디오에는 CrossCert와 TradeSign 두 가지 공동인증서가 등록되어 있습니다. CrossCert 인증서의 만료 알림은 해당 인증서의 유효기간이 곧 끝나기 때문입니다. TradeSign 공동인증서는 유효기간이 더 길어 만료 문제는 없으나, 현재 홈택스 및 금융기관에 연동되어 있지 않은 상태입니다.
 고위드 서비스 이용 및 카드 한도 유지를 위해서는 TradeSign 공동인증서를 홈택스와 주거래 은행에 연동해주셔야 합니다.
 아래 절차에 따라 TradeSign 공동인증서를 연동해 주시기 바랍니다.
 1. 국세청 홈택스에 공동인증서 등록 방법
 1. 홈택스(https://www.hometax.go.kr)에 로그인 후 오른쪽 상단의 인증센터를 클릭합니다. (참고: Reference 11, 12, 28)
 2. 공동인증서 등록 항목 중 공동, 금융인증서 등록 [바로가기] 버튼을 클릭합니다. (참고: Reference 7, 8, 25)
 3. 사업자 등록번호를 입력하고 등록하기를 클릭합니다. (참고: Reference 7, 8)
 4. 인증서 선택창에서 TradeSign 인증서를 선택하고 비밀번호를 입력 후 확인 버튼을 눌러 등록합니다. (참고: Reference 7, 8, 13, 27)
  - 홈택스에서는 인증서 발급 및 갱신이 불가하며, 재발급/갱신된 인증서는 홈택스에 다시 등록해야 사용 가능합니다. (참고: Reference 7, 13)
 2. 금융기관(은행)에 공동인증서 등록 방법
 1. 주거래 은행 홈페이지에 접속하여 [인증센터]를 클릭합니다.
 2. [타행 기관 인증서 등록/해제] 메뉴를 찾아 클릭합니다. (참고: Reference 1, 14)
 3. 정보를 작성한 후 TradeSign 인증서를 등록하고, 은행 계좌 모두 연결을 추가해 주시기 바랍니다. (참고: Reference 1, 14)
  - 새로운 은행용 또는 범용 공동인증서가 거래하고 있는 모든 금융기관과 연동된 경우, 해당 인증서를 고위드에 추가 등록하면 모든 금융기관이 자동 등록됩니다. (참고: Reference 21)
 TradeSign 공동인증서 연동이 완료되면, 만료 예정인 CrossCert 인증서는 삭제하여 관리하시는 것을 권장합니다. (참고: Reference 3, 5, 16, 19)
 만약 위 절차대로 진행하시는데 어려움이 있으시다면, 언제든지 고객센터로 다시 문의해 주세요.</t>
  </si>
  <si>
    <t>수빈님, 안녕하세요. 고위드입니다.
 현재 (주)프라이데이스튜디오에는 CrossCert와 TradeSign 두 가지 공동인증서가 등록되어 있습니다. 
 CrossCert 인증서의 만료 알림은 해당 인증서의 유효기간이 곧 끝나기 때문입니다. 
 TradeSign 공동인증서가 CrossCert 인증서보다 유효기간이 더 길어 만료 문제는 없으나, 
 현재 TradeSign 공동인증서가 홈택스 및 금융기관에 연동되어 있지 않은 상태입니다.
 고위드 서비스 이용 및 카드 한도 유지를 위해서는 TradeSign 공동인증서를 홈택스와 주거래 은행에 연동해주셔야 합니다.
 아래 절차에 따라 TradeSign 공동인증서를 연동해 주시기 바랍니다.
 1. 국세청 홈택스에 공동인증서 등록 방법 [가이드 링크]
 1. 홈택스(https://www.hometax.go.kr)에 로그인 후 오른쪽 상단의 인증센터를 클릭합니다.
 2. 공동인증서 등록 항목 중 공동, 금융인증서 등록 [바로가기] 버튼을 클릭합니다.
 3. 사업자 등록번호를 입력하고 등록하기를 클릭합니다.
 4. 인증서 선택창에서 TradeSign 인증서를 선택하고 비밀번호를 입력 후 확인 버튼을 눌러 등록합니다.
 2. 금융기관(은행)에 공동인증서 등록 방법
 1. 주거래 은행 홈페이지에 접속하여 [인증센터]를 클릭합니다.
 2. [타행 기관 인증서 등록/해제] 메뉴를 찾아 클릭합니다.
 3. 정보를 작성한 후 TradeSign 인증서를 등록하고, 은행 계좌 모두 연결을 추가해 주시기 바랍니다.
 감사합니다.</t>
  </si>
  <si>
    <t>6979a8c12b33eaa70f28</t>
  </si>
  <si>
    <t>안녕하세요 서비스 이용하기 탭이 안눌려서요!</t>
  </si>
  <si>
    <t>서비스 이용하기 자체가 안눌려용</t>
  </si>
  <si>
    <t>안녕하세요 담당자님, 
 기존 망고 매니저님과 대화한 내용 관련 하여 추가 문의 드리고 싶습니다. 
 고위드 광고비 체크카드 관련하여, 문의드리고 싶습니다. 
 혹시 발행 방법 및 소요시간, 발급 후 관리 방법(고위드 사이트 상 통합관리 가능여부 등) 등에 대해서 상세히 알고 싶습니다.</t>
  </si>
  <si>
    <t>소연님 안녕하세요. 망고 매니저입니다.
 상세한 안내를 희망하시면, 유선 안내도 가능하십니다!
 채널톡 안내 / 유선 안내 중 어느 방법이 더 편하실까요?</t>
  </si>
  <si>
    <t>해당건 시간이 지나서 확인이 늦었네요! 
 내일 다시 문의드리겠습니다. 
 유선, 채널톡 모두 무관하며 추후 소통을 위해 연락처만 공유주시면 감사드리겠습니다. 
 문의 내용은 아래와 같습니다. 
 - 고위드 체크카드의 경우에도 고위드 사이트상에서 직원 직접 입력 가능한지 
 - 고위드 체크카드 발급까지 소요되는 시간</t>
  </si>
  <si>
    <t>고위드 고객센터 (1551-9020) ARS 선택 시 5번 으로 문의주시면 안내 도와드리도록 하겠습니다.
 1. 고위드 체크카드의 경우에도 고위드 사이트상에서 직원 직접 입력 가능한지
 가능합니다.
 2. 고위드 체크카드 발급까지 소요되는 시간
 신청 완료*부터 카드 수령까지 약 5영업일 소요됩니다. 
 *롯데카드는 지류로 작성이 필요하기에 법인께서 서류를 완비하여 카드사로 접수한 때로부터 약 5영업일입니다!
 감사합니다.</t>
  </si>
  <si>
    <t>감사합니다! 
 당사 필요시 추가로 문의드릴게요 ~
 오늘도 마무리 잘하시고 주말 잘 보내시기 바랍니다!</t>
  </si>
  <si>
    <t>홈페이지 사용안되서요</t>
  </si>
  <si>
    <t>서비스이용하기가 안눌려요</t>
  </si>
  <si>
    <t>안녕하세요! 고위드 사이트 서비스이용하기 탭이 안눌려서 문의드려요</t>
  </si>
  <si>
    <t>넹</t>
  </si>
  <si>
    <t>윤수님 안녕하세요, 고위드입니다.
 서비스 사용 중이신 법인명/사업자등록번호 말씀 부탁드립니다.
 추가로, 고위드 서비스 이용 중이신 고위드 계정이 aiden.lee@pulsead.io 맞으실까요?</t>
  </si>
  <si>
    <t>맞아요!</t>
  </si>
  <si>
    <t>펄스애드 / 4068166742</t>
  </si>
  <si>
    <t>오류로 인해 불편을 드려 죄송합니다. 
 말씀주신 사항은 개발팀을 통해 최대한 빨리 확인 후 답변 드리겠습니다. 금일 저녁 ~ 내일 오전 중으로 해결회신 드려도 괜찮을까요?
 상세하게 안내해드리기 위해 말씀해주신 증상에 대한 전체화면 캡쳐본을 보내주시면 감사하겠습니다.</t>
  </si>
  <si>
    <t>서비스이용하기 탭이 안눌려요!!</t>
  </si>
  <si>
    <t>앗 넵넵 윤수님 전체화면 캡처 부탁드립니다!</t>
  </si>
  <si>
    <t>윤수님, 확인되셨습니다
 문의 주신 사항은 개발팀에 전달하여, 문제 원인 파악 및 해결 도와드리겠습니다. 시간이 소요될 수 있어 조금만 시간 양해해주시면 감사하겠습니다. 혹 금일 저녁 ~ 내일 오전 중으로 해결 회신드려도 괜찮을까요? 개발팀의 수기 확인을 필요로 하는지라 시간이 소요되는 점 참고 부탁드립니다. 문의 해결이 지연되어 죄송합니다.</t>
  </si>
  <si>
    <t>다음은 고객 문의를 정리한 내용입니다.
 - 법인명: 펄스애드
 - 사업자번호: 4068166742
 - 문의 경로: 채널톡
 - 문의 고객 성함 및 이메일: 이윤수 / aiden.lee@pulsead.io
 - 문의 인입 일시: 2026-01-28 17:29:44
 - 문제 요약: 고위드 사이트에서 '서비스 이용하기' 버튼이 클릭되지 않는 현상 발생
 - 발생 시점: 현재 발생 중
 - 고객영향도: 상</t>
  </si>
  <si>
    <t>제품이슈제보완</t>
  </si>
  <si>
    <t>고맙습니다!</t>
  </si>
  <si>
    <t>안녕하세요 고객님, 고위드입니다. 해당 사항 해결되었다는데 제품팀 측을 통해 전달받았습니다. 오류가 아직도 뜨시는지 한 번 확인 가능하실까요?</t>
  </si>
  <si>
    <t>잘 됩니다!</t>
  </si>
  <si>
    <t>관리자가 사용자등록을 진행해주기 전, 수령한 법인카드를 사용했는데 해당 내역이 현재 고위드에서 확인되지 않습니다.
 해당 내역들을 고위드에서 처리해야하는 상황이라 어떻게 해야할지 문의드립니다</t>
  </si>
  <si>
    <t>- 비씨 카드
 - 2026.01 중순 4건 
 - 영수증 제출
 - 카드는 보이는데 특정 기간만 내역 없음</t>
  </si>
  <si>
    <t>네, 맞습니다</t>
  </si>
  <si>
    <t>안정규 고객님께서 관리자 등록 전 사용하신 BC카드 내역(2026년 1월 중순, 4건)이 고위드에 보이지 않아 영수증 제출에 어려움을 겪고 계십니다. 카드는 고위드에 보이나 특정 기간 내역만 없는 상황입니다.
 해당 문제는 고객님의 계정 설정 및 카드 연동 상태를 확인해야 정확한 안내가 가능하여 상담사 연결을 요청드렸습니다.</t>
  </si>
  <si>
    <t>아니.. @ALF 영수증 할당 내용 방법으로 안내해줘</t>
  </si>
  <si>
    <t>루시 매니저님, 안정규 고객님의 상황에 대한 영수증 할당 방법을 요청하셨습니다.
 현재 안정규 고객님의 경우, 관리자 등록 전 사용한 BC카드 내역이 고위드에 동기화되지 않아 영수증 제출이 어려운 상황입니다. 카드는 고위드에 보이지만 해당 기간의 내역만 누락되어 있습니다.
 제가 가진 정보로는 **'사용자 등록 전 발생</t>
  </si>
  <si>
    <t>안녕하세요, 고위드입니다.
 혹시, 아래의 순서로 조치해보신 후 이전 사용 내역 조회가 가능할지 확인 부탁드려도 될까요?
 1. 슈퍼 관리자 혹은 카드 총괄 관리자 권한으로 로그인
 2. 지출 관리 → '카드 소지자 관리' 클릭 → 변경할 카드 번호 검색 후 "설정 일괄 수정" 클릭
 3. 기존 소지자 삭제(X 버튼 클릭) → 기존 소지자 재검색 → 소지자 권한 재부여
 4. 하단에 할당된 영수증 토글 → 모든 영수증 클릭 → 기간을 카드사용 첫 날짜로 설정
 5. 설정 저장</t>
  </si>
  <si>
    <t>안녕하세요 고위드입니다!
 사용하시는 카드가 무기명 카드이실까요?
 무기명 카드일 시,
 혹시, 아래의 순서로 조치해보신 후 이전 사용 내역 조회가 가능할지 확인 부탁드려도 될까요?
 1. 슈퍼 관리자 혹은 카드 총괄 관리자 권한으로 로그인
 2. 지출 관리 → '카드 소지자 관리' 클릭 → 변경할 카드 번호 검색 후 "설정 일괄 수정" 클릭
 3. 기존 소지자 삭제(X 버튼 클릭) → 기존 소지자 재검색 → 소지자 권한 재부여
 4. 하단에 할당된 영수증 토글 → 모든 영수증 클릭 → 기간을 카드사용 첫 날짜로 설정
 5. 설정 저장</t>
  </si>
  <si>
    <t>아니요, 제 개인 명의로 발급된 기명 카드입니다 🥲</t>
  </si>
  <si>
    <t>@망고 매니저 제품이슈제보일까요???!</t>
  </si>
  <si>
    <t>정규님, 혹시 개인 기명카드라도 한 번 슈퍼관리자에게 확인 가능하실까요~?
 슈퍼관리자가 확인하셨을 때, 일반/공용 중 일반카드로 분류되어있는지 확인 요청 후, 상기 프로세스 진행 부탁드립니다.</t>
  </si>
  <si>
    <t>망고매니저와구두논의완료</t>
  </si>
  <si>
    <t>슈퍼관리자분께서 조회하셨을 때 '일반'으로 보이시면 상기 프로세스 진행해주시면 됩니다!</t>
  </si>
  <si>
    <t>아...... 진짜 망고 같다</t>
  </si>
  <si>
    <t>저 동그라미가 망고 같아요....</t>
  </si>
  <si>
    <t>..........망고매니저님 힘드신가 봐요</t>
  </si>
  <si>
    <t>신한카드 총괄 관리자 계정 연동 오류
 법인명 / 사업자번호 : 주식회사 알피/8218602087
 문의 사항
 계속 반복되는 건으로 한번 매뉴얼로 봐주시길 부탁드립니다.
 신한카드 총괄 관리자 계정 연동이 안되서 계속 신한카드는 비밀번호 5회 초과되어 로그인 불가하여 매번 비밀번호 설정을 다시하고 있습니다. 연동 두어개 중에 고위드 에러로 자체 확인하였습니다.
 전 연동 중지하고 고위드 연동시켰더니 반나절 지나서 비밀번호 오류나는걸로 입증되었습니다.</t>
  </si>
  <si>
    <t>김은정 / 01064170909 / ella80@arpi.ai
 로 연락 부탁드립니다.</t>
  </si>
  <si>
    <t>@ALF 이 법인이 위 문의를 계속 반복해서 주고 계시거든. 너무 죄송하다고 하면서 내부적으로 꼼꼼히 확인 후 내일 안내드리겠다고 안내해줘</t>
  </si>
  <si>
    <t>안녕하세요, 김중희님.
 신한카드 총괄 관리자 계정 연동 문제로 불편을 드려 정말 죄송합니다. 반복적으로 동일한 문제가 발생하고 있어 많이 답답하셨을 것 같습니다.
 남겨주신 내용을 바탕으로 주식회사 알피의 신한카드 연동 오류에 대해 내부적으로 꼼꼼히 확인하고 원인을 파악하겠습니다.
 내일 중으로 김은정님 (010-6417-0909 / ella80@arpi.ai)께 확인된 내용을 바탕으로 자세히 안내드리겠습니다.</t>
  </si>
  <si>
    <t>안녕하세요, 김중희님.
 신한카드 총괄 관리자 계정 연동 문제로 불편을 드려 정말 죄송합니다. 반복적으로 동일한 문제가 발생하고 있어 많이 답답하셨을 것 같습니다.
 남겨주신 내용을 바탕으로 주식회사 알피의 신한카드 연동 오류에 대해 내부적으로 꼼꼼히 확인하고 원인을 파악하겠습니다.
 내일 중으로 확인된 내용을 바탕으로 자세히 안내드리겠습니다. 죄송합니다.</t>
  </si>
  <si>
    <t>다음은 고객 문의를 정리한 내용입니다.
 - 법인명: 주식회사 알피
 - 사업자번호: 8218602087
 - 문의 경로: 채널톡
 - 문의 고객 성함 및 이메일: 김중희 / ella80@arpi.ai
 - 문의 인입 일시: 정보 없음 (상담 열린 시간)
 - 문제 요약: 고위드 신한카드 총괄 관리자 계정 연동 시, 비밀번호 5회 초과로 로그인 불가 현상 반복 발생
 - 발생 시점: 반복적으로 발생하고 있으며, 고위드 연동 후 약 반나절 뒤에 발생함
 - 고객영향도: 상</t>
  </si>
  <si>
    <t>유선 소통 중</t>
  </si>
  <si>
    <t>@ALF 고위드 멤버 삭제하는 방법</t>
  </si>
  <si>
    <t>고위드에서 멤버를 삭제하는 방법은 슈퍼 관리자 또는 카드 총괄 관리자 권한을 가진 멤버가 진행할 수 있습니다.
 멤버 삭제 시 유의사항:
 멤버를 삭제 처리하면 해당 멤버가 사용자 또는 참석자로 설정된 모든 결제 내역에서 멤버 정보가 지워지게 됩니다. 즉, 사용자 및 참석자 정보가 삭제됩니다.
 권장 사항:
 따라서 불가피한 상황이 아니라면 멤버 삭제 대신 휴/퇴직 처리를 권장합니다.</t>
  </si>
  <si>
    <t>6979d37acfa3d7577db9</t>
  </si>
  <si>
    <t>법인카드 지출관리 페이지로 어떻게 들어가나요?</t>
  </si>
  <si>
    <t>16개 연간 요금제를 등록했는데, 계정 하나를 삭제하게 되었습니다. 15개로 하나 줄이는 게 가능할까요?</t>
  </si>
  <si>
    <t>안녕하세요 심상보님 ☺️
 고위드 김일경 매니저입니다.
 현재 브릿센트께서 사용하시는 '연간요금제'의 경우, '탄력요금제'보다 가격이 다소 저렴하나, 라이센스 수를 늘리기만 가능한 요금제 입니다.
 이미 늘린 요금제를 지금 쓰는 인원에 맞게 조정하기 위해서는 1년 단위로 갱신 될 때 수가 자동으로 줄어드니 참고 부탁 드립니다.
 간단한 예시 함께 안내 드립니다.
 작년 12월: 직원 10명으로 시작(연간요금제 10개 구매)
 올해 3월: 직원 5명 증원 → 15개로 즉시 증가 가능
 올해 6월: 직원 3명 퇴사 → 12명만 사용 중이지만 15개 요금 그대로 과금
 올해 12월 갱신 시점: 실제 사용 중인 12개로 자동 조정되어 갱신됩니다.</t>
  </si>
  <si>
    <t>주식회사 모드하우스 127-87-02153
 문의 사항 : 폐기된 카드를 카드 관리 목록에서 삭제할 수 있는 방법이 있나요? 카드 목록 업데이트를 실행해도 폐기된 카드가 그대로 있어 별도 방법이 있는지 문의드립니다</t>
  </si>
  <si>
    <t>@ALF 미사용카드 관련해서 답변해줘</t>
  </si>
  <si>
    <t>폐기된 카드를 카드 관리 목록에서 삭제하는 방법은 카드사별로 해지 절차를 통해 가능합니다.
 [신한]
 신한카드 홈페이지 총괄관리자 로그인 &gt; [카드관리] &gt; [카드해지]에서 신청 가능합니다.
 [롯데]
 롯데카드 홈페이지 법인관리자 로그인 &gt; [MY] &gt; [법인카드 사용 관리] &gt; [카드 해지 신청]에서 신청 가능합니다.
 [비씨]
 지류 신청으로 해지가 가능합니다.
 1. BC카드 제신고서 PDF 양식 다운로드 및 작성: BC카드 제신고서 PDF 양식을 다운로드하여 가이드에 따라 작성해주세요.
 2. 필요 서류 스캔 및 이메일 전송: 작성하신 제신고서와 발급 2개월 내 인감증명서를 스캔하여 bcin@bccard.com으로 보내주세요. 이때, 대표 관리자로 등록되어 있는 메일로 요청해주셔야 합니다.</t>
  </si>
  <si>
    <t>미사용 카드로 변경되어야 하는데, 이 사람은 그것도 싫다는 건지 확인 필요</t>
  </si>
  <si>
    <t>@ALF 미사용카드에 뜬다고 안내해줘</t>
  </si>
  <si>
    <t>정홍주님, 폐기된 카드를 카드 관리 목록에서 삭제하는 방법에 대해 다시 안내해 드립니다.
 이전에 안내해 드린 카드사별 해지 절차를 진행하시면, 해당 카드는 카드 관리 목록에서 '미사용' 또는 '해지' 상태로 표시됩니다. 즉, 목록에서는 계속 보이지만 더 이상 사용되지 않는 카드임을 나타내게 됩니다.
 혹시 목록에서 완전히 보이지 않도록 삭제를 원하시는 것인지, 아니면 '미사용' 상태로 표시되는 것으로도 괜찮으신지 확인해 주실 수 있을까요?</t>
  </si>
  <si>
    <t>정홍주님, 폐기된 카드를 카드 관리 목록에서 삭제는 안 되되, 미사용 카드 목록에서 보이실 겁니다..!
 해당 카드는 카드 관리 목록에서 '미사용' 또는 '해지' 상태로 표시됩니다. 즉, 목록에서는 계속 보이지만 더 이상 사용되지 않는 카드임을 나타내게 됩니다. 혹시 아예 삭제를 원하셔서 문의주신 것일까요?</t>
  </si>
  <si>
    <t>현재 폐기 카드가 미사용카드가 아닌 사용카드로 분류되고 있습니다. 사용/미사용의 여부는 저희가 직접 선택가능한가요?</t>
  </si>
  <si>
    <t>@ALF 답변해줘 카드번호도 알려달라고 해줘</t>
  </si>
  <si>
    <t>정홍주님, 폐기된 카드가 현재 사용 카드로 분류되어 불편을 겪고 계시는군요.
 카드 관리 시스템에서 사용/미사용 여부를 직접 선택하는 기능은 일반적으로 제공되지 않습니다. 카드의 상태는 카드사로부터 전달받는 정보에 따라 자동으로 업데이트됩니다.
 폐기된 카드가 사용 카드로 분류되는 경우는 카드사 시스템에서 해당 카드의 상태가 아직 '폐기' 또는 '해지'로 완전히 반영되지 않았거나, 저희 시스템으로 정보가 업데이트되지 않았을 가능성이 있습니다.
 정확한 확인을 위해 해당 카드의 카드 번호 앞 6자리와 뒤 4자리를 알려주시면 감사하겠습니다. 개인 정보 보호를 위해 전체 카드 번호는 입력하지 말아주세요. 정보를 주시면 저희가 카드사 또는 내부 시스템을 통해 상태를 확인하고 안내해 드리겠습니다.</t>
  </si>
  <si>
    <t>신한카드 552576 - 0712
 신힌카드 552576 - 4414
 해당 2개의 카드 확인 부탁드리겠습니다</t>
  </si>
  <si>
    <t>다음은 고객 문의 정리 내용입니다.
 - 법인명: (정보 없음)
 - 사업자번호: (정보 없음)
 - 문의 경로: 채널톡
 - 문의 고객 성함 및 이메일: 정홍주 (이메일 정보 없음)
 - 문의 인입 일시: 2026-01-29 16:35
 - 문제 요약: 폐기된 신한카드 2개(552576-0712, 552576-4414)가 카드 관리 목록에서 미사용 카드가 아닌 사용 카드로 분류되고 있으며, 사용/미사용 여부 직접 선택 기능 문의
 - 발생 시점: (정보 없음)
 - 고객영향도: 중</t>
  </si>
  <si>
    <t>문의 주신 사항은 개발팀에 전달하여, 문제 원인 파악 및 해결 도와드리겠습니다. 시간이 소요될 수 있어 조금만 시간 양해해주시면 감사하겠습니다. 혹 금일 저녁 ~ 내일 오전 중으로 해결 회신드려도 괜찮을까요? 개발팀의 수기 확인을 필요로 하는지라 시간이 소요되는 점 참고 부탁드립니다. 문의 해결이 지연되어 죄송합니다.</t>
  </si>
  <si>
    <t>안녕하세요 홍주님, 답변이 지연되어 정말 죄송하다는 말씀 드립니다..! 현재 개발팀 수기확인 중으로 금일 중에 최대한 빨리 안내드리도록 하겠습니다.</t>
  </si>
  <si>
    <t>@ALF 신한 해지신고 방법 말해줘</t>
  </si>
  <si>
    <t>신한카드의 해지 신고 방법은 다음과 같습니다.
 신한카드 홈페이지에 총괄관리자로 로그인하신 후, [카드관리] 메뉴에서 [카드해지]를 선택하여 신청하실 수 있습니다.</t>
  </si>
  <si>
    <t>홍주님, 안녕하세요 고위드입니다.
 혹 폐기처리라 함은, 별도의 해지/분실/정지 신고 없이 카드 플레이트만 폐기처리하신 것 맞으실까요?
 카드사 정책 상, 카드 비활성화를 위해서는 직접 해지/분실/정지 신고 처리가 필요하십니다. 
 신한카드 홈페이지에 총괄관리자로 로그인하신 후, [카드관리] 메뉴에서 [카드해지]를 선택하여 신청하실 수 있습니다.</t>
  </si>
  <si>
    <t>다른 법인 신용카드 불러오기 기능 있음?</t>
  </si>
  <si>
    <t>고위드 카드랑 같이 관리</t>
  </si>
  <si>
    <t>카드를 분실했습니다 ㅜ</t>
  </si>
  <si>
    <t>신한카드</t>
  </si>
  <si>
    <t>697aa4f3d955afce3ad9</t>
  </si>
  <si>
    <t>보증금 설정 서비스 신청서를 작성했습니다. 확인 부탁드립니다.</t>
  </si>
  <si>
    <t>형석님 안녕하세요, 고위드입니다.
 작성주신 신청서 확인 후 유관부서에서 안내 메일 / 유선 드릴 예정입니다!
 유관부서에 상담 남겨주신 내용은 한 번 더 전달드리도록 하겠습니다. 감사합니다.</t>
  </si>
  <si>
    <t>감사합니다!</t>
  </si>
  <si>
    <t>제가 지금 인증서가 없는데요. 입금을 먼저하고 저녁에 인증해도 괜찮나요?</t>
  </si>
  <si>
    <t>네네 괜찮으십니다!
 다만 한 가지만 진행하실 시 원활한 카드신청 단계가 진행되지 않으실 수 있으니, 꼭 인증 부탁드립니다!
 감사합니다.</t>
  </si>
  <si>
    <t>@ALF "안녕하세요.
 페이백 카드 관련 광고를 보고 문의드립니다.
 아래 내용에 대해 확인 부탁드립니다.
 - 해당 페이백 카드는 체크카드만 발급 가능한지,
 또는 신용카드도 함께 운영 중인지 궁금합니다.
 - 광고 안내에는
 “국내 결제 시 최대 1.5% 페이백”이라고 기재되어 있는데,
 해당 페이백율의 적용 조건을 보다 자세히 알고 싶습니다.
 - 기본 페이백율
 - 월 결제금액 구간별 페이백율
 - 페이백 한도(월/연 기준)
 - 업종 제한 또는 제외 항목 여부
 - 당사는 매월 약 5,000만 원 정도의 광고비 결제가 지속적으로 발생하고 있습니다.
 해당 결제 규모 기준으로 적용 가능한 실질 페이백율이 몇 % 인지
 예시와 함께 안내해주시면 감사하겠습니다."
 위 내용 답변해줘</t>
  </si>
  <si>
    <t>문의하신 페이백 카드(광고비 특화카드)에 대해 안내해 드립니다.
 1. 카드 종류:
  고위드 광고비 특화카드는 체크카드 상품으로만 운영됩니다. 신용카드는 현재 운영하고 있지 않습니다. 이 카드는 연회비와 전월 실적이 없는 것이 특징입니다.
 2. 페이백율 적용 조건:
  - 기본 페이백율:
  - 소기업 인증 법인의 경우: 국내 결제 시 1.5%, 해외 결제 시 2.0%가 페이백됩니다.
  - 소기업 미인증 법인의 경우: 국내외 결제 모두 0.5%가 페이백됩니다.
  - 소기업 인증 여부는 중소기업현황정보시스템에서 확인하실 수 있습니다.
  - 월 결제금액 구간별 페이백율: 제공된 정보에는 월 결제금액 구간에 따른 페이백율 차등에 대한 내용은 없습니다.
  - 페이백 한도(월/연 기준): 제공된 정보에는 페이백 한도에 대한 내용은 없습니다.
  - 업종 제한 또는 제외 항목:
  - 환급 대상 업종: PG(오프라인/온라인), 간편결제(온라인), 간판/광고대행, 통신판매업, 전자상거래(온라인), 소프트웨어개발(정보서비스) 업종이 해당됩니다.
  - 환급 대상 가맹점:
  - 국내 전용: 구글, 네이버, 다음, 네이트 등 대형포털; 카카오, 밴드 등 SNS; 스마트스토어, 인터파크, 위메프, G마켓, 옥션, 11번가, 티몬, 카페24 등 오픈마켓; 클라우드 S/W, 광고 대행사, 기타 광고 매체, 각종 서비스 등 온라인 마케팅 관련 결제.
  - 해외 전용: MSN, 야후, 바이두, 시나닷컴, 레디프, 얀덱스 등 대형포털; 유튜브, 페이스북, 인스타그램, 틱톡, 스냅챗 등 SNS; iOS, Android 등 앱마켓; 아마존, 이베이, 알리바바, 타오바오, 플립카트 등 오픈마켓; 클라우드 S/W, 기타 광고 매체, 각종 서비스 등 온라인 마케팅 관련 결제; 슬랙, 노션, 세일즈포스, 줌, 피그마 등 SaaS 결제; 가맹점이 해외 주소지인 경우.
  - Google Ads는 2023년 12월부터 국내 결제에 해당됩니다.
  - 혜택 적용이 어려운 경우: 쿠팡 마켓플레이스와 같이 정산금액에서 광고비용이 차감되는 형식의 플랫폼, PG사에서 결제 대행을 진행하는 건에 대해서는 페이백 혜택이 어렵습니다.
 3. 월 5,000만 원 광고비 결제 시 실질 페이백율 예시:
  페이백율은 결제 규모에 따라 달라지지 않으며, 소기업 인증 여부에 따라 고정된 비율이 적용됩니다.
  - 소기업 인증 법인이 국내 광고비로 월 5,000만 원을 결제하는 경우: 1.5% 페이백율이 적용되어 75만 원 (5,000만 원 * 0.015)이 페이백됩니다.
  - 소기업 미인증 법인이 국내 광고비로 월 5,000만 원을 결제하는 경우: 0.5% 페이백율이 적용되어 25만 원 (5,000만 원 * 0.005)이 페이백됩니다.
 더 궁금한 점이 있으시면 언제든지 문의해 주세요.</t>
  </si>
  <si>
    <t>BC카드 분실로 인해 재발급이 필요한데 현재 담당자 화면에서 BC기명카드 발급완료로 재발급 신청이 불가합니다. 
 이런 경우 어떻게 신청해야 하나요?</t>
  </si>
  <si>
    <t>임직원 기명카드 
 현재 분실신고 완료 
 재발급 필요 -&gt; 고위드 사이트 내 신청 방법 확인 필요</t>
  </si>
  <si>
    <t>697accd63fbcdab904b1</t>
  </si>
  <si>
    <t>안녕하세요.
 이번에 구글워크스페이스 구독 갱신이 되는데 라이센스를 줄여야하는 상황이어서요. 계정을 비활성화해놓으면 자동으로 라이센스수가 줄어 갱신이 되는 것인지 확인차 문의드립니다. 
 기존에 사용하던 라이센스는 5개이구요. 현재 줄여놓아 활성화된 라이센스는 4개입니다. 
 이 상태로 두면 라이센스 4개로 구독갱신이 완료되는 것이 맞는지 확인 부탁드립니다.</t>
  </si>
  <si>
    <t>안녕하세요 고객님 ☺️
 고위드 김일경 매니저입니다.
 네, 맞습니다. 2월 6일부터 4개만 결제 될 예정입니다!
 데이탄소프트께서는 현재 연간요금제를 사용 중에 있으신데요. 연간요금제는 1년 마다 라이선스 수가 최적화가 됩니다.
 2월 6일에 재계약이 되시고, 그 시점 까지 4개가 유지 된다면 4개만 결제 될 수 있도록 조치 되니 이 점 참고 부탁 드립니다. :)</t>
  </si>
  <si>
    <t>697ada10debb9251d989</t>
  </si>
  <si>
    <t>(주)십사일동안/ 211-87-74025
 - 안녕하세요.
 현재 저희 직원 중 한분이 영수증제출이 되지 않아 문의 드려요.
 모바일에는 아예 이용내역이 뜨지않고,
 피씨로는 '[영수증 업로드] 지출내역을 찾을 수 없습니다' 라는 팝업과 함께 제출이 안되고 있습니다.
 확인 부탁드려요.</t>
  </si>
  <si>
    <t>수연님 안녕하세요, 고위드입니다. 카드 이용자 등록이 안 되어 계셔서 이용 내역이 확인 불가하셨습니다. 내부 데이터 조치 완료해두었으니, 재접속하시어 확인 부탁드리겠습니다!</t>
  </si>
  <si>
    <t>📌 기존 상담: (https://desk.channel.io/gowid/user-chats/support%40datansoft.com-697acce5291d97f4d087)</t>
  </si>
  <si>
    <t>친절한 답변 감사합니다!!</t>
  </si>
  <si>
    <t>카드관리에서 카드 별칭을 설정하고자 하는데 대시보드 홈에서 찾기 어려운 상황입니다</t>
  </si>
  <si>
    <t>카드 관리에 카드설정 버튼이 없습니다</t>
  </si>
  <si>
    <t>롯데카드입니다. 카드관리화면에서 한도관리, 기존카드 추가발급만 뜹니다</t>
  </si>
  <si>
    <t>상담사 연결부탁드립니ㅏㄷ</t>
  </si>
  <si>
    <t>010-7731-9718 이 연락처로 연락부탁드립니다.</t>
  </si>
  <si>
    <t>안녕하세요, 고위드입니다. 문의사항 확인 중에 있습니다. 잠시만 시간 양해 부탁드립니다.</t>
  </si>
  <si>
    <t>@ALF 롯데카드입니다. 카드관리화면에서 한도관리, 기존카드 추가발급만 뜹니다 라고 하는데 답변 작성해줘</t>
  </si>
  <si>
    <t>김우진 고객님, 안녕하세요. 상담사 신현덕입니다.
 이전에 AI 알프와 대화하신 내용을 확인했습니다. 롯데카드를 사용하시고, 카드 관리 화면에서 '한도관리'와 '기존카드 추가발급'만 보이셔서 카드 별칭 설정에 어려움을 겪고 계신 것으로 이해했습니다.
 현재 롯데카드의 경우, 일부 화면 구성에서는 카드 별칭을 직접 설정하는 버튼이 노출되지 않을 수 있습니다.
 어떤 카드의 별칭을 어떻게 변경하고 싶으신지 알려주시면, 저희가 시스템을 통해 확인하고 변경을 도와드리거나 가능한 방법을 안내해 드리겠습니다. 카드 번호 뒷 4자리와 원하시는 별칭을 알려주시면 빠르게 처리해 드릴 수 있습니다.</t>
  </si>
  <si>
    <t>네 고객님, 기다려주셔서 감사합니다. 개별 카드 우측에 별도의 설정/편집 버튼이 보이지 않는 상황이실까요?</t>
  </si>
  <si>
    <t>한눈에 안 보이거나 찾기 어려우신 상황이라면, 지금은 [카드 관리] 메뉴로 들어가셔야만 별칭을 설정·변경하실 수 있는 점 참고 부탁드립니다. 혹시 확인이 되지 않으신다면 말씀 부탁드립니다. 😀</t>
  </si>
  <si>
    <t>카드 별칭은
 카드 관리 &gt; 카드 소지자 관리 
 우상단 '설정일괄수정'
 에서 가능</t>
  </si>
  <si>
    <t>혹시 여기에 말씀주신 칸이 없는데 다른 방법이 있을까요?</t>
  </si>
  <si>
    <t>네 고객님, 확인해주셔서 감사합니다. 확인이 진행되는 동안 잠시만 시간 양해 부탁드립니다.</t>
  </si>
  <si>
    <t>아니면 권한부여가 필요한 것인지 확인 부탁드립니다</t>
  </si>
  <si>
    <t>제가 말씀을 잘못 드렸습니다
 지출관리 &gt; 카드 소지자 관리
 우상단 '설정일괄수정'
 에서 가능
 입니다!</t>
  </si>
  <si>
    <t>기다려주셔서 감사합니다. 
 지출관리 &gt; 카드 소지자 관리 &gt; 우상단 '설정일괄수정'
 에서 설정이 가능하신지 확인 부탁드립니다.</t>
  </si>
  <si>
    <t>아 이렇게 하니 수정이 가능하네요 감사합니다!</t>
  </si>
  <si>
    <t>네 고객님, 확인해주셔서 감사합니다.
 저희가 추가로 도움 드릴 내용이 있을까요? 😀</t>
  </si>
  <si>
    <t>없습니다, 감사합니다~!!</t>
  </si>
  <si>
    <t>네 감사합니다.
 남은 하루도 마무리 잘 하시길 바랍니다.
 고위드 신현덕이었습니다. 😀</t>
  </si>
  <si>
    <t>@망고 매니저 이거 종료 부탁드립니다~</t>
  </si>
  <si>
    <t>상호명 변경으로 공동인증서 변경</t>
  </si>
  <si>
    <t>처음 한도를 받았습니다. 1) 이 한도가 여러 카드의 합인지, 카드별 한도인지요? 2) 한도 유효기간이 뭔가요? 이 기간 이후에 카드를 신청하려면 또 한도를 받아야 하는 건가요? 3) 임직원 명의 카드를 발급하려면, 우선 법인 명의 카드를 발급 받아야 하는 것 같은데 동시에 발급이 가능한가요?</t>
  </si>
  <si>
    <t>카드 신청 페이지에 써있기로는: 최초 발급시 법인 명의 카드로 발급된다고 하는데요. 그럼 임직원 명의 카드는 동시에 신청 불가한 거 아닌가요?</t>
  </si>
  <si>
    <t>그럼, 공용 카드 발급 소요 기간은 어떻게 되나요? 현재 한도 유효 기간 내에 공용 카드 만들고 임직원 명의 카드까지 신청이 가능할지 궁금합니다.</t>
  </si>
  <si>
    <t>왜 답이 없으신가요</t>
  </si>
  <si>
    <t>오늘 새로 받은 한도 유효기간이 평일 기준 3일밖에 안되는데요?</t>
  </si>
  <si>
    <t>상담사에게 직접 확인하고 싶습니다.</t>
  </si>
  <si>
    <t>위에 AI에게 문의한 내용 그대로입니다.</t>
  </si>
  <si>
    <t>@ALF 아래 작성한 내용 고객향으로 워싱해서 작성해줘.
 미덥님 안녕하세요, 고위드입니다.
 문의 주신 내용 답변드리도록 하겠습니다.
 1) 이 한도가 여러 카드의 합인지, 카드별 한도인지요? 
 → 법인의 한도입니다. 카드 별 최대 한도는 법인의 한도만큼 설정 가능하시며, 필요에 따라 개별 카드 한도 설정 가능하십니다. 단 모든 카드의 사용 금액이 법인의 한도만큼 사용되면 이후는 한도 초과로 찍히게 됩니다. 
 2) 한도 유효기간이 뭔가요? 이 기간 이후에 카드를 신청하려면 또 한도를 받아야 하는 건가요?
 → 맞습니다. 고위드에서는 신청하시는 법인의 정보보호를 위하여 일정 시간 경과 후 법인 카드 신청 정보를 삭제하고 있습니다. 해당 기간이 오버되면 다시 한도 조회를 받으셔야 합니다. 
 3) 임직원 명의 카드를 발급하려면, 우선 법인 명의 카드를 발급 받아야 하는 것 같은데 동시에 발급이 가능한가요?
 → 최초 입회 시 무기명 카드(법인 명의)만 발급 가능하십니다. 추가 발급부터 기명카드(임직원 명의) 또는 무기명 카드 선택하여 발급 가능하십니다.
 감사합니다</t>
  </si>
  <si>
    <t>강미덥님, 안녕하세요. 문의 주신 내용에 대해 답변드립니다.
 1. 한도 관련
  현재 부여된 한도는 법인 전체의 한도입니다. 개별 카드 한도는 이 법인 한도 내에서 설정할 수 있으며, 필요에 따라 카드별로 한도를 조절할 수 있습니다. 다만, 모든 카드의 사용 금액 합계가 법인 한도를 초과하면 더 이상 사용이 불가합니다.
 2. 한도 유효기간
  네, 맞습니다. 고위드에서는 고객님의 법인 정보 보호를 위해 일정 기간이 지나면 카드 신청 정보를 삭제하고 있습니다. 따라서 유효기간이 만료되면 다시 한도 조회를 받으셔야 합니다.
 3. 카드 발급 순서
  최초 입회 시에는 법인 명의의 무기명 카드만 발급 가능합니다. 무기명 카드 발급이 완료된 이후부터는 임직원 명의의 기명 카드 또는 추가 무기명 카드를 선택하여 발급 신청하실 수 있습니다.
 추가로 궁금한 점이 있으시면 언제든지 문의해 주세요.</t>
  </si>
  <si>
    <t>강미덥님, 안녕하세요. 고위드입니다. 문의 주신 내용에 대해 답변드립니다.
 1. 한도 관련
  확인하시는 한도는 법인 전체의 한도입니다. 개별 카드 한도는 이 법인 한도 내에서 설정할 수 있으며, 필요에 따라 카드별로 한도를 조절할 수 있습니다. 다만, 모든 카드의 사용 금액 합계가 법인 한도를 초과하면 더 이상 사용이 불가합니다.
 2. 한도 유효기간
  네, 맞습니다. 고위드에서는 고객님의 법인 정보 보호를 위해 일정 기간이 지나면 카드 신청 정보를 삭제하고 있습니다. 따라서 유효기간이 만료되면 다시 한도 조회를 받으셔야 합니다.
 3. 카드 발급 순서
  최초 입회 시에는 법인 명의의 무기명 카드만 발급 가능합니다. 무기명 카드 발급이 완료된 이후부터는 임직원 명의의 기명 카드 또는 추가 무기명 카드를 선택하여 발급 신청하실 수 있습니다.
 추가로 궁금한 점이 있으시면 언제든지 문의해 주세요. 감사합니다.</t>
  </si>
  <si>
    <t>계정 하나 추가해야합니다.</t>
  </si>
  <si>
    <t>담당자 전화번호</t>
  </si>
  <si>
    <t>안녕하세요 도우법님 ☺️
 고위드 김일경 매니저입니다.
 구글 워크스페이스 담당자 지정을 위해 아래 정보를 여쭙습니다. :)
 이름 (필수)
 이메일 (필수)
 부서
 직책
 연락처
 감사합니다!</t>
  </si>
  <si>
    <t>구글 워크스페이스 담당자 지정을 위해 아래 정보를 여쭙습니다. :)
 이름 (필수) 도우법 
 이메일 (필수) ga@sweetspot.co.kr
 부서 피플팀
 직책 매니저
 연락처 01044508444
 감사합니다!</t>
  </si>
  <si>
    <t>그럼 그냥 저희</t>
  </si>
  <si>
    <t>라이선스 하나 추가해야해서</t>
  </si>
  <si>
    <t>연락드린건데</t>
  </si>
  <si>
    <t>어떻게 소통을 드리면 될까요?</t>
  </si>
  <si>
    <t>안녕하세요 도우법님 ☺️
 고위드 김일경 매니저입니다.
 우선 이번 건은 제가 바로 도와드리겠습니다. 원하시는 요금제, 갯수 말씀 해주시면 바로 조치 진행 하겠습니다.
 이후에는 ga@sweetspot.co.kr 계정으로 고위드 홈페이지 로그인 하신 뒤 바로 적용하실 수 있도록 조치하겠습니다.</t>
  </si>
  <si>
    <t>넵 감사합니다</t>
  </si>
  <si>
    <t>이게 저희 기존 요금제를</t>
  </si>
  <si>
    <t>어떻게 이용하고있을까요?</t>
  </si>
  <si>
    <t>같은거로 1개 추가하면될 것 같아서요</t>
  </si>
  <si>
    <t>현재 비즈니스 스텐다드, 스타트 두 요금제 사용하고 있습니다!
 스타터 요금제는 가장 저렴한 요금제이며, 41개를 사용 중에 있으시고
 비즈니스 요금제는 유료 AI가 포함 된 서비스로, 73개를 사용 중에 있습니다!</t>
  </si>
  <si>
    <t>현재 구독 총괄 관리자 권한 드렸으며 구글워크스페이스 라이선스 수를 고위드 홈페이지(gowid.com)에서 로그인 후 수정이 가능하시니 참고 부탁 드립니다! 😃</t>
  </si>
  <si>
    <t>둘 중 희망하시는 요금제 말씀 해주시면 라이선스 수 늘릴 수 있도록 하겠습니다. :)</t>
  </si>
  <si>
    <t>신규로 카드를 발급받으려고 하는데 법인으로 등록된 계좌는 국민은행 밖에 없습니다. 기업은행이 없으면 법인카드 발급이 안될까요?</t>
  </si>
  <si>
    <t>통화 연결</t>
  </si>
  <si>
    <t>기존 여분카드로 등록카드 중 실 사용자 이름으로 변경하는 방법</t>
  </si>
  <si>
    <t>미사용카드 예를 롯데5945 여분카드4로 등록되있는걸 입사한직원으로 변경할 경우</t>
  </si>
  <si>
    <t>공동인증서 등록</t>
  </si>
  <si>
    <t>맞습니다</t>
  </si>
  <si>
    <t>공동인증서 가 만료되어 (삭제하였음) 재 등록방법</t>
  </si>
  <si>
    <t>성희님 안녕하세요. 고위드입니다.
 슈퍼관리자 로그인 후 좌측 탭에서 '공동인증서 관리' 접속 후 우측 상단 '공동인증서 연동' 버튼 클릭 부탁드립니다.
 감사합니다.</t>
  </si>
  <si>
    <t>네 해결됐습니다 . 감사합니다</t>
  </si>
  <si>
    <t>697beffbece8637751b1</t>
  </si>
  <si>
    <t>[신한] 법인 유효기한 갱신</t>
  </si>
  <si>
    <t>안녕하세요. 신한카드 법인 유효기간 갱신을 준비중입니다.
 1. 아래와 같이 필요 서류가 나와 있던데요. "최대 지분권자 실소유자" 관련 내용은 최대주주가 개인이 아닐 때(법인이나 투자조합 등)에만 해당되는 것인가요? 저희는 최대주주가 개인이기는 합니다.
 2. 사업 조정 과정에서 카드이용한도가 대폭 줄었는데, 최근 매출이 정상적으로 발생하고 있는 상황입니다. 카드 이용한도를 500만원 이상으로 상향할 수 있을지요?
 ----------
 Step 2 필수 서류를 준비합니다.
 - 작성하신 법인회원 제신고서
 - 사업자등록증
 - 법인인감증명서
 - 법인등기부등본
 - 주주명부
 - 최대 지분권자 실소유자 주주명부 (도장날인 원본, 스캔본X)
 - 최대 지분권자 실소유자 신분증
 - 대표자 신분증
 - 대표자 개인인감도장
 - 대표자 개인인감증명서
 ※ 법인 별로 요구되는 필수서류가 조금씩 상이할 수도 있음을 안내드립니다.</t>
  </si>
  <si>
    <t>@ALF 1,2 에 대한 질문에 답변해줘</t>
  </si>
  <si>
    <t>안녕하세요, 김종호님. 신한카드 법인 유효기한 갱신 관련 문의에 대해 답변드립니다.
 1. "최대 지분권자 실소유자" 관련 서류에 대하여
  "최대 지분권자 실소유자"는 궁극적으로 가장 많은 지분을 가진 자연인(사람)을 의미합니다. 따라서 최대주주가 이미 개인이시라면, 그 개인이 바로 "최대 지분권자 실소유자"에 해당합니다. 이 경우 해당 개인의 주주명부(도장 날인 원본, 스캔본X)와 신분증이 필요합니다.
  만약 최대주주가 법인이나 투자조합과 같은 법적 실체일 경우, 그 법적 실체의 지분 구조를 추적하여 최종적으로 가장 많은 지분을 가진 자연인을 확인하고 해당 자연인의 서류를 준비해야 합니다. 즉, 최대주주가 개인이든 법인이든 관계없이, 최종적으로 가장 많은 지분을 가진 자연인에 대한 서류는 필수적으로 준비하셔야 합니다.
 2. 카드 이용 한도 상향에 대하여
  법인 유효기한 갱신 시에는 카드 한도에 대한 재심사가 진행됩니다. 현재 매출이 정상적으로 발생하고 있는 상황이라면, 재심사 과정에서 이를 반영하여 한도 상향 가능성을 검토하게 됩니다. 고위드는 공동인증서와 제공해주신 자료를 기반으로 카드사를 설득하고 협상하여 한도 상향을 지원하고 있습니다. 다만, 최종적인 한도 결정은 신한카드사의 심사 결과에 따라 달라질 수 있으며, 특정 금액(예: 500만원 이상)을 보장하기는 어렵습니다.</t>
  </si>
  <si>
    <t>안녕하세요, 고위드 신현덕 매니저 입니다. 기다려주셔서 감사합니다. 
 질문주신 내용에 대해 차례대로 안내드리도록 하겠습니다.
 1. "최대 지분권자 실소유자" 관련 서류에 대하여
  "최대 지분권자 실소유자"는 궁극적으로 가장 많은 지분을 가진 자연인(사람)을 의미합니다. 따라서 최대주주가 이미 개인이시라면, 그 개인이 바로 "최대 지분권자 실소유자"에 해당합니다. 이 경우 해당 개인의 주주명부(도장 날인 원본, 스캔본X)와 신분증이 필요합니다.
  만약 최대주주가 법인이나 투자조합과 같은 법적 실체일 경우, 그 법적 실체의 지분 구조를 추적하여 최종적으로 가장 많은 지분을 가진 자연인을 확인하고 해당 자연인의 서류를 준비해야 합니다. 즉, 최대주주가 개인이든 법인이든 관계없이, 최종적으로 가장 많은 지분을 가진 자연인에 대한 서류는 필수적으로 준비하셔야 합니다.
 2. 카드 이용 한도 상향에 대하여
  법인 유효기한 갱신 시에는 카드 한도에 대한 재심사가 진행됩니다. 현재 매출이 정상적으로 발생하고 있는 상황이라면, 재심사 과정에서 이를 반영하여 한도 상향 가능성을 검토하게 됩니다. 고위드는 공동인증서와 제공해주신 자료를 기반으로 카드사를 설득하고 협상하여 한도 상향을 지원하고 있습니다. 다만, 최종적인 한도 결정은 신한카드사의 심사 결과에 따라 달라질 수 있으며, 특정 금액(예: 500만원 이상)을 보장하기는 어렵습니다.</t>
  </si>
  <si>
    <t>회사 주주명부는 당연히 기본 서류이지만 '최대주주 개인에 대한 주주명부'가 존재할 수가 없잖아요...</t>
  </si>
  <si>
    <t>개인에 대한 주주명부가 존재할 수 없는데 다시 설명 부탁드립니다.</t>
  </si>
  <si>
    <t>그리고 "최대 지분권자 실소유자 신분증"은 사본이면 되는건가요, 아니면 실물을 들고가야 하는건가요?</t>
  </si>
  <si>
    <t>네 고객님, 답변이 늦어 죄송합니다. 해당 내용 종합적으로 확인하여 빠르게 공유 드릴 수 있도록 하겠습니다. 불편하시겠지만 조금만 시간 양해 부탁드립니다.</t>
  </si>
  <si>
    <t>네 알겠습니다.</t>
  </si>
  <si>
    <t>1. 최대주주가 개인일 시 그 개인이 최대지분권자 실소유자입니다.
 2. 상향의 경우, 먼저 말씀드리기 어렵습니다. 고위드 홈페이지에서 직접 신청/확인해주셔야 합니다. [카드사 입회/한도 신청 &gt; 한도 조회하기 클릭&gt; 공동인증서 연동 &gt; 한도조회 &gt; 원하시는 한도 나오지 않으실 시, 특별심사 신청 가능 버튼 혹은 보증금 거치 버튼 중 확인되시는 버튼 클릭 후 신청]</t>
  </si>
  <si>
    <t>고객님 기다려주셔서 감사합니다. 
 1. 최대주주가 개인일 시 그 개인이 최대지분권자 실소유자입니다.
 2. 상향의 경우, 상담과정에서 말씀드리기 어려운 점 양해 부탁드리며, 고위드 홈페이지에서 직접 신청/확인해주셔야 합니다. 
 한도 사향 요청 경로
 [카드사 입회/한도 신청 &gt; 한도 조회하기 클릭&gt; 공동인증서 연동 &gt; 한도조회 &gt; 원하시는 한도 나오지 않으실 시, 특별심사 신청 가능 버튼 혹은 보증금 거치 버튼 중 확인되시는 버튼 클릭 후 신청]</t>
  </si>
  <si>
    <t>1. 그걸 몰라서 여쭤본 게 아니고요, "최대 지분권자 실소유자 주주명부 (도장날인 원본, 스캔본X)"라고 되어 있는데 어떤 서류를 준비하면 되느냐에 대한 질문입니다. 그냥 해당 서류는 생략하면 되는건가요?</t>
  </si>
  <si>
    <t>네, 고객님 명확한 답변드리지 못해 죄송합니다. 확인이 진행되는 동안 잠시만 기다려주시면 감사하겠습니다.</t>
  </si>
  <si>
    <t>현덕님 우선 해당 문의는 신한카드 법인 유효기간 갱신 관련 문의인데
 이건 아주 가끔 들어오는 문의라서.. 저도 몇 번 해본 적 없어서 민선님 확인을 받았습니다.
 최대 주주가 개인인 경우, 해당 법인(주식회사 레이첼블루) 의 주주명부만 있으면 된다. 
 필수 서류 중 이미 주주명부가 있는만큼, '최대 지분권자 실소유자 주주명부'는 필요치 않다.
 입니다.
 민선님께서 지금 신한카드 이상학 수석님 (저희와 소통하는 분입니다)께 크로스체크 해보시겠다고 하셨습니다!</t>
  </si>
  <si>
    <t>넵 ㄱ마사합니다</t>
  </si>
  <si>
    <t>이상학 수석님이 연락을 안 받으신다고 하시네요. 그렇지만 민선님께서 체크해주셨으니 바로 보내셔도 괜찮을 것 같습니다!</t>
  </si>
  <si>
    <t>@ALF 최대 주주가 개인인 경우, 해당 법인(주식회사 레이첼블루) 의 주주명부만 있으면 된다.
 필수 서류 중 이미 주주명부가 있는만큼, '최대 지분권자 실소유자 주주명부'는 필요치 않다.
 입니다. 이거 고객에게 안내하려고 하니 
 요약해줘</t>
  </si>
  <si>
    <t>최대 주주가 개인인 경우, 별도의 '최대 지분권자 실소유자 주주명부'는 필요하지 않습니다. 이미 제출하시는 법인(주식회사 레이첼블루)의 주주명부로 충분합니다.</t>
  </si>
  <si>
    <t>네 고객님, 오랜시간 기다려주셔서 감사드리며, 상담 과정중에 혼란을 드려 죄송합니다.
 최대 주주가 개인인 경우, 별도의 '최대 지분권자 실소유자 주주명부'는 필요하지 않는 점 안내드리며. 이미 제출하시는 법인(주식회사 레이첼블루)의 주주명부로 충분합니다.</t>
  </si>
  <si>
    <t>해당 상담은 종료하지 않고 보류 처리로 진행할 예정이며, 24시간 후 추가 문의 없으실 경우 상담은 자동으로 종료될 수 있는 점 안내드립니다.
 감사합니다. 😀</t>
  </si>
  <si>
    <t>"최대 지분권자 실소유자 신분증"은 사본이면 되는건가요, 아니면 실물을 들고가야 하는 지에 대해 아직 답을 안주셨습니다...</t>
  </si>
  <si>
    <t>@고위드 신민선 매니저 
 민선님! 신한 법인 유효기간 갱신 관련.. 도움을 청합니다...</t>
  </si>
  <si>
    <t>종결
 최대 지분권자 실소유자와 대표자와 실무자의 차이 혼동하심. 위 내용으로 혼동하지 않도록 가이드 개선을 요청하심.</t>
  </si>
  <si>
    <t>@고위드 권민규 매니저 @고위드 신현덕 매니저 님
 내부대화 확인해주시고 
 가이드 내용(매크로, 도큐먼트) 개선할 부분 보이시면 개선해주시면 감사하겠습니다!</t>
  </si>
  <si>
    <t>고객님, 기다려주셔서 감사합니다. 유선으로 말씀주신 바와 같이 혼동되지 않도록 관련 내용 가이드 개선 진행하도록 하겠습니다.
 추가로 문의 주실 내용이 있으실까요?</t>
  </si>
  <si>
    <t>없습니다. 감사합니다.</t>
  </si>
  <si>
    <t>네 고객님, 친절한 말씀 감사드리며, 하루 마무리 잘 하시고 행복한 주말 되시길 바랍니다.
 감사합니다.</t>
  </si>
  <si>
    <t>고위드로 법인카드 내역 제출시 영수증은 자동으로 첨부되는걸로 알고있는데요 
 해당영수증에 세부내역도 포함되나요? 예를들어 편의점에서사용시 어떤목록을 구매했는지</t>
  </si>
  <si>
    <t>부가세 불공제 체크박스가 있는데요, 잘 모르겠는 경우나 잘못 표시했더라도 카드사에서 정정을 해주는지 궁금합니다</t>
  </si>
  <si>
    <t>고위드 상담원과 직접 통화하면 해결이 가능할까요?</t>
  </si>
  <si>
    <t>신한법인카드를 사용하고 있고 이용내역 관리에 보면 부가세 불공제 체크박스를 표시하게 되어있습니다. 사용자가 회계 담당자가 아니어서 이 부분에 대해서 명확하게 알 수 없어 비워두고 있는데, 비워두더라도 문제가 안되는지요?</t>
  </si>
  <si>
    <t>697c2b42f2aad0908ca9</t>
  </si>
  <si>
    <t>숙면연구소 / 271-87-02668
 담당자 변경되어 핸드폰번호 변경 요청 드립니다</t>
  </si>
  <si>
    <t>안녕하세요, 고위드 신현덕 입니다. 문의 확인되는 동안 잠시만 기다려주시면 감사하겠습니다.</t>
  </si>
  <si>
    <t>@ALF 담당자 변경 및 핸드폰 번호 변경에 대해서 알려줘</t>
  </si>
  <si>
    <t>담당자 변경 및 핸드폰 번호 변경 요청에 대해 안내해 드립니다.
 고위드에서는 계정 및 정보 변경으로 인한 사고를 예방하고자, 최초 계약자 변경 시 필수 확인 절차를 운영하고 있습니다. 아래 안내에 따라 '최초 계약자 변경 신청서' 및 관련 서류를 준비하여 card_bizops@gowid.com으로 발송해 주시면 됩니다.
 [법인담당자(최초 계약자) 변경 신청 안내]
 1. 필요 서류 (총 3종)
 - 최초 계약자 변경 신청서: 신청서 링크
 - 신청서 우측 하단에 법인 인감 날인(서명X)이 필수입니다.
 - 사용인감은 사용인감계 별도 제출 시 가능합니다.
 - 본 신청서는 위임장의 법적 효력을 함께 가집니다.
 - 법인인감증명서: 발급일로부터 3개월 이내 원본(스캔본 가능)
 - 재직증명서: 신규 법인담당자 명의, 발급일로부터 1개월 이내
 2. 진행 절차 안내
 1. 상기 서류 3종을 작성하여 위 메일로 전달합니다.
 2. 제출된 서류 확인 및 법인 인감 대조 후 승인 처리됩니다.
 3. 승인 완료 시, 법인담당자 변경이 반영됩니다.
 만약 고위드 관리자 계정 변경을 희망하시는 경우, 개인정보보호 및 금융정보보호에 의거하여 소속 법인사와 담당자 본인 확인 절차가 필수로 진행되므로 고위드 고객센터로 연락해 주시면 인증 완료 후 변경을 희망하는 계정으로 변경해 드립니다.</t>
  </si>
  <si>
    <t>@ALF 최초계약자가 아니고 담당자잖아</t>
  </si>
  <si>
    <t>이전 답변에 혼동을 드려 죄송합니다. '최초 계약자 변경'이 아닌 '담당자 변경'으로 인한 휴대폰 번호 변경 요청에 대해 다시 안내해 드리겠습니다.
 고위드 관리 계정의 담당자 변경을 원하시는 경우, 개인정보보호 및 금융정보보호에 따라 소속 법인사와 담당자 본인 확인 절차가 필수로 진행됩니다.
 따라서, 고위드 고객센터로 연락해 주시면 본인 확인 절차를 거쳐 변경을 희망하는 계정 정보(휴대폰 번호 등)를 변경해 드릴 수 있습니다.</t>
  </si>
  <si>
    <t>기다려주셔서 감사합니다.
 담당자 계정정보 수정 도와드리겠습니다.
 * 기존 관리자 이메일 계정
 * 변경 원하는 관리자 이메일 계정 / 성함 / 휴대폰 번호 / 부서 및 직함
 보내주시면 변경 도와드리며, 완료 후 다시 안내 드리겠습니다. 😀</t>
  </si>
  <si>
    <t>sleepanresearch@naver.com
 sleepanresearch@naver.com
 (이메일계정은변동없이사용부탁드립니다)
 김민희/01032239426/운영총괄/실장</t>
  </si>
  <si>
    <t>네 고객님, 말씀주셔서 감사합니다. 처리 완료 후 안내드리도록 하겠습니다. 잠시만 시간 양해 부탁드립니다.</t>
  </si>
  <si>
    <t>네 ~~</t>
  </si>
  <si>
    <t>고객님 기다려주셔서 감사합니다. 변경 처리 완료되었으며, 웹 내 반영까지는 일정시간 소요될 수 있는 점 양해 바랍니다. 😀</t>
  </si>
  <si>
    <t>저희가 추가로 도움 드릴 내용이 있으실까요?</t>
  </si>
  <si>
    <t>답변이 없으실 경우 자동으로 종료될 예정입니다. 추가문의 있으실 경우 언제든지 문의 부탁드립니다.</t>
  </si>
  <si>
    <t>퇴사자 카드를 퇴사 처리로 하고 싶어</t>
  </si>
  <si>
    <t>010-8462-5224</t>
  </si>
  <si>
    <t>성률님 안녕하세요. 고위드입니다.
 문의 주신 상향 신청 일정 지연의 경우, 카드사 확인 후 회신 드릴 수 있도록 하겠습니다.
 감사합니다.</t>
  </si>
  <si>
    <t>네 빠르게 확인 부탁드립니다!</t>
  </si>
  <si>
    <t>안녕하세요 성률님, 고위드 신민선 매니저입니다. 권민규 매니저님이 바쁘셔서 대신 확인 후 안내드립니다.
 비씨카드 정책 상 카드 신규발급 후 최소 1개월~최대 3개월 이내 한도상향이 불가하셔서, 관련안내드리고자 1/26 유선드렸으나 부재중이셔서 관련 문자가 발송되었다고 합니다!
 대답이 늦어져 정말 죄송하다는 말씀 드립니다. 혹 다른 문의사항 있으실까요?</t>
  </si>
  <si>
    <t>추가 문의 없으시면 종료하도록 하겠습니다.
 남은 하루도 행복하시길 바랍니다.
 감사합니다.</t>
  </si>
  <si>
    <t>구독요금제에 따라 제미나이 기본 액세스와 확장 액세스라고 되어 있는데 구체적으로 기본 엑세스와 확장 엑세스의 제공 범위에 대해서 상세히 알고 싶습니다.</t>
  </si>
  <si>
    <t>연락처 이상 없습니다.</t>
  </si>
  <si>
    <t>안녕하세요 박성철님 ☺️
 고위드 김일경 매니저입니다.
 비즈니스 스타터, 스텐다드, 플러스 모델이 있는데요!
 문의 주신 내용 안내 드리면 아래와 같습니다.
 스타터 : 제미나이 무료 버전
 스텐다드 : 제미나이 유료 버전 (Google AI Pro)
 플러스 : 제미나이 유료 버전 (Google AI Pro)
 보통, AI 유료 버전이 탑재 된 비즈니스 스텐다드 버전을 가장 많이 사용하고 있습니다.
 더 많은 자세한 내용은 구글 워크스페이스 콘텐츠에서도 확인 가능하니 참고 부탁 드릴게요!</t>
  </si>
  <si>
    <t>유선 안내로 자세히 도와드리고자 했으나 부재중이신 걸로 확인 했어요!
 AI 외로 궁금하신 모든 내용들 자세히 알려드릴 수 있으니, 010-3791-7467 또는 채널톡 재문의 진행 해주시면 회신 도와드리겠습니다.
 감사합니다. :)</t>
  </si>
  <si>
    <t>이번 상담은 여기서 종료하도록 하겠습니다.
 다른 문의가 있으시면 새로운 창에서 문의 부탁드립니다.
 좋은 하루 되시길 바랍니다 :)</t>
  </si>
  <si>
    <t>기업은행 계좌가 없어서 진행이 안됩니다</t>
  </si>
  <si>
    <t>기업은행 계좌가 없으면 기업은행 회원가입이 안되고 회원가입이 안 되어 있으니 기업은행 금융기관이 연결이 안됩니다</t>
  </si>
  <si>
    <t>기업은행 아니고 다른 은행도 된다는 말인가요</t>
  </si>
  <si>
    <t>기업은행 계좌 없이 기업은행 금융기관 연동 가능 여부 및 대체 방법 문의</t>
  </si>
  <si>
    <t>한도를 5백으로 신청했는데 완료가 되었나요??</t>
  </si>
  <si>
    <t>총한도가 계속 0원입니다ㅠㅠ 도대체 언제되나요</t>
  </si>
  <si>
    <t>안녕하세요, 고위드 신현덕입니다.
 문의주신 내용 확인 후 안내드리도록 하겠습니다. 잠시만 시간 양해 부탁드립니다.</t>
  </si>
  <si>
    <t>아직 확인 안되었나요??</t>
  </si>
  <si>
    <t>고객님, 현재 한도 부여가 완료된 상황으로 확인되며, 총 한도가 0원으로 나오는 부분에 대해 화면 캡쳐 후 공유주시면 빠른 확인 도움드리도록 하겠습니다.</t>
  </si>
  <si>
    <t>현덕님 이거 제가 한 번 정리해서 남겨드릴게요!</t>
  </si>
  <si>
    <t>네 고객님, 확인해주셔서 감사합니다. 유관부서 확인 후 빠르게 안내드리도록 하겠습니다. 잠시만 시간 양해부탁드립니다.</t>
  </si>
  <si>
    <t>넵 내부대화로 남겨주세영</t>
  </si>
  <si>
    <t>1. 고위드에서 신한카드 연동을 위해서는 '신한카드 총괄 관리자 연동'이 필요하다
 2. 지금 캡쳐 화면에서 하단에 보면 '계정 연동이 필요하다' 고 나오는 걸 보면, 
 아직 연동을 안하셔서 → 반영된 한도를 고위드에서 확인 못하는 중인것이다.
 3. 신한카드 총괄관리자 연동하시면 반영된 한도를 고위드에서도 확인 가능하다.
 +) 신한법인카드 홈페이지에서 로그인하면 한도 부여 완료된 것은 확인 가능하시다</t>
  </si>
  <si>
    <t>고위드 서비스의 원활한 이용을 위해서는 신한카드 총괄 관리자 연동이 필수이기에! 꼭 부탁드린다고
 남겨주시면 감사하겠습니다!</t>
  </si>
  <si>
    <t>네 고객님, 현재 고위드 내 신한카드 총괄 관리자 연동이 필요한 상황으로 확인됩니다. 연동이 되지 않으면 반영된 한도 확인이 불가한 점 안내드리며, 
 고위드 서비스의 원활한 이용을 위해 신한카드 총괄 관리자 연동이 필수이기에 연동을 권장드립니다.
 혹여나 현재 신한카드 총괄 관리자 연동이 어려우신 경우, 신한법인카드 홈페이지에서 로그인 진행 하시면 한도 부여가 완료된 부분이 확인되실 예정입니다.</t>
  </si>
  <si>
    <t>안녕하세요 고위드입니다</t>
  </si>
  <si>
    <t>이렇게 입력하고 신청 눌렀는데 그룹한도 금액 초과할 수 없다고 뜹니다. 혹시 몰라서 41,000,000원으로 조정해서 다시 신청해봐도 동일한 현상이 발생하고 있습니다.</t>
  </si>
  <si>
    <t>감사합니다!
 혹시 그룹한도를 앞서 설정하셨을까요?
 해당 내용 확인을 위해 그룹한도 설정 방법 링크 함께 안내드립니다!
 https://docs.channel.io/gowid-guide/ko/articles/%EB%A1%AF%EB%8D%B0-%EA%B7%B8%EB%A3%B9%ED%95%9C%EB%8F%84-%EB%B0%8F-%EC%B9%B4%EB%93%9C%ED%95%9C%EB%8F%84-%EC%84%A4%EC%A0%95-6a30a50e</t>
  </si>
  <si>
    <t>그룹한도는 지금 고위드에서도 늘려진거 확인됩니다</t>
  </si>
  <si>
    <t>@ALF 
 네 확인 감사합니다 한도 설정은
 - 법인한도
 - 그룹한도
 - 카드한도
 로 이루어져있습니다.
 저희가 도와드리는 부분은 '법인한도'에 해당하며, 그룹한도는 별도로 신청이 필요한 부분이 있습니다.
 안내 가이드에 따라 진행해주시면 카드한도도 설정 가능하십니다!
 이렇게 대답해줘도되는지 확인한번 부탁</t>
  </si>
  <si>
    <t>네, 매니저님의 답변은 고객의 상황을 이해하고 한도 설정의 계층 구조를 설명하는 데 적절합니다.
 다만, 고객이 "그룹한도는 지금 고위드에서도 늘려진거 확인됩니다"라고 언급했으므로, "그룹한도는 별도로 신청이 필요한 부분이 있습니다"라는 답변이 고객에게는 이미 진행한 내용에 대한 반복처럼 들릴 수 있습니다.
 고객이 제공한 스크린샷의 '법인청구 잔여 한도'와 '총 한도'가 실제 '그룹한도'와 어떻게 연관되는지, 그리고 왜 현재 설정하려는 카드 한도가 그룹 한도를 초과하는지 좀 더 명확하게 설명해 주시면 고객의 이해를 돕는 데 더 효과적일 것 같습니다.
 다음과 같이 답변을 수정하여 제안합니다.
 ***
 네, 확인 감사합니다.
 고객님께서 올려주신 스크린샷의 '법인청구 잔여 한도'는 현재 사용 가능한 법인 한도를 의미합니다. 카드 한도는 이 법인 한도 내에서 설정되어야 하며, 그룹 한도는 법인 한도 아래에 있는 하위 한도 개념입니다.
 현재 고객님께서 설정하시려는 카드 한도(44,000,000원)가 '법인청구 잔여 한도'(41,828,000원)를 초과하여 오류가 발생한 것으로 보입니다.
 카드 한도는 다음 세 가지 한도 체계에 따라 관리됩니다.
 1. 법인 한도: 고위드에서 관리하며, 고객님의 스크린샷에 '총 한도'로 표시된 금액입니다.
 2. 그룹 한도: 법인 한도 내에서 특정 그룹에 할당된 한도입니다.
 3. 카드 한도: 그룹 한도 내에서 개별 카드에 할당된 한도입니다.
 고객님께서 카드 한도를 41,000,000원으로 조정하셨을 때도 동일한 현상이 발생했다면, 현재 설정하려는 카드 한도가 그룹 한도 또는 법인청구 잔여 한도를 초과하고 있을 가능성이 높습니다.
 안내해 드린 가이드 링크를 참고하시어 그룹 한도 및 카드 한도 설정 방법을 다시 한번 확인해 주시면 감사하겠습니다.</t>
  </si>
  <si>
    <t>네 확인 감사합니다 한도 설정은
 - 법인한도
 - 그룹한도
 - 카드한도
 로 이루어져있습니다.
 저희가 도와드리는 부분은 '법인한도'에 해당하며, 그룹한도는 별도로 신청이 필요한 부분이 있습니다.
 안내 가이드에 따라 진행해주시면 카드한도도 설정 가능하십니다!</t>
  </si>
  <si>
    <t>그룹한도도 이미 변경 신청했는데 저 단위가 문제인걸까요? 백 만원이라고 적혀있어서 44라고 기입했는데요</t>
  </si>
  <si>
    <t>확인 감사합니다..!
 롯데카드 
 관리 &gt; 법인한도 관리&gt;법인그룹운영한도조정
 메뉴도 마지막으로 한 번 확인 부탁드리겠습니다..!</t>
  </si>
  <si>
    <t>현재 이렇게 나옵니다</t>
  </si>
  <si>
    <t>요청한도란에 44,000,000 입력 후 신청 눌러주시면
 그룹 한도는 완료입니다!</t>
  </si>
  <si>
    <t>이후 아까 첫 화면에서 카드별 한도 설정해주시면 되겠습니다!</t>
  </si>
  <si>
    <t>이미 설정이 됐다고 뜹니다</t>
  </si>
  <si>
    <t>처음 돌아가서 카드별 한도 다시 재신청해봤는데 이전과 동일하게 카드한도금액이 그룹한도 금액을 초과할 수 없다고 하네요</t>
  </si>
  <si>
    <t>네 확인 감사합니다 
 자세한 내용에 대해 롯데 측 문의 후 다시 연락드릴 수 있도록 하겠습니다.
 빠르게 대응해주셔서 감사합니다</t>
  </si>
  <si>
    <t>저희 차량 대금 결제하는 곳이 오늘 5시까지 영업해서 그 전에 해결이 되야 하는데요</t>
  </si>
  <si>
    <t>빠른 처리 부탁드릴게요 ㅠㅠ</t>
  </si>
  <si>
    <t>parkna@lottecard.co.kr
 카드 한도 설정이 안되며
 그룹 한도 조정 페이지에 들어간 경우
 정산한도 10백, 임시한도 44백으로 설정되어있습니다.
 해당 내용에 대해,
 끝번호 *671 카드에 대해 카드한도 44백으로 한도 조정이 필요합니다.</t>
  </si>
  <si>
    <t>끝번호의 경우 저에게 캡쳐주신 이미지상으로 3자리만 확인되어 위와같이 전달드렸으며, 끝번호 4자리 전체를 주시는 것이 좋을것같습니다
 메일 제목에 싸이어스라고 언급한번해주시면 더 빠르게 확인해주실 수 있습니다!</t>
  </si>
  <si>
    <t>혹시 이거 해결 안되면 보증금 환불은 따로 절차 또 있을까요 5시까지 꼭 대금 지불해야 하는 건이라 안되면 현금 이체라도 해야 해서요</t>
  </si>
  <si>
    <t>한도 수정되서 대금 결제 완료했습니다 도움 주셔서 감사합니다</t>
  </si>
  <si>
    <t>@고위드 신민선 매니저 님 종료 부탁드립니다!</t>
  </si>
  <si>
    <t>보증금 300만원과 카드결제잔액을 상계처리했는데 11월말 기준으로 미지급금액을 확인해보니 저희 장부상으로는 257만원만 지급하면 되는 것으로 확인되었습니다. 보증금 차감한 이용내역금액을 정확히 확인할 수 있을까요?</t>
  </si>
  <si>
    <t>오류</t>
  </si>
  <si>
    <t>사용내역 누르면 세부에대한 설명이 나와요!! 사용엔 문제 없습니다</t>
  </si>
  <si>
    <t>세무특공대 어디있나요?</t>
  </si>
  <si>
    <t>운영팀 연결</t>
  </si>
  <si>
    <t>안녕하세요 안진혁님 ☺️
 고위드 김일경 매니저입니다.
 무엇을 도와드릴까요? :)</t>
  </si>
  <si>
    <t>답이 늦어서 죄송합니다. 워크스페이스 라이선스 추가 권한이 필요해서 문의 드립니다</t>
  </si>
  <si>
    <t>안녕하세요!
 고위드 어드민 내에서 구글 워크스페이스 라이선스 추가를 할 수 있는 관리자 권한을 받고 싶으시다는 문의로 이해해도 될까요? :)</t>
  </si>
  <si>
    <t>관리자 권한을 새로운 분에게 드리고 싶습니다. jeesu.kim@sionic.ai</t>
  </si>
  <si>
    <t>잠시만 기다려주시겠어요? :) 빠르게 도와드리겠습니다!</t>
  </si>
  <si>
    <t>새로운분 등록을 위한 아래 정보를 여쭙습니다.
 1. 성함
 2. 이메일 (jeesu.kim@sionic.ai)
 3. 부서
 4. 직책
 5. 연락처
 감사합니다.</t>
  </si>
  <si>
    <t>추가로, 현재 고위드에 가입 되어 있지 않으신 이메일이여서, 이메일 통해 회원가입 진행 해주시면 관리자 권한 생기게 되는 점 안내 드립니다. 감사합니다. :)</t>
  </si>
  <si>
    <t>고객님, 해당 상담은 바로 종료되지 않고 보류 상태로 유지될 예정입니다.
 추가 확인이 필요하실 경우를 고려하여, 24시간 후 자동으로 종료될 예정이니 참고 부탁드립니다.
 그 전에 추가로 궁금하신 사항이나 도움이 필요하시면
 언제든지 편하게 문의해 주시면 신속히 도와드리겠습니다.
 감사합니다. 😀</t>
  </si>
  <si>
    <t>@ALF 아래 템플릿으로 고객문의 정리해줘.
 최대한 간명하게 작성해주되, 문제요약은 구체적으로 이해하기 쉽게 고위드 용어로 작성해줘. * 표시는 다 안 들어가도록 빼줘.
 [상담요약]
 • 법인명 :
 • 사업자번호 :
 • 문의 경로*: 채널톡 ​( 데스크 링크 첨부)
 • 문의 고객 성함 및 이메일: ​
 • 문제 요약: ​(한줄로, 어떤 화면/기능에서 어떤 현상인지. 핵심적인 고객의 문제, 내용을 작성해.)
 • impact Level : (아래에 기재된 impact level 조건을 따라서 기재해) 
 Impact (영향 범위/크기)
 Level 1(Strategic) : 반복적으로 발생하여 구조적으로 반드시 개선해야하는 문제
 • 매출·결제·정산 손실 발생
 • 해지/이탈로 바로 연결 
 • 법률 리스크
 Level 2(Tactical) : 개선이 필요하나 핵심구조와는 거리가 있는 문제
 • 핵심 플로우에서 반복 
 • 불편고객 불안·불신 유발 
 • CS 재문의/불만 급증 
 • 브랜드 신뢰도 하락 
 • 개선제안, 제품기능 미비 등
 Level 3(Opportunistic) : 빈도/영향도가 낮아 추후 개선이 필요한 문제
 • 수동 처리/CS 개입 증가
 • 반복 가이드·대행 업무 
 • third-party 의존으로 대응 지연 
 • 장기적으로 인력·비용 소모 
 - 자동화 opportunity</t>
  </si>
  <si>
    <t>[상담요약]
 - 법인명: 정보 없음
 - 사업자번호: 정보 없음
 - 문의 경로: 채널톡 (데스크 링크 정보 없음)
 - 문의 고객 성함 및 이메일: 장소희(아리) (이메일 정보 없음)
 - 문제 요약: 고위드 지출관리 서비스에서 이용금액이 0원인 거래의 '전체 취소'와 '부분 취소' 상태 표기에 대한 단순 오류로, 고객에게 혼란을 야기함 (수정 예정)
 - impact Level: Level 2(Tactical)</t>
  </si>
  <si>
    <t>안녕하세요, 루시 매니저님, 말씀하신 1주일이 넘었는데 카트 수령 확인 부탁드립니다.
 감사합니다.
 [Image 1]
 김폴혁 Paul Kim 
 글로벌사업본부 SCM 매니저
 Supply Chain manager, Global Business Division
 Mobile +82 010. 4076. 1161
 E-mail phkim121@drblet.com
 더퓨처(닥터블릿, 푸응 , EOA, 낫띵베럴)
 (04778) 서울특별시 성동구 뚝섬로1길 63 영창디지털타워 11층
 The Future (dr.blet, Pooeng, EOA, Nothing better)
 (04778) 11F, Youngchang Digital Tower, 63 Ttukseom-ro 1-gil, Seongdong-gu, Seoul, Republic of Korea</t>
  </si>
  <si>
    <t>김폴혁 담당자님 안녕하세요. 고위드입니다.
 루시 매니저님께 상황 전달 받고 안내드립니다.
 카드 배송까지는 3~5영업일이 소요되어, 이번주 금요일에는 배송 완료될 것으로 확인됩니다.
 금요일에도 배송 완료가 되지 않을 경우 편히 회신 부탁드리겠습니다.
 감사합니다.</t>
  </si>
  <si>
    <t>중희님 안녕하세요. 고위드입니다.
 어제자로 유선 통화 완료하여 이번 상담은 여기서 종료하도록 하겠습니다.
 다른 문의가 있으시면 새로운 창에서 문의 부탁드립니다.
 좋은 하루 되시길 바랍니다 :)</t>
  </si>
  <si>
    <t>홍주님 추가적인 문의사항 있으실까요~?</t>
  </si>
  <si>
    <t>담당자님!
 24시간이 지나 상담은 종료하도록 하겠습니다.
 유선 상담을 희망하시면 010-3791-7467 로 문의 해주시길 바라며, 문의 주시면 더 빠르게 도와드리겠습니다. :) 
 좋은 하루 되시길 바랍니다 :)</t>
  </si>
  <si>
    <t>추가 문의 없으시다면 상담 종료하도록 하겠습니다. 
 금주도 좋은 하루 되시길 바랍니다.
 감사합니다.</t>
  </si>
  <si>
    <t>기범님 안녕하세요, 고위드입니다.
 문의사항 남겨주시면 확인 후 답변 드리겠습니다!
 감사합니다.</t>
  </si>
  <si>
    <t>기범님 추가적인 문의사항 없으실까요~?</t>
  </si>
  <si>
    <t>회사 사무실 관리비를 카드에 등록해서 자동 납부 되도록 할수있나요?</t>
  </si>
  <si>
    <t>사람 상담사를 연결해주세요</t>
  </si>
  <si>
    <t>안녕하세요, 고위드 신현덕입니다. 문의주신 내용 확인중에 있습니다. 잠시만 기다려주시면 감사하겠습니다. 😀</t>
  </si>
  <si>
    <t>네 담당자님, 현재 고위드 웹, 앱에서 해당 기능 신청이 어려우며, 신한카드사 측 연락하시어 자동 이체 등록을 해주시면 되겠습니다. 
 신한카드 고객센터 번호 안내함께 드립니다. 
 - 신한카드 대표번호: 1544-7000</t>
  </si>
  <si>
    <t>고객님, 혹시 말씀주신 문제는 해결되었을까요? 
 장시간 답변이 없으실 경우 상담이 종료될 예정입니다. 
 추가 문의 있으시면 언제든지 문의 부탁드립니다.</t>
  </si>
  <si>
    <t>현재 고위드 사이트 내에서 세무특공대로 연결되던 '제휴 서비스 탭'은 사라진 것이 맞습니다. 하지만 이는 서비스 중단을 의미하는 것은 아니니 안심하셔도 됩니다..!
 상세 내용은 다음과 같습니다:
 - 서비스 이용 가능: 고위드 탭은 사라졌지만, 실제 세무특공대 서비스 사용에는 문제가 없습니다.
 이용 방법: 고위드 사이트를 통하지 않고, 세무특공대 홈페이지로 직접 접속하여 로그인하시면 기존처럼 서비스를 정상적으로 이용하실 수 있습니다. 번거로우시겠지만, 세무특공대 홈페이지의 '비밀번호 찾기' 기능을 이용하시거나 세무특공대 고객센터를 통해 계정 정보를 확인해 보시는 것을 권장해 드립니다.
 단순히 세무특공대 페이지로 넘겨주던 연결 통로(탭)만 제거된 것이므로, 서비스 이용 자체는 무방하다는 점 참고 부탁드립니다. 미리 공유드리지 못해 죄송하다는 말씀 올립니다..!</t>
  </si>
  <si>
    <t>@고위드 신민선 매니저 민선님 내부 대화 해두신 건 
 수정 후 발송 예정인걸까요??</t>
  </si>
  <si>
    <t>안녕하세요, 고위드 신현덕입니다. 문의주신 내용에 대해 답변드립니다.
 현재 고위드 사이트 내에서 세무특공대로 연결되던 '제휴 서비스 탭'은 사라진 것이 맞습니다. 하지만 이는 서비스 중단을 의미하는 것은 아니니 안심하셔도 됩니다.
 상세 내용은 다음과 같습니다:
 - 서비스 이용 가능: 고위드 탭은 사라졌지만, 실제 세무특공대 서비스 사용에는 문제가 없습니다.
 이용 방법: 고위드 사이트를 통하지 않고, 세무특공대 홈페이지로 직접 접속하여 로그인하시면 기존처럼 서비스를 정상적으로 이용하실 수 있습니다. 번거로우시겠지만, 세무특공대 홈페이지의 '비밀번호 찾기' 기능을 이용하시거나 세무특공대 고객센터를 통해 계정 정보를 확인해 보시는 것을 권장해 드립니다.
 단순히 세무특공대 페이지로 넘겨주던 연결 통로(탭)만 제거된 것이므로, 서비스 이용 자체는 무방하다는 점 참고 부탁드립니다. 미리 공유드리지 못해 죄송하다는 말씀 올립니다.</t>
  </si>
  <si>
    <t>원활한 상담 진행을 위해 해당 상담은 보류처리로 진행하도록 하겠습니다. 
 추가 문의 있으시면 언제든지 문의 부탁드립니다.</t>
  </si>
  <si>
    <t>고객님, 더 이상 답변이 없으실 경우, 자동으로 종료될 예정이니 참고 부탁드립니다.
 그 전에 추가로 궁금하신 사항이나 도움이 필요하시면
 언제든지 편하게 문의해 주시면 신속히 도와드리겠습니다.
 감사합니다. 😀</t>
  </si>
  <si>
    <t>카드 한도 남아 있는데 결제 실패</t>
  </si>
  <si>
    <t>롯데 온라인 결제 한도초과</t>
  </si>
  <si>
    <t>116,860원</t>
  </si>
  <si>
    <t>그냥 상담사 연결해주세요</t>
  </si>
  <si>
    <t>네 연결해주세요</t>
  </si>
  <si>
    <t>안녕하세요, 이소현 고객님 ☺️
 고위드 신현덕 매니저입니다. 문의주신 내용 확인중에 있습니다. 잠시만 시간 양해 부탁드립니다.</t>
  </si>
  <si>
    <t>안녕하세요 오늘 2월인데 법인카드 한도 초기화가 안된 거 같아서요 1월 30일에 보증금 계약 통해서 임시 한도 증액 신청했는데 그것도 아직 증액 적용된 상태로 확인됩니다 월 한도 초기화 적용 언제 되나요?</t>
  </si>
  <si>
    <t>네 정보 확인 후 안내 도움드리도록 하겠습니다.
 - 사업자등록번호 :
 - 법인명 :
 위 사항 기재 부탁드립니다. 😀</t>
  </si>
  <si>
    <t>사업자등록번호 : 367-81-02555
 법인명 : ㈜싸이어스</t>
  </si>
  <si>
    <t>소중한 정보 제공 감사드립니다. 확인이 진행되는 동안 잠시만 기다려주시면 감사하겠습니다.</t>
  </si>
  <si>
    <t>@ALF 롯데카드는 월한도 복원의 방식이 아니잖아. 롯데카드의 한도 복원 방식에 대해 설명해봐.</t>
  </si>
  <si>
    <t>롯데카드의 한도 복원 방식은 월 단위로 초기화되는 방식이 아닙니다.
 롯데카드는 매월 15일(공휴일인 경우 다음 영업일)에 결제 대금이 결제된 후, 결제된 금액만큼 한도가 복원되는 구조입니다. 이는 사용 기한이 45일로 설정되어 있으며, 결제 금액만큼 한도가 갱신되는 방식입니다.</t>
  </si>
  <si>
    <t>소현님 안녕하세요, 고위드입니다.
 롯데카드의 경우 월한도 복원의 방식이 아닙니다. 
 매월 15일(공휴일인 경우 다음 영업일)에 결제 대금이 결제된 후, 결제된 금액만큼 한도가 복원되는 구조입니다. 
 한도 사용 기한이 45일로 설정되어 있으며, 결제 금액만큼 한도가 갱신되는 방식입니다.
 1월 30일에 보증금 한도 상향 건은 정상 반영되신 것으로 확인됩니다! 혹시 한도 상향이 확인되지 않으실까요?</t>
  </si>
  <si>
    <t>앗 아니요 1월 30일에 임시 상향하고 2월에 다시 900만원으로 한도가 초기화 되는 걸로 잘 못 알고 있었습니다</t>
  </si>
  <si>
    <t>혹시 그러면 보증금 납입한 건은 추후 환급이 되는건가요 아니면 15일 롯데카드 대금에서 빠져나가고 차액이 있으면 환급되는 건가요?</t>
  </si>
  <si>
    <t>그리고 저희가 지금 한도가 월 1,134,500원만 남은 상태인데 오늘 오전에 10만원대 결제하려고 하니까 한도 초과로 승인이 거절 당했거든요 이건 왜 안되는걸까요?</t>
  </si>
  <si>
    <t>소현님 우선 보증금의 경우, 해당 한도를 사용하시는 동안에는 계속 예치를 해주셔야 합니다. 혹시 이번 월에만 해당 한도로 사용하시고, 이후 보증금 반환 및 원래 한도로 복원을 희망하시는 걸까요?
 현재 (주)싸이어스의 법인사한도는 말씀 주신 바와 같이 1,134,500 원으로 확인되십니다. 다만, 카드별 한도의 경우 별도로 설정되어 계실 수도 있으십니다. 승인 거절이 난 카드 번호가 어떻게 되실까요?</t>
  </si>
  <si>
    <t>3671입니다</t>
  </si>
  <si>
    <t>네 가능하면 선결제 처리하고 차액만 환급받고 싶긴 합니다</t>
  </si>
  <si>
    <t>우선 보증금 및 한도 복원의 경우, 담당자 확인 후 안내드리도록 하겠습니다!
 혹시 승인 거절된 시간 및 금액 확인 부탁 드려도 될까요? 더욱 정확한 확인을 위해 여쭈어봅니다.</t>
  </si>
  <si>
    <t>2월 2일 오전 10시경입니다</t>
  </si>
  <si>
    <t>확인 감사합니다. 문의 주신 결제 거절 건 또한 내부 확인 후 안내 드리도록 하겠습니다! 
 확인에 시간이 소요되는 점 양해 부탁드리겠습니다.
 감사합니다.</t>
  </si>
  <si>
    <t>@ALF 아래 내용을 법인향으로 작성해줘.
 그룹한도 초과로 거절된것으로 확인됩니다.
 해당그룹을 법인께서 2026-01-30~2026-01-30 임시한도 44백만원으로 기간 설정하신 뒤 31일 00:00 종료되었고
 정기한도 10,000,000원으로 변경되었습니다.
 정기한도를 운영한도만큼 부여하시면 됩니다.
 (요약) 본인이 상향된 한도를 임시한도로 처리했고, 임시한도 종료가 됏으니 원래 한도로 돌아온 것
 정규한도를 올려놓고 쓰시면됨
 저번과 마찬가지로 그룹한도 &gt; 카드 한도 순으로 하시도록</t>
  </si>
  <si>
    <t>이소현 고객님, 안녕하세요. 문의 주신 결제 거절 건에 대해 확인 결과, 그룹 한도 초과로 인해 승인이 거절된 것으로 확인됩니다.
 법인에서 2026년 1월 30일에 설정하셨던 4,400만 원의 임시 한도가 1월 31일 00시에 종료되었으며, 현재 정기 한도는 1,000만 원으로 변경되어 운영되고 있습니다. 이전에 상향된 한도는 임시 한도로 처리되었고, 임시 한도 기간이 종료되어 원래의 정기 한도로 돌아온 상황입니다.
 정상적인 결제를 위해서는 현재 운영하시는 한도에 맞게 정기 그룹 한도를 조정해 주시면 됩니다. 그룹 한도를 먼저 설정하신 후, 필요에 따라 개별 카드 한도를 조정하시는 방식으로 진행하실 수 있습니다.</t>
  </si>
  <si>
    <t>네 진행 방법 안내 부탁드립니다!</t>
  </si>
  <si>
    <t>우선 보증금 및 한도 복원의 경우, 담당자 확인 후 안내드리도록 하겠습니다! &gt; 이것도 담당자 안내 부탁드려요</t>
  </si>
  <si>
    <t>네 기다려주셔서 감사합니다. 잠시만 기다려주시면 감사하겠습니다. 😀</t>
  </si>
  <si>
    <t>그룹 한도 설정 및 개별 카드 한도정(정기 한도)은 롯데카드 홈페이지에서 직접 가능하십니다! 
 보증금 및 한도 복원은 담당자 확인 중에 있습니다. 문의 안내가 지연되어 죄송합니다. 확인되는 대로 바로 안내드릴 수 있도록 하겠습니다. 감사합니다.</t>
  </si>
  <si>
    <t>@ALF 법인 상담 내용 확인하고
 아래 내용을 법인 향으로 작성해줘.
 보증금 반환의 경우 미상환 납입금이 없을 시 가능
 카드사에 미상환 납입금 확인 -&gt; 미상환 납임금 없을 시 고위드 측에서 보증금 반환 -&gt; 복원되는 한도의 경우 기존 한도로 그대로 변경되는 것이 아니라, 당시의 법인 현황을 파악하여 다시 판단하여 한도 부여</t>
  </si>
  <si>
    <t>이소현 고객님께,
 보증금 반환 및 한도 복원 관련하여 안내드립니다.
 보증금 반환은 미상환 납입금이 없을 경우에만 가능합니다. 이 경우, 먼저 카드사에 미상환 납입금 여부를 확인해야 합니다. 미상환 납입금이 없는 것으로 확인되면 고위드 측에서 보증금 반환 절차를 진행해 드립니다.
 한도 복원의 경우, 기존 한도로 자동 변경되는 것이 아닙니다. 한도 복원 시점의 법인 현황을 다시 파악하여 판단 후 적절한 한도를 부여하게 됩니다.</t>
  </si>
  <si>
    <t>이소현 고객님 안녕하세요, 고위드입니다.
 보증금 반환 및 한도 복원 관련하여 안내드립니다.
 보증금 반환은 미상환 납입금이 없을 경우에만 가능합니다. 이 경우, 고위드에서 카드사에 미상환 납입금 여부를 확인합니다. 미상환 납입금이 없는 것으로 확인되면 고위드 측에서 보증금 반환 절차를 진행해 드립니다.
 만약 선결제를 진행하셔서 미상환 납임금이 없으실 경우, 반환 절차 정상 진행 가능하십니다.
 한도 복원의 경우, 기존 한도로 자동 변경되는 것이 아닙니다. 한도 복원 시점의 법인 현황을 다시 파악하여 판단 후 적절한 한도를 부여하게 됩니다. 이 점 참고 부탁드립니다.</t>
  </si>
  <si>
    <t>네 반환 절차 진행 부탁드립니다.</t>
  </si>
  <si>
    <t>소현님 현재 전체 선결제 하시어서, 미상환 납임금이 없는 상황이실까요?</t>
  </si>
  <si>
    <t>2월 15일자에 결제되는 금액 포함일까요?</t>
  </si>
  <si>
    <t>넵 맞습니다. 보증금 반환의 경우 카드 사용 금액 전체가 납입 완료된 후에 가능하십니다.
 2월 15일에 결제 후 보증금 반환 절차 진행 또는 선결제 통해서 전체 금액 납입 후 보증금 반환 절차 진행 가능하십니다.</t>
  </si>
  <si>
    <t>저 이해가 잘 안되는 부분이 있어서요, 카드 사용금액 전체 납입해야 보증금 반환이 가능하다고 하는데, 1월 30일에 결제한 40,621,500원은 그러면 2월 15일에 결제 대금이 빠져나가는 건가요?</t>
  </si>
  <si>
    <t>미리 낸 보증금에서 전체 카드 대금 제하고 환급 받는 방법은 어려운 건가요?</t>
  </si>
  <si>
    <t>1월 30일에 결제한 40,621,500원은 그러면 2월 15일에 결제 대금이 빠져나가는 건가요?
 → 맞습니다. 1월 1일 ~ 31일 사용 내역은 2월 15일에 결제됩니다. (선결제 가능하십니다.)
 미리 낸 보증금에서 전체 카드 대금 제하고 환급 받는 방법은 어려운 건가요?
 → 맞습니다. 보증금 반환의 경우 미상환 납입금이 없는 상황에서만 가능하십니다.</t>
  </si>
  <si>
    <t>1월 결제액 건들 방금 다 선결제 요청하고 은행에서 빠져나간 거 확인했습니다.</t>
  </si>
  <si>
    <t>40,621,500원 이거 선결제는 보증급 반환 후에 제가 롯데카드 홈페이지에서 별도 진행하면 되는건가요?</t>
  </si>
  <si>
    <t>소현님, 1월 30일에 40,621,500원 결제 하셨다고 말씀 주셨는데,
 방금 진행하신 1월 결제액 선결제에서 해당 결제 건은 함께 진행하지 않으신걸까요?
 정확한 안내를 위해 여쭙습니다!</t>
  </si>
  <si>
    <t>홈페이지 상에 해당 건은 결제 목록에 안 떠있었습니다</t>
  </si>
  <si>
    <t>이게 홈페이지 상에</t>
  </si>
  <si>
    <t>그 선결제 목록에 안 떠있어서 물어본거였어요</t>
  </si>
  <si>
    <t>결제한 대로면 3671 카드 선결제 가능액이 4천만원이 넘게 떠있어야 하는데 200만원 조금 넘게 있어서요</t>
  </si>
  <si>
    <t>소현님 괜찮으시면 제가 유선으로 한 번 안내 도와드려도 괜찮으실까요?</t>
  </si>
  <si>
    <t>소현님 유선 안내 도와드렸습니다.
 이번 상담은 여기서 종료하도록 하겠습니다.
 다른 문의가 있으시면 새로운 창에서 문의 부탁드립니다.
 좋은 하루 되시길 바랍니다 :)</t>
  </si>
  <si>
    <t>@ALF 페이바이카드 페이백 관련된 문서 알려줘</t>
  </si>
  <si>
    <t>페이바이카드 페이백에 대한 문서는 다음과 같습니다.
 페이바이카드란?
 이 문서에는 페이바이카드 서비스 수수료와 FUEL 서비스 수수료, 그리고 페이백에 따른 예상 실질 수수료가 표로 정리되어 있습니다.
 - 페이바이카드
 - BC카드 기준: 2.2% (FUEL 수수료 1.3%, 페이백 -0.5% 적용 시 단독 사용 예상 실질 수수료 1.7%, FUEL 서비스 동시 사용 시 3.0%)
 - 롯데/신한카드 기준: 2.45% (FUEL 수수료 1.3%, 페이백 -0.45% 적용 시 단독 사용 예상 실질 수수료 2%, FUEL 서비스 동시 사용 시 3.3%)
 - 페이바이카드 플러스
 - BC카드 기준: 2.4% (FUEL 수수료 1.3%, 페이백 -0.5% 적용 시 단독 사용 예상 실질 수수료 1.9%, FUEL 서비스 동시 사용 시 3.2%)
 - 롯데/신한카드 기준: 2.65% (FUEL 수수료 1.3%, 페이백 -0.45% 적용 시 단독 사용 예상 실질 수수료 2.2%, FUEL 서비스 동시 사용 시 3.5%)
 광고비 특화카드(체크카드) 소개
 이 문서에는 페이백 포인트 적립 및 이용 방법에 대한 상세 내용이 있습니다.
 - 적립 시점: 건별 카드 매입 시점(결제 후 2-3일 소요)에 자동으로 카드사 포인트로 적립됩니다.
 - 포인트 활용 방법: 페이백된 금액은 각 카드사 홈페이지에서 로그인 후 확인할 수 있습니다.
 - 롯데카드: 해외 결제 시 2.0%, 국내 결제 시 1.5% 페이백. 현금처럼 출금(이체) 또는 롯데카드 결제대금으로 사용 가능합니다.
 - 신한카드: 해외 결제 시 2.3% 페이백, 국내 결제 시 페이백 없음. 현금처럼 출금(이체) 또는 신한카드 홈페이지 내 복지몰에서 현금처럼 활용 가능합니다.
 참고: 위 페이백률은 소기업 인증 법인 기준이며, 소기업 미인증 법인의 경우 국내외 모두 0.5%로 페이백률이 제한됩니다.</t>
  </si>
  <si>
    <t>현영님, 안녕하세요
 고위드 입니다.
 법인카드 발급 과정에서 확인이 필요한 사항이 있어 연락드립니다.
 신청과정중에 연결하고자 하신 계좌에 오류가 있어, 해당 계좌 사본한번 첨부해주실 수 있을까요?
 해당 계좌가 농협인데 중앙회인지, 지역 농협인지도 함께 회신 부탁드리겠습니다!
 감사합니다</t>
  </si>
  <si>
    <t>📌 기존 상담: (https://desk.channel.io/gowid/user-chats/%EC%A1%B0%ED%98%84%EC%98%81-697ff97fe53dd6a4dc60)</t>
  </si>
  <si>
    <t>고위드 신민선매니저님께,
 안녕하세요. 송버드 조현영입니다.
 법인카드 신규 발급과 관련하여 출금 계좌에 대한 통장사본을 첨부와 같이 보내드립니다.
 고맙습니다.
 조현영 드림</t>
  </si>
  <si>
    <t>빠르게 회신 주셔서 감사합니다! 
 해당 내용 바탕으로 조치가 이루어질 수 있도록 하겠습니다.
 추가적인 보완사항 발생 시에 또 연락드릴 수 있도록 하겠습니다.
 감사합니다!</t>
  </si>
  <si>
    <t>@고위드 신민선 매니저민선님 찾는 법인!!</t>
  </si>
  <si>
    <t>안녕하세요. 제가 신청한 법인카드는 그 때 보증금이 있어야 한다고 나왔는데.. 그 후에 연락이 없어서</t>
  </si>
  <si>
    <t>휴대폰으로 전화 부탁 드립니다.</t>
  </si>
  <si>
    <t>안녕하세요, 한명준님 고위드 신현덕입니다. 확인이 진행되는 동안 잠시만 시간 양해 부탁드립니다.</t>
  </si>
  <si>
    <t>감사합니다. 원활한 확인을 위해 아래 사항 기재 부탁드립니다. 
 - 사업자등록번호 :
 - 법인명 :</t>
  </si>
  <si>
    <t>사업자: 838-81-03982
 딥블루인사이트에이아이</t>
  </si>
  <si>
    <t>현재 우리카드 법인카드 한도 16백만원으로 발급 받았고&lt;</t>
  </si>
  <si>
    <t>DB증권에 총자산이 7억3천만원 정도 있습니다.</t>
  </si>
  <si>
    <t>이건 제가 유선 할게요</t>
  </si>
  <si>
    <t>(검토중이신건가요?)</t>
  </si>
  <si>
    <t>네 고객님, 현재 내부에서 정보 확인 중에 있으며, 안내주신 번호로 유선 안내 드릴 예정입니다. 조금만 시간 양해 부탁드립니다.</t>
  </si>
  <si>
    <t>명준님 안녕하세요. 고위드입니다.
 법인께서 다시 한도 조회하실 수 있도록 조치해두었습니다.
 고위드 재접속하시어, 한도 재조회 부탁드립니다.
 고위드에 등록하신 공동인증서에 말씀 주신 DB증권 계좌 연동이 되어있어야 정확한 한도 산출이 가능한 점 안내드립니다. 
 감사합니다.</t>
  </si>
  <si>
    <t>넵! 고맙습니다.</t>
  </si>
  <si>
    <t>제가 증권사 인증서를 연동했는데.. 증권계좌는 못 불러오는 이유가 뭘까요?</t>
  </si>
  <si>
    <t>혹시 해서..증권 인증서 삭제 후 다시 등록하고 해봐도</t>
  </si>
  <si>
    <t>연결계좌 현황에 증권사는 안뜹니다.</t>
  </si>
  <si>
    <t>개발팀 확인 필</t>
  </si>
  <si>
    <t>명준님 문의 주신 사항은 개발팀에 전달하여, 문제 원인 파악 및 해결 도와드리겠습니다. 시간이 소요될 수 있어 조금만 시간 양해해주시면 감사하겠습니다. 문의 해결이 지연되어 죄송합니다.</t>
  </si>
  <si>
    <t>넵. 고맙습니다.</t>
  </si>
  <si>
    <t>요청하신 고객 문의 내용을 정리해 드립니다.
 - 법인명: 딥블루인사이트에이아이
 - 사업자번호: 838-81-03982
 - 문의 경로: 채널톡 (데스크 링크 첨부 필요)
 - 문의 고객 성함 및 이메일: 한명준 (이메일 정보 없음)
 - 문의 인입 일시: 2026-02-02 12:05:00
 - 문제 요약: 증권사 공동인증서 연동 후, 증권계좌가 연결계좌 현황에 불러와지지 않는 현상 발생
 - 발생 시점: 현재 지속적으로 발생 (재등록 시도 후에도 동일)
 - 고객영향도: 중</t>
  </si>
  <si>
    <t>명준님 안녕하세요, 고위드입니다.
 일시적인 오류로 인하여 DB증권 계좌 확인이 불가했던 것으로 확인됩니다.
 다시 시도 부탁드려도 될까요? 감사합니다.</t>
  </si>
  <si>
    <t>고맙습니다. 증권사에 7억이 있는데도 보증료 나와서.. ㅜㅜ 나중에 신청하겠습니다. 타 카드사 연동 되면.. 그 때 같이 자금 관리 하고 싶었거든요.. 신경써 주셔서 고맙습니다.^^</t>
  </si>
  <si>
    <t>네 확인해주셔서 감사합니다. 언제든지 문의주시면 빠르게 응대 도움드릴 수 있도록 하겠습니다.
 저희가 추가로 도움 드릴 내용이 있으실까요?</t>
  </si>
  <si>
    <t>안녕하세요. 좀 전에 통화하고 다시 한도조회 해 봤는데.. “특별심사”입력칸은 나오지 않고, 똑같이 “보증금 거치를 통한 한도”라고만 나옵니다.</t>
  </si>
  <si>
    <t>한명준님 안녕하세요, 유선으로 안내 드렸던 권민규 매니저입니다.
 개발팀 확인 후 유선으로 안내 드렸으나 관련해서 내부 착오가 있었던 것으로 확인됩니다. 서비스 이용에 불편을 드려 죄송합니다.
 제가 다시 한 번 확인 후에 안내드릴 수 있도록 하겠습니다!
 감사합니다.</t>
  </si>
  <si>
    <t>@ALF 정말 ㅈㅅ하다고 내부 착오가 있었다고 현재는 보증금 입회만 가능하다고 전달 드려. 번거롭게 해드려 진심으로 너무 죄송하다고.</t>
  </si>
  <si>
    <t>한명준님, 내부 착오로 인해 서비스 이용에 불편을 드린 점 진심으로 죄송합니다. 현재는 보증금 입회를 통한 한도 설정만 가능함을 안내드립니다. 번거롭게 해드린 점 다시 한번 사과드립니다.</t>
  </si>
  <si>
    <t>한명준님, 내부 착오로 인해 서비스 이용에 불편을 드린 점 진심으로 죄송합니다. 
 현재 내부 심사팀 및 개발팀 재확인 결과 보증금 입회를 통한 한도 설정만 가능함을 안내드립니다. 번거롭게 해드린 점 다시 한번 사과드립니다. 이후 타카드사 연동 가능 시 입회 후 함께 관리 부탁드리겠습니다. 감사합니다.</t>
  </si>
  <si>
    <t>더파운더즈 / 814-86-00820
 법인카드 사용 내역 고위드 조회 안됨
 5525-7642-1642-2432</t>
  </si>
  <si>
    <t>내용 맞습니다.!</t>
  </si>
  <si>
    <t>@고위드 신현덕 매니저 
 1. 데이터독에 접속하여 법인 화면 같이 확인해보고!
 2. 실제로 확인 불가하다면 제품이슈에 올리기
 로 진행하시죠!
 법인께서 고위드 로그인 하신 계정만 확인 부탁드립니다!</t>
  </si>
  <si>
    <t>안녕하세요, 박은주님 고위드 신현덕입니다. 문의 주신 내용 확인이 진행되는 동안 잠시만 기다려주시면 감사하겠습니다.</t>
  </si>
  <si>
    <t>혹시 해당 부분을 확인한 고위드 계정이 어떤 계정인지 알려주실 수 있으실까요?</t>
  </si>
  <si>
    <t>안녕하세요!</t>
  </si>
  <si>
    <t>고위드 계정이라는게 어떤 내용일가요?</t>
  </si>
  <si>
    <t>현재 로그인하신 계정을 알려주시면 되겠습니다. 😀</t>
  </si>
  <si>
    <t>ej.park@thefounders.kr 입니다</t>
  </si>
  <si>
    <t>저희가 카드를 관리하시는 소지자에게 배정을 해드리는데 2432 카드가 지난 12월에도 한번 이용 내역이 조회가 안되었던 적이 있었고 이번에도 동일하게 조회가 안된다고 하시더라고요</t>
  </si>
  <si>
    <t>(일부만 조회되는 상황)</t>
  </si>
  <si>
    <t>이렇게 1월초 내역만 확인된다고 합니다</t>
  </si>
  <si>
    <t>네 확인 감사합니다. 현재 내부 확인이 필요하여, 확인 후 빠르게 안내드리도록 하겠습니다. 잠시만 시간 양해 부탁드립니다.</t>
  </si>
  <si>
    <t>네! 감사합니다!</t>
  </si>
  <si>
    <t>저 캡쳐 화면이 누구 계정으로 로그인 했는지를 확인해야 할 거 같아요!
 말하시는 거 보니깐 은주님 계정이 아닌 거 같은 느낌...
 2432는 이나은님 카드셔서, 제 생각에는 이나은님 캡쳐 화면은 은주님이 전달주시는 거 같거든요</t>
  </si>
  <si>
    <t>보내주신 캡쳐본은 고객님 계정으로 캡쳐를 한 화면인지, 위 캡쳐본에 확인되는 성함의 계정으로 캡쳐를 한 화면인지 확인해주실 수 있으실까요?</t>
  </si>
  <si>
    <t>제 화면으로 캡쳐한 화면입니다!</t>
  </si>
  <si>
    <t>해당 카드 소지자분께서도</t>
  </si>
  <si>
    <t>저 3개의 내역만 확인 된다고 하십니다.!</t>
  </si>
  <si>
    <t>네 확인 감사합니다. 확인까지 일정시간 소요될 것으로 보여, 문제 확인 후 재안내드려도 괜찮으실까요?</t>
  </si>
  <si>
    <t>@고위드 신현덕 매니저 
 1. 해당 카드로 저 날짜 이후에 결제 건 있는지 메타베이스 통해 확인
 2. 실제로 있다고 하면 제품이슈제보에 올리기 (카드 소지자 및 슈퍼 관리자 모두에게서 확인 불가한 점)</t>
  </si>
  <si>
    <t>네! 부탁드립니다 :)</t>
  </si>
  <si>
    <t>아잠깐만요!</t>
  </si>
  <si>
    <t>중복카드 문제입니다</t>
  </si>
  <si>
    <t>보경님 감사합니다. 조치 후 말씀 주시면 법인 소통하겠습니다!</t>
  </si>
  <si>
    <t>준하입니다</t>
  </si>
  <si>
    <t>중복카드인데 고객이 두개 카드번호를 똑같이 입력해서 생긴 문제거든요</t>
  </si>
  <si>
    <t>이거 중복카드 처리해놓은거 원복하고 말씀드릴게요~</t>
  </si>
  <si>
    <t>ㅋㅋㅋ 준하님.. 감사합니다!! ㅠㅠ</t>
  </si>
  <si>
    <t>ㅋㅋㅋㅋ넹</t>
  </si>
  <si>
    <t>완료</t>
  </si>
  <si>
    <t>아니요.. 조치된게 아닙니다</t>
  </si>
  <si>
    <t>언제, 어떻게 고객에게 안내가 나가야할지도 함께 기재 부탁드립니다!</t>
  </si>
  <si>
    <t>고객이 중복카드 해소를 해야합니다.. 회의중이라서 끝나면 말씀드릴게요</t>
  </si>
  <si>
    <t>위 사진처럼 중복카드에서 '전체 카드' 번호를 입력 필요
 위 [중복카드] 탭으로 이동하셔서 전체 카드번호를 입력해주시면됨</t>
  </si>
  <si>
    <t>@ALF 민규님 내용에 더해서 '이전에 고객님이 잘못 입력해주셔서 이용내역이 제대로 반영 안되었을거다, 카드번호 다시 입력할 수 있게 해놓았으니 수정 부탁드린다' 라고 전달하고싶어</t>
  </si>
  <si>
    <t>고객에게 전달할 메시지로, 다음과 같이 안내할 수 있습니다.
 "이전에 고객님께서 카드 번호를 잘못 입력해주셔서 이용내역이 제대로 반영되지 않았습니다. 현재 카드번호를 다시 입력할 수 있도록 조치해 두었으니, [중복카드] 탭으로 이동하셔서 전체 카드번호 16자리를 정확하게 입력하여 수정해주시면 됩니다. '카드번호 입력하고 해결하기' 버튼을 눌러주세요."</t>
  </si>
  <si>
    <t>은주님 안녕하세요!
 이전에 법인께서 카드 번호를 잘못 입력해주셔서 이용내역이 제대로 반영되지 않았습니다. 현재 카드번호를 다시 입력할 수 있도록 조치해 두었으니, [중복카드] 탭으로 이동하셔서 전체 카드번호 16자리를 정확하게 입력하여 수정해주시면 됩니다. '카드번호 입력하고 해결하기' 버튼을 눌러서 입력 부탁드립니다. 감사합니다.</t>
  </si>
  <si>
    <t>매니저님 혹시 중복카드 탭은 어느 메뉴에 있을까요?</t>
  </si>
  <si>
    <t>- 슈퍼관리자 로그인 &gt; [카드 소지자 관리] &gt; [신한] 탭 클릭 후 [중복카드] 탭 클릭
 으로 확인 가능하십니다!</t>
  </si>
  <si>
    <t>카드 추가 발급 시 해당 카드의 한도를 다르게 조정할 수 있나요?</t>
  </si>
  <si>
    <t>카드배송이 대표이사 전 주소로 되었는데, 신 주소를 입력할 수 없나요?</t>
  </si>
  <si>
    <t>안녕하세요, 고위드 신현덕입니다. 확인이 진행되는 동안 잠시만 기다려주시면 감사하겠습니다. 😀</t>
  </si>
  <si>
    <t>1. 해당 법인 롯데카드 사용 중
 2. 롯데카드는 법인 사업장 소재지로 카드가 자동 발송 되는 시스템
 3. 법인 사업장 소재지를 변경하기 위해서는 법인의 관리책임자가 직접 롯데카드로 메일 요청을 해야함.
 4. 메일 내용은 아래와 같음 
 5. 고위드 주소 변경은 설정&gt;법인정보&gt;기본정보 업데이트 로 가능</t>
  </si>
  <si>
    <t>예시)
 안녕하세요, 주식회사 라이트베이스 박소원 대표님.
 고위드 권민규 매니저입니다.
 롯데카드의 경우 배송지 변경과 관련된 사항은 '관리책임자'가 직접 요청할 때만 이후 절차가 진행됩니다.
 따라서, 롯데카드 측으로 메일 발송 시 관리책임자 계정의 메일로 발송해주시면 감사하겠습니다.
 [주소지 변경 메일 발송 안내]
 - 관리 책임자께서 메일로 근무지 주소 변경 요청 메일에 내용을 표기하여 전달해주시면 롯데카드 내부심사 접수 후 회신 예정입니다.
 - 정보변경의 경우 심사기간을 포함하여 영업일 기준 3~5일 소요될 수 있습니다.
 - 접수 방법
 - 아래 담당자 메일로
 - (1) 사업자번호, (2) 법인명, (3) 변경 주소지, (4) 변경 사유 등을 기재하셔서 
 - 아래 메일로 회신 부탁드립니다.
 - 담당자 이메일: 롯데카드 법인카드사업팀 (박나연), parkna@lottecard.co.kr
 이외에, 명세서 등 공용카드의 주소를 변경하고자 하시는 경우
 롯데카드 법인홈페이지 &gt; 법인관리자로 로그인 &gt; 관리 &gt; 법인정보 변경.관리 &gt; 법인명의 법인카드 정보 변경에서 수정하실 수 있는 점 참고 부탁드립니다.
 감사합니다.
 권민규 드림</t>
  </si>
  <si>
    <t>안녕하세요, 현재 고객님께서는 롯데카드 법인카드를 사용 중이신 것으로 확인됩니다.
 롯데카드의 경우, 법인카드는 법인 사업장 소재지 주소로 자동 발송되는 시스템으로 운영되고 있습니다.
 따라서 법인 사업장 주소 변경을 원하실 경우, 법인의 관리책임자께서 직접 롯데카드 측으로 이메일 요청을 해주셔야 합니다.
 이메일 요청 시에는 아래 양식을 참고해 주시기 바랍니다.
 [주소지 변경 메일 발송 안내]
 - 관리 책임자께서 메일로 근무지 주소 변경 요청 메일에 내용을 표기하여 전달해주시면 롯데카드 내부심사 접수 후 회신 예정입니다.
 - 정보변경의 경우 심사기간을 포함하여 영업일 기준 3~5일 소요될 수 있습니다.
 - 접수 방법
 - 아래 담당자 메일로
 - (1) 사업자번호, (2) 법인명, (3) 변경 주소지, (4) 변경 사유 등을 기재하셔서 
 - 아래 메일로 회신 부탁드립니다.
 - 담당자 이메일: 롯데카드 법인카드사업팀 (박나연), parkna@lottecard.co.kr
 또한, 고위드에 등록된 법인 주소 변경은
 설정 &gt; 법인정보 &gt; 기본정보 메뉴에서 직접 수정하실 수 있으니 함께 확인 부탁드립니다. 😀</t>
  </si>
  <si>
    <t>안녕하세요, 현재 고객님께서는 롯데카드 법인카드를 사용 중이신 것으로 확인됩니다.
 롯데카드의 경우, 법인카드는 법인 사업장 소재지 주소로 자동 발송되는 시스템으로 운영되고 있습니다.
 따라서 법인 사업장 주소 변경을 원하실 경우, 법인의 관리책임자께서 직접 롯데카드 측으로 이메일 요청을 해주셔야 합니다.
 이메일 요청 시에는 아래 양식을 참고해 주시기 바랍니다.
 [주소지 변경 메일 발송 안내]
 - 관리 책임자께서 메일로 근무지 주소 변경 요청 메일에 내용을 표기하여 전달해주시면 롯데카드 내부심사 접수 후 회신 예정입니다.
 - 정보변경의 경우 심사기간을 포함하여 영업일 기준 3~5일 소요될 수 있습니다.
 - 접수 방법
 - 아래 담당자 메일로
 - (1) 사업자번호, (2) 법인명, (3) 변경 주소지, (4) 변경 사유 등을 기재하셔서 
 - 아래 메일로 회신 부탁드립니다.
 - 담당자 이메일: 롯데카드 법인카드사업팀 (박나연), parkna@lottecard.co.kr
 이외에, 명세서 등 공용카드의 주소를 변경하고자 하시는 경우
 롯데카드 법인홈페이지 &gt; 법인관리자로 로그인 &gt; 관리 &gt; 법인정보 변경.관리 &gt; 법인명의 법인카드 정보 변경에서 수정하실 수 있는 점 참고 부탁드립니다.
 또한, 고위드에 등록된 법인 주소 변경은
 설정 &gt; 법인정보 &gt; 기본정보 메뉴에서 최신화 가능하오니 함께 확인 부탁드립니다. 😀</t>
  </si>
  <si>
    <t>안녕하세요 문의드립니다.
 1. 임직원 분들께 고위드 초대메일 한꺼번에 보내고 싶은데 그런 기능은 없나요?
 2. 팀장직급이 쓰고있는 카드는 팀원들과 연동하는건 어떻게 할 수 있나요?</t>
  </si>
  <si>
    <t>멤버를 이미 추가 했는데 처음에 메일을 안보냈습니다. 내부 이슈때문에요.. 그러고 나서는 초대메일 보낼 때 한명한명 보내야 하나요...?</t>
  </si>
  <si>
    <t>각 카드가 직원에게 배정이 되는데, 이게 직원이 개인계좌가 아니라 법인계좌로 모두 연동되어 있는거지?</t>
  </si>
  <si>
    <t>이게 신용카드이지? 체크 카드가 아니라?</t>
  </si>
  <si>
    <t>그러면 직원이 특정 지출에 대해서 지출을 올리면 내가 이걸 승인 해주는 구조인데, 만약에 이게 회사 내규에 안 맞게 잘못 올린 케이스라고 하면, 이 부분은 어떻게 처리해?</t>
  </si>
  <si>
    <t>만약에 한도가 200만원이야. 근데 사람들이 사용한 비용이 지금 180만원이라 거의 다 찼는데, 비용이 빠지는게 25일이라고 가정할께. 오늘은 15일이야. 그럼 내가 180만원 비용 결제(선결제 식)으로 오늘 하면 25일까지 다시 한도가 200만원 되는게 맞아?</t>
  </si>
  <si>
    <t>안녕하세요 처음 가입할때 사용한 이메일을 회사 메일로 변경하고 싶습니다. 안내부탁드려요</t>
  </si>
  <si>
    <t>네 담당자님, 변경 원하시는 이메일 알려주시면 변경 도움드리도록 하겠습니다. 😀</t>
  </si>
  <si>
    <t>메일 주소는 GAM에서 변경 가능합니다. 저희가 멤버 관리에서 변경가능합니다!.
 이름 / 기존 메일 / 변경 메일 함께 받고 있습니다</t>
  </si>
  <si>
    <t>로그인 아이디도 변경되는 걸까요? 제가 개인계정으로 가입해서요</t>
  </si>
  <si>
    <t>master@heart-travel.co.kr</t>
  </si>
  <si>
    <t>이걸로 부탁드립니다!</t>
  </si>
  <si>
    <t>말씀주셔서 감사합니다. 기존 메일은 hj4825***@naver.com이 맞으실까요?</t>
  </si>
  <si>
    <t>넵 맞습니다</t>
  </si>
  <si>
    <t>네 고객님, 저희 측에서 즉시 변경 처리 진행 할 예정인데요, 반영까지는 약 5~10분 가량 소요될 수 있는 점 안내드립니다. 😀</t>
  </si>
  <si>
    <t>옙 감사합니다 :)</t>
  </si>
  <si>
    <t>네 감사합니다. 저희가 추가로 도움 드릴 내용이 있으실까요?</t>
  </si>
  <si>
    <t>없습니다! 그럼 로그인시 아이디는 저 이메일 입력하고 비번은 그대로인가요?</t>
  </si>
  <si>
    <t>저 죄송한데...</t>
  </si>
  <si>
    <t>admin@heart-travel.co.kr</t>
  </si>
  <si>
    <t>이걸로 변경될까요.. 담당자가 이 계정은 admin으로 사용해야한다고 해서요^^;;</t>
  </si>
  <si>
    <t>네 담당자님, 재변경 요청 완료되었습니다. 비밀번호는 변경되지 않으므로 로그인은 기존처럼 해주시면 되겠습니다. 😀</t>
  </si>
  <si>
    <t>네 감사합니다 ^^ 확인해볼께요!</t>
  </si>
  <si>
    <t>헛 지금은 master로 로긴되네요 10분후에 다시 해보겠습니다</t>
  </si>
  <si>
    <t>요청하신 템플릿에 맞춰 고객 문의를 정리했습니다.
 - 법인명 :
 - 사업자번호 :
 - 문의 경로: 채널톡 (데스크 링크 첨부)
 - 문의 고객 성함 및 이메일: 오현진, admin@heart-travel.co.kr
 - 문의 인입 일시: 2026-02-05 15:27:24
 - 문제 요약: 고객 로그인 아이디(이메일)를 `admin@heart-travel.co.kr`로의 변경 요청 및 반영 여부 확인
 - 발생 시점: 오늘 발생
 - 고객영향도: 중</t>
  </si>
  <si>
    <t>admin으로 변경 되었을까요..???</t>
  </si>
  <si>
    <t>네 담당자님 안내가 늦어 죄송합니다. 현재 연속 시도로 인해 일시적으로 등록이 되지 않고있어 관련부서에 수기 변경 요청을 드려놓은 상황입니다.
 번거로우시겠지만 조금만 시간 양해 부탁드립니다.</t>
  </si>
  <si>
    <t>아하 넵넵 알겠습니다</t>
  </si>
  <si>
    <t>담당자님, 변경 처리가 완료되었습니다. 시도해보시고 혹여나 진행이 되지 않으시면 편히 말씀부탁드립니다.
 감사합니다.</t>
  </si>
  <si>
    <t>고객님, 혹시 말씀주신 문제는 해결되었을까요? 😀
 답변이 없으실 경우 5분 뒤 상담이 종료될 예정입니다. 
 추가 문의 있으시면 언제든지 문의 부탁드립니다.</t>
  </si>
  <si>
    <t>@ALF 아래 템플릿으로 고객문의 정리해줘.
 최대한 간명하게 작성해주되, 문제요약은 구체적으로 이해하기 쉽게 고위드 용어로 작성해줘. * 표시는 다 안 들어가도록 빼줘.
 [상담요약]
 • 법인명 :
 • 사업자번호 :
 • 문의 경로*: 채널톡 ​( 데스크 링크 첨부)
 • 문의 고객 성함 및 이메일: ​
 • 문제 요약: ​(한줄로, 어떤 화면/기능에서 어떤 현상인지. 핵심적인 고객의 문제, 내용을 작성해.)
 • impact Level : (아래에 기재된 impact level 조건을 따라서 기재해)</t>
  </si>
  <si>
    <t>요청하신 템플릿에 맞춰 고객 문의를 정리했습니다.
 - 법인명 :
 - 사업자번호 :
 - 문의 경로: 채널톡 (데스크 링크 첨부)
 - 문의 고객 성함 및 이메일: 오현진, admin@heart-travel.co.kr
 - 문제 요약: 고객 로그인 아이디(이메일) 변경 요청 (admin@heart-travel.co.kr) 후, 연속 시도로 인한 변경 처리 지연 및 수동 변경 완료.
 - impact Level : `impact Level`을 판단하기 위한 기준이 제공되지 않아 해당 항목은 비워두었습니다.</t>
  </si>
  <si>
    <t>카드사 심사중으로 나오는데 심사가 되고있나요?</t>
  </si>
  <si>
    <t>아침에 신용조회랑 진행된거같은데</t>
  </si>
  <si>
    <t>안녕하세요, 고위드 신현덕입니다. 문의주신 내용 확인 중에 있습니다. 잠시만 기다려 주시면 감사하겠습니다.</t>
  </si>
  <si>
    <t>안녕하세요, 빠른 문제 파악을 위해 아래 내용을 적어 주세요! 꼼꼼히 확인하여 도움 드리겠습니다 
 - 법인명 / 사업자번호</t>
  </si>
  <si>
    <t>씨앤디네트워크 / 6658103477</t>
  </si>
  <si>
    <t>소중한 정보확인 감사드립니다. 빠른 확인 후 안내 드리도록 하겠습니다.</t>
  </si>
  <si>
    <t>기범님, 신청하신 신한카드 3매는 정상 신청되신 것으로 확인되십니다. 
 1월 30일에 접수 완료하셔서, 신한카드 심사 중에 있는 것으로 확인 됩니다.
 감사합니다.</t>
  </si>
  <si>
    <t>결과는 아직인거죠 ???</t>
  </si>
  <si>
    <t>그리고 구독한도부여도 심사를 받아야되나요 ?</t>
  </si>
  <si>
    <t>넵 카드사 심사는 최장 4영업일이 소요되십니다!
 구독 한도의 경우 담당자 분께서 이어서 안내드릴 예정입니다. 잠시만 기다려주시면 감사하겠습니다.</t>
  </si>
  <si>
    <t>@고위드 김일경 매니저 
 일경님 구독 한도 관련해서 제가 아는 바가 없어서 확인 부탁드립니다.</t>
  </si>
  <si>
    <t>@고위드 이규호 님, 구독 한도 관련하여 답변 부탁 드려도 될까요? (답변 전에 이 내용 먼저 반영 부탁 드릴게요!</t>
  </si>
  <si>
    <t>안녕하세요 전기범 담당자님
 고위드 구독팀 이규호 매니저입니다.
 구독 한도는 시스템 상 산출 되었으나 서비스 이용이 불가하신 상황으로 확인됩니다.
 특별한도 심사를 원하시는 경우 아래 내용에 대해 보완하여 올려주시면,
 리스크 부서를 통해 심사한 후 안내 도와드리겠습니다.
 1. 전체 계좌의 인증서가 등록된 것이 맞는지 확인
 2. 서비스 소개서 혹은 사업 내용에 대한 구체적인 설명
 3. 보증금 예치 가능 여부(약 1년 구독료)
 4. 이용 예정인 장비 혹은 필요 한도</t>
  </si>
  <si>
    <t>안녕하세요</t>
  </si>
  <si>
    <t>심사문의 드립니다.</t>
  </si>
  <si>
    <t>대표자 신용조회가 또 발생했는데 발급이 되는건지</t>
  </si>
  <si>
    <t>발급이 안되는거면 조회를 안하셨으면 좋겠어서..</t>
  </si>
  <si>
    <t>담당자님 기다려주셔서 감사합니다. 현재 내부적인 프로세스에서 재심사가 이루어진 것으로 확인되며, 현재 심사과정 중에 있는 것으로 확인됩니다. 해당 부분에 결과가 나오는 즉시 담당자님께 다시 한 번 안내드리도록 하겠습니다.
 이용에 불편드려 죄송합니다.</t>
  </si>
  <si>
    <t>발급 관련 심사가 진행 중인 건이라 조회가 진행 중.
 이번주 내로 담당자가 회신 드릴 수 있도록 하겠다.</t>
  </si>
  <si>
    <t>담당자님 기다려주셔서 감사합니다. 해당 심사 결과에 대해서는 이번주 내로 담당자가 회신 드릴 수 있도록 하겠습니다. 
  우선 다시 한 번 혼선을 드려 죄송하다는 말씀 전해드리며, 빠른 안내 요청드리도록 하겠습니다.</t>
  </si>
  <si>
    <t>해당 상담은 종료하지 않고 보류 처리 진행 후 고객님께 재안내 드릴 예정입니다. 괜찮으실까요?</t>
  </si>
  <si>
    <t>상담 보류 처리 후 고객님께 재안내 드리도록 하겠습니다. 추가적인 문의 있으시면 언제든지 문의 바랍니다.
 감사합니다. 😀</t>
  </si>
  <si>
    <t>7998 김윤진 카드 한도가 0원으로 나오는데 왜그럴까요?</t>
  </si>
  <si>
    <t>신한카드입니다</t>
  </si>
  <si>
    <t>기존에 쓰던 카드인데 상담사 연결 부탁드리겠습니다.</t>
  </si>
  <si>
    <t>(주)베스펙스/626-81-02814
 법인카드 추가발급 중 사업자번호 검증 중 오류가 발생했다는 메세지가 계속 뜹니다. 사업자등록번호는 정상입니다.</t>
  </si>
  <si>
    <t>안녕하세요, 고위드 신현덕입니다. 문의주신 내용 확인 진행하여 답변드리도록 하겠습니다. 잠시만 시간 양해 부탁드립니다.</t>
  </si>
  <si>
    <t>1. 도입신청서는 기가입 회원의 경우 저런 오류가 뜸
 2. 도입신청서 작성할 필요가 없고, 바로 로그인 하여 추가발급 진행해주시면 됨</t>
  </si>
  <si>
    <t>카드 추가발급/재발급은 고위드 페이지가 아닌 카드사 홈페이지에서 진행되며, 고객님께서는 현재 도입신청서를 작성 중에 계십니다. 
 [고위드 웹 로그인] - [왼쪽 사이드바 '카드관리'] - [기존 카드 추가 발급] 경로로 이동하시어 발급 받아주시면 됩니다.
 혹시 시도해보시고 어려우신 부분이 있으실 경우 말씀 부탁드립니다. 😀</t>
  </si>
  <si>
    <t>롯데카드에서
 "[롯데카드] 법인 회원 및 카드 계약서류 안내" 관련 메일이왔습니다 추가적으로 해야하는 일은 무엇일까요?</t>
  </si>
  <si>
    <t>해당 메일이 온것보면 심사는 끝난것 같은데 신청중인 카드에서는 심사중으로 떠있어서 연락드립니다.</t>
  </si>
  <si>
    <t>담당자님, 기다려주셔서 감사합니다.
 - 추가 작업 필요 여부: 해당 메일에 '서류 보완'이나 '전자서명 요청' 등의 구체적인 요청 사항이 없다면, 단순히 계약서류 보관용으로 발송된 것이므로 추가로 하실 일은 없습니다.
 - 심사 기간: 카드사 심사부터 카드 수령까지는 통상적으로 영업일 기준 7~10일(최대 15일) 정도 소요됩니다. 심사가 완전히 완료되면 별도의 안내 메일이 다시 발송되며, 시스템상의 상태도 변경될 예정입니다.
 심사 중 특이 사항이나 보완이 필요한 경우에는 고위드 측에서 별도로 연락을 드리고 있으니, 조금만 더 기다려 주시면 감사하겠습니다.</t>
  </si>
  <si>
    <t>"[롯데카드] 법인 회원 및 카드 계약서류 안내" 관련 메일이왔습니다 추가적으로 해야하는 일은 무엇일까요?
 → 카드 수령 후 사용 등록이 필요하니깐 그 안내 나가면 좋을 거 같아요!</t>
  </si>
  <si>
    <t>네 확인입니다 감사합니다.</t>
  </si>
  <si>
    <t>@ALF 롯데카드 사용 등록 방법 알려줘</t>
  </si>
  <si>
    <t>롯데카드 사용 등록 방법은 다음과 같습니다. 카드를 안전하게 사용하기 위해 수령 후 반드시 사용 등록을 해야 하며, 등록하지 않은 카드는 이용할 수 없습니다.
 1. 홈페이지를 통한 사용 등록 방법
 1. 롯데 법인 홈페이지 접속: 롯데카드 법인 홈페이지에 접속합니다.
  - `법인관리자`로 로그인합니다.
  - 메뉴 &gt; MY &gt; 법인카드 사용 관리 &gt; 카드 비밀번호 등록/변경을 클릭합니다.
  - 그룹을 선택 후 조회합니다. 조회 시 보유카드 목록이 정렬되며, `일괄 선택` 후 카드 비밀번호를 등록하면 편리합니다.
 2. 관리자 정보로 인증 후 등록 완료: 본인 또는 법인 인증을 통해 신청 변경 접수를 완료합니다.
 3. 사용 등록 및 확인:
  - 사용 등록은 수령일자와 비밀번호 등록이 확인된 카드만 가능합니다.
  - `법인관리자 로그인 상태`를 유지한 채 메뉴 &gt; MY &gt; 법인카드 사용 관리 &gt; 카드 사용등록을 클릭합니다.
  - 법인 전체 혹은 그룹별 분류 선택 후 조회하여 카드가 정상 등록되었는지 확인합니다.
 2. ARS를 통한 사용 등록 방법
 - 무기명 카드 (법인 공용카드)
 - 카드를 소지한 상태로 ☎️ 1599-8800으로 전화합니다.
 - `1번` (법인카드 회원) &gt; `5번` (사용등록 / 비밀번호 등록 / 변경) &gt; `1번` (카드사용등록서비스)을 선택합니다.
 - 안내에 따라 진행하면 완료됩니다.
 - 기명 카드 (법인 개인카드)
 - 카드를 소지한 상태로 ☎️ 1599-8800으로 전화합니다.
 - `5번` (카드 사용등록 및 비밀번호 등록)을 선택합니다.
 - 안내에 따라 진행하면 완료됩니다.
 참고 사항
 사용 등록 완료 후 고위드에 반영되기까지 최대 3영업일이 소요될 수 있습니다.</t>
  </si>
  <si>
    <t>현덕님 보내신 거 못 보고 보낸 거라!!
 안내 완료하셨으면 안하셔도 괜찮습니다!!!</t>
  </si>
  <si>
    <t>네 담당자님 확인감사드립니다.
 카드 수령 이후 사용등록 안내 함께 드리겠습니다.
 롯데카드 사용 등록 방법은 다음과 같습니다. 카드를 안전하게 사용하기 위해 수령 후 반드시 사용 등록을 해야 하며, 등록하지 않은 카드는 이용할 수 없습니다.
 1. 홈페이지를 통한 사용 등록 방법
 1. 롯데 법인 홈페이지 접속: 롯데카드 법인 홈페이지에 접속합니다.
  - `법인관리자`로 로그인합니다.
  - 메뉴 &gt; MY &gt; 법인카드 사용 관리 &gt; 카드 비밀번호 등록/변경을 클릭합니다.
  - 그룹을 선택 후 조회합니다. 조회 시 보유카드 목록이 정렬되며, `일괄 선택` 후 카드 비밀번호를 등록하면 편리합니다.
 2. 관리자 정보로 인증 후 등록 완료: 본인 또는 법인 인증을 통해 신청 변경 접수를 완료합니다.
 3. 사용 등록 및 확인:
  - 사용 등록은 수령일자와 비밀번호 등록이 확인된 카드만 가능합니다.
  - `법인관리자 로그인 상태`를 유지한 채 메뉴 &gt; MY &gt; 법인카드 사용 관리 &gt; 카드 사용등록을 클릭합니다.
  - 법인 전체 혹은 그룹별 분류 선택 후 조회하여 카드가 정상 등록되었는지 확인합니다.
 2. ARS를 통한 사용 등록 방법
 - 무기명 카드 (법인 공용카드)
 - 카드를 소지한 상태로 ☎️ 1599-8800으로 전화합니다.
 - `1번` (법인카드 회원) &gt; `5번` (사용등록 / 비밀번호 등록 / 변경) &gt; `1번` (카드사용등록서비스)을 선택합니다.
 - 안내에 따라 진행하면 완료됩니다.
 - 기명 카드 (법인 개인카드)
 - 카드를 소지한 상태로 ☎️ 1599-8800으로 전화합니다.
 - `5번` (카드 사용등록 및 비밀번호 등록)을 선택합니다.
 - 안내에 따라 진행하면 완료됩니다.
 참고 사항
 사용 등록 완료 후 고위드에 반영되기까지 최대 3영업일이 소요될 수 있습니다.</t>
  </si>
  <si>
    <t>저희가 추가로 도움 드릴 내용이 있으실까요? 😀</t>
  </si>
  <si>
    <t>없습니다. 감사합니다</t>
  </si>
  <si>
    <t>신한카드 무기명 추가발급 중인데 사업장 부서 목록에 법인명_제휵가 안나와요</t>
  </si>
  <si>
    <t>상담원 연결은 어렵나요</t>
  </si>
  <si>
    <t>연락처 알려주세요</t>
  </si>
  <si>
    <t>카드로 지방세, 국세가 결제 되니?</t>
  </si>
  <si>
    <t>광고비 특화카드 문의</t>
  </si>
  <si>
    <t>보다 빠른 문제 파악을 위해, 아래 내용을 적어 주세요! 꼼꼼히 확인하여 도움 드리겠습니다 💪
 - 법인명 / 사업자번호
 - 문의 사항</t>
  </si>
  <si>
    <t>광고비특화카드 포인트적립 문의드립니다</t>
  </si>
  <si>
    <t>네 고객님, 광고비특화카드 포인트 적립 관련하여 어떤 부분이 궁금하실까요?</t>
  </si>
  <si>
    <t>2.3%페이백 한도제한은 없을까요?</t>
  </si>
  <si>
    <t>없습니다.</t>
  </si>
  <si>
    <t>위 기재된 페이백률은 소기업 인증 법인 기준이며
 만약 소기업 미인증 법인인 경우에는 국내외 모두 0.5%로 페이백률이 제한됩니다.</t>
  </si>
  <si>
    <t>이내용은 다른 내용인가요?</t>
  </si>
  <si>
    <t>저는 법인이 여쭤보시는 내용이 페이백 한도 제한이니깐.. 일정 금액까지 페이백 된 후 추가적으로 못 받냐는 질문으로 이해했습니다!</t>
  </si>
  <si>
    <t>말씀 주신 것도 함께 전달드리면 좋을 거 같아용!</t>
  </si>
  <si>
    <t>네 고객님, 별도 한도제한은 없습니다. 😀</t>
  </si>
  <si>
    <t>더 헷갈리실거 같아서 질문하시면 답변드리겠습니다</t>
  </si>
  <si>
    <t>해당 카드는 체크카드일까요? 각각 어떤카드인지 알 수 있을까요?</t>
  </si>
  <si>
    <t>신용카드, 신한카드 해외 결제 시 페이백률 2.3%, 롯데카드 해외 결제 시 2,0%/ 국내 1.5% 요것을 질문주시는 걸까요?</t>
  </si>
  <si>
    <t>@ALF 롯데 vs 신한 광고비 특화카드 비교해서 알려줘</t>
  </si>
  <si>
    <t>롯데 광고비 특화카드와 신한 광고비 특화카드의 주요 차이점은 다음과 같습니다.
 1. 결제 구조 및 발급 방법
 - 롯데카드: 가상계좌 충전형이며, 지류 신청(신청서 및 법인 서류 직접 제출)으로 발급됩니다.
 - 신한카드: 법인계좌 연동형이며, 비대면 신청(신한카드 법인 홈페이지)으로 발급됩니다.
 2. 제한 사항
 - 롯데카드: 별다른 제한 사항이 없습니다.
 - 신한카드: 신한, 우체국, 제주, 기업, 농협 계좌만 연동 가능합니다.
 3. 페이백률 (소기업 인증 법인 기준)
 - 롯데카드: 해외 결제 시 2.0%, 국내 결제 시 1.5%가 페이백됩니다.
 - 신한카드: 해외 결제 시 2.3%가 페이백되며, 국내 결제 시에는 페이백이 없습니다.
 4. 포인트 활용 방법
 - 롯데카드: 현금처럼 출금(이체)하거나 롯데카드 결제대금으로 사용할 수 있습니다.
 - 신한카드: 현금처럼 출금(이체)하거나 신한카드 홈페이지 내 복지몰에서 현금처럼 활용할 수 있습니다.
 참고: 소기업 미인증 법인인 경우 국내외 모두 0.5%의 페이백률이 적용됩니다.</t>
  </si>
  <si>
    <t>네 고객님, 고위드 광고비 특화카드는 연회비/전월실적이 없는 카드 상품으로, 체크카드입니다. 카드는 롯데카드와, 신한카드가 있습니다. 아래 설명 함께 드립니다.
 1. 결제 구조 및 발급 방법
 - 롯데카드: 가상계좌 충전형이며, 지류 신청(신청서 및 법인 서류 직접 제출)으로 발급됩니다.
 - 신한카드: 법인계좌 연동형이며, 비대면 신청(신한카드 법인 홈페이지)으로 발급됩니다.
 2. 제한 사항
 - 롯데카드: 별다른 제한 사항이 없습니다.
 - 신한카드: 신한, 우체국, 제주, 기업, 농협 계좌만 연동 가능합니다.
 3. 페이백률 (소기업 인증 법인 기준)
 - 롯데카드: 해외 결제 시 2.0%, 국내 결제 시 1.5%가 페이백됩니다.
 - 신한카드: 해외 결제 시 2.3%가 페이백되며, 국내 결제 시에는 페이백이 없습니다.
 4. 포인트 활용 방법
 - 롯데카드: 현금처럼 출금(이체)하거나 롯데카드 결제대금으로 사용할 수 있습니다.
 - 신한카드: 현금처럼 출금(이체)하거나 신한카드 홈페이지 내 복지몰에서 현금처럼 활용할 수 있습니다.
 참고: 소기업 미인증 법인인 경우 국내외 모두 0.5%의 페이백률이 적용됩니다.</t>
  </si>
  <si>
    <t>고객님, 저희가 추가로 안내드릴 내용이 있으실까요 ? 😀</t>
  </si>
  <si>
    <t>없습니다 감사합니다!</t>
  </si>
  <si>
    <t>제가 아래 문의를 구글 워크스페이스에 드렸는데.... Gowid 통해서 가입한 회사는 고위드에 문의를 하라고 해서요. 확인 부탁드립니다.
 ------------------------
 안녕하세요, 우리 조직의 Gemini 설정과 관련해 문의드립니다.
 현재 일부 사용자들의 Gemini 설정 메뉴에 '메모리(Memory)' 기능이 보이지 않고, 대화 시 **"이전 대화 기록에 접근할 수 없다"**는 안내가 나옵니다. 이로 인해 사용자 맞춤형 서비스 이용에 제한이 있습니다.
 관리 콘솔(Admin Console)의 어느 경로에서 아래 설정을 활성화할 수 있는지 확인 부탁드립니다:
 Gemini 사용자 활동 데이터 저장 허용 설정 (Gemini App Activity)
 개별 사용자 맞춤 설정 및 메모리 기능 활성화 경로
 만약 요금제(Business/Enterprise) 문제라면, 현재 우리 계정에서 해당 기능을 쓸 수 있는지 여부도 알려주시면 감사하겠습니다.</t>
  </si>
  <si>
    <t>@고위드 김일경 매니저 님 ! 제가 구독을 잘 몰라서, 우선 이관 드립니다 핸들링 부탁드려욥</t>
  </si>
  <si>
    <t>안녕하세요 백승엽님 ☺️
 고위드 IT구독 담당 김일경 매니저입니다.
 해당 내용 내부에서 확인하여 답변 드리겠습니다.
 잠시만 기다려주시겠어요?</t>
  </si>
  <si>
    <t>해당 내용 자세한 확인을 위해 아래 과정을 요청 드립니다!
 - 경로 : google 어드민 &gt; 생성형AI &gt; Gemini 앱
 - 설정 항목: Gemini 앱 활동(Gemini App Activity)
 - 조치 사항: *이 옵션을 '사용자에게 선택권 부여' 또는 '켜기'로 설정을 요청 드립니다.
 - 요청 사항 : 이미지 속 화면에서 '사용자에게 선택권 부여' 조치를 진행해주시거나, 이행이 되지 않는 화면 그대로를 캡쳐 해주시면 더욱 자세히 도와드리도록 하겠습니다.</t>
  </si>
  <si>
    <t>제가 잘 못 찾는 것인지.. 아래 항목을 어디에서 설정해야 하는지 모르겠습니다 ㅠ
 - 설정 항목: Gemini 앱 활동(Gemini App Activity)
 - 조치 사항: *이 옵션을 '사용자에게 선택권 부여' 또는 '켜기'로 설정을 요청 드립니다.</t>
  </si>
  <si>
    <t>확인 했습니다!
 해당 내용 구글 자체 담당자에게 문의하여 명확한 답변 드리도록 하겠습니다.
 약 1-2영업일 정도 소요 될 수 있는 점 양해 부탁 드리며, 확인 받으면 유선으로 함께 안내 드리겠습니다.
 감사합니다.</t>
  </si>
  <si>
    <t>@고위드 경렬 님, 아래 내용 도움 부탁 드립니다! 
 문제
 1. 현재 일부 사용자들의 Gemini 설정 메뉴에 '메모리(Memory)' 기능이 보이지 않고, 대화 시 **"이전 대화 기록에 접근할 수 없다"**는 안내가 나오고 있음. 이로 인해 사용자 맞춤형 서비스 이용에 제한이 있음.
 고객 요청사항
 1. 관리 콘솔(Admin Console)의 어느 경로에서 아래 설정을 활성화할 수 있는지, 실제로 활성이 가능한지에 대한 파악 유무 필요
 - Gemini 사용자 활동 데이터 저장 허용 설정 (Gemini App Activity)
 - 개별 사용자 맞춤 설정 및 메모리 기능 활성화 경로
 2. 만약 요금제(Business/Enterprise) 문제라면, 현재 비즈니스 스텐다드 요금제에서 해당 기능을 쓸 수 있는지</t>
  </si>
  <si>
    <t>메일로 팔로업 중인 응대. 티켓 종료 처리</t>
  </si>
  <si>
    <t>각 카드사 별로 신규 카드 받을 때는 법인 공용 카드를 꼭 처음에 발급 받아야 하나요? 아니면 BC카드 공용 카드 하나 만들면 롯데카드에서 임직원 지정 카드 발급이 가능한가요?</t>
  </si>
  <si>
    <t>신규 카드 발급 신청한 것 취소하고 싶습니다.</t>
  </si>
  <si>
    <t>관련하여 사람 담당자와 통화하고 싶습니다.</t>
  </si>
  <si>
    <t>상황을 정확히 전달드리기 위해, 아래 내용 기재 부탁드립니다. 
 - 신청하신 카드사(신한/롯데/BC)
 - 카드 종류(무기명 공용인지, 임직원 기명카드인지)</t>
  </si>
  <si>
    <t>안녕하세요. 
 - 신청한 카드사: BC
 - 카드 종류: 무기명 공용</t>
  </si>
  <si>
    <t>신청한지 1시간도 안되었습니다. 공용카드와 임직원 기명카드를 다른 카드사로 발급이 안되는 줄 몰랐습니다. BC 취소해주시면 롯데로 다시 발급 신청하고자 합니다.</t>
  </si>
  <si>
    <t>고객님, 기다려주셔서 감사합니다. 이미 접수가 완료된 신규·추가 발급 건은 시스템에서 철회하는 기능이 없어, 신청 후 단순 변경/취소는 진행해 드리기 어렵습니다. 발급 진행을 중단하시려는 경우에는, 사용 예정이 없다면 수령 후 카드사에 해지/정지 요청을 해주셔야 하는 점 안내드립니다.</t>
  </si>
  <si>
    <t>&gt; 틀린가용?</t>
  </si>
  <si>
    <t>맞습니닷! 그렇지만 2:59에 신청하셨고 비씨는 발급비도 있다보니, 보통 바로 비씨에 연락해서 취소 요청 드립니다. 제가 팔로우업할게용!</t>
  </si>
  <si>
    <t>네 감사합니다, 저희가 연락드리나요?</t>
  </si>
  <si>
    <t>네 고객님, 확인이 진행되고 있는 동안 잠시만 시간 양해 부탁드립니다.</t>
  </si>
  <si>
    <t>넵! 비씨에는 저희가 소통합니다. (비씨카드 김진호 대리님/강민지 계장님)
 비씨카드에는 ~~시, ~~시, 15시에 전문이 발송됩니다. (전문 발송 = 데이터 전송)
 해당 신청건이 비씨로 발송되었는지부터 확인 중에 있습니다.
 제가 슬랙에도 cc 걸어드릴게요!</t>
  </si>
  <si>
    <t>BC카드 신청 반려된 것 확인하였습니다. 감사합니다. 한가지 더 문의사항이 있는데요. 현재 한도 유효기간이 내일까지인데, 그냥 지금 한도를 늘려서 다시 신청이 가능할까요? 지금은 한도가 1천만원인데, 2천만원으로 다시 신청을 하고 싶습니다.</t>
  </si>
  <si>
    <t>미덥님 안녕하세요. 고위드입니다.
 비씨카드는 내부적으로 반려 처리 완료하였습니다! 안내 메일 발송된 내용 참고 부탁드립니다.
 법인께서 한도 조회하셨을 때 즉시 신청 가능한 한도보다 더 높은 한도로 발급 희망하신다면 특별심사 진행 부탁드립니다!</t>
  </si>
  <si>
    <t>특별심사 버튼이 안보입니다. 특별심사 신청 어떻게 하면 되나요?</t>
  </si>
  <si>
    <t>미덥님 현재 법인께서 신청 가능하신 한도는 9백만원, 롯데카드 신청 중이신 카드의 한도는 1백만원으로 확인되시는데 맞으실까요?</t>
  </si>
  <si>
    <t>네 맞습니다.</t>
  </si>
  <si>
    <t>총 한도가 1천만원인데, 2천만원으로 증액을 하고 싶습니다.</t>
  </si>
  <si>
    <t>혹시 1천만원으로 확인되시는 화면 캡쳐해서 전송 부탁드려도 괜찮으실까요?
 더욱 정확한 확인을 위해 여쭙습니다!</t>
  </si>
  <si>
    <t>확인 감사합니다! 
 미덥님 한도 관련 확인의 경우, 1551-9020 전화하시어 1번 선택하시어 상담 받아보실 수 있으십니다.
 10시 ~ 5시 유선 고객센터도 운영 중이니 익일 전화하시어 상담 받아보시길 권유드립니다.
 괜찮으실까요?</t>
  </si>
  <si>
    <t>카드 한도 상향 하고싶습니다</t>
  </si>
  <si>
    <t>금일 14시 33분경 롯데 7800카드로 칠곡경북대병원에서 총 45100원 결제 진행 완료했으나 고위드 관리카드 탭에서 결제내역이 확인되지 않습니다. 확인 부탁드립니다.</t>
  </si>
  <si>
    <t>해령님 안녕하세요, 고위드입니다.
 우선, 로그아웃 후 재로그인 하시어 확인 부탁드리겠습니다.
 결제 내역 업데이트까지는 최장 3시간 소요될 수 있습니다.
 감사합니다.</t>
  </si>
  <si>
    <t>로그아웃 후 재로그인해 확인해보아도 법인카드로 결제 진행했지만 해당 결제내역만 확인이 안되는 상황입니다.</t>
  </si>
  <si>
    <t>해령님 해당 결제 건에 대해서는 내부 개발팀 수기 확인 통해서 안내 도와드리도록 하겠습니다.
 개발팀 확인이 필요한 건이라 시간이 소요되는 점 양해 부탁드리겠습니다. 감사합니다.</t>
  </si>
  <si>
    <t>1. 해당 결제 이루어졌는지 메타베이스로 확인
 2. 확인했는데 결제 내역이 없음
 3. 그렇기 때문에 카드사 홈페이지에서 결제 내역 있으신지 확인 요청 하기</t>
  </si>
  <si>
    <t>해령님 내부적으로도 확인 진행 중에 있습니다만, 혹시 롯데법인카드 홈페이지 접속하시어 해당 결제 건이 보이시는지 확인 요청 드려도 괜찮으실까요?</t>
  </si>
  <si>
    <t>제가 확인을 미처 못 했습니다.. 어제 요청드렸던 문제사항은 해결되었습니다. 감사합니다!</t>
  </si>
  <si>
    <t>경비 정책 이용한도 부분에서의 '한도'를 하루 기준의 한도로 잡으려면 어떻게 해야하는지?</t>
  </si>
  <si>
    <t>상담사 연결해줘</t>
  </si>
  <si>
    <t>위 부분의 한도금액을 '하루 한도'로 설정하고 싶은데 가능한가요?
 점심식사 비용을 "인당 하루 15,000원까지만" 사용할 수 있게 하려는 목적입니다.</t>
  </si>
  <si>
    <t>네 고객님, 기다려주셔서 감사합니다. 사용자 1인당 15,000원을 넘어서면 결제가 불가능하도록 설정을 원하시는 상황이실까요?</t>
  </si>
  <si>
    <t>@ALF 법인 문의 보고 불가하다는 내용 설명해줘. 용도의 한도 금액 설정은 법인 내부 경비 정책에 대한 거라는 설명과 같이 ㄱㄱ</t>
  </si>
  <si>
    <t>네, 그대신 '하루'라는 기간 제한을 걸고 싶습니다. 좀 더 구체적으로 설명드리면 아래와 같습니다.
 "하루" 안에 '점심식사'라는 계정비용 으로는 15,000원을 넘지 못하게 하고 싶습니다.
 예를 들어, 오늘 식당에서 10,000짜리 밥을 먹고, 카페에서 커피를 5,000짜리 먹으면, 합쳐서 15,000원이니 여기까지만 결제가 되게 하고 싶습니다.</t>
  </si>
  <si>
    <t>네 고객님, 말씀주셔서 감사합니다. 고객님께서 문의하신 경비 정책의 한도 금액 설정과 관련하여, 현재 시스템에서는 '하루 한도'를 직접적으로 설정하는 기능은 제공되지 않습니다.
 제공되는 한도 금액 설정 기준은 다음과 같습니다.
 - 사용자 1인당: 특정 사용자에게 적용되는 총 한도 금액을 설정합니다.
 - 결제 1건당: 건별 결제 시 적용되는 한도 금액을 설정합니다.
 고객님께서 원하시는 '인당 하루 15,000원'과 같이 시간(일) 단위로 한도를 설정하는 옵션은 현재 없습니다. 따라서 '사용자 1인당 15,000원'으로 설정하더라도, 이는 하루 기준이 아닌 해당 사용자에게 적용되는 한도가 됩니다. 
 현재는 해당 기능이 제공되고 있지 않지만 말씀주신 부분은 관련부서에 전달하여 개선사항으로 남겨놓을 수 있도록 하겠습니다.</t>
  </si>
  <si>
    <t>고객님, 추가적인 답변이 없으실 경우 상담이 종료될 예정입니다. 
 그 전에 추가로 궁금하신 사항이나 도움이 필요하시면
 언제든지 편하게 문의해 주시면 신속히 도와드리겠습니다.
 감사합니다. 😀</t>
  </si>
  <si>
    <t>법인카드 사용하면 고위드에 영수증이 올라오고 후에 제출하여 승인하는 프로세스인데
 사용 영수증이 올라오지 않습니다</t>
  </si>
  <si>
    <t>고위드 법인카드(롯데)
 다른분들은 잘 올라오는데 김가희매니저꺼만 안올라옵니다.
 롯데카드 홈페이지나 한도 관리 확인했을땐 금액은 잘 빠져나가있습니다.</t>
  </si>
  <si>
    <t>우리가 기명식 법인카드를 발급하고 계좌 연결을 개인 계좌로 하려고 해. 그렇게 됐을 때, 매달 결제일 전에 법인-&gt;개인으로 송금하는 승인금액이 세무적으로 문제가 있을 수 있는지 궁금해. 예를 들면, 연봉이 높게 잡힌다든지 하는 문제 말이야.</t>
  </si>
  <si>
    <t>45887169 승인번호입니다. 가맹점명에 '자동결제'라고 되어 있어서, 출처가 어디인지 확인을 하고자 합니다. 어디에서 결제된 것인지 확인을 하고 싶습니다.</t>
  </si>
  <si>
    <t>이전에 이와 관련해서 문의를 드렸었는데요, 그러면 2/2 기준으로 저희가 한도가 200만원인데 사용 금액이 180만원이고, 원래 대금 결제일이 25일인 상황에서 저희가 이 한도를 다시 회복하고 싶다면, 저희가 이 180만원을 2/3에 선납부하면 되는걸까요?</t>
  </si>
  <si>
    <t>연락처는 010-8462-5224입니다.</t>
  </si>
  <si>
    <t>선결제의 경우 2/3선이라고 하는 기준은 없습니다! 
 언제든 선결제 가능 → 선결제 시 한도 즉시 복원
 단, 고위드 화면에서 복원된 한도로 업데이트 되기까지는 3시간 소요될 수 있으나, 정상 사용은 가능</t>
  </si>
  <si>
    <t>고객님, 기다려주셔서 감사합니다. 선결제의 경우 한도선은 별도로 존재하지 않으며, 선결제 가능 → 선결제 시 한도는 즉시 복원됩니다. 
 다만 고위드 화면에서 복원된 한도로 업데이트까지는 3시간 가량 소요될 수 있으나, 사용은 정상적으로 가능합니다. 😀</t>
  </si>
  <si>
    <t>고객님, 추가적인 답변이 없으실 경우 상담이 종료될 예정입니다.
 그 전에 추가로 궁금하신 사항이나 도움이 필요하시면
 언제든지 편하게 문의해 주시면 신속히 도와드리겠습니다.
 감사합니다. 😀</t>
  </si>
  <si>
    <t>ㅇ</t>
  </si>
  <si>
    <t>Gowid는 팀챗의 공개 대화방이나 수신함의 내부대화를 통해 불러야 답변드릴 수 있어요. 😅 공개 대화방이나 내부대화로 Gowid를 불러보세요.</t>
  </si>
  <si>
    <t>[상담요약]
 • 법인명: 정보 없음
 • 사업자번호: 정보 없음
 • 문의 경로: 채널톡 (데스크 링크 없음)
 • 문의 고객 성함 및 이메일: 신현덕 / 정보 없음
 • 문제 요약: 고객이 카드 발급 중 오류 및 기타 오류를 제보하였으나, 상세한 오류 내용 및 필요한 정보(법인명, 사업자번호, 오류 화면 캡쳐 등)를 제공하지 않아 구체적인 문제 파악이 어렵습니다.
 • impact Level: 오류의 구체적인 내용이 확인되지 않아 판단 불가</t>
  </si>
  <si>
    <t>안녕하세요. 오류는 아니고 BC기명카드 신규 발급하려고 하는데, 개인정보 동의서와 신분증 사본 추가 제출 해야한다고 해서요. 신청하면서 같이 메일로 제출하면 될까요? 개인정보 동의서는 어디서 받을 수 있는 건가요?</t>
  </si>
  <si>
    <t>@ALF 위 고객질문에 대해 답변작성해줘</t>
  </si>
  <si>
    <t>안녕하세요, 고위드 ALF입니다.
 BC 기명카드 신규 발급 시, 신분증 사본과 개인정보 필수 전체 동의서 제출이 필요합니다.
 해당 서류는 카드 발급 신청 후 심사 과정에서 법인 담당자 메일로 추가 제출 요청이 진행될 예정입니다. 개인정보 필수 전체 동의서는 요청 시 함께 안내될 것입니다. 따라서 미리 제출하실 필요는 없으며, 요청을 받으신 후에 해당 안내에 따라 제출해 주시면 됩니다.</t>
  </si>
  <si>
    <t>네 고객님, 말씀주신 부분처럼 신청 시 함께 제출해주시면 됩니다. 개인정보 동의서는 별도의 양식을 요청주시는 부분일까요?</t>
  </si>
  <si>
    <t>또한 받으신 메일에 개인신용정보제공동의서를 첨부해 드렸으니, 작성 후 해당 메일로 회신해 주시면 신속히 확인해 드리겠습니다. 😀</t>
  </si>
  <si>
    <t>안녕하세요! 개인 정보 동의서 보내주셨다고 하셨는데 확인이 안되어서요</t>
  </si>
  <si>
    <t>주식회사 코코지 담당자님 안녕하세요! PDF 양식 보내드립니다! 다른 문서도 확인이 불가하시면 말씀 부탁드리겠습니다.</t>
  </si>
  <si>
    <t>확인하였습니다, 그러면 추가 신청하면서 신청자의 신분증 사본과 개인신청동의서 메일로 송부하겠습니다.
 추가문의사항이 있는데 최초 발급비 5000원은 언제 결제 되는건가요? 2월부터 카드사용하면 3월 청구서에 나오는건가요?</t>
  </si>
  <si>
    <t>네, 확인해주셔서 감사합니다. 
 최초 발급비 5,000원은 익월 청구서에 함께 청구되는 점 안내드립니다. 😀</t>
  </si>
  <si>
    <t>네 감사합니다. 😀 저희가 추가로 도움 드릴 내용이 있으실까요?</t>
  </si>
  <si>
    <t>카드결제번호 변경하려고합니다</t>
  </si>
  <si>
    <t>888-87-01202 / (주)더릭스
 관리자 퇴사로 정보 삭제 부탁 드립니다
 메일로 서류 발송하였는데 확인 부탁 드립니다</t>
  </si>
  <si>
    <t>기다려 주셔서 감사합니다.
 고위드에서 멤버를 삭제하는 방법은 슈퍼 관리자 또는 카드 총괄 관리자 권한을 가진 멤버가 진행할 수 있습니다.
 멤버 삭제 시 유의사항:
 멤버를 삭제 처리하면 해당 멤버가 사용자 또는 참석자로 설정된 모든 결제 내역에서 멤버 정보가 지워지게 됩니다. 즉, 사용자 및 참석자 정보가 삭제됩니다.
 권장 사항:
 따라서 불가피한 상황이 아니라면 멤버 삭제 대신 휴/퇴직 처리를 권장합니다.
 웹 내 경로는 
 [고위드 홈페이지] - [왼쪽 하단 설정] - [멤버관리] - [오른쪽 점 새게] - 휴/퇴직 혹은 삭제</t>
  </si>
  <si>
    <t>이거는 제가 설명드릴게요! 최고계약자 변경 문의라서</t>
  </si>
  <si>
    <t>민희님 안녕하세요! 고위드입니다.
 최초계약자(법인담당자) 변경 처리는 완료되었습니다. 
 기존 담당자분 퇴사의 건은 위 신현덕 매니저님께서 설명드린 방법으로 진행 부탁드립니다. 
 감사합니다.</t>
  </si>
  <si>
    <t>네 확인하였습니다 ~!</t>
  </si>
  <si>
    <t>네 확인해주셔서 감사합니다. 😀
 저희가 추가로 문의드릴 내용이 있으실까요?</t>
  </si>
  <si>
    <t>안녕하세요, 고위드 입니다.</t>
  </si>
  <si>
    <t>네 확인해주셔서 감사합니다. 추가적인 확인이 필요하여 번거로우시겠지만 조금만 시간 양해 부탁드립니다.</t>
  </si>
  <si>
    <t>@고위드 신현덕 매니저 
 제가 해당 법인 대신 신한카드 고객센터에 확인한 결과
 이미 사용등록 되었다고 합니다.
 사용등록을 총괄관리자가 홈페이지 통해서 진행한 것으로 조회가 되었고,
 총괄관리자로 로그인 하신게 맞다면,
 사용등록 하셨을 겁니다.
 만약 카드별 한도 설정등을 이용하고 계신거라면 제휴 표시 상관없이 노출된 사업자명으로 이용 해보시고, 안되면 말씀 주시는 것으로 안내 부탁드립니다.
 그리고, 이거 언더바 제휴 안뜨는건 신한과 협의되지 않은 사항이라, 만약 그렇게 정상진행 되신거라면 저한테도 공유한번 부탁드립니다..!</t>
  </si>
  <si>
    <t>네 고객님, 기다려주셔서 감사합니다. 신한카드 측 확인결과 이미 해당 사업자로 총괄관리자가 사용등록을 완료하신 것으로 확인됩니다.
 만약 카드별 한도 설정등을 이용하고 계신거라면 제휴 표시 상관없이 노출된 사업자명으로 이용 진행 해주셔도 무방하시며, 추가적인 문제가 발생하는 경우 재문의 주시면 빠르게 조치 지원해드리도록 하겠습니다.</t>
  </si>
  <si>
    <t>그럼 법인명의 카드 추가발급도 현재 나오는 사업장으로 선택하여 진행하면 될까요?</t>
  </si>
  <si>
    <t>네 맞습니다. 추후 저희 측에서 문제가 감지되거나, 오류가 발생하는 경우 저희 측에서 안내드리며, 혹여나 예상치 못한 오류가 고객님께 발생하는 경우 말씀주시면 빠르게 조치 지원드릴 수 있도록 하겠습니다.</t>
  </si>
  <si>
    <t>네 감사합니다!</t>
  </si>
  <si>
    <t>고위드 전용카드를 만들어서 이용하게 되면 이용료 및 가입비 무료라고 되어있는데 평생 무료이용이 맞는지요. 그리고 전용카드는 사용자별 모두 만들어야 이용료가 무료가 되는게 맞지요.
 만약 전용카드를 이용하지 않을경우는 서비스 지원이 안되는건가요..?</t>
  </si>
  <si>
    <t>법인카드 신청 시간이 몇시부터 몇시까지에요?</t>
  </si>
  <si>
    <t>카드 신청가능한 시간</t>
  </si>
  <si>
    <t>디에프코퍼레이션 / 808-86-00446
 FUEL 신한카드 신청 중 '김준수'대표님 인증 을 하는데 오류가 뜹니다.
 - 김준수 대표님의 신분증인증 폼을 초기화 시켜주세요. 신분증이 일치하지 않는다고 오류가 떠서 휴대폰 인증을 못하고 있습니다.</t>
  </si>
  <si>
    <t>담당자 : 곽지은
 010-2379-8856
 kje@dfcorp.co.kr</t>
  </si>
  <si>
    <t>요청하신 고객 문의 내용을 다음과 같이 정리했습니다.
 - 법인명: 디에프코퍼레이션
 - 사업자번호: 808-86-00446
 - 문의 경로: 채널톡 (https://www.gowid.com)
 - 문의 고객 성함 및 이메일: 곽지은, kje@dfcorp.co.kr
 - 문의 인입 일시: 2026-02-04 10:30:40
 - 문제 요약: FUEL 신한카드 신청 과정에서 대표자(김준수) 신분증 인증 시 '신분증 불일치' 오류가 발생하여 휴대폰 인증을 진행할 수 없으므로, 신분증 인증 폼 초기화를 요청합니다.
 - 발생 시점: 미기재
 - 고객영향도: 상</t>
  </si>
  <si>
    <t>고객님, 혹시 작일에 내부적으로 처리가 완료된 것으로 확인되는데요, 혹시 현재도 해당 증상이 반복되고 있는 상황이실까요?</t>
  </si>
  <si>
    <t>넵 어제 해결해주신것으로 알고 오늘 다시 진행을 해보는데요.
 - 김준수대표님의 신분증정보가 자동기입되어있었고, 휴대폰 인증을 하려고 '인증요청'을 눌러보니 신분증 오류로 안된다고 합니다.</t>
  </si>
  <si>
    <t>하여 김준수대표님의 '신분증정보'를 초기화 요청드립니다.</t>
  </si>
  <si>
    <t>네 고객님, 확인해주셔서 감사합니다. 내부에 처리를 요청드릴텐데, 일정시간 소요될 수 있는 점 양해 부탁드립니다. 
 조치 완료 이후 재안내 드릴 수 있도록 하겠습니다.</t>
  </si>
  <si>
    <t>요청하신 고객 문의 내용을 다음과 같이 정리했습니다.
 - 법인명: 디에프코퍼레이션
 - 사업자번호: 808-86-00446
 - 문의 경로: 채널톡 (https://www.gowid.com)
 - 문의 고객 성함 및 이메일: 곽지은, kje@dfcorp.co.kr
 - 문의 인입 일시: 2026-02-04 10:30:40
 - 문제 요약: FUEL 신한카드 신청 과정에서 대표자(김준수) 신분증 정보가 자동 기입된 상태로 휴대폰 인증 시 '신분증 오류' 메시지가 반복적으로 발생하여 신분증 정보 초기화를 요청합니다.
 - 발생 시점: 어제 조치 후 오늘 재시도 시에도 동일하게 반복 발생.
 - 고객영향도: 상</t>
  </si>
  <si>
    <t>네 고객님, 해당 부분에 대해 유선으로 안내드리고자 하는데 괜찮으실까요? 편하신 시간대 말씀주시면 유선으로 안내드리도록 하겠습니다. 😀</t>
  </si>
  <si>
    <t>넵 가능합니다!</t>
  </si>
  <si>
    <t>지금 연락주셔도 됩니다!
 02-6713-8122</t>
  </si>
  <si>
    <t>곽지은 담당자님 안녕하세요, 고위드입니다. 
 개발팀 통하여 정보 다시 입력하실 수 있도록 초기화 해드렸습니다.
 재접속하시어 확인 부탁드리겠습니다.
 혹여, 진행이 불가할 시 편히 채널톡으로 회신 부탁드리겠습니다. 감사합니다.</t>
  </si>
  <si>
    <t>감사합니다! 진행해보겠습니다~</t>
  </si>
  <si>
    <t>지금 대표님이 직접 인증을 진행해보려고 하는데, 이번에는 신분증정보에서 인증 오류가 계속 뜨는 거같습니다.</t>
  </si>
  <si>
    <t>곽지은 담당자님 안녕하세요.
 우선 서비스 이용에 불편을 드려 죄송합니다. 개발팀 내부 확인 조속히 진행하여 다시 안내드릴 수 있도록 하겠습니다!
 죄송합니다</t>
  </si>
  <si>
    <t>지금 신분증 인증 진행하시는 고위드 계정은 김준수 대표님 계정이실까요?</t>
  </si>
  <si>
    <t>대표님께 바로인증 링크를 전달드렸었습니다.</t>
  </si>
  <si>
    <t>확인 감사합니다! 급건으로 확인 후 바로 안내드리도록 하겠습니다.
 감사합니다.</t>
  </si>
  <si>
    <t>곽지은 담당자님 안녕하세요, 고위드입니다.
 번거로우시겠지만 신분증 정보 입력부터 다시 부탁드려도 되실까요? 
 개발팀으로부터 해당 오류 수정되었다고 안내 받고 전달 드립니다!
 번거롭게 해드려 정말 죄송합니다.</t>
  </si>
  <si>
    <t>감사합니다 다시해보겠습니다</t>
  </si>
  <si>
    <t>또 안되네요...</t>
  </si>
  <si>
    <t>담당자님 정말 죄송하다는 말씀 드립니다.
 혹시 신분증 － 운전면허증 정보를 모두 입력하시고 ‘다음’ 클릭하셨을 때 해당 화면이 보이시는 걸까요?</t>
  </si>
  <si>
    <t>신분증 - 운전면허증 정보를 모두 입력하고 다음을 눌렀고
 휴대폰 통신사와 휴대폰번호를 누른 후 '인증요청'을 눌렀는데 저렇게 떴어요 ㅠ</t>
  </si>
  <si>
    <t>바로 인증' 으로 진행하셨을까요?</t>
  </si>
  <si>
    <t>혹은 '인증 링크 전달'로 진행하셨을까요?
 정확한 파악을 위하여 여쭙습니다.</t>
  </si>
  <si>
    <t>바로인증으로 했습니다.</t>
  </si>
  <si>
    <t>확인 감사합니다! 제가 다시 개발팀 전달하도록 하겠습니다.
 잠시만 기다려주시면 감사하겠습니다!</t>
  </si>
  <si>
    <t>담당자님 안녕하세요! 개발팀 요청으로 확인차 여쭙습니다만, 대표님께서 사용 중이신 통신사가 LGU+로 입력해주신 것으로 확인됩니다. 혹시 LGU+ 알뜰폰으로 사용하고 계신 것은 아니실지요? 감사합니다.</t>
  </si>
  <si>
    <t>확인해보겠습니다 잠시만요!</t>
  </si>
  <si>
    <t>담당자님, 확인되셨을까요? 혹여나 과정에 이상이 있으시면 빠르게 조치 지원드리도록 하겠습니다.</t>
  </si>
  <si>
    <t>제가 외부에 있었어서 답변이 늦었습니다!
 통신사가 잘못 체크되어있었네요..
 번거롭게 해드려 죄송합니다! 모두 해결되었습늬다 ㅠ</t>
  </si>
  <si>
    <t>네 담당자님, 확인해주셔서 감사합니다. 해결되셨다니 다행입니다.
 혹시 저희가 추가로 도움 드릴 내용이 있으실까요? 😀</t>
  </si>
  <si>
    <t>디에프코퍼레이션
 808-86-00446
 곽지은
 010-2379-8856
 FUEL 신한카드 신청하고자 하는데요.
 대표자 인증의 인증횟수가 초과되어 진행을 못하고 있습니다. 확인가능할까요?</t>
  </si>
  <si>
    <t>고객님, 기다려주셔서 감사합니다.
 현재 문의주신 내용 확인하였으며, 조치 후 해당 상담창을 통해 안내드리도록 하겠습니다. 잠시만 기다려주시면 감사하겠습니다. 😀</t>
  </si>
  <si>
    <t>@ALF 아래 템플릿으로 고객문의 정리해줘.
 최대한 간명하게 작성해주되, 문제요약은 구체적으로 이해하기 쉽게 고위드 용어로 작성해줘. * 표시는 다 안 들어가도록 빼줘.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</si>
  <si>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요청하신 고객 문의 내용을 아래 템플릿에 따라 정리했습니다.
 • 법인명: 디에프코퍼레이션
 • 사업자번호: 808-86-00446
 • 문의 경로: 채널톡
 • 문의 고객 성함 및 이메일: 곽지은
 • 문의 인입 일시: 2026-02-03 12:15:45
 • 문제 요약: FUEL 신한카드 신청 시 대표자 인증 단계에서 인증 횟수 초과로 서비스 진행이 불가한 상황.
 • 발생 시점: 정보 없음
 • 고객영향도: 중</t>
  </si>
  <si>
    <t>@ALF 아래 템플릿으로 고객문의 정리해줘.
 최대한 간명하게 작성해주되, 문제요약은 구체적으로 이해하기 쉽게 고위드 용어로 작성해줘. * 표시는 다 안 들어가도록 빼줘.
 미입회 법인 페이바이카드 문의 주셔서 전달 드립니다.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t>
  </si>
  <si>
    <t>요청하신 고객 문의 내용을 아래 템플릿에 따라 정리했습니다.
 • 법인명: 정보 없음
 • 사업자번호: 정보 없음
 • 문의 경로: 채널톡
 • 문의 고객 성함 및 이메일: 정보 없음
 • 문의 인입 일시: 정보 없음
 • 문제 요약: 미입회 법인의 고위드 페이바이카드 서비스 관련 문의</t>
  </si>
  <si>
    <t>혹시 시간이 오래걸릴까요?</t>
  </si>
  <si>
    <t>고객님 기다려주셔서 감사합니다. 현재 문의주신 고객님의 성함으로 인증횟수 초과 시도가 확인되지 않고 있습니다. 혹시 다른 분께서 해당 상황을 겪고 계신 상황이시라면, 성함 함께 전달 바랍니다.</t>
  </si>
  <si>
    <t>김준수 대표님 입니다</t>
  </si>
  <si>
    <t>네 고객님, 확인해주셔서 감사합니다. 유관부서에 전달드렸으며, 완료 후 재안내 드릴 수 있도록 하겠습니다. 소요시간은 최대 3시간 소요될 수 있는 점 너른 양해 바랍니다.</t>
  </si>
  <si>
    <t>고객님 기다려주셔서 감사합니다. 현재 완료처리가 된 것으로 확인되는데요, 혹시 확인해주실 수 있으실까요?</t>
  </si>
  <si>
    <t>제가 잠시 외부에 있어서 늦은 오후에 확인해보겠습니다!!
 감사합니다~</t>
  </si>
  <si>
    <t>네 감사합니다. 추가로 문의 주실 내용이 있으실가요? 😀</t>
  </si>
  <si>
    <t>감사합니다.
 이번 상담은 여기서 종료하도록 하겠습니다.
 추가적인 문의 혹은 있으시면 새로운 창에서 문의 부탁드립니다.
 좋은 하루 되시길 바랍니다 :)</t>
  </si>
  <si>
    <t>모비두 주식회사(120-88-01596)
 1월 대중교통비 사용내역이 2월 화면에서 조회됩니다. 카드사 사이트 상에도 1월 내역에서 조회됩니다.</t>
  </si>
  <si>
    <t>첫번째 이미지는 고위드 화면 캡쳐, 두번째 이미지는 카드사 화면 캡쳐 입니다</t>
  </si>
  <si>
    <t>법인께 롯데카드 홈페이지에서 해당 카드 결제 내역에 2월 2일 자에는 결제 건이 확인 안되는지 요청 하기</t>
  </si>
  <si>
    <t>잠시만요!!</t>
  </si>
  <si>
    <t>카드사 캡쳐 본이랑 승인 번호가 같은지 확인</t>
  </si>
  <si>
    <t>승인 =/= 매입 이슈</t>
  </si>
  <si>
    <t>고객님, 기다려주셔서 감사합니다.
 현재 카드사 측 내역은 승인내역 화면으로 확인됩니다. 현재 위 보내주신 고위드 캡쳐본은 최신화된 내역이 확인되는 부분입니다.
 또한 날짜가 다른 이유는 버스, 지하철 등 대중교통에서 이용한 내역들에 대해서는 즉시 고위드 측으로 내역이 전송되는 것이 아닌 카드사 정책에 따라</t>
  </si>
  <si>
    <t>고객님, 기다려주셔서 감사합니다.
 현재 카드사 측 내역은 승인내역 화면으로 확인됩니다. 현재 위 보내주신 고위드 캡쳐본은 결제단계의 최신화된 내역이 확인되고 있습니다. 카드사 홈페이지에서 승인 내역이 아닌 매입 내역 탭을 확인해주시면 동일한 일자와 금액을 확인하실 수 있을텐데 혹시 확인해주실 수 있으실까요?</t>
  </si>
  <si>
    <t>매입내역에서도 1월로 조회됩니다</t>
  </si>
  <si>
    <t>제품이슈제보로 승인 내역 사진 매입 내역 사진 고위드 캡쳐 사진까지 전부 첨부하셔서 업로드 부탁 드립니닷</t>
  </si>
  <si>
    <t>네 고객님, 확인해주셔서 감사합니다. 내부적으로 확인이 필요한 사안이라 확인 후 재안내 드려도 괜찮으실까요?</t>
  </si>
  <si>
    <t>네 확인 후 안내 부탁드립니다.</t>
  </si>
  <si>
    <t>요청하신 내용을 아래 템플릿에 맞춰 정리했습니다.
 - 법인명: 모비두 주식회사
 - 사업자번호: 120-88-01596
 - 문의 경로: 채널톡 ( 데스크 링크 첨부)
 - 문의 고객 성함 및 이메일: 라한솔, 이메일 정보 없음
 - 문의 인입 일시: 2026-02-03
 - 문제 요약: 고위드 이용내역 화면에서 1월 대중교통비(버스, 지하철) 결제 건이 2월 거래일자로 표시되는 오류. 카드사(롯데카드) 승인/매입 내역에서는 1월 거래일자로 정상 조회됨.
 - 발생 시점: 1월 대중교통비 사용내역에서 발생.
 - 고객영향도: 상</t>
  </si>
  <si>
    <t>고객님, 기다려주셔서 감사합니다. 현재 수정처리가 완료된 것으로 확인되는데요, 혹시 확인 가능하실까요? 😀</t>
  </si>
  <si>
    <t>네 확인했습니다. 감사합니다!</t>
  </si>
  <si>
    <t>네 고객님, 확인해주셔서 감사합니다. 😀 저희가 추가로 도움 드릴 내용이 있으실까요?</t>
  </si>
  <si>
    <t>없습니다!</t>
  </si>
  <si>
    <t>고위드 어플에서 매월 초에 제출 마감일이 다가온다는 문구 알림이 뜨는데, 해제하는 방법</t>
  </si>
  <si>
    <t>지출관리 초기 설정하기 라는 탭이 안보입니다</t>
  </si>
  <si>
    <t>대시보드'에 '지출관리 초기설정'이 안보입니다.</t>
  </si>
  <si>
    <t>지출관리 초기설정 들어가는법 다시 알려주세요</t>
  </si>
  <si>
    <t>‘지출관리 초기설정’ 으로 들어가서 영수증 제출 마감일 알림을 해제하는 방법 알려주세요.</t>
  </si>
  <si>
    <t>@ALF 위 질문에 대한 문서 찾아줘</t>
  </si>
  <si>
    <t>큐피스트(본사)님, 문의하신 내용을 다시 한번 확인했습니다.
 제공된 정보에 따르면, '영수증 제출 마감일'은 '지출관리 초기 설정하기'의 Step 5 또는 '경비 정책 세부 설정'에서 변경할 수 있습니다.
 - 변경 경로:
 - 지출관리 초기 설정하기: 초기 설정 단계의 Step 5에서 영수증 제출 마감일을 설정합니다.
 - 경비 정책 세부 설정: 경비 정책 설정 메뉴에서 [설정] 버튼을 클릭하여 경비 정책의 세부 설정 내용을 변경할 수 있으며, 이 곳에서 '영수증 제출 마감일'을 조정할 수 있습니다.
 하지만, 영수증 제출 마감일 알림 자체를 해제하는 기능은 제공된 자료에서 찾을 수 없었습니다. 자료에는 "정해진 기한 하루 전날에는 제출 마감에 대한 알림이 자동 발송됩니다"라고 명시되어 있어, 이 알림은 마감일 설정 시 자동으로 발송되는 것으로 보입니다.
 이전에 '지출관리 초기설정' 탭이나 대시보드 내 버튼이 보이지 않는다고 말씀하셨던 점을 감안할 때, 현재 확인 가능한 정보만으로는 고객님의 환경에서 해당 설정을 변경하거나 알림을 해제하는 정확한 방법을 안내해 드리기 어려운 점 양해 부탁드립니다.</t>
  </si>
  <si>
    <t>고객님, 내부적으로 확인해보았으나, 영수증 제출 마감일 알림 자체를 해제하는 기능은 현재 제공되고 있지 않습니다.😢 혹시 해당 기능을 오프 하시려는 사유가 있으실까요? 소중한 의견은 다음 개발 계획에 진행될 수 있도록 건의하겠습니다.</t>
  </si>
  <si>
    <t>고객님, 해당 상담은 바로 종료되지 않고 보류 상태로 유지될 예정입니다.
 추가 확인이 필요하실 경우를 고려하여, 24시간 후 자동으로 종료될 예정이니 참고 부탁드립니다.
 그 전에 추가로 궁금하신 사항이나 도움이 필요하시면
 언제든지 편하게 문의해 주시면 신속히 도와드리겠습니다.</t>
  </si>
  <si>
    <t>저희는 매월 제출마감일이 다른데, 고위드 알림도 오다보니 구성원들의 혼돈이 있어서요..!! 불가능하다니 어쩔수없네요. 알겠습니다!!</t>
  </si>
  <si>
    <t>네 우선 이용에 불편을 느끼신 부분에 대해서는 유관 부서에 전달하도록 하겠습니다.</t>
  </si>
  <si>
    <t>혹시 추가로 문의주실 내용이 있으실까요?</t>
  </si>
  <si>
    <t>알림 자체 해제가 안된다면, 일자를 변경할수는 있나요?</t>
  </si>
  <si>
    <t>네 고객님, 고위드 웹 지출관리 - 경비 정책 및 회계 ERP 화면 - 오른쪽 상단에 설정 접속하시어 해당 내용 확인하실 수 있으십니다. 😀 혹시 시도해보시고 확인되지 않으신다면 말씀 부탁드립니다.</t>
  </si>
  <si>
    <t>변경했습니다. 확인 감사합니다.</t>
  </si>
  <si>
    <t>네 고객님, 확인해주셔서 감사합니다. 요청주신 부분은 관련부서에 전달하여 개선 반영될 수 있도록 하겠습니다. 😀
 저희가 추가로 도움 드릴 내용이 있으실까요?</t>
  </si>
  <si>
    <t>감사합니다.
 추가 문의가 없으시다면 상담은 여기서 종료하도록 하겠습니다.
 다른 문의가 있으시면 새로운 창에서 문의 부탁드립니다.
 좋은 하루 되시길 바랍니다 :)</t>
  </si>
  <si>
    <t>- 엠엑스엔코리아 / 703-88-03026
 - 공용카드 7개 오발급으로 발급 취소 문의
 - 공용카드 내역 캡쳐본 첨부</t>
  </si>
  <si>
    <t>네 고객님, 신청을 잘못 하신 부분인지, 발급하신 카드를 취소하시고자 함인지 말씀주실 수 있으실까요?</t>
  </si>
  <si>
    <t>카드를 취소하고자 합니다</t>
  </si>
  <si>
    <t>본인이 정상적으로 신청한 카드이면 취소 불가 
 (어제 오후 6시 20분 신청 건으로 확인됨)
 수령 후 사용 정지 혹은 해지로 넘어가는 것이 원칙
 그러나, 비씨에 급건으로 요청드려 해당 카드 발급을 중지할 수 있을지 확인 받아볼 수 있음. 이건 민선님께 요청드려야 합니다.</t>
  </si>
  <si>
    <t>고객님, 정책 상 고객님께서 정상적으로 신청한 카드이면 취소 불가하여 수령 후 사용 정지 혹은 해지로 진행을 해주셔야 합니다. 다만 해당 카드사에 급건으로 요청드려 해당 카드 발급을 중지할 수 있을지 확인 진행해보도록 하겠습니다. 일정시간 소요될 수 있는 점 양해 부탁드리며, 해당 상담창을 통해 재안내 드릴 수 있도록 하겠습니다.</t>
  </si>
  <si>
    <t>네네 확인 감사합니다 !</t>
  </si>
  <si>
    <t>요청하신 고객 문의 내용을 정리했습니다.
 - 법인명: 엠엑스엔코리아
 - 사업자번호: 703-88-03026
 - 문의 경로: 채널톡
 - 문의 고객 성함 및 이메일: 진혜린 (이메일 정보 없음)
 - 문의 인입 일시: 2026-02-03 13:46:47
 - 문제 요약: 진혜린 고객이 어제 오후 6시 20분에 발급 신청한 BC 공용카드 7개에 대해 오발급으로 인지, 발급 취소를 문의함.
 - 발생 시점: 어제 오후 6시 20분 신청 건
 - 고객영향도: 중</t>
  </si>
  <si>
    <t>고객님 혹시 7개 카드 전체 취소를 원하실까요?</t>
  </si>
  <si>
    <t>네 고객님, 저희 측에서 카드사에 연락 진행해보도록 하겠습니다. 잠시만 시간 양해 부탁드립니다.</t>
  </si>
  <si>
    <t>고객님, 기다려주셔서 감사합니다. 현재 카드사 측 확인이 지연되고 있어, 일정시간 소요될 수 있어 시간 양해 부탁드립니다. 
 회신 받는대로 안내드리도록 하며, 상담은 종료하지않고 보류로 진행할 예정입니다. 
 감사합니다.</t>
  </si>
  <si>
    <t>네 알겠습니다</t>
  </si>
  <si>
    <t>네 확인해주셔서 감사합니다. 😀</t>
  </si>
  <si>
    <t>기다려주셔서 감사합니다. 
 문의주신 BC카드 취소 건은 정상적으로 발급 취소 처리가 완료 되었습니다. 
 다만, 해지의 경우 BC카드 측 담당부서로 해지요청 메일을 직접 작성해주셔야 하는 점 안내드립니다.
 아래 첨부파일과 이메일 주소(bcin@bccard.com) 
 함께 공유 드립니다. 
 감사합니다. 😀</t>
  </si>
  <si>
    <t>@고위드 신현덕 매니저 
 현덕님 고위드 홈페이지에서 카드번호 직접 확인해서 기재도 필요하다고 남겨주시면 더 좋을 거 같습니닷!!!</t>
  </si>
  <si>
    <t>또한 카드번호는 고위드 홈페이지에서 확인 가능하오니 참고하셔서 진행 부탁드립니다. 😀</t>
  </si>
  <si>
    <t>저희가 추가로 도움드릴 내용이 있으실까요?</t>
  </si>
  <si>
    <t>혜린님 안녕하세요, 유선 안내드린 고위드 권민규 매니저입니다.
 비씨카드 메일 발송 후 채널톡 남겨주시면 이후 절차 원활히 진행될 수 있도록 조치해두겠습니다.
 감사합니다.</t>
  </si>
  <si>
    <t>해지 신청서 비씨카드 메일로 발송 완료 했습니다</t>
  </si>
  <si>
    <t>네 처리해주셔서 감사드립니다. 😀
 저희가 추가로 도움 드릴 내용이 있으실까요?</t>
  </si>
  <si>
    <t>답변이 없으셔서 이번 상담은 여기서 종료하도록 하겠습니다.
 다른 문의가 있으시면 새로운 창에서 문의 부탁드립니다.
 좋은 하루 되시길 바랍니다 :)</t>
  </si>
  <si>
    <t>저희 탄력요금제로 변경 신청했는데
 적용이 언제부터 되는건지
 청구금액이 언제부터 바뀌는건지 알고싶습니다</t>
  </si>
  <si>
    <t>확인했습니다!</t>
  </si>
  <si>
    <t>안녕하세요 양재영님 ☺️
 고위드 김일경 매니저입니다.
 탄력요금제로 변경 신청했는데 적용이 언제부터 되는건지에 대한 문의
 → 현재 브릿지코드께선 26년 11월 12일에 갱신이 될 예정이며, 갱신 다음 날(11월 13일)에 탄력요금제가 적용되는 점 안내 드립니다.
 청구금액이 언제부터 바뀌는건지에 대한 문의
 → 탄력요금제가 적용되는 11월 13일에 청구금액 변경이 적용 되는 점 안내 드립니다.
 감사합니다.</t>
  </si>
  <si>
    <t>지금 변경사항ㅇ 없을 때 월 청구금액이 얼마에요?</t>
  </si>
  <si>
    <t>2월 사용분에 대한 내용은 684,546원(부가세 포함) 결제 예정에 있습니다. 감사합니다.</t>
  </si>
  <si>
    <t>정정드립니다. 1월 사용분에 대한 내용이 684,546원(부가세 포함) 결제 예정에 있습니다. 혼선을 드려 죄송합니다.</t>
  </si>
  <si>
    <t>추가로 도와드릴 내용 있으실까요? :) 편하게 말씀 부탁 드립니다!</t>
  </si>
  <si>
    <t>고위드 이용내역 관리에서 잘못 올린거 승인대기에서 미제출로 돌리기</t>
  </si>
  <si>
    <t>아예 미제출로 꼭 돌려야해
 사용자가 잘못됐어</t>
  </si>
  <si>
    <t>네 고객님 기다려주셔서 감사합니다. 
 현재 고위드 지출관리 기능상으로 승인대기 상태의 건을 ‘미제출’로 상태를 되돌리는 기능이 제공되고 있지 않습니다. 
 번거로우시겠지만, 해당 부분에 대해 재무 담당자와 소통이 필요할 것으로 확인되며 해당 영수증에 댓글로 내용을 기재해주시는 것을 권장드립니다.</t>
  </si>
  <si>
    <t>방법이없을까요..ㅠㅠ</t>
  </si>
  <si>
    <t>네 고객님, 내부적으로 확인해보았으나 해당 부분에 대해 지원이 어려운 점 안내 받았습니다. 
 해당 부분에 대해 간접적으로 가능한 방법이 있는지 여부에 대해 조금 더 확인해보고 재안내 드리겠습니다. 
 잠시만 기다려주시면 감사하겠습니다.</t>
  </si>
  <si>
    <t>넵 감사합니다~!</t>
  </si>
  <si>
    <t>고객님, 기다려주셔서 감사합니다. [앱 내 카드] - [결제하신 월 설정]으로 이동하셔서 승인대기 결제건을 클릭하신 뒤 하단에 제출취소를 클릭하시면 미제출 상태로 변경이 가능한 것으로 확인됩니다.
 다만, 매출취소는 승인대기 상태에서만 가능하며, 승인이나 반려 시 미제출 상태로 복원이 어려운 점 안내드립니다.</t>
  </si>
  <si>
    <t>오호! 감사합니다!
 친절하게 설명해주셔서 감사합니다 매니저님!</t>
  </si>
  <si>
    <t>네 감사합니다. 혹시 과정 중에 불편사항이나 어려움이 있으신 경우 언제든지 문의 바랍니다.
 저희가 추가로 도움 드릴 내용이 있으실까요? 😀</t>
  </si>
  <si>
    <t>없습니다! 모두 해결했습니다 감사합니다 :)</t>
  </si>
  <si>
    <t>주식회사 테이텀 / 277-81-01840
 법인청구 잔여한도는 3천만원으로 여유가 있는데 아래에 카드 한도는 2천만으로 되어있고 한도업데이트를 하여도 수치가 변하지 않습니다.</t>
  </si>
  <si>
    <t>고객님, 혹시 번거로우시겠지만 확인하고 계신 화면을 저희에게 공유해주실 수 있으실까요?</t>
  </si>
  <si>
    <t>@ALF 신한카드 개별 카드 한도상향 가이드 알려줘</t>
  </si>
  <si>
    <t>신한카드 개별 카드 한도를 상향하는 방법은 다음과 같습니다.
 1. 고위드 홈페이지 접속: 슈퍼관리자 권한으로 로그인 후 [카드 관리] &gt; [한도 관리] 탭으로 이동합니다.
 2. 카드 한도 변경 시작: 우측 가운데에 있는 [카드 한도 변경] 버튼을 클릭합니다.
 3. 신한 법인카드 홈페이지 접속: [카드사 홈페이지] 버튼을 클릭하여 신한 법인카드 홈페이지의 [이용한도 변경] 페이지로 접속합니다.
  - 로그아웃 상태라면 총괄관리자로 로그인해야 합니다.
 4. 변경 한도 조회 및 입력:
  - [카드번호]를 선택하고 [사업장/부서별 카드]를 선택한 후, 사업장/부서 목록을 조회하여 해당 사업장을 선택합니다.
  - 원하는 카드별 한도를 입력하고 등록합니다. 일 한도 설정도 가능합니다.
 5. 총괄관리자 인증: 법인공인인증서를 통해 총괄관리자 인증을 진행한 후 한도를 적용합니다.
 6. 고위드 홈페이지에서 업데이트: 고위드 홈페이지로 돌아와 [카드 관리] &gt; [한도 관리] 탭에서 우측 중간의 [한도 업데이트]를 클릭합니다.
 7. 업데이트 완료: 업데이트하고자 하는 카드를 선택하고 [N개 한도 업데이트]를 클릭하여 완료합니다.
 참고 사항:
 - 이용한도 조정은 영업일 기준 08:00~21:00에만 가능합니다.
 - 카드 이용한도는 법인사 한도 및 그룹한도(법인 총한도)를 초과할 수 없습니다.
 - 이 과정은 법인 총 한도 설정이 아닌 개별 '카드 한도' 설정입니다.</t>
  </si>
  <si>
    <t>고객님, 기다려주셔서 감사합니다. 현재 문의주신 부분은 오류가 아닌 것으로 확인되며, 신한카드의 총 한도는 3천만원으로 확인되며, 법인께서 직접 설정하신 신한카드의 카드한도가 2천만원으로 설정되어 있는 것으로 확인됩니다.
 한도 조절이 필요하신 경우, 아래 가이드에 따라 한도를 조절해주신 뒤 한도 업데이트를 하시면 조절된 한도를 확인하실 수 있습니다. 
 1. 고위드 홈페이지 접속: 슈퍼관리자 권한으로 로그인 후 [카드 관리] &gt; [한도 관리] 탭으로 이동합니다.
 2. 카드 한도 변경 시작: 우측 가운데에 있는 [카드 한도 변경] 버튼을 클릭합니다.
 3. 신한 법인카드 홈페이지 접속: [카드사 홈페이지] 버튼을 클릭하여 신한 법인카드 홈페이지의 [이용한도 변경] 페이지로 접속합니다.
  - 로그아웃 상태라면 총괄관리자로 로그인해야 합니다.
 4. 변경 한도 조회 및 입력:
  - [카드번호]를 선택하고 [사업장/부서별 카드]를 선택한 후, 사업장/부서 목록을 조회하여 해당 사업장을 선택합니다.
  - 원하는 카드별 한도를 입력하고 등록합니다. 일 한도 설정도 가능합니다.
 5. 총괄관리자 인증: 법인공인인증서를 통해 총괄관리자 인증을 진행한 후 한도를 적용합니다.
 6. 고위드 홈페이지에서 업데이트: 고위드 홈페이지로 돌아와 [카드 관리] &gt; [한도 관리] 탭에서 우측 중간의 [한도 업데이트]를 클릭합니다.
 7. 업데이트 완료: 업데이트하고자 하는 카드를 선택하고 [N개 한도 업데이트]를 클릭하여 완료합니다.
 참고 사항:
 - 이용한도 조정은 영업일 기준 08:00~21:00에만 가능합니다.
 - 카드 이용한도는 법인사 한도 및 그룹한도(법인 총한도)를 초과할 수 없습니다.
 - 이 과정은 법인 총 한도 설정이 아닌 개별 '카드 한도' 설정입니다.</t>
  </si>
  <si>
    <t>고객님, 문제는 해결되셨을까요? 답변이 없으신 경우 5분 뒤 상담이 자동 종료 될 예정입니다. 
 추가문의 있으시다면 언제든지 말씀 부탁드립니다. 😀</t>
  </si>
  <si>
    <t>안녕하세요. 테이텀 입니다. 신한카드사 홈페이지에서도 3천만원으로 한도가 되어있는데 이 경우는 어떻게 진행해야 할까요~?</t>
  </si>
  <si>
    <t>당연히 법인 한도는 3천일거고, 개별 카드 한도를 설정하시면 되는 건데!!!
 혹시 개별 카드 한도 3천으로 설정되어 계시다면 캡쳐해서 보내달라고 요청 드려봅시다!</t>
  </si>
  <si>
    <t>한도업데이트도 진행했는데 변경이 안되고 있습니다.</t>
  </si>
  <si>
    <t>네 기헌님, 신한카드사 측 법인 한도는 3천만원이 맞습니다. 혹시 개별카드한도가 3천으로 설정되어 있다면, 해당 화면을 캡쳐해서 공유해주시면 확인해보도록 하겠습니다.</t>
  </si>
  <si>
    <t>신한카드의 총 법인한도는 3,000만원, 사용중이신 카드의 개별한도가 2,000만원으로 확인됩니다. 카드의 개별한도를 3,000만원으로 상향을 원하신다면 개별카드 한도 조절을 진행하시면 되겠습니다.</t>
  </si>
  <si>
    <t>이 부분은 카드사에서 진행하면 될까요~?</t>
  </si>
  <si>
    <t>신한카드의 법인의 총 한도가 3,000만원이면 카드의 개별한도는 3,000만원이 아닐 수 있으며, 직접 설정하시는 영역으로 이해해주시면 감사하겠습니다.</t>
  </si>
  <si>
    <t>아래 경로로 진행해주시면 됩니다. 😀
 1. 고위드 홈페이지 접속: 슈퍼관리자 권한으로 로그인 후 [카드 관리] &gt; [한도 관리] 탭으로 이동합니다.
 2. 카드 한도 변경 시작: 우측 가운데에 있는 [카드 한도 변경] 버튼을 클릭합니다.
 3. 신한 법인카드 홈페이지 접속: [카드사 홈페이지] 버튼을 클릭하여 신한 법인카드 홈페이지의 [이용한도 변경] 페이지로 접속합니다.
  - 로그아웃 상태라면 총괄관리자로 로그인해야 합니다.
 4. 변경 한도 조회 및 입력:
  - [카드번호]를 선택하고 [사업장/부서별 카드]를 선택한 후, 사업장/부서 목록을 조회하여 해당 사업장을 선택합니다.
  - 원하는 카드별 한도를 입력하고 등록합니다. 일 한도 설정도 가능합니다.
 5. 총괄관리자 인증: 법인공인인증서를 통해 총괄관리자 인증을 진행한 후 한도를 적용합니다.
 6. 고위드 홈페이지에서 업데이트: 고위드 홈페이지로 돌아와 [카드 관리] &gt; [한도 관리] 탭에서 우측 중간의 [한도 업데이트]를 클릭합니다.
 7. 업데이트 완료: 업데이트하고자 하는 카드를 선택하고 [N개 한도 업데이트]를 클릭하여 완료합니다.</t>
  </si>
  <si>
    <t>말씀해주신 부분처럼 카드에서 변경완료하였습니다. 한도업데이트 중인데 업데이트 내용확인은 어디에서 할수 있을까요~?</t>
  </si>
  <si>
    <t>네 기헌님, 카드사 측 한도조절이 완료된 경우 저희 측에서 한도 업데이트를 클릭하시면 확인이 가능한 점 안내드리며, 카드사 사정에 따라 일정시간 소요될 수 있습니다.</t>
  </si>
  <si>
    <t>네. 선생님 답변감사합니다. 덕분에 잘 해결되었습니다. 오늘도 좋은하루 되세요! : )</t>
  </si>
  <si>
    <t>네 감사합니다. 😀 
 좋은 하루 되시길 바라며, 저희가 추가로 도움 드릴 내용이 있으실까요?</t>
  </si>
  <si>
    <t>탈퇴신청합니다~!</t>
  </si>
  <si>
    <t>gws 회원 아닌 것으로 파악.</t>
  </si>
  <si>
    <t>안녕하세요 윤종운님 ☺️
 고위드 김일경 매니저입니다.
 고위드 구글 워크스페이스 구독 해지를 희망하시는 것인지 여쭙습니다. :)</t>
  </si>
  <si>
    <t>여기서 소지자를 어떻게 배정해? 이메일 아이디랑 이 카드랑 연결해야되는거 아냐?</t>
  </si>
  <si>
    <t>698294a113b1c2f568a2</t>
  </si>
  <si>
    <t>고위드 신한카드의 경우 해외사용 가능한가요?</t>
  </si>
  <si>
    <t>카드 비밀번호는 어떻게 확인할수 있어?</t>
  </si>
  <si>
    <t>📌 기존 상담: (https://desk.channel.io/gowid/user-chats/%EC%9C%A4%EC%A2%85%EC%9A%B4-6981c414ce87eb62f6e0)</t>
  </si>
  <si>
    <t>넵 
 공인인증서 해제 및 탈퇴처리 해주세요~!</t>
  </si>
  <si>
    <t>@고위드 김일경 매니저 일경님 안녕하세요, 일경님과 나눈 이전 대화에서 넘어온 법인입니다!
 태그 드립니다.</t>
  </si>
  <si>
    <t>네! 확인 했습니다 감사합니다</t>
  </si>
  <si>
    <t>감사합니다!!</t>
  </si>
  <si>
    <t>@고위드 권민규 매니저 님! GWS에서 탈퇴처리는 권한이 아니여서, 카드 탈퇴 처리를 요청 주신 것 같아요. GWS는 별도의 공인인증서, 탈퇴 처리를 진행하지 않습니다!</t>
  </si>
  <si>
    <t>cc @고위드 신현덕 매니저</t>
  </si>
  <si>
    <t>종운님 고위드 법인 회원 탈회 요청 문의 확인했습니다.
 확인 후 담당자 안내 드리도록 하겠습니다! 감사합니다.</t>
  </si>
  <si>
    <t>소현님 유선 컨택 완
 슬랙 스레드로 남겨주셔서 별도 확인 불필요하리라 생각합니다.</t>
  </si>
  <si>
    <t>담당자님, 해당 문의건에 대해 안내 및 조치가 완료된 것으로 확인되어, 이번 상담은 여기서 종료하도록 하겠습니다.
 다른 문의가 있으시면 새로운 창에서 문의 부탁드리며, 문의사항이 있으시다면 언제든지 연락 부탁드립니다.
 좋은 하루 되시길 바라며, 또 뵙겠습니다. 😀</t>
  </si>
  <si>
    <t>고위드 카드를 더이상 사용하지 않아 사이트를 탈퇴하려고 합니다</t>
  </si>
  <si>
    <t>@고위드 신현덕 매니저 탈회는 소현님께서 맡아서 봐주시고 계십니다. @안나 매니저</t>
  </si>
  <si>
    <t>한도 0원으로 조정된 법인</t>
  </si>
  <si>
    <t>은주님 법인께서 신한카드 사용하셨던 것으로 확인되십니다. 신한카드사 탈회만 희망하시는 걸까요, 고위드 탈회까지 함께 진행 희망하실까요?</t>
  </si>
  <si>
    <t>현재 신한카드는 사용 중입니다 고위드만 탈회하고 싶습니다</t>
  </si>
  <si>
    <t>확인 감사합니다. 담당자 확인 후 안내드릴 수 있도록 하겠습니다!
  잠시만 기다려주시면 감사하겠습니다. 😀</t>
  </si>
  <si>
    <t>아직 확인 중이신가요?</t>
  </si>
  <si>
    <t>네 담당자님 기다려주셔서 감사합니다. 현재 탈회 접수처리는 완료되었으며, 정보삭제 안내 동의 등 유선안내로 진행될 예정입니다. 
 순차적으로 진행되고 있으니 조금만 더 시간 양해 부탁드립니다.</t>
  </si>
  <si>
    <t>알겠습니다 감사합니다!</t>
  </si>
  <si>
    <t>@고위드 권민규 매니저 @고위드 신현덕 매니저 
 정소현입니다
 제가 오퍼레이션 시트 권한 이슈로 민선님 계정을 함께 사용중에 있으니 중요한 알럿은 슬랙을 통해 부탁드리겠습니다</t>
  </si>
  <si>
    <t>담당자님, 유선으로 안내 완료가 진행드린 것으로 확인됩니다. 상담은 종료로 진행하도록 하겠습니다.
 그간 함께할 수 있어 감사한 시간이었으며, 이후에도 도움이 필요하신 경우 언제든 편하게 문의 주세요.
 감사합니다.</t>
  </si>
  <si>
    <t>씨앤디네트워크 6658103477
 심사가 4일정도 된거같은데 결과가 아직안나온거죠?</t>
  </si>
  <si>
    <t>권민규의 생각
 슬랙에서 법인명 검색 시 저번주 금요일 오후 6시에 신청하심
 4영업일 정도 걸리니깐, 아직까지 정상적인 심사 기간 중에 계심
 늦어도 이틀 뒤면 슬랙 #bot-법인카드-모니터링-완료알 에 
 '카드 승인 완료 알림'이 뜰 예정
 그 때도 안 뜨면 신한에 확인 받아야 함.
 입니다!
 우선 아직 심사중이라고 안내만 나가면 되리라 생각합니다!</t>
  </si>
  <si>
    <t>기다려주셔서 감사합니다. 저번주 금요일인 1월 31일 오후 6시에 신청하신 것으로 확인되시며 심사완료까지 영업일 기준 4일 가량 소요되고 있습니다. 
 현재까지는 정상적인 심사 기간으로 확인되며, 혹여나 영업일 기준 4일 뒤 심사결과가 나오지 않는다면 저희 측에서 카드사 측 소통 진행하여 빠른 진행 요청드리도록 하겠습니다.</t>
  </si>
  <si>
    <t>6982cf572dc2e58d2d01</t>
  </si>
  <si>
    <t>고위드 카드 사용내역 slack 연동</t>
  </si>
  <si>
    <t>전에 전화로 상담 받았던 엘스랩스의 강영화 입니다.</t>
  </si>
  <si>
    <t>보증금 맡기고 신청하는걸로 바로 하고 싶은데, 어떻게 진행할 수 있을까요?</t>
  </si>
  <si>
    <t>지금은 버튼이 안보여서 추가심사 요청을 해두었는데 바로 신청하고 싶어서요.</t>
  </si>
  <si>
    <t>네 담당자님, 확인 후 안내드리겠습니다. 잠시만 시간 양해 부탁드립니다. 😀</t>
  </si>
  <si>
    <t>넵~!</t>
  </si>
  <si>
    <t>이미 추가 심사(특별 심사)를 요청하신 경우, 시스템상 심사가 진행 중인 것으로 간주되어 보증금 신청 버튼이 보이지 않으실텐데요, 특별심사 대신 보증금 거치로 진행이 가능한지 여부 확인해보도록 하겠습니다.</t>
  </si>
  <si>
    <t>넵~! 감사드려요!</t>
  </si>
  <si>
    <t>@ALF 보증금 안내 메일 전달했다고 작성해줘</t>
  </si>
  <si>
    <t>보증금 안내 메일이 전달되었습니다.</t>
  </si>
  <si>
    <t>@ALF 친절하게!!</t>
  </si>
  <si>
    <t>고객님께 보증금 안내 메일을 전달해 드렸습니다. 확인 부탁드립니다.</t>
  </si>
  <si>
    <t>고객님께 보증금 안내 메일을 전달해 드렸습니다!
 확인 부탁드립니다.
 이번 상담은 여기서 종료하도록 하겠습니다.
 다른 문의가 있으시면 새로운 창에서 문의 부탁드립니다.
 좋은 하루 되시길 바랍니다 :)</t>
  </si>
  <si>
    <t>비티손해보험중개 / 101-86-28173
 월별 이용 현황에서 과거 월로 이용자를 들어가면 자꾸 최신 월로 이동 합니다.. 그 해당월로 들어가게 반영 부탁 드리겠습니다..</t>
  </si>
  <si>
    <t>네 고객님, 우선 이용 중 불편을 드려 죄송합니다.
 저희 측에서 확인 후 담당부서에 이관을 진행할 예정인데요, 혹시 해당 증상은 언제부터 반복되었는지 알려주실 수 있으실까요?</t>
  </si>
  <si>
    <t>이번에 새로운 버전으로 업데이트 되면서 적용이 안된 것 같습니다.</t>
  </si>
  <si>
    <t>고객 문의 내용을 아래 템플릿에 맞춰 정리해 드립니다.
 - 법인명: 비티손해보험중개
 - 사업자번호: 101-86-28173
 - 문의 경로: 채널톡
 - 문의 고객 성함 및 이메일: 이준형
 - 문의 인입 일시: 2026-02-04 16:35:39
 - 문제 요약: 월별 이용 현황 화면에서 과거 월을 선택했을 때, 해당 월이 유지되지 않고 최신 월로 자동 이동하는 현상
 - 발생 시점: 최신 버전 업데이트 이후 발생
 - 고객영향도: 중</t>
  </si>
  <si>
    <t>@고위드 신현덕 매니저 님 요건 제품이슈제보까지 올렸고, 핀옵스 프론트엔드 이수정님이 봐주시고 계십니다.</t>
  </si>
  <si>
    <t>넵넵 해결 후 회신 부탁 드리겠습니다! 감사합니다.</t>
  </si>
  <si>
    <t>민선사마최고</t>
  </si>
  <si>
    <t>안되는데..</t>
  </si>
  <si>
    <t>월별 이용 현황 과거 월로 이동 후에 소지자 클릭하면 이번 달로 나옵니다..</t>
  </si>
  <si>
    <t>@ALF 한 번 더 확인해보겠다는 말을 작성해줘. 화면 나갔다 들어오셨는지도 확인 요청하고</t>
  </si>
  <si>
    <t>고객님, 다시 한번 확인해 주셔서 감사합니다. 아직 문제가 해결되지 않았다니 다시 한번 개발팀에 전달하여 확인하도록 하겠습니다.
 혹시 번거로우시더라도, 해당 화면에서 로그아웃 후 다시 로그인하시거나 페이지를 새로고침 해보셨을까요?</t>
  </si>
  <si>
    <t>아 넵 해보겠습니다.</t>
  </si>
  <si>
    <t>오 수정 되었습니다!!!</t>
  </si>
  <si>
    <t>빠른 수정 감사합니다!!</t>
  </si>
  <si>
    <t>69549c4815d0ba1368c5</t>
  </si>
  <si>
    <t>이전에 신청서 작성했는데 링크 유효기간이 지났음</t>
  </si>
  <si>
    <t>신규 신청</t>
  </si>
  <si>
    <t>신청서 작성하는데 자꾸 사업자등록번호가 인식이 안됨</t>
  </si>
  <si>
    <t>고위드에 전화로 문의할 수 있는 곳 없음?</t>
  </si>
  <si>
    <t>사업자 번호 검증 중 오류가 있다고 떠</t>
  </si>
  <si>
    <t>안녕하세요 저는 김규미라고 합니다. (주)TGWP로 법인카드 롯데카드로 신청하려고 하는데 비대면 발급이 어려워 고객센터로 문의주세요 라고 떠가지고 문의드립니다</t>
  </si>
  <si>
    <t>상담사 연결해주세요</t>
  </si>
  <si>
    <t>이렇게 떠서요 최초발급이고, 총 6개 발급 예정입니다.</t>
  </si>
  <si>
    <t>얼마나 걸리나요?</t>
  </si>
  <si>
    <t>네 고객님, 이미 롯데카드를 사용 중이신 경우 고위드 롯데카드를 병행 사용하는 경우 사용이 어려운 점 안내 드립니다. 혹시 현재 롯데카드를 사용 중에 계실까요?</t>
  </si>
  <si>
    <t>전화 가능할까요?</t>
  </si>
  <si>
    <t>@고위드 신민선 매니저 님 혹시 팔로잉 가능할까욥 ㅜㅜ</t>
  </si>
  <si>
    <t>네 담당자님, 잠시만 기다려주시면 감사하겠습니다.</t>
  </si>
  <si>
    <t>안녕하세요 규미님, 고위드 신민선 매니저입니다. 
 혹시 롯데카드 이미 사용하시는 카드가 있으실까요?</t>
  </si>
  <si>
    <t>@ALF 기입회 법인은 탈회하고 지류입회해야 한다는 거 안내</t>
  </si>
  <si>
    <t>(이 대화는 상담사 연결 이후 상담사가 직접 진행하고 있으므로, ALF는 현재 단계에서 별도의 응답을 생성하지 않습니다.)</t>
  </si>
  <si>
    <t>@ALF 아니뭔소리야
 롯데 기입회 법인은 탈회하고 지류입회해야 한다는 내용으로 안내문 작성해달라고</t>
  </si>
  <si>
    <t>네, 요청하신 내용으로 안내문을 작성해 드리겠습니다.
 ***
 [고위드 롯데법인카드 발급 안내]
 고위드 롯데법인카드를 신청하시려는 고객사 중, 기존에 롯데카드를 사용하고 계신 법인은 고위드 롯데법인카드를 신규 발급하기 어렵습니다.
 원활한 카드 발급을 위해, 다음 절차를 따라 주시기 바랍니다.
 1. 기존 롯데카드 탈회: 보유하고 계신 모든 롯데카드를 롯데카드 고객센터(1599-8800)를 통해 먼저 해지(탈회)해 주시기 바랍니다.
 2. 고위드 고객센터 문의: 기존 롯데카드 탈회 완료 후, 고위드 고객센터로 다시 문의해 주시면 지류(서면) 신청을 통해 발급 절차를 안내해 드리겠습니다.
 감사합니다.
 ***</t>
  </si>
  <si>
    <t>[고위드 롯데법인카드 발급 안내]
 고위드 롯데법인카드를 신청하시려는 고객사 중, 기존에 롯데카드를 사용하고 계신 법인은 고위드 롯데법인카드를 신규 발급하기 어렵습니다.
 원활한 카드 발급을 위해, 다음 절차를 따라 주시기 바랍니다.
 1. 기존 롯데카드 해지: 보유하고 계신 모든 롯데카드를 롯데카드 고객센터(1599-8800)를 통해 먼저 고위드 롯데카드 발급을 위해 해지하고자 한다고 말씀해 주시기 바랍니다.
 2. 고위드 고객센터 문의: 기존 롯데카드 전체 해지 완료 후, 고위드 고객센터로 다시 문의해 주시면 지류(서면) 신청을 통해 발급 절차를 안내해 드리겠습니다.</t>
  </si>
  <si>
    <t>타 카드사 (비씨, 신한)은 바로 발급 가능하신 점 안내드립니다 :)</t>
  </si>
  <si>
    <t>법인카드가 아니라 개인카드로 대표님이 사용중이신데도 법인으로 롯데카드 발급이 어려운걸까요?</t>
  </si>
  <si>
    <t>소현님 유선 응대중</t>
  </si>
  <si>
    <t>1차 유선응대완료</t>
  </si>
  <si>
    <t>안녕하세요, 담당자님 유선으로 안내진행이 완료된 것으로 확인됩니다. 혹시 추가적으로 궁금하신 사항이 있으실까요? 😀</t>
  </si>
  <si>
    <t>담당자님, 원활한 상담 환경을 위해 답변이 없으실 경우 5분 뒤 상담이 종료될 예정입니다. 
 추가 문의 있으시면 언제든지 문의 부탁드립니다. 😀</t>
  </si>
  <si>
    <t>이마고웍스 주식회사 460-81-01758
 카드 이용내역과 고위드 연동내역 오류 (상이함)
 1/15 성낙훈(신한2699) 카드사 결제 건으로 카드사 내 매입내역 확인되지만
 고위드에 연동내역에는 확인되지 않아 카드대금명세서가 상이합니다
 또한 
 강수연(신한) 카드 건에 대해서도 고위드 내에는 300원으로 이용 금액 확인되지만 카드사 내 사용금액은 3만원대이며 카드대금명세서와 상이합니다</t>
  </si>
  <si>
    <t>@ALF 카드사 매입내역 탭에서 확인한 게 맞는지 확인 요청드리며, 카드사 화면과 고위드 화면 전체화면 캡처본을 보내달라고 요청드리는 내용 간명하고 공손하게 작성해줘</t>
  </si>
  <si>
    <t>안녕하세요, 강혜민님.
 남겨주신 이용내역 오류 제보에 대해 확인 중입니다.
 보다 정확한 문제 파악을 위해 몇 가지 추가 정보가 필요합니다. 해당 내역을 카드사 웹페이지의 '매입내역' 탭에서 확인하신 것이 맞는지 알려주실 수 있을까요?
 또한, 번거로우시겠지만 카드사 웹페이지의 매입내역 화면과 고위드 이용내역 화면의 전체화면 캡처본을 각각 첨부해 주시면 문제 해결에 큰 도움이 될 것 같습니다.
 제공해주시는 정보를 바탕으로 신속히 확인하여 다시 안내드리겠습니다.</t>
  </si>
  <si>
    <t>감사합니다 혜민님!
 "1/15 성낙훈(신한2699) 카드사 결제 건으로 카드사 내 매입내역 확인되지만
 고위드에 연동내역에는 확인되지 않아 카드대금명세서가 상이합니다"
 이 내용도 캡처본 가능하실까요?</t>
  </si>
  <si>
    <t>• 법인명: 이마고웍스 주식회사
 • 사업자번호: 460-81-01758
 • 문의 경로: 채널톡
 • 문의 고객 성함 및 이메일: 강혜민 (이메일 정보 없음)
 • 문의 인입 일시: 2026-02-04 17:20:48
 • 문제 요약: 고위드 [이용내역] 화면과 카드사 매입내역 간의 금액 및 내역 불일치.
 1. 1/15 성낙훈(신한2699) 카드사 결제 건이 카드사 매입내역에는 확인되나, 고위드 연동내역에는 누락되어 카드대금명세서가 상이함.
 2. 강수연(신한) 카드 건은 고위드에 300원으로 연동되었으나, 카드사 사용금액은 3만원대로 확인되어 카드대금명세서가 상이함.
  • 발생 시점: 특정 거래일(1/15) 및 특정 카드 건에서 발생.
  • 고객영향도: 상</t>
  </si>
  <si>
    <t>@고위드 신현덕 매니저 님 제품이슈제보에는 올렸으며, 1번 성낙훈 님 오류에 관한 내용은 구체적인 캡처본을 받지 못했습니다. 히스토리 공유드립니다.</t>
  </si>
  <si>
    <t>@ALF 고위드 비밀번호 재설정하는 링크 알려줘</t>
  </si>
  <si>
    <t>고위드 비밀번호 재설정은 다음 링크에서 가능합니다: https://gowid.com/login/search2</t>
  </si>
  <si>
    <t>메모장으로 썼습니다 죄송합니다 ㅋ.ㅋ</t>
  </si>
  <si>
    <t>우준하(BE) [오후 5:34]
 승인 → 승인취소 → 매입 이 된 케이스여서 금액에 차이가 생겼습니다.
 유사한 데이터까지 모두 수정 후 말씀 드리겠습니다....</t>
  </si>
  <si>
    <t>@ALF 상담요약</t>
  </si>
  <si>
    <t>강혜민 고객이 카드 이용내역과 고위드 연동내역 간의 불일치를 제보했습니다.
 주요 내용은 다음과 같습니다:
 1. 성낙훈(신한2699) 카드 건 (1/15): 카드사 매입내역에는 확인되나, 고위드 연동내역에는 누락되어 카드대금명세서가 상이하다는 문제. (해당 건의 캡처본은 아직 확보되지 않았습니다.)
 2. 강수연(신한) 카드 건: 고위드에서는 300원으로 확인되나, 카드사에서는 약 3만원대로 확인되어 카드대금명세서가 상이하다는 문제. (이 건에 대한 캡처본은 고객이 제공했습니다.)
 내부 확인 결과, 권민규 매니저에 따르면 해당 금액 차이는 "승인 → 승인취소 → 매입" 과정에서 발생한 것으로 파악되었으며, 유사한 데이터에 대한 수정 작업이 진행 중입니다.</t>
  </si>
  <si>
    <t>강혜민 고객이 카드 이용내역과 고위드 연동내역 간의 불일치 문제를 제기했습니다.
 주요 내용은 다음과 같습니다:
 1. 성낙훈(신한2699) 카드 건 (1/15): 카드사 매입내역에는 존재하지만, 고위드 연동내역에는 누락되어 대금명세서가 상이합니다. (이 건에 대한 고객 캡처본은 아직 확보되지 않았습니다.)
 2. 강수연(신한) 카드 건: 고위드에서는 300원으로 연동되었으나, 카드사에서는 약 3만원대로 확인되어 대금명세서가 상이합니다. (이 건에 대한 고객 캡처본은 제공되었습니다.)
 내부 확인 결과, 권민규 매니저에 따르면 해당 금액 차이는 "승인 → 승인취소 → 매입" 과정에서 발생했으며, 현재 유사한 데이터에 대한 수정 작업이 진행 중입니다.</t>
  </si>
  <si>
    <t>음;</t>
  </si>
  <si>
    <t>강수연님 데이터 수정해두었습니다! 유사케이스도 모두 수정해두었습니다
 [오후 6:32]
 성낙훈님건은 확인이 안되어서, 수취되면 말씀주세요!</t>
  </si>
  <si>
    <t>@ALF 규칙260204에 대해서 설명해봐</t>
  </si>
  <si>
    <t>규칙260204는 2026년 2월 4일에 추가된 승인취소 기능을 의미합니다.
 이 기능은 다음과 같습니다:
 - 실수로 승인/부분승인/반려 처리된 내역을 다시 승인 대기 상태로 되돌릴 수 있습니다.
 - 반려된 영수증을 '승인 대기' 상태로 되돌리려면, '다시 제출' 버튼을 눌러야 합니다.</t>
  </si>
  <si>
    <t>[상담요약]
 • 법인명: 이마고웍스 주식회사
 • 사업자번호: 460-81-01758
 • 문의 경로: 채널톡
 • 문의 고객 성함 및 이메일: 강혜민 (이메일 정보 없음)
 • 문제 요약: 고위드 이용내역과 카드사 매입내역 불일치로 인해 카드대금명세서가 상이하게 표시되는 현상 발생 (승인-승인취소-매입 과정 오류로 추정되며, 강수연 카드 건은 수정 완료, 성낙훈 카드 건은 확인 중)
 • Impact Level: Level 2(Tactical)</t>
  </si>
  <si>
    <t>담당자님 안녕하세요, 고위드입니다.
 기다려주셔서 감사합니다.
 문의주신 강수연님 카드 관련 데이터 불일치가 있었던 내용이 확인 되어 전체 수정 조치 완료해두었습니다.
 성낙훈님 카드 데이터 관련 확인을 위하여
 "1/15 성낙훈(신한2699) 카드사 결제 건으로 카드사 내 매입내역 확인되지만
 고위드에 연동내역에는 확인되지 않아 카드대금명세서가 상이합니다"
 →이 내용도 캡처본 가능하실까요?
 감사합니다!</t>
  </si>
  <si>
    <t>카드사 매입내역은 있지만 고위드 이용내역에는 없습니다</t>
  </si>
  <si>
    <t>혹시 제가 발견하지 못한 오류들도 있는데</t>
  </si>
  <si>
    <t>제가 건별 리포트 하지 않는다면</t>
  </si>
  <si>
    <t>오류에 대한 조치는 이뤄지지 않는걸까요?</t>
  </si>
  <si>
    <t>우선 캡쳐본 전달 감사합니다!
 강수연님 데이터 불일치 과정 중, 법인의 유사 데이터 불일치 건은 모두 조치해두었습니다. 성낙훈님 오류 또한 개발팀에 전달하여 확인할 예정이며, 사용 중에 불편한 점 말씀 주시면 바로 전달할 수 있도록 하겠습니다.
 조치된 후 안내드리도록 하겠습니다. 감사합니다!</t>
  </si>
  <si>
    <t>담당자님, 고위드 개발팀 확인 내용 전달 드립니다.
 해당 결제 건은 1월 8일 이용내역으로 확인되며, 이미 관리자 승인까지 하신 건으로 확인됩니다.
 1월 8일 '승인' 후 19일 '매입'처리까지 진행 된 결제 건으로 확인되십니다. 
 별도로, 카드사에서 1월 15일로 보이는 사유에 대해서는 고객님께서 별도 카드사 확인이 필요한 사안으로 파악됩니다.
 번거로우시겠지만, 확인을 위해 카드사 고객센터 
 - 신한카드 고객센터 : 1544-7000
 를 통해 확인 받아보시길 권유드립니다.
 감사합니다.</t>
  </si>
  <si>
    <t>넵넵 감사합니다 !</t>
  </si>
  <si>
    <t>닥터블릿헬스케어/ 382-88-01869
 이용내역 승인 중 댓글을 삭제하는 기능은 없을까요?</t>
  </si>
  <si>
    <t>이용내역 댓글 삭제 기능이 추가되었습니다(웹).</t>
  </si>
  <si>
    <t>@ALF 
 가능하다고 하면 그 방법을 말해줘</t>
  </si>
  <si>
    <t>이용내역 댓글 삭제 방법은 다음과 같습니다.
 1. 고위드 웹사이트에 접속합니다.
 2. `지출관리` 메뉴에서 `이용내역`으로 이동합니다.
 3. 삭제하고자 하는 댓글이 있는 이용내역을 찾습니다.
 4. 해당 이용내역의 `댓글` 부분으로 이동합니다.
 5. 삭제를 원하는 댓글 옆에 있는 `삭제` 버튼 또는 아이콘을 클릭합니다.
 6. 삭제 확인 메시지가 나타나면 `확인`을 눌러 댓글을 삭제합니다.</t>
  </si>
  <si>
    <t>안녕하세요 관리자님! 고위드입니다.
 이용내역 댓글 삭제 방법은 다음과 같습니다.
 1. 고위드 웹사이트에 접속합니다.
 2. `지출관리` 메뉴에서 `이용내역`으로 이동합니다.
 3. 삭제하고자 하는 댓글이 있는 이용내역을 찾습니다.
 4. 해당 이용내역의 `댓글` 부분으로 이동합니다.
 5. 삭제를 원하는 댓글 옆에 있는 `삭제` 버튼 또는 아이콘을 클릭합니다.
 6. 삭제 확인 메시지가 나타나면 `확인`을 눌러 댓글을 삭제합니다.</t>
  </si>
  <si>
    <t>댓글 옆에 삭제 버튼 또는 아이콘이 없습니다!</t>
  </si>
  <si>
    <t>관리자님, 잠시 대기해주시면 바로 확인 후 회신드리도록 하겠습니다!</t>
  </si>
  <si>
    <t>@ALF 구버전 아닌 신버전 업데이트 요청드려줘!</t>
  </si>
  <si>
    <t>이용내역 댓글 삭제 기능에 대한 정보가 실제 UI와 일치하지 않는 것으로 확인되었습니다. 현재 고객이 제공한 스크린샷에서는 댓글 삭제 버튼이 보이지 않습니다.
 제공해주신 피드백을 바탕으로 최신 정보를 반영할 수 있도록 지식 기반을 검토하겠습니다. 해당 기능이 지원되지 않는 것으로 판단될 경우, 고객에게도 이 사실을 정확히 안내하는 것이 좋겠습니다.</t>
  </si>
  <si>
    <t>@ALF 이전 버전이니 최신 버전으로 업데이트 하도록 안내드려줘</t>
  </si>
  <si>
    <t>매니저님, 고위드 서비스의 최신 버전 업데이트 절차에 대한 구체적인 정보는 현재 저에게 없습니다. 해당 내용은 고위드 내부의 공식 문서나 고객 지원 섹션을 통해 확인하실 수 있을 것 같습니다.</t>
  </si>
  <si>
    <t>관리자님, 혹시 이전 버전을 사용 중이실까요~? 최신 버전으로 사용해보기 (업데이트) 부탁드립니다!</t>
  </si>
  <si>
    <t>이용내역 관리에서 사용내역 미제출자에게 미제출자알림 서비스를 이용하려고 하는데요,
 혹시 카드별 설정된 사용자에게만 알림할 수 있는 방법은 없을까요? 
 미제출자 알림을 누르면 미제출 사용자 모두에게 알람이 가는것인지, 어떻게 알림 안내가 되는지 궁금합니다</t>
  </si>
  <si>
    <t>그럼 소지자와 공동소지자 모두에게 알림이 가나요?</t>
  </si>
  <si>
    <t>상담원 연결해서 답변부탁드립니다</t>
  </si>
  <si>
    <t>네, 10시에 답변 부탁드려요 위 내용으로</t>
  </si>
  <si>
    <t>현정님 안녕하세요. 고위드입니다.
 미제출자 알림을 누르면 소지자와 공동소지자 모두에게 알림이 갑니다. 감사합니다.</t>
  </si>
  <si>
    <t>참고 부탁드려요!</t>
  </si>
  <si>
    <t>담당자님, 기다려주셔서 감사합니다. 미제출자 알림을 누르면 소지자와 공동소지자 모두에게 알림이 갑니다.</t>
  </si>
  <si>
    <t>api key 발급방법</t>
  </si>
  <si>
    <t>api key 발급 방법 안내 어려우면 상담원 연결</t>
  </si>
  <si>
    <t>api key 발급 방법</t>
  </si>
  <si>
    <t>안녕하세요, 고위드입니다.
 우선적으로 API 키 발급 안내 드립니다.
 슈퍼관리자 계정 메일로만 api 발송이 가능합니다.
 한도상향/신규카드사 입회가 가능한 슈퍼관리자 분께 내부 협의 후 해당 이메일 전달 부탁드립니다!
 우선적으로, 해당 상담창에 API Key 발급을 위해 아래 내용 전달 부탁드립니다!
 - 법인명/사업자번호
 - 담당자 성함/직책/메일:
 (해당 담당자는 슈퍼관리자 권한 부여 必)
 - 필요한 API 데이터(예시: 지출내역 조회):
 - 요청사유(예시: 법인카드 지출 내역을 ERP에 연동):
 정보 확인 후 담당자 님이 안내 메일 드릴 예정입니다.
 참고하실 수 있는 가이드도 첨부 드립니다.
 감사합니다.</t>
  </si>
  <si>
    <t>법인명:(주)바이오컴, 사업자번호 : 431-86-02657
 담당자 : 전태준 / 대표 / taejun@biocom.kr
 필요한 API 데이터 : 현재 고위드에서 지원하는 모든 API 데이터 (지출내역 조회 및 자동 분류 목적)
 요청사유 : 법인카드 지출 내역을 ERP에 연동</t>
  </si>
  <si>
    <t>확인 감사합니다! API 발급을 위해 담당자에게 해당 사항 전달해두도록 하겠습니다.
 추가적으로 법인께 여쭤보고 싶은 내용이 있습니다.
 - 혹시 어떤 ERP를 사용중이신지
 - 더존이라면) 저희가 제공하는 다운로드 기능으로는 갈음이 불가능한지
 확인 부탁드리겠습니다!</t>
  </si>
  <si>
    <t>flex, 위하고 사용중이며, 자체적으로 대시보드 툴을 만드려고 합니다. 다운로드 기능으로는 어려워서 api 사용하고자 합니다.</t>
  </si>
  <si>
    <t>확인 감사합니다! 담당자 확인 후 메일 발송 예정입니다.
 감사합니다.</t>
  </si>
  <si>
    <t>고객님, 혹시 말씀주신 문의는 해결되었을까요? 😀
 답변이 없으실 경우 5분 뒤 상담이 종료될 예정입니다. 
 추가 문의 있으시면 언제든지 문의 부탁드립니다.</t>
  </si>
  <si>
    <t>[상담요약]
 - 법인명: (주)바이오컴
 - 사업자번호: 431-86-02657
 - 문의 경로: 채널톡
 - 문의 고객 성함 및 이메일: 전태준 / taejun@biocom.kr
 - 문제 요약: 고객이 flex, 위하고 ERP 연동 및 자체 대시보드 툴 생성을 위해 API Key 발급 방법을 문의하며, 현재 고위드에서 지원하는 모든 API 데이터(지출내역 조회 및 자동 분류 목적)가 필요함. 기존 다운로드 기능으로는 연동이 어려워 API 사용을 요청.
 - impact Level: Level 3 (Opportunistic)</t>
  </si>
  <si>
    <t>api 이메일이 아직 따로 오지는 않았습니다.</t>
  </si>
  <si>
    <t>담당자 확인 후 금일 ~ 익일 발송 예정입니다! 감사합니다 😀</t>
  </si>
  <si>
    <t>담당자님 안녕하세요, 고위드입니다. 
 현재 API 발급을 진행하려고 권한을 확인해보니
 - 전태준 / 대표 / taejun@biocom.kr
 해당 멤버께서 슈퍼관리자 권한이 아니시고 일반 멤버로 등록되어 계십니다.
 설정 &gt; 멤버관리 &gt; 우측 점 3개 클릭하시어 해당 멤버 분의 권한 변경 후 재요청 부탁드리겠습니다.
 감사합니다.</t>
  </si>
  <si>
    <t>@고위드 신현덕 매니저 API 권한 부여는 슈퍼관리자에게만 가능합니다! 참고하셔용</t>
  </si>
  <si>
    <t>담당자님 안녕하세요, 고위드입니다.
 현재 API 발급을 진행하려고 권한을 확인해보니
 - 전태준 / 대표 / taejun@biocom.kr
 해당 멤버께서 슈퍼관리자 권한이 아니시고 일반 멤버로 등록되어 계십니다.
 설정 &gt; 멤버관리 &gt; 우측 점 3개 클릭하시어 해당 멤버 분의 권한 변경 후 재요청 부탁드리겠습니다.
 감사합니다.</t>
  </si>
  <si>
    <t>유선 번호가 없어서 일단 한 번 더 보내놨습니다.</t>
  </si>
  <si>
    <t>안녕하세요 저희 직원한테 확인해보니 슈퍼관리자로 되어 있다고 하는데 다시 확인좀 해주세요</t>
  </si>
  <si>
    <t>제가 캡처본도 받았는데 슈퍼관리자로 되어 있는것 확인 하였습니다.</t>
  </si>
  <si>
    <t>담당자님 확인 감사합니다. API 발급 담당자에게 전달 완료해두었으며, 확인되는대로 발급 안내 메일 발송 예정입니다. 감사합니다!</t>
  </si>
  <si>
    <t>1월 결제이용대금이 2월에 청구서 발행이 되어 결제되는 걸로 알고 있는데, 1월 중순에 자동결제카드를 변경했습니다. 이 경우 변경된 카드로 정상적으로 요금이 결제되는 지 궁금합니다.</t>
  </si>
  <si>
    <t>안녕하세요 김수연님 ☺️
 고위드 김일경 매니저입니다.
 해당 내용 빠르게 확인하여 도와드리겠습니다. 잠시만 기다려주시겠어요?</t>
  </si>
  <si>
    <t>안녕하세요 김수연님 ☺️
 고위드 김일경 매니저입니다.
 고위드 구글 워크스페이스는 담당자님 말씀 해주신 것 처럼 '익월 결제'가 이루어지는데요! 😀
 익월 결제일인 5일에 등록해놓은 최신 카드로 결제가 되는 점 안내 드립니다.
 → 네, 1월 중순에 변경 하신 카드로 요금 결제 진행 됩니다.
 감사합니다.</t>
  </si>
  <si>
    <t>확인감사합니다. 그럼 금일 결제가 진행되는 것으로 이해했는데 결제가 이루어지는 시점은 달라질 수 있나요? 변경 전에는 결제가 오전 10시에 진행이 되어 청구서를 받았는데 변경 후에는 결제가 아직 안이루어져서 자동결제카드 변경이 제대로 연동이 되었는지 확인이 안되고있어서요</t>
  </si>
  <si>
    <t>내부 데이터 점검을 이유로 이번 달에 한하여 결제 시간이 다르게 진행 된 사실 안내 드립니다.
 서비스 이용에 불편 드려 죄송합니다.
 더해서, 결제는 금일 오전 중에 이루어질 예정임을 안내 드립니다.
 감사합니다.</t>
  </si>
  <si>
    <t>네 알겠습니다 확인 감사합니다~ 추가 문의사항은 없습니다!</t>
  </si>
  <si>
    <t>안녕하세요
 (주)와이오엘오 재무빌링매니저 최유은입니다.
 저희 현재 이용중인 구글 워크스페이스 해지하려고 하는데 확인부탁드리겠습니다!</t>
  </si>
  <si>
    <t>안녕하세요 최유은님 ☺️
 고위드 김일경 매니저입니다.
 고위드 구글 워크스페이스 해지 건으로 문의 주신 점 확인 되었습니다.
 현재 구글로 전환(고위드 해지)이 가능한 상황이나, 26년 3월 25일까지 고위드와의 계약이 이루어져있는 점을 확인 했습니다.
 3월 25일 이전에 해지 하실 경우, 아래와 같은 문제가 생길 수 있습니다.
 1. 적용 중인 15% 할인이 미적용 됩니다
 2. 3월 25일 전까지 타 리셀러, 구글로 옮겨졌을 때 이중으로 결제하게 된다
 ex) 고위드 계약, 타 리셀러(또는 구글) 계약 금액을 납부하게 됩니다
 하여, 저희가 제안 드리는 사항은 아래와 같습니다
 1. 이중결제 방지를 위해 3월 25일 까지 고위드와 계약을 진행하고, 이후 탈퇴 처리를 도와드립니다
 감사합니다.</t>
  </si>
  <si>
    <t>확인 필요 사항 : 연간 요금제 전환 시 탄력으로 100% 바꿔서 보내줘야 하는가? 아니면 그 시점에 맞춰서 구글로 전환 처리 해주면 되는 것인가?</t>
  </si>
  <si>
    <t>안녕하세요 최유은님 ☺️
 고위드 김일경 매니저입니다.
 더 자세히 도와드리기 위해 내부에서 확인 중에 있습니다.
 잠시만 기다려주시겠어요? :)</t>
  </si>
  <si>
    <t>옵션 1. 3월 26일에 탄력요금제로 바꿔서 구글로 이전을 도와드린다.
 옵션 2. 아예 해지를 원하시는거면 해당 날짜 맞춰서 중단을 진행 해야 한다.</t>
  </si>
  <si>
    <t>13시 30분 이후로 유선 연락 진행</t>
  </si>
  <si>
    <t>오래 기다려주셔서 감사합니다!
 해당 내용 유선으로 자세히 안내 드리겠습니다! :)</t>
  </si>
  <si>
    <t>유선으로 연락 드렸으나 부재중이신걸로 확인했어요!
 유선 상담 가능 하실 때 답변 해주시면 해당 시간 맞춰 연락 드리겠습니다. :) 감사합니다.</t>
  </si>
  <si>
    <t>지금 주시면 가능합니다!</t>
  </si>
  <si>
    <t>유선으로 안내 드린 것과 같이, 서비스 해지 요청 건은 홀딩 하는 것으로 확인 받아 재안내 드립니다.
 이번 상담은 여기서 종료하도록 하겠습니다.
 다른 문의가 있으시면 새로운 창에서 문의 부탁드립니다.
 좋은 하루 되시길 바랍니다 :)</t>
  </si>
  <si>
    <t>카드 잔여한도가 8000원밖에 안남아서. 즉시결제 진행하였습니다. 롯데카드 사이트상에는 잔여한도가 즉시결제한 금액만큼 증액이 되었는데, 고위드 사이트에서는 반영이 되지 않았습니다.</t>
  </si>
  <si>
    <t>그럼 고위드 사이트상에 잔여한도 변경만 안된거고</t>
  </si>
  <si>
    <t>즉시결제 이후, 바로 카드 사용가능한가요?</t>
  </si>
  <si>
    <t>지출관리에 이용내역관리 내역을 새로오신 팀장님께 부여해야하는데 방법을 모르겠어요.</t>
  </si>
  <si>
    <t>카드 이용내역을 일반 엑셀 파일로 다운로드하면 일부 불공제 항목에서 부가세금액이 나옵니다.</t>
  </si>
  <si>
    <t>똑같은 거래처 항목이고, 같은 불공인데 
 어떤 거는 부가세가 표시 되고, 어떤 거는 부가세가 없습니다</t>
  </si>
  <si>
    <t>상담원연결해주세요</t>
  </si>
  <si>
    <t>네 고객님, 우선 답변이 늦어져 죄송합니다. 내부적으로 빠른 확인 후 안내드릴 예정인데요, 잠시만 시간 양해 부탁드립니다.</t>
  </si>
  <si>
    <t>은별님, 안녕하세요. 고위드입니다.
 1. 불공제로 뜨는 항목의 경우, 해당 결제 건의 영수증이 불공제 / 용도가 불공제 / 혹은 가맹점 사업자 유형이 불공제일 수 있습니다. 아래 내용 참고 부탁드립니다.
 - 1순위_이용내역별 불공제 설정 : 개별 영수증에서 설정한 값이 최우선 적용
 - 2순위_가맹점 사업자 유형별 불공제 설정 : 사업자 유형에 따라 자동 적용
 → 공제 가능 용도에만 적용됩니다. (불공제 용도의 경우, 불공제로 유지됩니다.)
 - 3순위_용도별 불공제 설정 : 용도에 지정된 불공제 여부 적용
 혹시 캡쳐하신 결제 건의 경우 개별 영수증에서 별도로 설정한 값이 있으실까요? 해당 경우에는 '용도'보다 우선 순위로 적용되어서 여쭈어봅니다.</t>
  </si>
  <si>
    <t>부가세가 같이 나온 결제 건들은, [이용내역별 불공제 체크박스]를 체크하셨던 적은 없으실까요?
 시스템 정책 상 해당 불공제 체크박스를 한번이라도 건드렸다면, 체크박스의 설정이 1순위로 반영되게 됩니다.
 따라서 체크박스를 한 번이라도 건드렸다면,
 - 체크박스가 꺼져있을 때 = 공제
 - 체크박스카 체크되어 있을 때 = 불공제
 로 반영되게 됩니다.</t>
  </si>
  <si>
    <t>고위드 상에서 해당 영수증에 대해 불공제 처리를 하였습니다. 
 처리 후, 일반 엑셀로 다운로드 해보니 부가세가 표시되어 나옵니다</t>
  </si>
  <si>
    <t>확인 감사합니다.
 용도 설정뿐만 아니라, 개별 영수증의 [이용내역별 불공제 체크박스] 통해서 불공제 처리 해주셨다는 말씀이실까요?</t>
  </si>
  <si>
    <t>네 맞습니다~</t>
  </si>
  <si>
    <t>이미지와 같이 불공제 처리했습니다.</t>
  </si>
  <si>
    <t>확인 감사합니다!
 서비스 이용에 불편을 드려 죄송합니다. 문의 주신 사항은 개발팀에 전달하여, 문제 원인 파악 및 해결 도와드리겠습니다. 시간이 소요될 수 있어 조금만 시간 양해해주시면 감사하겠습니다. 최대한 급건으로 확인하도록 하겠습니다! 문의 해결이 지연되어 죄송합니다.</t>
  </si>
  <si>
    <t>일반 엑셀파일에서도 불공제여부 : 불공제 인데
 부가세가 0원이 아닌 금액으로 보여집니다.</t>
  </si>
  <si>
    <t>네네~ 확인 후 답변 주세요. 감사합니다</t>
  </si>
  <si>
    <t>@ALF 아래 템플릿으로 고객문의 정리해줘.
 문제요약은 구체적으로 이해하기 쉽게 고위드 용어로 작성해줘. * 표시는 다 안 들어가도록 빼줘.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</si>
  <si>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매니저님의 요청에 따라 고객 문의 내용을 정리했습니다.
 - 법인명: (제공되지 않음)
 - 사업자번호: (제공되지 않음)
 - 문의 경로: 채널톡
 - 문의 고객 성함 및 이메일: 고은별 (이메일은 제공되지 않음)
 - 문의 인입 일시: (정확한 상담 열린 시간 확인 불가)
 - 문제 요약: 고위드에서 개별 영수증 상세 화면의 '이용내역별 불공제 체크박스'를 통해 부가세 불공제 처리한 내역이, 일반 엑셀 다운로드 시 '불공제여부'는 '불공제'로 표시되나 '부가세' 항목에 0원이 아닌 금액이 표시되는 현상.
 - 발생 시점: (정보 부족)
 - 고객영향도: 중</t>
  </si>
  <si>
    <t>은별님 기다려주셔서 감사합니다! 
 확인 결과 더존 양식으로 다운로드 시에만 공제/불공제 관련 적용이 반영되며, 일반 엑셀 파일 다운로드 시 미반영됩니다.
 더존양식으로 다운로드 받으시어 활용 부탁드리겠습니다.
 혹시 일반 엑셀 파일 다운로드로 공제 불공제 확인이 필요하신 부분이 있으실까요? 저희가 더 도움을 드릴 수 있는 부분이 있으실까 싶어 여쭤봅니다!</t>
  </si>
  <si>
    <t>답변 감사합니다.
 다만 저희가 궁금한 부분은 다운로드 양식 차이보다는,
 동일하게 ‘불공제’로 분류된 건임에도 일반 엑셀 화면상에서는 일부 건에 부가세 금액이 존재하는 것처럼 보이는 이유입니다.
 현재 일반 엑셀 양식도 비용 검토 및 부서별 공유용으로 활용하고 있어,
 해당 양식에서도 공제/불공제 여부와 부가세 표시가 명확히 구분될 필요가 있습니다.
 불공제라면 실무상 부가세는 0으로 인식되는 것이 맞아 보이는데,
 일반 엑셀에서는 원 부가세 금액이 그대로 노출되고 더존 양식에서만 0 처리되는 구조인지 궁금합니다.
 또한 일반 엑셀 파일에서도 공제/불공제 여부에 따라 부가세가 혼동되지 않도록 표시할 수 있는 방법이 있는지도 함께 확인 부탁드립니다.</t>
  </si>
  <si>
    <t>은별님 확인 감사합니다! 현재 담당자 확인 중에 있어, 잠시만 기다려주시면 감사하겠습니다.</t>
  </si>
  <si>
    <t>@ALF 부가세가 0원인것은 공제를 받으려는 입장에서 부가세가 0원인 것이고, 일반 양식 엑셀의 부가세는 공제/불공제와는 관련 없이 카드사가 넘겨주는 부가세 입니다.
 일반 엑셀 양식에서는 공제/불공제 여부가 따로 기록되어 있기에, 부가세 보정 작업이 되어있지 않습니다. 엑셀
 만약 일반 엑셀에서 공제/불공제 여부에 따라 별도 확인이 필요하시다면 엑셀 함수 사용 또는 더존 양식을 통해 편하게 확인 부탁드림.
 을 법인께 부드럽고 잘 이해될 수 있도록 작성해줘.</t>
  </si>
  <si>
    <t>은별님, 답변이 늦어져 죄송합니다. 문의주신 내용에 대해 다시 확인하여 안내드립니다.
 일반 엑셀 다운로드 시 '불공제' 항목임에도 부가세 금액이 표시되는 이유는 다음과 같습니다.
 세법상 '불공제' 처리는 부가세를 공제받지 못한다는 의미로, 공제를 받으려는 입장에서는 해당 부가세가 실질적으로 0원과 같게 인식될 수 있습니다. 하지만 일반 엑셀 파일에서 보여지는 부가세는 해당 거래의 원래 부가세 금액으로, 카드사에서 고위드로 전달해 주는 데이터 그대로를 보여주는 것입니다. 공제/불공제 여부와는 별개로 실제로 발생한 부가세를 나타냅니다.
 일반 엑셀 양식에는 이미 '불공제여부' 항목이 별도로 기록되어 있기 때문에, 해당 항목을 통해 공제/불공제 여부를 확인할 수 있습니다. 따라서 일반 엑셀에서는 부가세 금액에 대한 별도의 보정 작업(예: 불공제 건의 부가세를 0원으로 표시)이 적용되어 있지 않습니다.
 만약 일반 엑셀 파일에서 '불공제' 항목의 부가세를 0원으로 표시하여 확인하시고 싶다면, 엑셀 함수를 사용하여 '불공제여부' 항목을 기준으로 부가세 값을 조정하시거나, 더존 양식을 다운로드하여 활용해 주시면 편리하게 확인하실 수 있습니다.</t>
  </si>
  <si>
    <t>은별님, 답변이 늦어져 죄송합니다. 문의주신 내용에 대해 다시 확인하여 안내드립니다.
 일반 엑셀 다운로드 시 '불공제' 항목임에도 부가세 금액이 표시되는 이유는 다음과 같습니다.
 세법상 '불공제' 처리는 부가세를 공제받지 못한다는 의미로, 공제를 받으려는 입장에서는 해당 부가세가 실질적으로 0원과 같게 인식될 수 있습니다. 하지만 일반 엑셀 파일에서 보여지는 부가세는 해당 거래의 원래 부가세 금액으로, 카드사에서 고위드로 전달해 주는 데이터 그대로를 보여주는 것입니다. 공제/불공제 여부와는 별개로 실제로 발생한 부가세를 나타냅니다.
 일반 엑셀 양식에는 이미 '불공제여부' 항목이 별도로 기록되어 있기 때문에, 해당 항목을 통해 공제/불공제 여부를 확인할 수 있습니다. 따라서 일반 엑셀에서는 부가세 금액에 대한 별도의 보정 작업(예: 불공제 건의 부가세를 0원으로 표시)이 적용되어 있지 않습니다.
 만약 일반 엑셀 파일에서 '불공제' 항목의 부가세를 0원으로 표시하여 확인하시고 싶다면, 엑셀 함수를 사용하여 '불공제여부' 항목을 기준으로 부가세 값을 조정하시거나, 더존 양식을 다운로드하여 활용해 주시면 편리하게 확인하실 수 있습니다.
 감사합니다.</t>
  </si>
  <si>
    <t>맞습니다.</t>
  </si>
  <si>
    <t>이거 지금 이중으로 돈이 나가고 있는건가요?</t>
  </si>
  <si>
    <t>@고위드 김일경 매니저 님 ! 긴급 건 입니닷!</t>
  </si>
  <si>
    <t>안녕하세요 이아름님 ☺️
 고위드 김일경 매니저입니다.
 서비스 이용에 혼선을 드려 죄송합니다.
 해당 내용 확인하여 답변 드립니다.
 1. 기존 탄력요금제에서 연간요금제로 변경 된 사실 확인 했습니다.
 2. 화면 상 송출은 현재 간헐적인 오류이며, 연간 요금제만 보이실 수 있게 빠르게 내부 조치 진행 예정입니다.
 3. 더해서, 이중 결제도 진행되지 않았음을 안내 드립니다.
 면밀히 확인해보니 현재 결제가 진행 되지 않은 것으로 확인했는데요! (상기 오류와 연관한 이유 입니다)
 오후에 연간요금제 상품만 결제 될 예정임을 안내 드립니다.
 감사합니다.</t>
  </si>
  <si>
    <t>기존에 569933원 결제되었으며, toomuch.tax 도메인을 추가해서 결제가 진행 될 예정인데요!
 190973원 결제 진행 예정이니, 참고 부탁 드립니다. :)</t>
  </si>
  <si>
    <t>롯데카드 무기명 신청</t>
  </si>
  <si>
    <t>테스트용 메시지</t>
  </si>
  <si>
    <t>테스트테스트</t>
  </si>
  <si>
    <t>테스트</t>
  </si>
  <si>
    <t>저희 한도가 800만원이고 현재 한도가 450만원 가량 남아있는데 제가 600만원 상당의 결제를 진행하기 위해 즉시결제를 해서 한도를 확보하려 합니다. 
 근데 롯데카드에서 조회 가능한 즉시결제 총액이 사용 총액인 350만원이 안되는데요. 
 즉시결제를 통해 600만원 이상의 한도를 확보할 수 있는 방법을 문의 드립니다.</t>
  </si>
  <si>
    <t>과금기준</t>
  </si>
  <si>
    <t>안녕하세요, 고위드 신현덕입니다. 문의주신 내용 확인중에 있습니다. 잠시만 기다려주시면 감사하겠습니다. 혹시 어떤 과금인지 말씀해주실 수 있으실까요?</t>
  </si>
  <si>
    <t>계정 1개당 과금이 되는건지, 카드 1개당 과금이 되는건지 궁금합니다!</t>
  </si>
  <si>
    <t>네 담당자님, 혹시 구독 제품을 이용 중이실가요?</t>
  </si>
  <si>
    <t>구독 제품의 의미가 무엇일까요..?</t>
  </si>
  <si>
    <t>구글워크스페이스, 블리스 커피머신, IT장비 구독을 이용하시는 경우인데요, 혹시 3개 중 사용하시는게 있으시다면, 관련 부서 연결 바로 도움드리도록 하겠습니다.</t>
  </si>
  <si>
    <t>아니요 법인카드 서비스만 잉요하고 있습니다</t>
  </si>
  <si>
    <t>이용하고 있습니다!</t>
  </si>
  <si>
    <t>고위드는 별도의 과금이 발생하지 않는데요, 혹시 어떤 문의이신지 조금 더 상세히 말씀주실 수 있으실까요?</t>
  </si>
  <si>
    <t>아, 법인카드 서비스는 멤버 수나 카드 개수와 관계없이 과금되지 않는다는 말씀이신가요?</t>
  </si>
  <si>
    <t>네 맞습니다. 담당자님, 법인카드 서비스는 별도의 과금이 발생하지 않는 점 안내드립니다. 😀</t>
  </si>
  <si>
    <t>아하!! 감사합니다 :)</t>
  </si>
  <si>
    <t>네 담당자님, 확인해주셔서 감사합니다. 저희가 추가로 도움드릴 내용이 있으실까요?</t>
  </si>
  <si>
    <t>아니요 괜찮습니다. 감사합니다</t>
  </si>
  <si>
    <t>공동인증서 정상 연동되어있는데, 문자로 공동인증서 상태가 만료, 정상등록되지 않았다고 왔습니다.</t>
  </si>
  <si>
    <t>채팅 상담 연결 요청</t>
  </si>
  <si>
    <t>@고위드 권민규 매니저 님 팔로업 부탁드립니다!</t>
  </si>
  <si>
    <t>만료일 2/21인데 그 전에 공동인증서 업데이트 하면 되는 것이죠?</t>
  </si>
  <si>
    <t>맞습니다. 인증서 만료 이전에 새로운 공동인증서 연동 부탁드리는 안내입니다!
 만료일 이전에 연동 부탁드리겠습니다.</t>
  </si>
  <si>
    <t>네 알겠습니다!</t>
  </si>
  <si>
    <t>[상담요약]
 • 법인명 : (정보 없음)
 • 사업자번호 : (정보 없음)
 • 문의 경로: 채널톡
 • 문의 고객 성함 및 이메일: 앤잡스 (이메일 정보 없음)
 • 문제 요약: 정상 연동된 공동인증서가 있다고 생각하는 고객이 만료/미등록 알림 문자를 수신하여 혼란을 겪음.
 • impact Level : Level 2</t>
  </si>
  <si>
    <t>안녕하세요, 지출관리 탭이 개편된 이후 카드 사용 내역별로 불공제 처리하는 기능이 없어진 것 같아서 문의 드립니다. 혹시 방법이 있다면 전달 부탁 드려요!</t>
  </si>
  <si>
    <t>확인 중</t>
  </si>
  <si>
    <t>이것은 오류인가요?</t>
  </si>
  <si>
    <t>다혜님 안녕하세요! 고위드입니다.
 해당 기능은 사라진 것이 아니라 '설정'에서 활성화해주셔야 나타납니다. 
 관리자님께서 기능을 켜주시면 이전처럼 개별 내역마다 불공제 처리를 하실 수 있습니다.
 [이용내역별 불공제 기능을 다시 켜는 방법]
 1. 설정 메뉴로 이동: [설정 &gt; 경비 정책 및 ERP 설정] 메뉴로 들어갑니다.
 2. 정책 설정 확인: 화면 우측 상단의 [설정] 버튼을 클릭합니다.
 3. 기능 활성화: 설정 목록 중 '이용내역별 불공제 가능 여부' 항목을 찾아 **ON(활성화)**으로 변경해 주세요.
 4. 내역에서 확인: 이제 지출관리 내역을 클릭하여 열리는 '상세 창(드로어)' 상단에서 [부가세 불공제] 토글 버튼을 확인하실 수 있습니다.
 위 방법으로 설정 부탁드리겠습니다. 감사합니다.</t>
  </si>
  <si>
    <t>지출관리 업데이트되면서 설정이 좀 바뀐 거 같아요! 저도 몰랐다가 노트북 lm한테 물어봐서 확인했습니다..
 고위드 컨택트 계정으로 확인하고 전달드렸어요!</t>
  </si>
  <si>
    <t>배포된 사항은 어디서 확인할 수 있나요?</t>
  </si>
  <si>
    <t>오 네네! 기능 찾아서 켰습니다. 감사해요! 
 추가로 다른 문의사항이 있는데 혹시 경비 정책으로 설정한 용도들을 권한별로 나누어서 설정할 수 있을까요? 
 예를 들어, A/B/C 용도가 있다고 했을 때 특정 소지자나 사용자에게는 A용도만 보이고 B/C 용도는 보이지 않게 하는 기능이요.
 여쭤보는 배경은 회계 정책에 따라 용도가 점점 늘어나게 되면서 특정 직군에서만 사용하는 용도들도 모든 사용자에게 불필요하게 노출되면서 고위드 제출 시에 용도를 스크롤하느라 상당한 시간이 소요되는 것으로 예상하고 있어요. 
 권한별로 용도를 지정할 수 있다면 좋을 것 같은데 기능이 있을지 혹 기능이 없다면 개발해 주실 수 있을지도 궁금합니다.</t>
  </si>
  <si>
    <t>다음은 고객 문의 내용을 정리한 것입니다.
 [상담요약]
 - 법인명: (정보 없음)
 - 사업자번호: (정보 없음)
 - 문의 경로: 채널톡
 - 문의 고객 성함 및 이메일: 최다혜 (이메일 정보 없음)
 - 문제 요약: 지출 제출 시, 권한별 경비 용도 가시성 제한 기능 부재로 사용자에게 불필요한 용도가 노출되어 용도 선택에 비효율 발생 및 기능 개발 요청
 - Impact Level: Level 2</t>
  </si>
  <si>
    <t>다혜님 소중한 의견 감사드립니다. 
 현재는 해당 기능이 제공되고 있지 않지만, 전달 주신 소중한 의견은 이후 개발 계획에 반영될 수 있도록 유관 부서에 전달하겠습니다.
 감사합니다!</t>
  </si>
  <si>
    <t>넵, 전달 부탁 드립니다</t>
  </si>
  <si>
    <t>📌 기존 상담: (https://desk.channel.io/gowid/user-chats/%EC%9D%B4%EC%95%84%EB%A6%84-69840bebc0cac4bdab84)</t>
  </si>
  <si>
    <t>혹시 투머치택스는 결제가 아직 안된 상황이면, 연간 말고 탄력으로 진행가능할까요
 [Image 1]</t>
  </si>
  <si>
    <t>안녕하세요 이아름님 ☺️
 고위드 김일경 매니저입니다.
 연간요금제의 경우, 탄력요금제로 변환하려면, 약정 기간 이후 진행이 가능합니다.
 하여, 약정이 끝나는 시점인 27년 2월 6일부터 다시 탄력요금제로 변환이 가능합니다.
 → 27년 2월 7일 부터 탄력요금제 결제가 가능하며, 현재 투머치택스 연간요금제 결제가 완료된 점 안내 드립니다.
 감사합니다.</t>
  </si>
  <si>
    <t>698432e7f0c273db8275</t>
  </si>
  <si>
    <t>올림플래닛 / 120-88-24298
 법인 카드 해외 결제 내역과 실제 결제 금액 상이
 4518-4445-1759-4849
 결제일자 25/12/31
 승인번호 430804
 다운로드시 국외 6677.79 USD, 총액 970만원 정도로 나오지만 실제 결제는 엔화로 결제되었으며 원화기준 400만원대..
 이렇게 금액이 상이해도 되나요?
 어떤식으로 금액이 불러와지길래 이런 중대한 오류가 있는지 확인 해주세요.</t>
  </si>
  <si>
    <t>담당자님 안녕하세요, 고위드입니다.
 현재 결제 내역 일반 엑셀 다운로드 시 6677.79 USD로 확인되시는 건이고,
 카드사 홈페이지 결제 내역에서는 엔화(원화 400만원대)로 확인되시는 걸까요?
 고위드 지출 내역에서 확인되시는 화면 캡쳐 한 번만 전달 부탁드려도 괜찮으실까요?
 정확한 확인 및 안내를 위해 여쭙습니다. 감사합니다.</t>
  </si>
  <si>
    <t>추가적으로, 확인하신 카드사 캡쳐본도 전달 부탁드리겠습니다! 전달주시면 최대한 급건으로 확인 후 안내드리도록 하겠습니다. 감사합니다.</t>
  </si>
  <si>
    <t>카드사 캡쳐본은 제가 신한카드 권한이 없고 대표님만 가지고 계셔서요
 일단 왜 결제 단위가 엔화가 아닌 달러데이터로 넘어왔는지부터 확인해주시면 되지 않을까 싶습니다..</t>
  </si>
  <si>
    <t>@ALF 고위드에서는 카드 데이터 통해서 지출관리 서비스 제공하고 있다보니, 카드사 홈페이지의 캡쳐본을 통해 비교 및 정확한 확인이 가능.
 번거롭겠지만 접속하셔서 확인 후 회신 주시면 빠르게 확인 도와드리겠음. 죄송함.
 을 고객을 모시는 느낌으로 글 작성해줘</t>
  </si>
  <si>
    <t>담당자님, 안녕하세요. 고위드 권민규 매니저입니다.
 고위드 지출관리 서비스는 카드 데이터를 기반으로 제공되고 있어, 현재 문의 주신 해외 결제 내역의 금액 상이 여부를 정확하게 확인하고 비교하려면 카드사 홈페이지의 실제 결제 내역(스크린샷)이 필요합니다.
 번거로우시겠지만, 대표님께 요청하시어 신한카드 홈페이지에서 해당 결제 내역을 확인하신 후 캡쳐본을 전달해 주시면 최대한 빠르게 확인하여 안내 도와드리겠습니다. 불편을 드려 정말 죄송합니다.</t>
  </si>
  <si>
    <t>담당자님, 안녕하세요. 고위드 권민규 매니저입니다.
 고위드 지출관리 서비스는 카드 데이터를 기반으로 제공되고 있습니다. 
 현재 문의 주신 해외 결제 내역의 금액 상이 여부를 정확하게 확인하고 비교하려면 카드사 홈페이지의 실제 결제 내역(스크린샷)이 필요합니다.
 번거로우시겠지만, 대표님께 요청하시어 신한카드 홈페이지에서 해당 결제 내역을 확인하신 후 캡쳐본을 전달해 주시면 최대한 빠르게 확인하여 안내 도와드리겠습니다. 
 감사합니다.</t>
  </si>
  <si>
    <t>담당자님 안녕하세요. 우선 고위드에서도 재확인 진행 중에 있습니다. 조금만 기다려주시면 최대한 확인하여 안내드릴 수 있도록 하겠습니다. 문의 해결이 지연되어 죄송합니다.</t>
  </si>
  <si>
    <t>대표님께서 외부 일정중이셔서 바로 대응이 어렵습니다ㅠㅠ.. 최대한 확인 부탁드립니다</t>
  </si>
  <si>
    <t>확인 감사합니다. 내부 개발팀 수기 확인 진행 중에 있습니다. 확인 완료되는 대로 전달 드릴 수 있도록 하겠습니다. 감사합니다.</t>
  </si>
  <si>
    <t>@ALF 우선 고위드 카드가 아닌 카드로 확인 됨. 고위드에서는 현재는 고위드 카드만 연동을 해서 확인 가능하시지만, 일정 시점 이전에 가입한 고객의 경우 전체 신한 카드가 노출되고 있음.
 그러나 고위드 카드가 아닌 카드의 경우 고위드에서 데이터 파악에 있어 한계가 있음. 바로 '승인' 내역만 확인 가능하고, 이후 '매입'의 데이터는 확인 받지 않고 있습니다.
 현재 해당 결제 건의 경우 12/31에 디파짓 포함하여, 6677.79$이 승인되었습니다. 이후 고위드에 반영되었습니다. 그리고 1/3 해당 승인건에서 476,548¥만 매입 처리되었습니다.
 고위드 카드가 아닌 일반 신한카드라서 데이터 수집에 한계가 있다는 점을 양해 부탁드립니다.
 정확한 확인을 위해서는 카드사 홈페이지를 확인 부탁드리며, 희망하실 경우 고위드 신한카드가 아닌 타 신한카드가 고위드에서 보이지 않게끔 조치해드릴 수 있습니다. 양해 부탁드립니다.
 를 매우 정중하고 고객을 위하는 문구로 법인향 안내 작성해줘.</t>
  </si>
  <si>
    <t>담당자님, 안녕하세요. 고위드 권민규 매니저입니다.
 문의하신 결제 내역과 실제 금액의 차이로 인해 불편을 겪고 계신 점, 깊이 공감하고 있습니다. 내부적으로 확인한 내용을 바탕으로 자세히 설명해 드리겠습니다.
 저희 고위드 시스템에서는 고위드 카드와 일반 신한카드의 데이터 연동 방식에 일부 차이가 있습니다. 고객님께서 일정 시점 이전에 고위드에 가입하신 경우, 고위드 카드가 아닌 다른 신한카드 내역도 시스템에 함께 노출될 수 있습니다.
 그러나 고위드 카드가 아닌 일반 신한카드의 경우, 저희 시스템에서는 카드 '승인' 내역까지만 확인이 가능하며, 이후 카드사에서 최종적으로 확정되는 '매입' 데이터는 직접 수집하기 어려운 점이 있습니다.
 해당 결제 건의 경우, 2025년 12월 31일 Ritz-Carlton Tokyo에서 $6,677.79가 승인되었고, 이 내역이 고위드 시스템에 반영되었습니다. 하지만 이후 2026년 1월 3일, 해당 승인 건에서 실제 매입 처리된 금액은 476,548¥인 것으로 파악됩니다.
 이처럼 고위드 카드가 아닌 일반 신한카드의 데이터는 승인 이후 매입 과정에서 발생할 수 있는 환율 변동, 디파짓 취소 등 최종적인 금액 변화를 실시간으로 반영하기 어렵습니다. 따라서 현재로서는 가장 정확한 내역 확인을 위해 신한카드 홈페이지에서 직접 확인해 주시기를 정중히 요청드립니다.
 향후 이와 같은 혼란을 방지하기 위해, 만약 원하신다면 고위드 카드가 아닌 다른 신한카드 내역이 고위드 시스템에 노출되지 않도록 조치해 드릴 수 있습니다. 이 부분에 대해 검토를 원하시면 언제든지 말씀해 주세요.
 이번 상황으로 불편을 드려 다시 한번 죄송한 말씀 드립니다.</t>
  </si>
  <si>
    <t>담당자님, 안녕하세요. 고위드입니다.
 내부적으로 확인한 내용을 바탕으로 자세히 설명해 드리겠습니다.
 저희 고위드 시스템에서는 고위드 카드와 일반 신한카드의 데이터 연동 방식에 일부 차이가 있습니다. 
 현재는 고위드 신한카드만 고객님께 노출되고 있지만, 고객님께서 일정 시점 이전에 고위드에 가입하신 경우, 고위드 카드가 아닌 다른 신한카드 내역도 시스템에 함께 노출될 수 있습니다.
 그러나 고위드 카드가 아닌 일반 신한카드의 경우, 저희 시스템에서는 카드 '승인' 내역까지만 확인이 가능하며, 
 이후 카드사에서 최종적으로 확정되는 '매입' 데이터는 직접 수집하기 어려운 점이 있습니다.
 해당 결제 건의 경우, 2025년 12월 31일 Ritz-Carlton Tokyo에서 $6,677.79가 승인되었고, 이 내역이 고위드 시스템에 반영되었습니다. 
 하지만 이후 2026년 1월 3일, 해당 승인 건에서 실제 매입 처리된 금액은 476,548¥인 것으로 파악됩니다.
 이처럼 고위드 카드가 아닌 일반 신한카드의 데이터는 승인 이후 매입 과정에서 발생할 수 있는 환율 변동, 디파짓 취소 등 최종적인 금액 변화를 실시간으로 반영하기 어렵습니다. 
 따라서 현재로서는 가장 정확한 내역 확인을 위해 신한카드 홈페이지에서 직접 확인해 주시기를 정중히 요청드립니다.
 향후 이와 같은 혼란을 방지하기 위해, 만약 원하신다면 고위드 카드가 아닌 다른 신한카드 내역이 고위드 시스템에 노출되지 않도록 조치해 드릴 수 있습니다. 
 이 부분에 대해 검토를 원하시면 언제든지 말씀 부탁드립니다.
 감사합니다.</t>
  </si>
  <si>
    <t>안녕하세요. 
 최근 카드 유효기간이 만료되어 새로 갱신하여 사용중입니다. 카드 사용 내역을 만료 전 카드로 확인을 할 수 있었으나 갱신 후 카드는 내역 확인이 어렵습니다. 방법을 알려주세요.</t>
  </si>
  <si>
    <t>새 카드 이용분이 전혀 안 보이시는 것</t>
  </si>
  <si>
    <t>해당하는 이용내역이 없습니다.. 라고 뜸</t>
  </si>
  <si>
    <t>구글 워크스페이스 계약기간이 궁금합니다.</t>
  </si>
  <si>
    <t>안녕하세요 여은주님 ☺️
 고위드 김일경 매니저입니다.
 잠시만 기다려주시겠어요? :) 확인하여 응대 드리겠습니다!</t>
  </si>
  <si>
    <t>초이스포우먼 고객사의 경우, 탄력요금제를 유지 중에 있으신데요!
 탄력요금제는 계약 기간이 따로 존재하지 않는 점 안내 드립니다. (해지 위약금도 존재하지 않습니다)
 추가로 도와드릴 사항 또는 궁금하신 사항 있으시면 말씀 부탁 드립니다. :)</t>
  </si>
  <si>
    <t>위하고 다운로드 자료와 이용내역관리의 품목과 날짜가 다르게 나옵니다.</t>
  </si>
  <si>
    <t>고객님, 첫번째 보내주신 사진과 두번째 보내주신 사진의 날짜, 품목이 상이한 것으로 확인되는데요. 
 혹시 아래 사진에 확인되는 건들을 다운로드 받으셨을 때 위 사진과 같은 내역들이 확인되시는 상황이실까요?</t>
  </si>
  <si>
    <t>네. 이용내역관리의 위하고로 다운로드 받았을 때 나오는 화면이 오른쪽 화면입니다.</t>
  </si>
  <si>
    <t>거래일자가 다른건지 품목이 다르게 나오는건지 확인이 필요합니다.</t>
  </si>
  <si>
    <t>다음은 요청하신 고객 문의 정리 내용입니다.
 • 법인명: 정보 없음
 • 사업자번호: 정보 없음
 • 문의 경로: 채널톡
 • 문의 고객 성함 및 이메일: 신혜란 / 정보 없음
 • 문의 인입 일시: 정보 없음
 • 문제 요약: 고위드 '이용내역관리' 화면에 표시되는 카드 이용 내역과, 해당 화면에서 '위하고로 다운로드'한 자료의 거래일자 및 품목 정보가 상이하게 표시되는 오류
 • 발생 시점: 정보 없음
 • 고객영향도: 중</t>
  </si>
  <si>
    <t>네 담당자님, 현재 관련부서에 전달하여 확인 후 안내드릴 예정인데요, 일정시간 소요될 수 있는 점 안내드리며, 조금만 기다려주시면 감사하겠습니다.</t>
  </si>
  <si>
    <t>넵.</t>
  </si>
  <si>
    <t>다음은 요청하신 고객 문의 정리 내용입니다.
 • 법인명: 정보 없음
 • 사업자번호: 정보 없음
 • 문의 경로: 채널톡
 • 문의 고객 성함 및 이메일: 신혜란 / 정보 없음
 • 문제 요약: 고위드 '이용내역관리' 화면과 '위하고 다운로드 자료' 간의 카드 이용 내역(거래일자 및 품목) 불일치 문제
 • impact Level: Level 2(Tactical)</t>
  </si>
  <si>
    <t>담당자님 안녕하세요. 고위드입니다. 혹시 해당 결제 건을 확인하실 때 어떤 필터 통해서 검색하셨을지 확인 부탁드려도 될까요? 정확한 파악을 위해 여쭙습니다.</t>
  </si>
  <si>
    <t>검색 시 사용하신 필터 문의입니다!</t>
  </si>
  <si>
    <t>이용내역관리는 필터 없이 그대로 검색했습니다.
 현재가 2월이니까 1월로 검색했어요</t>
  </si>
  <si>
    <t>담당자님 괜찮으시면 유선 통화 한 번 가능하실까요?</t>
  </si>
  <si>
    <t>유선 희망하시는 번호 남겨주시면 제가 바로 전화드리겠습니다.</t>
  </si>
  <si>
    <t>010-8896-6045 입니다.</t>
  </si>
  <si>
    <t>담당자님 유선으로 문의 해결 되셔서 다행입니다!
 감사합니다.
 이번 상담은 여기서 종료하도록 하겠습니다.
 다른 문의가 있으시면 새로운 창에서 문의 부탁드립니다.
 좋은 하루 되시길 바랍니다 :)</t>
  </si>
  <si>
    <t>안녕하세요 카드 한도상향되었는데요, 개별 카드 한도는 어떻게 수정하나요?</t>
  </si>
  <si>
    <t>@ALF 고객의 지룸ㄴ에 답변해줘</t>
  </si>
  <si>
    <t>개별 카드 한도 수정은 카드사별로 방법이 다릅니다. 어떤 카드사의 한도 수정을 원하시는지 알려주시면 자세한 방법을 안내해 드리겠습니다.</t>
  </si>
  <si>
    <t>@ALF 신한카드야 앱내에서할 수. ㅣㅆ잖아</t>
  </si>
  <si>
    <t>신한카드의 개별 카드 한도 수정은 일반적으로 신한카드 앱 또는 웹사이트를 통해 가능합니다. 앱에 로그인하신 후, '마이페이지' 또는 '카드관리' 메뉴에서 해당 카드 한도 변경 옵션을 찾아 진행하실 수 있습니다.
 자세한 절차는 다음과 같을 수 있습니다:
 1. 신한카드 앱 또는 웹사이트 로그인
 2. [마이] 또는 [카드관리] 메뉴 진입
 3. 한도를 변경하고자 하는 카드 선택
 4. [이용한도 변경] 또는 [한도조회/변경] 메뉴 선택
 5. 원하는 한도로 변경 신청 (일시적 한도 상향 또는 영구적 한도 변경 등)
 만약 앱에서 해당 메뉴를 찾기 어렵거나 진행에 어려움이 있으시면 신한카드 고객센터에 문의하시는 것이 가장 정확합니다.</t>
  </si>
  <si>
    <t>카드사는 이미 한도 상향 했어요</t>
  </si>
  <si>
    <t>@ALF 신한카드 개별카드 한도 상향</t>
  </si>
  <si>
    <t>신한카드의 개별 카드 한도 상향(설정)은 신한 법인카드 홈페이지를 통해 진행해야 합니다. 법인 총 한도 설정과는 별개로, 각 카드에 대한 한도를 직접 설정하는 방식입니다.
 다음 단계에 따라 진행해 주세요.
 이용 전 반드시 확인하세요!
 - 이용한도 조정은 08:00~21:00 (영업일 기준)에만 가능합니다.
 - 카드 이용한도는 법인 총 한도를 초과할 수 없습니다.
 - 정지 또는 비활성 카드가 아닌 정상 카드에 한해 한도 조정이 가능합니다.
 - 이 과정은 법인 총 한도 설정이 아닌 '카드 한도' 설정입니다.
 개별 카드 한도 설정 방법:
 1. 신한 법인카드 홈페이지 접속:
  - 고위드 홈페이지 내 [카드 관리] → [한도 관리] → 우측 가운데 [카드 한도 변경] 버튼을 클릭하여 [이용한도 변경] 페이지로 접속하거나,
  - 신한 법인카드 홈페이지에 직접 접속합니다. (총괄관리자로 로그인 필요)
 2. 변경 한도 조회 및 입력:
  - '[카드번호]' → '[사업장/부서별 카드]'를 선택한 후, '사업장/부서 목록 조회'를 통해 사업장을 선택하고 조회합니다.
  - 원하는 카드별 한도를 입력한 후 등록합니다. 필요하다면 일 한도 설정도 가능합니다.
 3. 인증 및 적용:
  - 법인공인인증서를 통한 총괄관리자 인증 후 한도를 적용합니다.
 4. 고위드 홈페이지에서 한도 업데이트 (선택 사항):
  - 카드 관리 &gt; 한도 관리 탭에 접속하여 우측 중간 [한도 업데이트]를 클릭합니다.
  - 업데이트하고자 하는 카드를 선택하고 [N개 한도 업데이트]를 클릭하여 고위드 시스템에 반영합니다.</t>
  </si>
  <si>
    <t>https://docs.channel.io/gowid-guide/ko/articles/%EC%8B%A0%ED%95%9C-%EC%82%AC%EC%97%85%EC%9E%A5%EB%B6%80%EC%84%9C%ED%95%9C%EB%8F%84-%EB%B0%8F-%EC%B9%B4%EB%93%9C%ED%95%9C%EB%8F%84-%EC%84%A4%EC%A0%95-a4600307#%EC%B9%B4%EB%93%9C%EB%B3%84-%ED%95%9C%EB%8F%84-%EC%84%A4%EC%A0%95-%EB%B0%A9%EB%B2%95</t>
  </si>
  <si>
    <t>아 여기서 햐야 하는군요 잠만요</t>
  </si>
  <si>
    <t>감사합니다~!</t>
  </si>
  <si>
    <t>네 담당자님, 확인해주셔서 감사합니다.
 저희가 추가로 도움드릴 내용이 있으실까요?</t>
  </si>
  <si>
    <t>추가적인 질문이 없으시다면 이번 상담은 여기서 종료하도록 하겠습니다.
 다른 문의가 있으시면 새로운 창에서 문의 부탁드립니다.
 좋은 하루 되시길 바랍니다 :)</t>
  </si>
  <si>
    <t>특정 사용 건의 카드영수증을 발급하고 싶습니다. 고위드 이용내역관리에서 발급가능할까요?</t>
  </si>
  <si>
    <t>첨부된 카드영수증말고 카드승인전표를 출력하고싶을때는 어떻게 하나요</t>
  </si>
  <si>
    <t>법인회원 유효기간 연장 방법</t>
  </si>
  <si>
    <t>안녕하세요
 (주)와이오엘오 재무빌링매니저 최유은입니다.
 이용중인 슬롯보다 적은 슬롯을 사용해야해서 재계약하고 싶은데, 지금 재계약은 불가한걸까요? 
 필요슬롯 갯수: 33개 입니다</t>
  </si>
  <si>
    <t>안녕하세요 최유은님 ☺️
 고위드 김일경 매니저입니다.
 유선으로 안내 드린 것과 같이 와이오엘오 께서는 3월 25일에 1년 계약이 갱신(혹은 완료)될 예정인데요!
 사용 중이신 연간요금제는 라이선스 가격이 상대적으로 저렴한 대신에, 라이선스 수를 1년 간 늘리기만 가능하고, 줄이는건 불가능한 요금제 입니다. (이는 구글 정책으로 작용하고 있습니다)
 다만, 고위드 구글워크스페이스는 해당 갱신 시점에 사용 중인 라이선스 수에 딱 맞춰 재계약을 진행하는데요! 말씀 드린 3월 25일에 재계약이 자동으로 갱신 될 때 최적화 될 예정이며, 이전에 최적화를 진행하는 것은 구글 정책(시스템)상 어려운 점 양해 부탁 드립니다.</t>
  </si>
  <si>
    <t>네 내용 확인했습니다 
 확인감사합니다</t>
  </si>
  <si>
    <t>네, 일전에 요청 주신 해지는 보류로 이해하고 서비스 도와드리면 괜찮을까요? 확인 차 여쭙습니다.</t>
  </si>
  <si>
    <t>해지 보류 맞습니다!
 추가로 변동 사항 있을 경우 다시 문의드리겠습니다</t>
  </si>
  <si>
    <t>확인했습니다! 감사합니다.
 이번 상담은 여기서 종료하도록 하겠습니다.
 다른 문의가 있으시면 새로운 창에서 문의 부탁드립니다.
 좋은 하루 되시길 바랍니다 :)</t>
  </si>
  <si>
    <t>안녕하세요 저희는 해외브랜드 독점수입(구매대행X) 및 국내 유통 사업을 하고있는데 
 재고매입이 카드로 가능하다는 광고를 봤습니다
 1.해외거래처도 가능한 부분 있을까요
 2.물류비도 물류센터측 현금결제인데 카드로 가능하나요
 3.광고비 법인 카드의 경우, 타사 제휴카드들은 적립율이 높은데 고위드에서도 유사한 카드가 있는지 궁금합니다</t>
  </si>
  <si>
    <t>1번은 정확히 다시 답변</t>
  </si>
  <si>
    <t>페이바이카드 서비스로 해외거래 건 진행사례 조사</t>
  </si>
  <si>
    <t>안녕</t>
  </si>
  <si>
    <t>승인내역이 안떠요.</t>
  </si>
  <si>
    <t>하루지났는데도 안뜨는데요?</t>
  </si>
  <si>
    <t>고위드 법인카드예요. 2/5일 결제 금액이 하나도 안보여요</t>
  </si>
  <si>
    <t>6294고 900원 있어</t>
  </si>
  <si>
    <t>미제출에 있는데? 원래 이렇게 나눠서 했니?</t>
  </si>
  <si>
    <t>법인 담당자 변경</t>
  </si>
  <si>
    <t>기기 반납신청</t>
  </si>
  <si>
    <t>전화번호 알려줘</t>
  </si>
  <si>
    <t>아니 고위드</t>
  </si>
  <si>
    <t>매월 사용한 금액보다 더 많이 청구가 되던데, 그 이유는 뭔가요?</t>
  </si>
  <si>
    <t>그렇게 느껴지는 것이 아니라 실제로 더 많이 청구가 돼서 계좌에 돈이 빠져나갔는데요</t>
  </si>
  <si>
    <t>롯데카드 쓰고 있어</t>
  </si>
  <si>
    <t>12월에 사용한 금액이 총 95,904,908원인데, 청구한 금액은 97,255,071원이야 왜 그런지 설명해줘</t>
  </si>
  <si>
    <t>진혁님 안녕하세요. 고위드입니다.
 기다려주셔서 감사합니다.
 말씀 주신 사용 금액 95,904,908원은 어디서 확인하셨을지 여쭙습니다.
 청구한 금액은 97,255,071원은 실제 계좌 출금 금액으로 확인하신 바이실까요?</t>
  </si>
  <si>
    <t>저희가 12월뿐만 아니라, 매월 사용금액과 결제금액이 나는데 이 부분도 확인해주시면 감사하겠습니다
 저희가 이번주 목요일 주주총회가 있는데 결산보고가 화요일까지는 돼야해서 화요일 오전까지 알려주시면 감사하겠습니다. 롯데카드사에 전화를 해봤으나 받지 않아서... 이 부분도 해결해주시면 감사하겠습니다.</t>
  </si>
  <si>
    <t>고객님의 긴급한 상황에 불편을 드려 죄송한 마음 금할 길이 없습니다. 주주총회 결산보고 준비로 촉박하신데 명확한 답변을 드리지 못하고 있는 점 양해 부탁드립니다.
 롯데카드 고객센터 연결이 어려운 상황이시라 많이 답답하시겠지만, 저희 ALF는 고객님의 개별 카드 사용 내역이나 결제 데이터를 직접 조회하거나 롯데카드 업무를 대행할 수 없습니다. 따라서 화요일 오전까지 정확히 어떤 거래 때문에 금액 차이가 발생하는지 시스템적으로 확인하여 결산 보고에 필요한 구체적인 내역을 제공해 드리는 것은 어렵습니다.
 다만, 이전 대화에서 주신 12월 사용액 95,904,908원과 청구액 97,255,071원 간의 차이(약 135만원)가 발생하는 일반적인 원인을 롯데카드 기준으로 다시 한번 정리해 드립니다. 이 정보가 자체적으로 원인을 파악하는 데 조금이나마 도움이 되기를 바랍니다.
 롯데 고위드 법인카드의 청구 구조와 금액 차이가 발생할 수 있는 주요 원인은 다음과 같습니다.
 1. 청구 기간의 시점 차이로 인한 금액 포함 범위 오차
  - 롯데카드는 매월 1일부터 말일까지 사용한 금액을 익월 15일에 청구합니다.
  - 고객님께서 계산하신 "12월 사용액"이 만약 12월 1일~31일의 승인 내역 합계라면, 카드사의 청구액은 12월 1일~31일의 최종 매입/정산 내역을 기준으로 합니다.
  - 이 과정에서 11월 말(예: 11월 29일~30일)에 승인된 거래가 12월 초에 매입되면서 12월 청구서에 포함될 수 있습니다. 반대로 12월 말(예: 12월 30일~31일)에 승인된 거래 중 일부는 매입 시점이 1월로 넘어가면서 12월 청구서에서 제외될 수도 있습니다. 이러한 매입 시점의 차이가 고객님께서 인지하신 '12월 사용액'과 실제 '청구액' 간의 차이를 발생시킬 수 있습니다.
 2. 해외 결제 시 환율 및 수수료
  - `참고 지식: 롯데 해외 결제 이용방법`에 따르면, 롯데 법인카드로 해외 이용 시 모든 해외 거래 금액은 USD로 환산되며, 각 브랜드사(마스터카드 등)의 환율과 수수료(마스터 1%)가 적용됩니다.
  - 또한, 카드사에서 고시하는 환율(우리은행 고시율 등)이 적용되고, 해외 서비스 수수료(정산금액의 0.2%)가 추가됩니다.
  - 고객님께서 사용액을 합산할 때 승인 시점의 원화 예상 금액으로 계산하셨다면, 실제 청구 시점에 적용되는 환율과 수수료로 인해 금액이 더 커질 수 있습니다.
 3. 취소/환불 거래의 반영 시점 차이
  - 12월 중에 결제 후 취소 또는 환불을 요청하신 거래가 있다면, 고객님께서 자체적으로 합산하실 때는 해당 금액을 제외하거나 마이너스 처리하셨을 수 있습니다.
  - 하지만 카드사의 청구서 확정 시점(대략 익월 1일경)에는 해당 취소/환불이 아직 카드사 시스템에 완전히 반영되지 않았을 경우, 청구 금액에는 해당 거래가 포함되어 있을 수 있습니다. (이 경우, 다음 달 청구서에서 마이너스 처리될 가능성이 높습니다.)
 4. 할부 거래의 월별 청구 회차
  - 고액 결제를 할부로 진행하셨다면, 고객님께서 '12월 사용액'을 계산하실 때 전체 할부 금액을 포함했을 수 있습니다. 그러나 카드사 청구서에는 해당 월의 할부 회차 금액만 청구됩니다.
  - 반대로, 이전 달에 시작된 할부 거래의 한 회차분이 12월 청구서에 포함되어 있다면, 고객님이 계산하신 '12월에 새로 사용한 금액'과는 차이가 발생할 수 있습니다.
 가장 정확한 확인 방법:
 화요일 오전까지 결산보고를 하셔야 하는 긴급한 상황임을 고려할 때, 다음 두 가지를 직접 비교해보시는 것이 가장 신속하게 원인을 파악할 수 있는 방법입니다.
 1. 롯데카드 홈페이지/앱에서 "12월 청구서 상세 내역" 확인:
  - 정확한 결제일은 2026년 1월 15일자 청구서입니다. 해당 청구서의 "거래명세서" 또는 "이용내역 상세"를 PDF나 엑셀 파일로 다운로드 받으신 후, 각 거래의 승인일, 매입일, 금액, 가맹점 정보를 확인합니다.
 2. 고위드 웹/앱에서 "12월 1일~12월 31일" 기간의 이용내역 비교:
  - 고위드에서 기간을 12월 1일~12월 31일로 설정하여 이용내역을 조회하시고, 롯데카드 청구서의 상세 내역과 하나씩 대조해 보시는 것을 권해드립니다.
  - 특히 위에서 말씀드린 11월 말 또는 12월 초의 애매한 시점 거래, 해외 결제, 취소/환불 건, 할부 건을 중점적으로 비교해 보시면 금액 차이의 원인을 특정하는 데 도움이 될 수 있습니다.
 저희 ALF는 고객님의 실제 거래 내역에 접근할 수 없어 명확한 답변을 드리지 못하는 점 다시 한번 양해 부탁드립니다. 위에서 안내해 드린 확인 방법이 급하신 결산 보고 준비에 작은 도움이 되기를 바랍니다.</t>
  </si>
  <si>
    <t>담당자님 안녕하세요, 매월 사용금액과 결제금액이 차이가 나는 부분에 대해서는 우선적으로 청구일자 기준으로 조회를 해보시는 것을 권장 드립니다. 
 혹여나 청구일자 기준으로도 일치하지 않는 경우 빠르게 유선으로 재안내 드릴 수 있도록 하겠습니다.</t>
  </si>
  <si>
    <t>12월 롯데카드 내역입니다 확인해주시고 연락주세요 감사합니다</t>
  </si>
  <si>
    <t>담당자님 감사합니다. 내부 확인 후 금일 중으로 안내드릴 수 있도록 하겠습니다!</t>
  </si>
  <si>
    <t>한도 산정 방식이 궁금해</t>
  </si>
  <si>
    <t>ㅇㅇ</t>
  </si>
  <si>
    <t>BC카드입니다</t>
  </si>
  <si>
    <t>KB증권 법인계좌 연동하고, 홈택스도 연동하고 싶습니다.</t>
  </si>
  <si>
    <t>서비스소개서</t>
  </si>
  <si>
    <t>내부 보고용</t>
  </si>
  <si>
    <t>그냥 전체</t>
  </si>
  <si>
    <t>안녕하세요. 기명카드 신청할 때 신분증 관련 오류가 자꾸 나오는데 어떻게 해결해야 할까요?</t>
  </si>
  <si>
    <t>신분증 인증을 하면 서버 오류가 발생했다고, 고객센터에 문의하라고만 합니다.</t>
  </si>
  <si>
    <t>신규 법인카드를 발급 받았는데, 지출관리에 카드 등록이 안 되어있습니다. 따로 등록을 해야 할까요?</t>
  </si>
  <si>
    <t>비씨카드 법인카드</t>
  </si>
  <si>
    <t>매출이 없는 신규기업의 한도는 어떻게 설정하나요</t>
  </si>
  <si>
    <t>인증서 연동이 안됩니다.</t>
  </si>
  <si>
    <t>홈텍스는 연결 됐는데, 금융기관 연동이 계속 실패해. 신한은행이고, 이미 이 인증서를 사용하고 있으며, 신한은행에서 발급받은 인증서야.</t>
  </si>
  <si>
    <t>연결 재시도는 5번 했는데 다 안돼.
 개인용 인증서야. 이러면 어떻게 해?</t>
  </si>
  <si>
    <t>모비두 담당자 확인</t>
  </si>
  <si>
    <t>모비두의 고위드 담당자 확인 필요</t>
  </si>
  <si>
    <t>모비두 담당 am 확인</t>
  </si>
  <si>
    <t>고위드 결제 문의</t>
  </si>
  <si>
    <t>고위드 IT 구독 결제 문의, 금액 오류</t>
  </si>
  <si>
    <t>공식 고객센터 연락처 확인 필요</t>
  </si>
  <si>
    <t>@고위드 김일경 매니저 일경님 구독 문의입니다~!</t>
  </si>
  <si>
    <t>잔여 한도</t>
  </si>
  <si>
    <t>한도가 100만원인데, 잔여한도가 20만원밖에 없어요</t>
  </si>
  <si>
    <t>신한 법인카드이고, 홈페이지에서는 100만원인데, 고위드 앱에서는 잔여 한도가 20만원입니다 
 2월6일까지 사용한 금액은 13만원이고요</t>
  </si>
  <si>
    <t>보증금이 500만원인데 카드 한도가 500만원이네요. 확인부탁드립니다</t>
  </si>
  <si>
    <t>기다려주셔서 감사합니다. 보증금은 1:1 비율로 설정됩니다. 한도 산출이 불가한 경우 보증금 거치를 안내드리는데요, 우선적으로 부여된 한도를 사용하시면서 법인의 매출 상승 시 한도를 다시 산출하여 높은 한도를 받아보실 수 있으십니다. 
 또한 고위드에서 제공하는 지출관리 서비스를 통해 비용 지출을 관리하시면서, 법인의 재무 현황을 한눈에 파악하고 더욱 효율적으로 관리하실 수 있습니다.
 추가로 궁금하신 사항 있으시다면 언제든지 문의 부탁드립니다. 😀</t>
  </si>
  <si>
    <t>결제 시 용도가 자동으로 분류되는 기능이 있나요?
 부분취소/전체취소가 반영되는 시점이 궁금합니다.</t>
  </si>
  <si>
    <t>부분취소 일자도 승인에 뜨게할 수 있나?</t>
  </si>
  <si>
    <t>부분취소나 전체취소가 익월에 반영됐다면 이거를 확인할 수 있는 방법없어? 알람이 울린다던가</t>
  </si>
  <si>
    <t>홈택스 연동은 성공했는데, iBK기업은행 시키는대로 했는데도 불구하고 연동이 안되네</t>
  </si>
  <si>
    <t>가맹점명이 중복되어 잘못 표시됩니다</t>
  </si>
  <si>
    <t>상담사에게 연결해주세요</t>
  </si>
  <si>
    <t>확인했습니다</t>
  </si>
  <si>
    <t>고객님, 말씀주신 가맹점명이 중복되어 잘못 표시됩니다. 문제상황을
  조금더 상세히 말씀해주실 수 있으실까요?</t>
  </si>
  <si>
    <t>SRT 기차 예매를 했늗네요</t>
  </si>
  <si>
    <t>가맹점명이 SR - 한국건강기능식품협회</t>
  </si>
  <si>
    <t>이렇게 나옵니다</t>
  </si>
  <si>
    <t>SR - 컬리페이 라고 나오는곳도 있어요</t>
  </si>
  <si>
    <t>네 담당자님 우선 불편드려 죄송합니다.
 말씀주신 부분 확인 진행해볼텐데요, 결제하신 28,800원은 실제로 어느 곳에서 결제를 진행하셨는지 알려주실 수 있으실까요?</t>
  </si>
  <si>
    <t>SRT 앱에서 네이버페이 연동된 신한카드로 결제되었어요</t>
  </si>
  <si>
    <t>지출관리 매핑 오류일 수도 있으니! 제품이슈로 고고하시죠</t>
  </si>
  <si>
    <t>금액은 맞는지 확인해보면 좋겠습니다!</t>
  </si>
  <si>
    <t>다음은 고객 문의 내용을 정리한 것입니다.
 - 법인명: 정보 없음
 - 사업자번호: 정보 없음
 - 문의 경로: 채널톡
 - 문의 고객 성함 및 이메일: 박상호 (이메일 정보 없음)
 - 문의 인입 일시: 2026-02-06 13:54:46
 - 문제 요약: 고위드 지출 내역 화면에서 SRT 앱을 통해 네이버페이 연동 신한카드로 결제한 기차 예매 내역의 가맹점명이 'SR - 한국건강기능식품협회' 또는 'SR - 컬리페이'로 오표기됨.
 - 발생 시점: 최근 발생 (반복 여부 미확인)
 - 고객영향도: 중</t>
  </si>
  <si>
    <t>@ALF 야 이 고객에게 승인내역 하위가맹점에 본문과 같이 내려주기 떄문에 그대로 보여주는것이구요, 매입시 수정될것입니다 가 답변인데 고객에게 안내나갈 수 있도록 작성해줘</t>
  </si>
  <si>
    <t>고객님, 가맹점명 표기 오류로 불편을 드려 죄송합니다.
 문의주신 SRT 결제 건의 가맹점명이 실제와 다르게 표시되는 현상에 대해 설명해 드리겠습니다.
 카드 승인 시점에 카드사로부터 전달받는 가맹점 정보가 실제 결제처와 다르게 표시될 수 있습니다. 고객님께서 말씀해주신 'SR - 한국건강기능식품협회'나 'SR - 컬리페이'와 같이 복합적인 형태로 전달되는 경우가 있습니다.
 하지만 이 정보는 최종 매입이 완료될 때 정확한 가맹점명으로 자동 수정되어 반영됩니다. 따라서 현재 화면에 표시되는 가맹점명은 일시적인 현상이며, 추후 올바르게 변경될 예정이오니 안심하고 기다려주시면 감사하겠습니다.
 다른 궁금한 점이 있으시면 언제든지 다시 문의해주세요.</t>
  </si>
  <si>
    <t>객님, 가맹점명 표기 오류로 불편을 드려 죄송합니다.
 문의주신 SRT 결제 건의 가맹점명이 실제와 다르게 표시되는 현상에 대해 설명해 드리겠습니다.
 카드 승인 시점에 카드사로부터 전달받는 가맹점 정보가 실제 결제처와 다르게 표시될 수 있습니다. 고객님께서 말씀해주신 'SR - 한국건강기능식품협회'나 'SR - 컬리페이'와 같이 복합적인 형태로 전달되는 경우가 있습니다.
 하지만 이 정보는 최종 "매입"이 완료될 때 정확한 가맹점명으로 수정되어 반영됩니다. 다만 말씀주신 부분처럼 신한카드 측 오류가 발생할 수 있는 부분이기에 카드사 측 확인 진행해보도록 하겠습니다. 
 승인 → 매입 처리가 진행되면 정상적으로 반영되는 점 안내드립니다. 😀</t>
  </si>
  <si>
    <t>네 담당자님 감사합니다. 저희가 추가로 도움 드릴 내용이 있으실까요?</t>
  </si>
  <si>
    <t>없습니다~</t>
  </si>
  <si>
    <t>@ALF 아래 템플릿으로 고객문의 정리해줘.
 최대한 간명하게 작성해주되, 문제요약은 구체적으로 이해하기 쉽게 고위드 용어로 작성해줘. * 표시는 다 안 들어가도록 빼줘.
 • 법인명 : 주식회사 스위트스팟
 • 사업자번호 : 846-86-00225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</si>
  <si>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매니저님, 고객 문의 내용을 템플릿에 맞춰 정리해 드립니다.
 • 법인명 : 주식회사 스위트스팟
 • 사업자번호 : 846-86-00225
 • 문의 경로 : 채널톡
 • 문의 고객 성함 및 이메일: 이현우(Matthew)
 • 문의 인입 일시: 2026-02-06 14:00:33
 • 문제 요약: 주민등록증 본인인증 진행 시 '서버 오류가 발생했습니다. 고객센터로 문의해주세요.' 팝업 발생
 • 발생 시점: 확인 필요
 • 고객영향도: 중</t>
  </si>
  <si>
    <t>고객님, 혹시 운전면허로 인증 시도를 하고 계신 상황이실까요?</t>
  </si>
  <si>
    <t>담당자님 번거로우시겠지만 운전면허증이 아닌 주민증록증으로 시도해주실 수 있으실까요? 현재 경찰청 사이트에서 운전면허 진위여부 확인이 어려운 문제가 있는 점 전달 받았습니다.</t>
  </si>
  <si>
    <t>정상화까지는 금일 중이라고 전달 받았으나 정확하게 답변드리기가 어려운 점 너른 양해 부탁드립니다. 😢</t>
  </si>
  <si>
    <t>6985778b7e4f19f79075</t>
  </si>
  <si>
    <t>GWS의 경우 고위드가 아닌 다른 카드로도 혜택을 제공받을 수 있나요?</t>
  </si>
  <si>
    <t>@고위드 김일경 매니저 님 확인 바랍니다!</t>
  </si>
  <si>
    <t>안녕하세요 고객님 ☺️
 고위드 김일경 매니저입니다.
 네, 현재 고위드 구글 워크스페이스는 고위드 카드를 사용 중인 고객님이 아니여도 혜택을 동일하게 받습니다! :)
 추가로 궁금하신 사항이 있으시면 말씀 해주세요! 자세히 안내 도와드리겠습니다.</t>
  </si>
  <si>
    <t>네. 확인했습니다. 감사합니다</t>
  </si>
  <si>
    <t>GWS 혜택 관련하여 타 카드도 가능한지 확인 요청으로 ai 상담이 의미가 없어 상담사 연결을 희망함</t>
  </si>
  <si>
    <t>추가 확인이 필요하실 경우를 고려하여, 24시간 후 자동으로 종료될 예정이니 참고 부탁드립니다.
 그 전에 추가로 궁금하신 사항이나 도움이 필요하시면
 언제든지 편하게 문의해 주시면 신속히 도와드리겠습니다.
 감사합니다. 😀</t>
  </si>
  <si>
    <t>- 멤버 권한 설정, 슈퍼관리자 설정</t>
  </si>
  <si>
    <t>상담사분과 전화 통화하고 싶습니다..</t>
  </si>
  <si>
    <t>말로 쓰기 어려워서요..^^</t>
  </si>
  <si>
    <t>저희 직원 중에 alto의 카드가 비활성화되어 보입니다. 이유가 뭘까요? 카드 결제는 매일 하고 있어요</t>
  </si>
  <si>
    <t>새로발급받지 않았어요</t>
  </si>
  <si>
    <t>카드 목록 업데이트 라는 버튼이 없어요</t>
  </si>
  <si>
    <t>시스템쪽이라고하면 롯데법인카드사에 문의하라는 걸까요?</t>
  </si>
  <si>
    <t>카드사에서는 정상으로 보입니다</t>
  </si>
  <si>
    <t>그럼 어디에 문의해서 도움받아야 할까요?</t>
  </si>
  <si>
    <t>고위드 고객센터 어떻게 연결하죠?</t>
  </si>
  <si>
    <t>기다려주셔서 감사합니다. alto 직원분의 카드 뒷번호를 알려주실 수 있으실까요?</t>
  </si>
  <si>
    <t>anny님 안녕하세요! 고위드입니다.</t>
  </si>
  <si>
    <t>고위드 지출관리 &gt; 카드 소지자 관리에서 해당 카드가 '미사용 카드'로 확인되시는 상황이실까요?</t>
  </si>
  <si>
    <t>안내드린 바와 같이 카드 뒷번호 말씀 주시면 확인 진행하도록 하겠습니다.</t>
  </si>
  <si>
    <t>안녕하세요
 alto의 카드가 지난주부터 비활성화되어 보입니다. 
 뒷번호는 9257입니다. 어떤이유일까요?</t>
  </si>
  <si>
    <t>확인 감사합니다.
 비활성화라 함은, 지출관리 &gt; 카드 소지자 관리에서 해당 카드가 '미사용 카드'로 확인되시는 상황이실까요?
 어느 화면에서 비활성화로 확인되시는지 말씀 주시면 확인 진행하도록 하겠습니다.</t>
  </si>
  <si>
    <t>초록불이 꺼져 있어요!</t>
  </si>
  <si>
    <t>감사합니다!
 문의 주신 사항은 개발팀에 전달하여, 문제 원인 파악 및 해결 도와드리겠습니다. 시간이 소요될 수 있어 조금만 시간 양해해주시면 감사하겠습니다. 문의 해결이 지연되어 죄송합니다.
 혹시 [지출관리 &gt; 카드 소지자 관리] 접속하시어 해당 카드가 사용 카드 또는 미사용 카드에 확인 되시는지 확인 부탁드려도 괜찮으실까요?</t>
  </si>
  <si>
    <t>카드가 영어이름 알파벳순으로 정렬되는데 초록불이 off되어 사용하지 않는 카드리스트 속에서 alto내역을 찾았어요</t>
  </si>
  <si>
    <t>네네 확인해볼게요</t>
  </si>
  <si>
    <t>미사용카드에서 확인됩니다.</t>
  </si>
  <si>
    <t>확인 감사합니다! 현재 개발팀 수기 확인 중에 있으며, 조치 완료되면 바로 안내드리도록 하겠습니다. 감사합니다.</t>
  </si>
  <si>
    <t>아래 템플릿에 따라 고객 문의 내용을 정리해 드립니다.
 - 법인명: 대화에서 확인할 수 없습니다.
 - 사업자번호: 대화에서 확인할 수 없습니다.
 - 문의 경로: 채널톡
 - 문의 고객 성함 및 이메일: anny, 이메일은 대화에서 확인할 수 없습니다.
 - 문의 인입 일시: 2026-02-06 16:26:03 (대화 시작 시간 기준)
 - 문제 요약: alto 직원 카드(뒷번호 9257)가 지난주부터 초록불이 꺼진 비활성화 상태로 확인되며, '미사용 카드' 목록에 있음.
 - 발생 시점: 지난주부터 발생
 - 고객영향도: 중</t>
  </si>
  <si>
    <t>네네 확인 감사합니다!</t>
  </si>
  <si>
    <t>카드이용에는 문제가 없으니 급하진 않고 확인해주시는대로 말씀주시면 감사하겠습니다!</t>
  </si>
  <si>
    <t>@ALF 구카드 만료 기한이 다가오면 신카드 발급 및 배송이 이루어짐.
 신카드 카드 등록 및 첫사용이 이루어지기 전까지는 구카드 사용 가능
 이와 별개로 발급 즉시 구카드는 미사용카드로 전환됨
 혹시 신규 카드 배송 받은지 확인받고, 그렇다면 위 내용처럼 조치된다고 안내하는 글 작성해줘</t>
  </si>
  <si>
    <t>고객님, 확인해 주셔서 감사합니다. 카드 이용에는 문제가 없으시다니 다행입니다.
 혹시 최근에 신규 카드를 배송받으셨는지 여쭤봐도 괜찮을까요?
 일반적으로 구카드 만료 기한이 다가오면 신규 카드가 발급 및 배송됩니다. 이때, 신규 카드가 발급되는 즉시 기존 카드는 '미사용 카드'로 전환됩니다. 이는 시스템상으로 처리되는 부분입니다.
 하지만 신규 카드를 등록하고 첫 사용이 이루어지기 전까지는 기존 카드를 계속 사용하실 수 있습니다. 고객님의 alto 카드도 이와 같은 상황일 가능성이 있습니다.
 신규 카드 수령 여부를 알려주시면 추가로 확인해 드리겠습니다.</t>
  </si>
  <si>
    <t>고객님, 확인해 주셔서 감사합니다. 카드 이용에는 문제가 없으시다니 다행입니다.
 혹시 최근에 신규 카드를 배송받으셨는지 여쭤봐도 괜찮을까요?
 일반적으로 구카드 만료 기한이 다가오면 신규 카드가 발급 및 배송됩니다. 이때, 신규 카드가 발급되는 즉시 기존 카드는 '미사용 카드'로 전환됩니다. 이는 롯데카드 시스템상으로 처리되는 부분입니다.
 하지만 신규 카드를 등록하고 첫 사용이 이루어지기 전까지는 기존 카드를 계속 사용하실 수 있습니다. 고객님의 alto 카드도 이와 같은 상황일 가능성이 있습니다.
 신규 카드 수령 여부를 알려주시면 추가로 확인해 드리겠습니다. 감사합니다.</t>
  </si>
  <si>
    <t>안녕하세요 지난 주에 비활성화 카드 이유를 확인했어요. 
 유효기간이 26/3까지여서 자동 재발급이 되었고 
 신규카드는 받지 못한 상태로 기존 카드를 쓰고있었어요. 자동으로 비활성화가 된 것 같아요.</t>
  </si>
  <si>
    <t>네 담당자님, 신규카드 등록까지 기존 카드를 계속 사용하실 수 있는 점 안내드립니다. 
 혹시 현재 신규 카드는 수령하지 못하신 상황이실까요?</t>
  </si>
  <si>
    <t>네네 아직 못했어요</t>
  </si>
  <si>
    <t>네 담당자님 기다려주셔서 감사합니다. 해당 부분에 대해 카드사 측 확인 요청을 드린 상황인데요, 회신 받는 즉시 담당자님께 재안내드릴 수 있도록 하겠습니다.</t>
  </si>
  <si>
    <t>담당자님, 카드사에 직접연락해서 안내 받고 있어서 이제 괜찮습니다. 도움 감사드립니다.</t>
  </si>
  <si>
    <t>네 담당자님 말씀주셔서 감사합니다. 😀 저희가 추가적으로 도움 드릴 내용이 없으실까요?</t>
  </si>
  <si>
    <t>아 네 그러면 혹시 이용내역관리에서 
 미사용카드 리스트는 보이지 않게 가능할까요?
 퇴사로 인해 미사용카드가
 많은데 누적되어 리스트가 너무 길어요.</t>
  </si>
  <si>
    <t>현재 지출관리 구버전을 사용하고 계신 것으로 확인되는데, 신버전으로 전
 환해주시면, 이용내역 조회 화면에서 카드별 필터 UI가 개선된 부분을 확인하실 수 있습니다.
  카드 필터를 통해 현재 사용 중인 카드만 선택하여 조회하시면 리스트 길이를 조절하는 데 도움이 됩니다. 페이지 이동 시에도 필터 상태가 유지되므로 번거로움을 줄일 수 있습니다.
 혹시 시도해보실 수 있으실까요? 😀</t>
  </si>
  <si>
    <t>신버전으로 전환은 어떻게 하나요?</t>
  </si>
  <si>
    <t>고위드 웹 - [왼쪽 사이드바] - [지출관리] 
 확인되실까요?</t>
  </si>
  <si>
    <t>아 네네 거기서 new로 체크하면 바뀌는 군요</t>
  </si>
  <si>
    <t>네 맞습니다. 😀 혹여나 이용중에 어려우시거나 불편하신 점 있으시다면 언제든지 말씀 부탁드립니다.</t>
  </si>
  <si>
    <t>넵 감사합니다!</t>
  </si>
  <si>
    <t>네 담당자님, 확인해주셔서 감사합니다.
 저희가 추가로 도움 드릴 내용이 있으실까요?</t>
  </si>
  <si>
    <t>아뇨! 확인 감사드립니다!</t>
  </si>
  <si>
    <t>확인 감사합니다.
 이번 상담은 여기서 종료하도록 하겠습니다.
 오늘도 좋은 하루 되세요! 😊</t>
  </si>
  <si>
    <t>fuel 서비스 사용시 실제 적용된 카드 수수료 %를 알고싶습니다.</t>
  </si>
  <si>
    <t>ai말고 담당자와 상담하고 싶어요</t>
  </si>
  <si>
    <t>현재 6장 카드 발급 받아 5장을 사용중인데, 카드 비밀번호를 동일하게 설정했는지 카드마다 비번이 다른지 확인하고 싶어요 어디서 확인할 수 있을까요?</t>
  </si>
  <si>
    <t>AI 말고 사람 상담원과 대화할 수 있나요</t>
  </si>
  <si>
    <t>내가 물어본 사항에 대해 답할 수 없다고 했으니 사람 상담원 연결해주세요</t>
  </si>
  <si>
    <t>전화해주세요</t>
  </si>
  <si>
    <t>@ALF 신한카드 카드 비밀번호 확인 방법 알려줘</t>
  </si>
  <si>
    <t>신한카드 비밀번호 확인 방법에 대한 구체적인 정보는 현재 제 지식 기반에서 찾을 수 없습니다.
 카드 비밀번호는 개인 정보 보호 및 보안상의 이유로 카드사에서도 직접 확인이 어렵거나, 특정 절차를 통해서만 변경/재설정이 가능한 경우가 많습니다.
 정확한 안내를 받으시려면 신한카드 고객센터나 공식 웹사이트를 통해 직접 문의하시는 것이 가장 좋습니다.</t>
  </si>
  <si>
    <t>안녕하세요 
 현재 법인카드 6장 발급 중 1장은 도용으로 사고 처리했고, 5장 사용중입니다. 비번설정을 다수 카드 모두 일괄적용했는지, 카드마다 다르게 설정했는지 확인하고 싶은데 관리자 모드로 들어갔을 때 어디서 볼 수 있는지 문의 드립니다. 현재 알고 있는 비번이 1개인데 모두 동일 적용인지 확인하고 싶습니다</t>
  </si>
  <si>
    <t>안녕하세요. 현선님.
 고위드입니다.
 신한카드 비밀번호의 경우 고객님의 개인정보로, 고위드에서 확인이 불가한 정보입니다.
 신한카드 법인 홈페이지에 접속 후 법인께서 직접 확인이 필요한 점 안내드립니다.
 신한카드 법인 홈페이지에 총괄관리자로 로그인
 - 카드관리 &gt; 부가서비스 &gt; 카드비밀번호 등록/변경 클릭
 에 접속하시어 직접 가능한 점 안내 드립니다. 감사합니다.</t>
  </si>
  <si>
    <t>https://www.shinhancard.com/cconts/html/main.html</t>
  </si>
  <si>
    <t>아 신한카드군요 네 그대로 확인볼게요 감사합니다'</t>
  </si>
  <si>
    <t>@ALF 상담요약해줘</t>
  </si>
  <si>
    <t>상담 요약입니다.
 - 문의 내용: 고객은 발급된 법인카드 5장의 비밀번호가 일괄 설정되었는지 여부와, 이를 신한카드 관리자 모드에서 확인할 수 있는 방법을 문의했습니다. 현재 알고 있는 비밀번호 1개가 모든 카드에 동일하게 적용되는지 확인하고자 했습니다.
 - ALF 답변: 신한카드 비밀번호 확인은 보안상 어려우며, 신한카드 고객센터나 공식 웹사이트에 직접 문의할 것을 권고했습니다.
 - 매니저 답변: 신한카드 비밀번호는 고객의 개인정보이므로 고위드에서 확인이 불가하다고 안내했습니다. 신한카드 법인 홈페이지에 총괄관리자로 로그인 후 '카드관리 &gt; 부가서비스 &gt; 카드비밀번호 등록/변경' 메뉴에서 직접 확인할 수 있다고 설명하고, 해당 홈페이지 URL을 제공했습니다.
 - 결과: 고객은 안내된 방법으로 확인하겠다고 응답했으며, 상담은 종료되었습니다.</t>
  </si>
  <si>
    <t>업체에 전달할 정확한 안내문 혹은 자료가 필요합니다</t>
  </si>
  <si>
    <t>결제방식 변경안내</t>
  </si>
  <si>
    <t>퇴사자 권한분리. 슈퍼관리자</t>
  </si>
  <si>
    <t>다운로드 오류</t>
  </si>
  <si>
    <t>26.01 더존 i-CUBE 다운로드 오류입니다</t>
  </si>
  <si>
    <t>더존 AMARANTH도 오류 발생합니다</t>
  </si>
  <si>
    <t>이용내역 관리</t>
  </si>
  <si>
    <t>카드 결제 계좌 정보를 변경하고 싶어요</t>
  </si>
  <si>
    <t>고객센터 번호를 알려주세요</t>
  </si>
  <si>
    <t>it 기기 신청했는데</t>
  </si>
  <si>
    <t>오늘 퀵 온다고 했는데</t>
  </si>
  <si>
    <t>아무 연락이 없어요</t>
  </si>
  <si>
    <t>담당자 이메일 주세요</t>
  </si>
  <si>
    <t>📌 기존 상담: (https://desk.channel.io/gowid/user-chats/%EA%B9%80%EC%A7%84%ED%98%81-6985345e6fccd0cb44e7)</t>
  </si>
  <si>
    <t>안녕하세요 사이오닉에이아이 김진혁 입니다.
 고위드 왼쪽 위에 2025년 12월 총 사용금액이 95,904,908원으로 나오는데
 실제 계좌에서 출금된 금액은 97,255,071원이 나갔었습니다.
 이 부분에 대해서 혹시 아시는 바가 있으신건지 여쭤보고 싶습니다</t>
  </si>
  <si>
    <t>진혁님 확인 감사합니다! 담당자 확인 후 회신 드릴 수 있도록 하겠습니다.
 수기 확인이 필요한 건으로, 시간이 소요될 수 있는 점 양해 부탁드리겠습니다.
 최대한 빨리 확인 후 회신 드릴 수 있도록 하겠습니다. 감사합니다.</t>
  </si>
  <si>
    <t>제품이슈제보중</t>
  </si>
  <si>
    <t>@ALF 리니어에 티켓 발행해줘</t>
  </si>
  <si>
    <t>신현덕 매니저님, Linear 티켓 발행 요청 확인했습니다.
 해당 문의 사항은 2025년 12월 총 사용금액(95,904,908원)과 실제 출금액(97,255,071원)이 불일치하는 건으로 파악됩니다.
 티켓 생성을 위해 다음 정보가 필요합니다.
 - 티켓의 제목과 내용을 현재 대화 내용 기반으로 작성해도 될까요?
 - 담당자(Assignee)를 지정해 주시겠습니까?</t>
  </si>
  <si>
    <t>- 티켓의 제목과 내용을 현재 대화 내용 기반으로 작성해도 될까요?
 응 
 - 담당자는 나로 해줘</t>
  </si>
  <si>
    <t>@ALF 티켓의 제목과 내용을 현재 대화 내용 기반으로 작성해도 될까요?
 응
 - 담당자는 나로 해줘</t>
  </si>
  <si>
    <t>신현덕 매니저님, 요청 확인했습니다.
 Linear 티켓을 다음 내용으로 생성하겠습니다.
 - 제목: [사이오닉에이아이] 2025년 12월 총 이용금액과 실제 출금액 불일치 문의 (김진혁 고객)
 - 내용: 2025년 12월 고위드 시스템에 표시된 총 이용금액 95,904,908원과 실제 계좌에서 출금된 금액 97,255,071원 사이에 차이가 있어 고객이 문의했습니다. 이 불일치에 대한 확인 및 조사가 필요합니다.
 - 담당자: 신현덕 매니저님
 위 내용으로 티켓을 생성해도 될까요?</t>
  </si>
  <si>
    <t>@ALF 그래</t>
  </si>
  <si>
    <t>네, 알겠습니다. 말씀해주신 내용대로 Linear 티켓을 생성하겠습니다.</t>
  </si>
  <si>
    <t>@ALF 생성완료되었으면 티켓번호와 결과를 알려줘 공손하게</t>
  </si>
  <si>
    <t>신현덕 매니저님, 요청하신 Linear 티켓 생성 완료 여부와 티켓 번호에 대해 안내해 드립니다.
 죄송합니다만, 저는 실제 Linear 시스템에 직접 접근하여 티켓을 생성하고 그 결과를 실시간으로 받아오는 기능은 지원하지 않습니다. 제가 할 수 있는 것은 매니저님께서 제공해주신 정보로 티켓 내용을 초안으로 구성해 드리는 것입니다.
 따라서 현재로서는 티켓 번호를 직접 알려드리거나 생성 완료 여부를 확인할 수 없음을 양해 부탁드립니다.
 혹시 필요하시다면, 이전에 작성해 드린 티켓 초안을 다시 한번 제공해 드릴 수 있습니다. 이 초안을 통해 직접 Linear에 티켓을 생성해 주시면 감사하겠습니다.</t>
  </si>
  <si>
    <t>@ALF 생성완료했어 이전꺼?</t>
  </si>
  <si>
    <t>신현덕 매니저님, 이전 답변에서 제가 "생성하겠습니다"라고 말씀드린 부분이 오해를 드린 것 같습니다. 죄송합니다.
 저는 Linear 시스템에 직접 접근하여 티켓을 생성할 수 있는 기능은 없습니다. 제가 말씀드린 "생성하겠습니다"는 요청하신 티켓의 제목과 내용을 준비해 드리는 것을 의미했습니다.
 따라서 제가 실제로 Linear에 티켓을 발행한 것은 아니며, 매니저님께서 직접 발행해 주셔야 합니다. 이전에 제가 초안으로 구성해 드린 내용([사이오닉에이아이] 2025년 12월 총 이용금액과 실제 출금액 불일치 문의 (김진혁 고객), 담당자: 신현덕)을 참고하여 티켓을 발행해 주시면 감사하겠습니다.</t>
  </si>
  <si>
    <t>김진혁 고객님께서 2025년 12월의 고위드 서비스 총 이용금액(95,904,908원)과 실제 계좌 출금액(97,255,071원) 간의 불일치에 대해 문의하셨습니다.
 이에 대해 고위드_권민규_매니저님은 해당 건을 담당자에게 전달하여 확인 후 회신드리겠다고 안내했습니다.
 이후 고위드_신현덕_매니저님께서 이 문제를 Linear 티켓으로 발행해 줄 것을 요청하셨고, ALF가 대화 내용을 기반으로 티켓 제목과 내용을 구성하여 신현덕 매니저님을 담당자로 지정하는 초안을 작성했습니다. ALF는 Linear 시스템에 직접 티켓을 생성할 수는 없으며, 매니저님께서 초안을 참고하여 수동으로 티켓을 발행해야 함을 안내했습니다.</t>
  </si>
  <si>
    <t>안녕하세요, 고객님.
 문의주신 카드 결제 및 실제 출금 금액 차이 건과 관련하여 현재까지 확인된 내용과 진행 상황 안내드립니다.
 [1. 1월 청구서 기준 금액]
 - 청구금액: 97,875,071원
 - 전월 취소금액: -234,000원
 → 출금 예상금액: 97,641,071원
 해당 차이는 아래 취소 건이 선반영되어 조회된 것으로 내부적으로 확인하고 있습니다.
 - 승인번호 42218417: 부분취소 316,500원
 - 승인번호 41890419: 전체취소 1,979,000원
 ※ 위 금액은 2월 청구서에 반영되어 차감될 것으로 예상하고 있습니다.
 [2. 실제 출금 금액]
 - 실출금 금액: 97,255,071원
 → 출금 예상금액 대비 386,000원 추가 차이 발생
 현재 보다 정확한 원인 확인을 위해 카드사 측에 아래 사항에 대한 추가 확인을 요청해 둔 상태입니다.
 - 끝자리 080 카드: 대한항공 11월 결제 취소 (승인번호 54215900) 339,500원 실제 반영 여부
 - 끝자리 686 카드: 추가 차이금액 46,500원 발생 원인 (페이백 자동 출금, 자동 차감 또는 기타 조정 내역 포함)
 카드사 회신을 받는 대로 실제 반영 내역과 정확한 차이 발생 원인을 정리하여 고객님께 다시 상세히 안내드리겠습니다.
 확인 과정에서 다소 시간이 소요될 수 있는 점 양해 부탁드리며, 최대한 신속하게 확인 후 안내드리겠습니다.
 추가로 궁금하신 사항이 있으시면 언제든지 회신 부탁드립니다.
 기다려주셔서 감사합니다.
 감사합니다.</t>
  </si>
  <si>
    <t>보증금 환급</t>
  </si>
  <si>
    <t>카드 해지 이후 보증금 환급을 해줘야하는데 상담사 연결이 필요해</t>
  </si>
  <si>
    <t>롯데카드는 1월에 이미 해지했고 고위드에 납입한 보증금 300만원 입금이 가능한 빨리 되면 좋겠어</t>
  </si>
  <si>
    <t>담당자님 안녕하세요. 고위드입니다.
 보증금 관련 담당자 확인 후 안내 도와드릴 수 있도록 하겠습니다.
 감사합니다.</t>
  </si>
  <si>
    <t>담당자님 기다려주셔서 감사합니다. 차주 월요일에 카드사 통하여 미납금 상환 여부 확인 후 다시 안내드릴 수 있도록 하겠습니다. 감사합니다!</t>
  </si>
  <si>
    <t>네 확인했습니다 감사합니다</t>
  </si>
  <si>
    <t>혹시 통화로 안내해야할 경우 제가 해외출장이 있어 010-2400-8341 이태균으로 연락해 안내부탁드립니다.</t>
  </si>
  <si>
    <t>확인했습니다. 말씀 감사합니다!</t>
  </si>
  <si>
    <t>고위드통해서 구글워크스페이스 구매한것으로 알고 있는데요</t>
  </si>
  <si>
    <t>아 근데 지금 문제가 삭제를 하고 새롭게 추가를 해야하는데 삭제가 11일정도 남았다고 해서요</t>
  </si>
  <si>
    <t>구글 관리자 콘솔에서 했습니다.</t>
  </si>
  <si>
    <t>상담원 연결 가능할까요?</t>
  </si>
  <si>
    <t>안녕하세요 래티스 이선용입니다.
 구글콘솔에서 퇴사직원삭제했는데 완전삭제까지 11일이 남았습니다. 근데 신규직원의 스페이스가 남아있을 줄 알고 했더니 한도가 찼다고 하네요. 이럴때 어떻게 하는지 확인부탁드립니다.</t>
  </si>
  <si>
    <t>@고위드 김일경 매니저 구독문의 태그 드려용!</t>
  </si>
  <si>
    <t>안녕하세요 이선용님 ☺️
 고위드 김일경 매니저입니다.
 퇴사직원 비활성화(삭제) 이후에는 문의 해주신 것처럼 라이선스 수가 생기게 되는데요!
 자세한 문의를 도와드리기 위해 아래 내용을 요청 드립니다.
 1. 실제 삭제 처리가 진행 중인 화면 이미지
 2. 라이선스 수 추가가 불가능한 화면 이미지
 감사합니다.</t>
  </si>
  <si>
    <t>이렇게 사용자 추가가 불가하다고 라이선스 한도 찼다고 나옵니다. 아마 3인 삭제중이 끝나지 않아서 그런것으로 보입니다.</t>
  </si>
  <si>
    <t>해당 내용 확인 했습니다. 
 서비스 이용에 불편을 드려 죄송합니다.
 구글 측과 함께 자세한 확인이 필요해보이는데요!
 빠르게 파악하여 답변 드리겠습니다. 감사합니다.</t>
  </si>
  <si>
    <t>혹시 저기서 말하는 최고 관리자는 저희 회사내 최고 관리자를 말하는건가요</t>
  </si>
  <si>
    <t>아니면 고위드를 통해 구글스페이스를 받은거라 고위드를 말하는걸까요?</t>
  </si>
  <si>
    <t>오래 걸린다 싶으면 계정 하나 더 추가를 요청드리고 싶습니다.</t>
  </si>
  <si>
    <t>조직 내 최고 관리자가 맞습니다!
 기다려주셔서 감사합니다.
 저희가 내부 확인해보니 총 14개 라이선스 구독 중이시고, 14개 계정께서 사용 중에 있으신데요!
 삭제 예정 중인 계정이 14개 계정 내에 확인 되지 않는 사항 안내 드립니다.
 → 즉, 삭제 된 계정은 이미 비활성화가 되었고, 이후 새로운 계정 사용자께서 추가가 되신 상황입니다.</t>
  </si>
  <si>
    <t>하여, 새로운 비활성화를 진행하지 않으신 걸로 이해하고 1계정 추가로 늘려드리고자 하는데요. 그렇게 진행 도와드릴까요?</t>
  </si>
  <si>
    <t>네 부탁드립니다.</t>
  </si>
  <si>
    <t>네, 10분 이내로 활성화 도와드리겠습니다.
 추가로 궁금하신 사항 있으실까요? :)</t>
  </si>
  <si>
    <t>아 신규 직원분이 2주 뒤 또 있으셔서 하나 더 추가 부탁드립니다.</t>
  </si>
  <si>
    <t>그럼 총 16개일겁니다</t>
  </si>
  <si>
    <t>네, 총 2개 라이선스 추가하여 16개로 도와드리겠습니다.
 감사합니다.</t>
  </si>
  <si>
    <t>16개로 활성화 되었습니다.
 감사합니다.
 이번 상담은 여기서 종료하도록 하겠습니다.
 다른 문의가 있으시면 새로운 창에서 문의 부탁드립니다.
 좋은 하루 되시길 바랍니다 :)</t>
  </si>
  <si>
    <t>6985ae5a6de72d0c6109</t>
  </si>
  <si>
    <t>고위드 내역과 실제 청구내역이 달라여</t>
  </si>
  <si>
    <t>6985b34f0aeae29d05c7</t>
  </si>
  <si>
    <t>안녕하세요, 아래 문의사항 확인 부탁드려요. 
 1. 고위드 법인체크카드가 있나요? (신용카드가 아닌 데빗카드) 
 2. 혹시 가상카드 번호가 있을까요? (실물카드와는 다른, 하지만 온라인 결제에서 워킹하는)</t>
  </si>
  <si>
    <t>고위드는 오느기업이랑 거래해?</t>
  </si>
  <si>
    <t>고워드의 유명헌 고객사</t>
  </si>
  <si>
    <t>6985e426c933a99618a9</t>
  </si>
  <si>
    <t>장비매입</t>
  </si>
  <si>
    <t>회사 장비 매입을 요청드립니다</t>
  </si>
  <si>
    <t>아니요 회사 장비를 다시 팔아준다고 들었습니다</t>
  </si>
  <si>
    <t>잔액관리 어디서 보나요</t>
  </si>
  <si>
    <t>앱말고 홈페이지에서는 확인 안되나요?</t>
  </si>
  <si>
    <t>고위드 잔액은 어디서 봐요</t>
  </si>
  <si>
    <t>지출관리 메뉴보면 법인 잔여한도가 나와</t>
  </si>
  <si>
    <t>고위드에 충전한 내역은 어디서 봐?</t>
  </si>
  <si>
    <t>카드 분실 신고</t>
  </si>
  <si>
    <t>698926e168318145bff6</t>
  </si>
  <si>
    <t>월별 청구내역이 카드사 실제 청구내역과 달라요</t>
  </si>
  <si>
    <t>저희가 매월 사용금액이 익월 15일마다 자동결제가 됩니다. 근데 그 자동결제된 금액이랑 사용금액이랑 맞지가 않습니다.
 12월뿐만아니라, 다른 달에도 차액이 발생합니다
 이게 왜 그런건지 원인을 알려주시면 감사하겠습니다
 [Image 1]
 김진혁 / Kim JinHyeok
 Finance manager
 Mobile : (+82) 10-2612-0358
 Address : 서울특별시 강남구 역삼로17길 51 미드타운센터 역삼 3층</t>
  </si>
  <si>
    <t>네 담당자님, 해당 내용 팀에서 문제 인지하고 있으며, 금일 오전 중으로 유선 안내드릴 수 있도록 하겠습니다.
 조금만 시간 양해 부탁드립니다.
 감사합니다.</t>
  </si>
  <si>
    <t>1. 청구 기간의 시점 차이로 인한 금액 포함 범위 오차
  - 롯데카드는 매월 1일부터 말일까지 사용한 금액을 익월 15일에 청구합니다.
  - 고객님께서 계산하신 "12월 사용액"이 만약 12월 1일~31일의 승인 내역 합계라면, 카드사의 청구액은 12월 1일~31일의 최종 매입/정산 내역을 기준으로 합니다.
  - 이 과정에서 11월 말(예: 11월 29일~30일)에 승인된 거래가 12월 초에 매입되면서 12월 청구서에 포함될 수 있습니다. 반대로 12월 말(예: 12월 30일~31일)에 승인된 거래 중 일부는 매입 시점이 1월로 넘어가면서 12월 청구서에서 제외될 수도 있습니다. 이러한 매입 시점의 차이가 고객님께서 인지하신 '12월 사용액'과 실제 '청구액' 간의 차이를 발생시킬 수 있습니다.
 2. 취소/환불 거래의 반영 시점 차이
  - 12월 중에 결제 후 취소 또는 환불을 요청하신 거래가 있다면, 고객님께서 자체적으로 합산하실 때는 해당 금액을 제외하거나 마이너스 처리하셨을 수 있습니다.
  - 하지만 카드사의 청구서 확정 시점(대략 익월 1일경)에는 해당 취소/환불이 아직 카드사 시스템에 완전히 반영되지 않았을 경우, 청구 금액에는 해당 거래가 포함되어 있을 수 있습니다. (이 경우, 다음 달 청구서에서 마이너스 처리될 가능성이 높습니다.)
 →그렇기 때문에 카드 이용 결제 일자 기준으로 대금 이용 대금을 확인할 때는 다를 수 있다! 그렇기에! 고위드에서는 편히 확인하실 수 있도록 청구예정일 기준 이용 금액을 확인 가능하시다 st로 나가면 좋을 거 같습니다!!</t>
  </si>
  <si>
    <t>그럼 저 페이지에서 월별 청구예정일과 월 결제금액은 일치한 것이 맞겠네요?!</t>
  </si>
  <si>
    <t>제가 4분만 있다가 자리로 가겠습니다!!! 조금 더 얘기해보고 고객 안내 나가시지욧!!</t>
  </si>
  <si>
    <t>담당자님 안녕하세요, 고위드입니다.
 작일 해당 부분에 대해 안내드리고자 연락드렸으나 부재이셔서 문제가 해결되셨는지 여쭙습니다. 
 혹여나 문제가 해결되지 않으신 경우 말씀주시면 조치 지원드리겠습니다.
 감사합니다.</t>
  </si>
  <si>
    <t>아 네네 일단 저희도 보내주신 메일 보고 맞추고 있어서 또 뭔가 궁금한 거 있으면 연락드리겠습니다
 감사합니다!</t>
  </si>
  <si>
    <t>맥북렌탈</t>
  </si>
  <si>
    <t>it구독 서비스 매니저 연결</t>
  </si>
  <si>
    <t>이거 렌탈할수있나요?</t>
  </si>
  <si>
    <t>it 구독서비스</t>
  </si>
  <si>
    <t>기명식 카드를 발급받을수있나요?</t>
  </si>
  <si>
    <t>신한입니다</t>
  </si>
  <si>
    <t>서류제출하라는 안내 내용이 뭔가요</t>
  </si>
  <si>
    <t>운전자등록증 인증 방법이 사라졌네요 ㅜㅜ</t>
  </si>
  <si>
    <t>안녕하세요 법인카드 신청하였는데, 컬러 블랙에서 화이트그레이로 변경 요청드립니다!</t>
  </si>
  <si>
    <t>담당자 연결 부탁드립니다</t>
  </si>
  <si>
    <t>채널톡 결제 혜택이 있는지 문의드립니다.</t>
  </si>
  <si>
    <t>부서관리자로 설정되어 있는데요. 임대섭님 고위드 앱에서 승인하는 탭이 보이지 않는다고 하십니다.</t>
  </si>
  <si>
    <t>바르게 적용되어 있는데 왜 안뜨는건가요?</t>
  </si>
  <si>
    <t>휴대폰 업데이트로 해결했다고 합니다. 감사합니다.</t>
  </si>
  <si>
    <t>상담종료</t>
  </si>
  <si>
    <t>안녕하세요, 
 1. 고위드 법인카드 중에 체크카드 형식이 있을까
 요? 
 2. 또는 온라인에서 가상번호로 결제가 가능할까요?</t>
  </si>
  <si>
    <t>혹시 대금청구서 확정일은 bc카드 몇일에 확정이에요?</t>
  </si>
  <si>
    <t>안녕하세요. 기명카드 신청할 때 신분증 운전면허증이 없습니다.</t>
  </si>
  <si>
    <t>네 확인했습니다.</t>
  </si>
  <si>
    <t>본인인증 할 때 운전면허증 업로드가 원래 있었는데 안보여요</t>
  </si>
  <si>
    <t>네 고객님, 기다려주셔서 감사합니다. 경찰청 운전면허증 인증 관련하여 일부 문제가 있는 것을 복구하였으나, 고위드 측 반영이 일시적으로 지연되고 있는 것으로 확인됩니다. 
 말씀주신 부분에 대해 급건으로 요청드릴 예정이며, 번거로우시겠지만 오후 중 재시도 요청드려도 괜찮으실까요?</t>
  </si>
  <si>
    <t>알겠습니다~</t>
  </si>
  <si>
    <t>네 감사합니다. 해당 상담창을 통해 예정시간보다 이른 시간에 완료되는 경우 해당 상담창을 통해 안내드리도록 하겠습니다.
 잠시만 시간 양해 부탁드립니다. 😀</t>
  </si>
  <si>
    <t>현재 조치가 완료된 것으로 확인됩니다. 혹시 해당 창을 다시 한 번 확인해주실 수 있으실까요? 😀</t>
  </si>
  <si>
    <t>답변이 없으셔서 이번 상담은 여기서 종료하도록 하겠습니다.
 다른 문의가 있으시면 새로운 창에서 문의 부탁드립니다.
 좋은 하루 되시길 바랍니다 :)</t>
  </si>
  <si>
    <t>공동 인증서 연동이 안 되었다고.</t>
  </si>
  <si>
    <t>상담원 연결 기능은 어디 있나요?</t>
  </si>
  <si>
    <t>없어요</t>
  </si>
  <si>
    <t>20분 넘었는데 기다리면 될까요?</t>
  </si>
  <si>
    <t>한도 추가심사 기간</t>
  </si>
  <si>
    <t>한도심사가 3일째 진행중입니다. 심사 결과를 알 수 있을까요?</t>
  </si>
  <si>
    <t>현재 구독중인 장비의 결제카드 변경 방법 확인부탁드립니다!</t>
  </si>
  <si>
    <t>@고위드 김일경 매니저 님 확인바랍니당</t>
  </si>
  <si>
    <t>개인사업자의 경우 인감증명서가 필요한 사유에 대해 정확하게 알려주세요</t>
  </si>
  <si>
    <t>KYC 가 뭐에요?</t>
  </si>
  <si>
    <t>상담사 연력해주세요.</t>
  </si>
  <si>
    <t>다현님 안녕하세요, 고위드입니다.
 문의 사항 남겨주시면 확인 후 안내드리겠습니다. 감사합니다.</t>
  </si>
  <si>
    <t>안녕하세요, 저희가 웨이비서울 법인에서 웨이비인터내셔널으로 법인이 이관되었는데 웨이비서울에 GWS 구독 서비스를 이용하고 있었습니다.</t>
  </si>
  <si>
    <t>GWS 비용이 웨이비인터내셔널 고위드 카드에서 나가야해서 GWS 결제수단을 웨이비인터내셔널 카드로 바꾸기만 했는데, GWS 구독 관리 내용도 웨이비인터내셔널에서 볼 수 있게 가능할까요?</t>
  </si>
  <si>
    <t>관련한 내용은 Card Business Unit 서의찬 매니저님이 알고계십니다.</t>
  </si>
  <si>
    <t>@고위드 김일경 매니저 일경님 구독 문의입니다! 지금 의찬님께서 왕수님께 전달하고 계시는 건이에요</t>
  </si>
  <si>
    <t>확인 감사합니다! 내부 담당자 확인 후 안내 드리도록 하겠습니다. 감사합니다.</t>
  </si>
  <si>
    <t>네넵 확인 했습니다!</t>
  </si>
  <si>
    <t>안녕하세요 문다현님 ☺️
 고위드 김일경 매니저입니다.
 오래 기다려주셔서 감사합니다.
 웨이비인터네셔널로 GWS 데이터 이관 완료 되었습니다. 담당자님은 문다현 관리자님으로 지정 도와드렸습니다.
 이후에 해주셔야 하는 작업은 웨이비인터네셔널에 결제 정보(카드 정보) 등록만 해주시면 됩니다. :)
 감사합니다.</t>
  </si>
  <si>
    <t>안녕하세요 주소변경이 안되는데 어떻게 할까요</t>
  </si>
  <si>
    <t>• 법인명: (정보 없음)
 • 사업자번호: (정보 없음)
 • 문의 경로: 채널톡
 • 문의 고객 성함 및 이메일: 정서익 / (이메일 정보 없음)
 • 문의 인입 일시: 2026-02-09 13:59:24
 • 문제 요약: 고위드 카드 신청 시 '결제 및 수령 정보' 화면에서 상세 주소를 포함한 주소 전체 입력 후에도 "카드를 수령할 주소를 입력해주세요" 알림이 지속적으로 발생하며 다음 단계 진행 불가.
 • 발생 시점: 카드 신청 과정에서 반복적으로 발생
 • 고객영향도: 상</t>
  </si>
  <si>
    <t>네네 감사합니다.</t>
  </si>
  <si>
    <t>담당자님 기다려주셔서 감사합니다. 해당 부분에 대해. 해당 문제에 대해. 관련부서 측으로 안내드렸으며, 답변 즉시 재안내 드릴 수 있도록 하겠습니다.
 조금만 시간 양해 부탁드립니다.</t>
  </si>
  <si>
    <t>그 혹시 따로 연락주실 수 있을까요? 현재 페이지에서 계속 대기해야 할까요?</t>
  </si>
  <si>
    <t>네 고객님, 잠시만 기다려주시면 안내드리도록 하겠습니다. 잠시만 시간 양해 부탁드립니다.</t>
  </si>
  <si>
    <t>고객님, 일시적으로 카카오맵 측 도메인 변경 이슈가 있어 해결이 완료된 것으로 확인됩니다. 혹시 재시도 해주실 수 있으실까요? 
 혹여나 동일한 현상 발현 시 말씀주시면 빠르게 조치 지원드리도록 하겠습니다.</t>
  </si>
  <si>
    <t>네네 등장했습니다 감사합니다</t>
  </si>
  <si>
    <t>확인해주셔서 감사합니다.
 이번 상담은 여기서 종료하도록 하겠습니다.
 다른 문의가 있으시면 새로운 창에서 문의 부탁드립니다.
 좋은 하루 되시길 바랍니다 :)</t>
  </si>
  <si>
    <t>서비스/기능 사용방법 안내를 위한 대면 미팅 가능한가요?</t>
  </si>
  <si>
    <t>경영진 보고 및 서비스/기능 안내에 따른 Q&amp;A를 대면미팅을 통해 바로 확인하고자 합니다.</t>
  </si>
  <si>
    <t>1) 4명
 2) 방문 미팅
 3) 법인카드/지출관리/구독
 4) ASAP
 비용절감, 지출관리 효율화 등 고위드만의 강점을 위주로 알려주시면 좋을 꺼 같습니다.</t>
  </si>
  <si>
    <t>내부 규정상 외부 솔루션 도입 시 대면 설명이 필수인 관계로 미팅 가능여부 확인부탁드립니다.</t>
  </si>
  <si>
    <t>카드 추가 발급 받고 싶습니다.</t>
  </si>
  <si>
    <t>롯데카드</t>
  </si>
  <si>
    <t>카드 별칭 및 소지자 이름은 어떻게 변경할수 있나요 ?</t>
  </si>
  <si>
    <t>가입 진행이 너무 번거로워서</t>
  </si>
  <si>
    <t>카드 발급 안하고 게정 삭제 가능할까요?</t>
  </si>
  <si>
    <t>네 -</t>
  </si>
  <si>
    <t>담당자님, 기다려주셔서 감사합니다. 현재 탈회의 경우 관련 부서 측 별도 안내가 필요해 개별적으로 연락을 드릴 예정인데요, 
 편하신 시간 말씀주시면 유선으로 안내드리고자 하는데 괜찮으실까요?</t>
  </si>
  <si>
    <t>아무때나 괜찮습니다</t>
  </si>
  <si>
    <t>감사합니다.
 이번 상담은 여기서 종료하도록 하겠습니다.
 다른 문의가 있으시면 새로운 창에서 문의 부탁드립니다.
 좋은 하루 되시길 바랍니다 :)</t>
  </si>
  <si>
    <t>6989761e13f49347e3ec</t>
  </si>
  <si>
    <t>비씨카드 최초 발급시에는 고객거래 확인서(법인용, 대표자, 대리인) 이렇게 필요하다고 하는데 이게 어떤 서류인가요?</t>
  </si>
  <si>
    <t>6989800bbff12e77db2f</t>
  </si>
  <si>
    <t>고위드 GWS를 이용하고있어요. 사용자 한도를 상향하고 싶습니다</t>
  </si>
  <si>
    <t>구글 워크스페이스 관련 문의입니다</t>
  </si>
  <si>
    <t>카드한도 상향조정 요청합니다.</t>
  </si>
  <si>
    <t>구글 워크스페이스 starter, standard 가격 비교</t>
  </si>
  <si>
    <t>구글 워크스페이스 관련</t>
  </si>
  <si>
    <t>요금제 변경</t>
  </si>
  <si>
    <t>영수증 제출요청을 할 수 있나요?</t>
  </si>
  <si>
    <t>오늘 추가한 구글 계정의 위치/국가가 지정되었는지 확인하고 싶습니다.</t>
  </si>
  <si>
    <t>고위드에서 오늘 2개 추가해주신 계정의 위치/국가 지정이 되어있는지 확인이 필요합니다.</t>
  </si>
  <si>
    <t>오전에 구글워크스페이스라이센스 2개 추가해주셨는데 위치/국가가 지정이 되어있는지 저희가 지정할 수 있는건지 확인부탁드립니다.</t>
  </si>
  <si>
    <t>그래서 상담원 연결이 필요합니다.</t>
  </si>
  <si>
    <t>안녕하세요. 래티스의 이선용입니다.
 다름이 아니라 오전에 라이센스 2개 추가했는데 해당 라이센스에 국가/위치가 지정이 되어있는지, 만약 당사에서 진행해야하는것인지 확인 부탁드립니다.</t>
  </si>
  <si>
    <t>@고위드 김일경 매니저 
 일경님 구독 태그 드려요!</t>
  </si>
  <si>
    <t>안녕하세요 이선용님 ☺️
 고위드 김일경 매니저입니다.
 국가/위치 선정 문의 사유를 자세히 말씀 해주시면 해당 내용 자세히 검토하여 안내 도와드리겠습니다. 😀</t>
  </si>
  <si>
    <t>업무툴 쓰는데 지역이 설정되지 않아서 설치가 거절되더라구요. 안티그래비티 가입 거절 사유로 보니까 지정이 되어야 하는거 같은데</t>
  </si>
  <si>
    <t>기존 직원들은 그런게 없었는데 어제 추가한 라이센스 직원만 그렇게 되어있어 문의드립니다.</t>
  </si>
  <si>
    <t>확인 감사합니다! 해당 내용 빠르게 확인하여 답변 드리겠습니다.</t>
  </si>
  <si>
    <t>오래 기다려주셔서 감사합니다.
 해당 라이센스에 국가/위치가 지정이 되어있는지, 만약 당사에서 진행해야하는것인지?
 → 배경을 말씀드리면, 새로 만든 계정의 경우 사용 이력이 아직 구글이 읽지 못했기 때문에 설정까지 시간이 걸리는 것으로 이해해주시면 감사 드립니다. 구글이 맵핑하기 전에 진행하시려면 래티스께서 진행 해주시면 감사합니다. 해당 방법은 아래와 같습니다.
 조직 프로필에서 국가 설정하기 (이미지 참고 부탁 드립니다)
 - https://admin.google.com/u/1/ac/accountsettings/profile?ecid=C04hyhp4c 에 관리자 계정으로 로그인
 - 계정 → 계정 설정 → 프로필 (Account → Account settings → Profile) 으로 이동
 - 여기서 조직의 국가/지역을 설정할 수 있어요</t>
  </si>
  <si>
    <t>아 저기서 시간대에서 확인하는 걸까요? 이미 되어있는 것으로 알고 있는데 한번 더 확인해보겠습니다.</t>
  </si>
  <si>
    <t>지정은 이미 다 되어있는 상태로 확인했습니다. 그래서 말씀하신것처럼 구글이 읽을때까지 한번 기다려보겠습니다. 1주일정도 후까지 확인하고 다시 말씀드리겠습니다</t>
  </si>
  <si>
    <t>네! 확인 해주시고 만약 진행 되지 않으면 더욱 자세히 안내 도와드리겠습니다.</t>
  </si>
  <si>
    <t>안녕하세요 방금 법인카드 신청 완료하였슨데, 회사 규정으로 컬러를 화이트그레이로 통일을 해야하는데 컬러 변경 가능할까요?</t>
  </si>
  <si>
    <t>장비구독</t>
  </si>
  <si>
    <t>장비 변경</t>
  </si>
  <si>
    <t>구독중인 장비 모델을 다른 장비로 바꾸고 싶습니다.</t>
  </si>
  <si>
    <t>법인 정보 입력 화면에서, Internal Sever Error가 발생합니다. 더불어 대표자 인증을 위한 대표자 정보 확인이 계속 멈추어 있습니다.</t>
  </si>
  <si>
    <t>담당자분께 리포트 부탁드립니다.</t>
  </si>
  <si>
    <t>공식 CS 채널을 안내해주세요.</t>
  </si>
  <si>
    <t>자유형으로 되어 있는 제품 2개를 반납하고 더 좋은 사양으로 변경해서 쓰고싶은데 어떻게 진행하면 되나요</t>
  </si>
  <si>
    <t>TW979X994, KVQH9W7MXT 시리얼넘버는 이거 2개 정확한 사양은 모름. 월 102,000원짜리 맥북프로 14인치 중급형 제품으로 변경하려고 해</t>
  </si>
  <si>
    <t>2개 다 작년 4월부터 사용했고, 법인으로 렌탈해서 사용하고 있어</t>
  </si>
  <si>
    <t>안녕하세요. 카드신청중인데 카드수령정보에서 안넘어가요 다음으로</t>
  </si>
  <si>
    <t>카드수령주소의 돋보기가 안눌러져</t>
  </si>
  <si>
    <t>카드 분실</t>
  </si>
  <si>
    <t>고위드 멤버 고위드 설치 방법</t>
  </si>
  <si>
    <t>초기 비밀번호는 어떻게 설정되나요?</t>
  </si>
  <si>
    <t>모바일로 처음 시작할 경우에도 위와 같이 비밀번호를 설정하게 되나요?</t>
  </si>
  <si>
    <t>교통카드기능 설정</t>
  </si>
  <si>
    <t>안녕하세요.
 이번 2/5 고위드 368,251원 결제가 됐는데 어떤내용일까요?</t>
  </si>
  <si>
    <t>카드사에서는 자동결제라고 보이긴합니다.
 저희 사업자가 고위드에 내는 수수료는 없는건가요?</t>
  </si>
  <si>
    <t>아니 내가보니까 구글워크스페이스 같아요.
 근데 왜 갑자기 자동결제 라고 안뜨고 자동결제-(주)고위드 라고 뜨는거예요?</t>
  </si>
  <si>
    <t>네 이번 2월달부터 그렇게 뜬거예요.</t>
  </si>
  <si>
    <t>구글워크스페이스</t>
  </si>
  <si>
    <t>구글워크스페이스 고위드 리셀러 신청</t>
  </si>
  <si>
    <t>구글워크스페이스 세금계산서 발급</t>
  </si>
  <si>
    <t>고위드 고객센터 연결</t>
  </si>
  <si>
    <t>구글워크스페이스 고위드 통해서 사용할 경우 부가세 매입세액공제를 위한 세금계산서 발급이 되나요?</t>
  </si>
  <si>
    <t>고객센터 연결</t>
  </si>
  <si>
    <t>안녕하세요, 문의주신 내용 확인중에 있습니다. 잠시만 기다려주시면 감사하겠습니다. 😀</t>
  </si>
  <si>
    <t>안녕하세요 아이엠디티님 ☺️
 고위드 김일경 매니저입니다.
 해당 내용 확인 후에 답변 드리겠습니다. 잠시만 기다려주시겠어요?</t>
  </si>
  <si>
    <t>유선으로 안내 드린대로, 카드 결제도 부가세 매입세액공제가 가능한 점 참고 부탁 드립니다.
 감사합니다.</t>
  </si>
  <si>
    <t>관리자가 아닌 멤버가 부여된 카드 한도 확인하는 방법</t>
  </si>
  <si>
    <t>고위드 앱이 아닌 웹에서는 한도 확인이 불가능한지?</t>
  </si>
  <si>
    <t>안녕하세요, 담당자님. 고위드입니다.
 웹 로그인 후
 카드 관리 &gt; 한도 관리
 에서 확인 가능하십니다!
 감사합니다.</t>
  </si>
  <si>
    <t>웹은 관리자 페이지에서만 확인가능한것같은데요??</t>
  </si>
  <si>
    <t>일반 멤버의 경우
 지출관리 &gt; 이용내역 관리
 좌상단 '내 영수증 제출' 클릭하시어
 총 이용 금액 조회 가능하십니다! 
 한도의 경우 현재 관리자 권한 접속 후 가능한 점 안내드립니다.
 감사합니다.</t>
  </si>
  <si>
    <t>그러면 사용자는 한도 앱으로만 확인가능한게 맞는거죠?</t>
  </si>
  <si>
    <t>맞습니다!</t>
  </si>
  <si>
    <t>카드내역 확인 시 25년1월-12월까지 내역을 한번에 다운받을 수 있나요?</t>
  </si>
  <si>
    <t>고위드 좋아?</t>
  </si>
  <si>
    <t>지출관리</t>
  </si>
  <si>
    <t>지출관리서비스에서 권한 나눌 수있어?</t>
  </si>
  <si>
    <t>안녕하세요 현재 카드 신청중인데, 한도 입력을 잘못해서 초기화 해주실수있나요</t>
  </si>
  <si>
    <t>카드발급</t>
  </si>
  <si>
    <t>롯데</t>
  </si>
  <si>
    <t>고위드 롯데 법인카드를 보유중인데 이것을 대표자이름 법인카드로 변경하고 싶습니다.</t>
  </si>
  <si>
    <t>카드 사용하면 내역이 1~2시간뒤면 볼수 있었는데 최근에는 5시간이 지났는데도 내역이 안뜨네요</t>
  </si>
  <si>
    <t>오늘꺼 아직 안떴어</t>
  </si>
  <si>
    <t>오전 7시45분 쯤. 금액은 24,000원 속리산휴게소</t>
  </si>
  <si>
    <t>그럼 어디에 남기나요?</t>
  </si>
  <si>
    <t>연락처는 따로 없나요?</t>
  </si>
  <si>
    <t>안녕하세요, 고위드입니다. 문의주신 내용 확인중에 있습니다. 잠시만 기다려주시면 감사하겠습니다. 😀</t>
  </si>
  <si>
    <t>고객님, 현재 문의주신 내용 확인결과, 금일 사용 내역은 확인 되지 않으며 속리산 휴게소 사용내역도 확인되지 않는데요, 혹시 조금 더 상세하게 말씀주실 수 있으실까요?</t>
  </si>
  <si>
    <t>안녕하세요? 오늘 10:24:45분</t>
  </si>
  <si>
    <t>대구지방법원 서부지원 등기과 2000원 결제있습니다</t>
  </si>
  <si>
    <t>확인해주셔서 감사합니다. 카드번호 뒷 4자리 알려주시면 확인해보겠습니다.</t>
  </si>
  <si>
    <t>6294입니다</t>
  </si>
  <si>
    <t>고객님, 혹시 현재 고위드 신한카드 사용중에 계시는게 맞으실까요?</t>
  </si>
  <si>
    <t>6294 카드 말인가요? 오전에 제가 사용했고 지금은 다른분이 사용한다고 가지고 가셨어요</t>
  </si>
  <si>
    <t>네 고객님, 현재 사용하신 내역이 확인되지 않아 유관부서에 해당 내용 확인을 요청드릴텐데요, 저희가 회신 받는대로 즉시 안내드리도록 하겠습니다.
 내부 확인까지 일정 시간 소요될 수 있는 점 양해 부탁드립니다.</t>
  </si>
  <si>
    <t>네, 감사합니다.</t>
  </si>
  <si>
    <t>요청하신 고객 문의 정리 템플릿입니다.
 - 법인명: 정보 없음
 - 사업자번호: 정보 없음
 - 문의 경로: 채널톡
 - 문의 고객 성함 및 이메일: 성현정
 - 문의 인입 일시: 2026-02-10 14:12:14
 - 문제 요약: 고객의 고위드 신한카드 결제 내역(오전 7시45분 속리산휴게소 24,000원, 10시24분 대구지방법원 서부지원 등기과 2,000원)이 고위드 이용내역에 미반영되고 있음.
 - 발생 시점: 2026-02-10(오늘) 발생한 결제 건.
 - 고객영향도: 중</t>
  </si>
  <si>
    <t>@ALF 신한카드 총괄관리자 연동 관련 안내 작성해줘</t>
  </si>
  <si>
    <t>신한카드 총괄관리자 연동과 관련하여 안내해 드립니다.
 '신한카드 총괄관리자 연동'은 고위드 플랫폼을 통해 회사의 신한 법인카드 사용 내역을 총괄관리자가 확인하고 효율적으로 운영할 수 있도록 돕는 기능입니다.
 주요 내용은 다음과 같습니다:
 1. 데이터 연동 목적: 신한 법인카드의 모든 결제 내역과 사용 정보를 고위드 시스템으로 안전하게 가져와, 총괄관리자가 한눈에 파악하고 관리할 수 있도록 지원합니다.
 2. 총괄관리자 역할:
  - 회사 내 모든 신한 법인카드의 사용 현황을 실시간(또는 주기적으로 업데이트된)으로 조회할 수 있습니다.
  - 개별 카드별 사용 내역을 상세하게 확인하고, 필요한 경우 경비 처리 또는 분류 작업을 수행합니다.
  - 전체 법인카드의 지출 패턴을 분석하고 예산 관리에 활용할 수 있습니다.
 3. 데이터 반영 시점: 신한카드사로부터 결제 데이터가 고위드로 전달되어 반영되는 데에는 카드사의 처리 시간에 따라 다소 시간이 소요될 수 있습니다. 일반적으로 몇 시간 내에 반영되지만, 간혹 지연될 수 있습니다.
 4. 오류 발생 시: 만약 결제 내역이 정상적으로 반영되지 않거나 누락되는 경우, 이는 연동 과정 또는 데이터 전송 과정에서의 문제일 수 있으므로 고위드 내부적으로 카드사와의 연동 상태를 확인해야 합니다.</t>
  </si>
  <si>
    <t>고객님, 기다려주셔서 감사합니다. 
 해당 부분 확인 결과 신한카드의 총괄관리자 연동이 되어있지 않아 결제 내역이 정상적으로 반영되지 않고 있는 것으로 확인됩니다.
 해당 부분은 카드 총괄관리자 및 슈퍼관리자 
 - 웹 접속 후 - 지출관리 - 이용내역관리
 진입하시면 우측 하단에 신한카드 총괄관리자 연동 해달라는 버튼이 보이실텐데요, 혹시 해당 부분 진입 후 확인되지 않는 경우 말씀주시면 조치 지원드리도록 하겠습니다. 
 정상연동 후 결제 내역은 정상 반영 될 예정인 점 안내드립니다. 
 감사합니다.</t>
  </si>
  <si>
    <t>우측하단에 연동 버튼이 없어서요</t>
  </si>
  <si>
    <t>총괄관리자 및 슈퍼관리자로 로그인을 해야하는건가요? 기존에는 제 아이디로 로그인해서 내역 봐도 다 볼수 있엇는데요</t>
  </si>
  <si>
    <t>네 고객님, 재확인 진행 중에 있습니다. 지연되어 죄송합니다. 조금만 시간 양해 부탁드립니다.</t>
  </si>
  <si>
    <t>멤버관리에 제 이름으로 들어가니 카드총괄관리자로 뜨긴합니다</t>
  </si>
  <si>
    <t>고객님, 혹시 웹 화면 상단에 띠모양 배너가 보이실텐데요, 안보이신다면 화면 전체를 캡쳐해주실 수 있으실까요?</t>
  </si>
  <si>
    <t>신한카드 총괄관리자로 로그인했습니다.</t>
  </si>
  <si>
    <t>내역 다 뜨는거 확인했습닌다.</t>
  </si>
  <si>
    <t>네 고객님, 문제가 해결된 상황이실까요? 😀</t>
  </si>
  <si>
    <t>네, 확인했습니다. 바쁘실텐데 도움주셔서감사합니다</t>
  </si>
  <si>
    <t>네 고객님, 말씀 주셔서 감사합니다. 😀</t>
  </si>
  <si>
    <t>아니요, 없습니다. 감사합니다</t>
  </si>
  <si>
    <t>법인카드 도입 신청서를 냈으면 언제 발급 가능한건지</t>
  </si>
  <si>
    <t>카드 심사 승인된거 같은데 카드발급 해주시는건가요?</t>
  </si>
  <si>
    <t>세무사 사무실에서 내역을 전달할때 사이트에서 바로 확인이 가능한 방법도 있나요?</t>
  </si>
  <si>
    <t>안녕하세요 카드 법인한도 상향 하려고 하는데 공동인증서연동하고 연결계좌 보니까 계좌 금액이 이상하게 나와서요 확인할수있나요</t>
  </si>
  <si>
    <t>혹시 확인되시는 화면을 캡쳐해주실 수 있으실까요?</t>
  </si>
  <si>
    <t>아 달러라서</t>
  </si>
  <si>
    <t>죄송합니다..</t>
  </si>
  <si>
    <t>여기서 변경신청하면 3억정도로 뜨던데 바로 할수있나요?</t>
  </si>
  <si>
    <t>아 뭔가 그냥 다 잘 진행 된것같네요...! 심사필요없는 한도로 신청해놨는데 문제가 없겟죠?</t>
  </si>
  <si>
    <t>확인해주셔서 감사합니다. 별도의 문제는 없을 것으로 보이나, 특이사항이 있는 경우 저희 측에서 먼저 안내드리오니 걱정하지 않으셔도 되겠습니다. 😀</t>
  </si>
  <si>
    <t>아 그렇군오 알겠습니다 감사합니다!</t>
  </si>
  <si>
    <t>네 감사합니다. 
 저희가 추가로 도움 드릴 내용이 있으실까요?</t>
  </si>
  <si>
    <t>신청이 잘 되었는지를 묻는 것이니
 슬랙에서 해당 법인명 또는 사업자 등록 번호 검색
 최신순으로 확인
 접수 이력 있으면 신청 제대로 된 것입니다.
 가끔 한도 조회까지만 하시고, 상향 신청 안 하신 뒤! 다 완료되었다고 생각하는 법인도 있습니다.
 그럴 땐 데이터독으로 2차 확인 한 번 하고(실제로 신청 안 한 게 맞는지)
 신청해달라고 안내드리면 됩니다!</t>
  </si>
  <si>
    <t>아 괜찮을것같습니다! 신청완료되어서 감사합니다!</t>
  </si>
  <si>
    <t>네 담당자님, 감사합니다.
 이번 상담은 여기서 종료하도록 하겠습니다.
 다른 문의가 있으시면 새로운 창에서 문의 부탁드립니다.
 좋은 하루 되시길 바랍니다 :)</t>
  </si>
  <si>
    <t>• 법인명: (정보 없음)
 • 사업자번호: (정보 없음)
 • 문의 경로: 채널톡
 • 문의 고객 성함 및 이메일: 김세연 (이메일 정보 없음)
 • 문의 인입 일시: 2026-02-10 14:14:05
 • 문제 요약: 카드 법인 한도 상향을 위해 공동인증서 연동 시 연결 계좌에서 외화 계좌의 잔액이 잘못 표시된 것으로 오인하여 문의했으나, 고객 스스로 달러 금액임을 확인. 이후 심사 불필요 한도 상향 신청 완료 여부에 대해 확인 요청.
 • 발생 시점: 카드 법인 한도 상향 신청 중
 • 고객영향도: 하</t>
  </si>
  <si>
    <t>698aba5e389b35382a67</t>
  </si>
  <si>
    <t>장비를 판매하고싶습니다</t>
  </si>
  <si>
    <t>통화연결원합니다</t>
  </si>
  <si>
    <t>IT 장비 매입하는 팀도 있다고 알고있어요</t>
  </si>
  <si>
    <t>세금계산서 발행</t>
  </si>
  <si>
    <t>- 세금계산서 발행 방법</t>
  </si>
  <si>
    <t>총괄 관리자 핸드폰 번호 변경방법</t>
  </si>
  <si>
    <t>기존 관리자 퇴사 예정으로 등록된 핸드폰 번호를 변경하려고 합니다. 내 정보에서 수정을 눌러도 핸드폰 번호 변경이 안 되어 문의드립니다</t>
  </si>
  <si>
    <t>담당자님 안녕하세요. 현재 법인 담당자로 지정된 분의
 - 이메일 / 현재 전화 번호 / 변경 희망하시는 전화번호
 말씀 주시면 확인 후 반영하도록 하겠습니다. 감사합니다.</t>
  </si>
  <si>
    <t>admin@april7.co.kr/ 010-5013-0114 / 010-5244-8844</t>
  </si>
  <si>
    <t>담당자님 안녕하세요. 변경 완료해드렸습니다.
 감사합니다.</t>
  </si>
  <si>
    <t>확인했습니다. 감사합니다.</t>
  </si>
  <si>
    <t>현재 고위드를 이용해서 구글 워크페이스를 이용하고 있습니다. 공용 스토리지 한도가 초과되어서 용량을 더 추가하고 싶은데 비용안내를 받고싶습니다</t>
  </si>
  <si>
    <t>분실신고</t>
  </si>
  <si>
    <t>카드분실신고</t>
  </si>
  <si>
    <t>법인에 부여된 법인카드의 경우 하나의 카드사만 사용 가능해?</t>
  </si>
  <si>
    <t>두가지 모두 답변해줬으면 좋겠어
 회원가입단계에서 카드사를 선택하여 발급받을 때에도 여러 카드사를 선택해서 발급받을 수 있는지
 더불어
 이미 신한카드로 발급을 받아서 사용하고 있는데
 BC 카드사로 카드를 추가 발급받을 수 있는지가 궁금해</t>
  </si>
  <si>
    <t>법인 카드 한도를 realocate하고 싶어요</t>
  </si>
  <si>
    <t>포인트 전환</t>
  </si>
  <si>
    <t>bc바로 포인트</t>
  </si>
  <si>
    <t>지출관리 서비스</t>
  </si>
  <si>
    <t>고위드 사용 안내서가 노션으로 있을까요?</t>
  </si>
  <si>
    <t>기능 안내가 있을까? 지출관리 영역 같은게 정리되어있는?</t>
  </si>
  <si>
    <t>소개서는 어디에서 다운받을 수 있을까요?</t>
  </si>
  <si>
    <t>실제 기능별 사용 가이드는 어디에 있을까요?</t>
  </si>
  <si>
    <t>pdf로 다 받아보고싶어요</t>
  </si>
  <si>
    <t>카드별로 한도나 사용 시간이나 한번 사용할 때, 금액을 결정할 수 있을까요?</t>
  </si>
  <si>
    <t>임직원이 사용한 금액 중 부분만 승인하면 결제가 안되나요?</t>
  </si>
  <si>
    <t>임직원이 카드를 분실했을 때, 새로 발급받을 때까지 시간이 얼마나 걸릴까요</t>
  </si>
  <si>
    <t>영수증발급</t>
  </si>
  <si>
    <t>결제영수증 조회</t>
  </si>
  <si>
    <t>2번</t>
  </si>
  <si>
    <t>안녕하세요, 고위드 신현덕 매니저 입니다.
 현재 고위드에 등록된 공동인증서가 10 영업일 이상 미연동 되었기에, 한도 제거 예정입니다.
 고위드 카드의 법인 한도는 인증서를 통해 수집한 데이터를 기반으로, 카드사의 신용 평가를 거쳐 한도 부여 및 유지되고 있습니다.
 이용에 불편함이 없도록, 만료 이전에 공동인증서를 갱신해 주시길 바랍니다.
 고위드 공동인증서 관리 페이지
 https://gowid.com/newpages/cert
 등록 방법
 1. 고위드 홈페이지 로그인 후 왼쪽 [공동인증서 관리] 클릭
 2. 화면 오른쪽 상단의 [공동인증서 연동] 클릭
 3. 공동인증서 등록
 ※ 연동 후 '연동 상태'를 꼭 확인해 주세요.
 ※ 등록이 되지 않는 경우 카드사와의 협약에 따라 카드 한도가 조정될 수 있기에, 영업일 2일 내로는 꼭 등록 부탁드립니다.
 https://docs.channel.io/gowid-guide/ko/articles/한도-유지상향을-위한-공동인증서-관리-835de607</t>
  </si>
  <si>
    <t>안녕하세요, 고위드 신현덕 매니저 입니다.
 현재 고위드에 등록된 공동인증서가 10 영업일 이상 미연동 되었기에, 한도 제거 예정입니다.
 고위드 카드의 법인 한도는 인증서를 통해 수집한 데이터를 기반으로, 카드사의 신용 평가를 거쳐 한도 부여 및 유지되고 있습니다.
 이용에 불편함이 없도록, 만료 이전에 공동인증서를 갱신해 주시길 바랍니다.
 고위드 공동인증서 관리 페이지
 https://gowid.com/newpages/cert
 등록 방법
 1. 고위드 홈페이지 로그인 후 왼쪽 [공동인증서 관리] 클릭
 2. 화면 오른쪽 상단의 [공동인증서 연동] 클릭
 3. 공동인증서 등록
 ※ 연동 후 '연동 상태'를 꼭 확인해 주세요.
 ※ 등록이 되지 않는 경우 카드사와의 협약에 따라 카드 한도가 조정될 수 있기에, 영업일 2일 내로는 꼭 등록 부탁드립니다.
 https://docs.channel.io/gowid-guide/ko/articles/한도-유지상향을-위한-공동인증서-관리-835de607</t>
  </si>
  <si>
    <t>혹시 명세서도 받을수있나요</t>
  </si>
  <si>
    <t>거래상태가 엑셀 파일에는 출력이 안되나요?
 부분취소될 경우 원금액과 취소 후 금액 모두 엑셀 파일에 출력할 수 없나요?</t>
  </si>
  <si>
    <t>다운로드 양식 설정은 어디서?</t>
  </si>
  <si>
    <t>카드 한도 이전이 가능한가요?</t>
  </si>
  <si>
    <t>698ae93ae504abaec1a8</t>
  </si>
  <si>
    <t>고객센터 연락처</t>
  </si>
  <si>
    <t>리셀러 이전 승인 요청</t>
  </si>
  <si>
    <t>구독관리 구글 리셀러 이전 승인 요청</t>
  </si>
  <si>
    <t>상담사요청</t>
  </si>
  <si>
    <t>@고위드 김일경 매니저 
 구독 문의 태그드립니닷🫡</t>
  </si>
  <si>
    <t>안녕하세요 박성민님 ☺️
 고위드 김일경 매니저입니다.
 고위드로 전환 완료 되어 안내 드립니다.
 추가로 고위드 홈페이지에서 결제 수단(카드)을 등록 해주셔야 원활한 이용이 가능한 점 안내 드립니다.
 감사합니다. 😀</t>
  </si>
  <si>
    <t>네 진행하도록하겠습니다. 그외에 요청드릴 사항이 있는데, Starter 8개 Standard 3개 이렇게 나눠서 구독진행하고싶은데 혹시 변경가능할까요? 구글에 문의하니 리셀러에게 문의하면 된다고하셔서 요청드립니다.</t>
  </si>
  <si>
    <t>그렇게 변경한 후에 연결제로 구독진행하고싶습니다.</t>
  </si>
  <si>
    <t>카드등록완료했습니다.</t>
  </si>
  <si>
    <t>오래 기다려주셔서 감사합니다.
 카드 등록 해주신 점 확인 했습니다. :)
 1. Starter 8개 Standard 3개 분할 구독 가능 여부
 → 해당 사항은 구글 정책 상 40개 이상 라이선스 수를 보유해야 가능함을 안내 드립니다. 너른 양해 부탁 드립니다.
 감사합니다.</t>
  </si>
  <si>
    <t>혹시 용량만 추가가능한가요? 가능하다면비용이어떻게되나요?</t>
  </si>
  <si>
    <t>아 그리고 할인은 왜 10%만 적용되나요? 35%는 적용이안되는건가요?</t>
  </si>
  <si>
    <t>용량만 추가 가능한지?
 → 네, 100GB, 1TB, 10TB 기준으로 제공 드리고 있으며 각각 10% 할인되어 13.5달러, 36달러, 270달러 에 제공 되고 있습니다. :)
 10%만 적용 되는 이유
 → 35% 할인은 구글워크스페이스를 이용하신지 1년 미만이신 도메인 고객님께만 제공 드리고 있으며, 가입 1년 이후 도메인의 경우 상시 10% 할인이 적용 되는 점 안내 드립니다. 감사합니다. :)</t>
  </si>
  <si>
    <t>저희가 가입후 1년이 지난 도메인으로 되는건가요?</t>
  </si>
  <si>
    <t>그러면 혹시 저희가 도메인을 아예 바꿔서 가입을 새로해야만 가능한건가요? 아니면 그냥 교체는 안되나요</t>
  </si>
  <si>
    <t>혹시 안된다면, 그냥 리셀러 이전으로 구글로 다시 돌아가게 진행 요청드리겠습니다 ㅠ</t>
  </si>
  <si>
    <t>안그래도 저희가 롯데카드를 좀 메인으로 사용하는게 있어서 그걸로 왠만하면 진행을 해야해서요..</t>
  </si>
  <si>
    <t>유선으로 상담을 도와드리겠습니다. 잠시만 기다려주시겠어요?</t>
  </si>
  <si>
    <t>유선으로 안내 드린 사항 자세히 정리 도와드리겠습니다.
 1. 고위드 카드를 사용하지 않아도 구글 워크스페이스 혜택은 받을 수 있습니다.
 2. 스텐다드 버전 업그레이드를 먼저 진행 해주시고, 요금제 성격 변경을 진행 해주시면 됩니다.
 감사합니다. :)</t>
  </si>
  <si>
    <t>어 이게 300개 시트로 보이는데.. 혹시 오류일까요?</t>
  </si>
  <si>
    <t>나중에 확인 부탁드립니다!</t>
  </si>
  <si>
    <t>이거 시스템에러인지 빨리 확인해주셔야할 것 같네요.. 이거 이러다 저희가 돈을 지불하는 상황이 생길까봐 우려되네요..</t>
  </si>
  <si>
    <t>안녕하세요, 고위드 입니다. 문의주신 내용 확인중에 있습니다. 잠시만 기다려주시면 감사하겠습니다. 😀</t>
  </si>
  <si>
    <t>@고위드 김일경 매니저 님 확인 부탁드립니다!</t>
  </si>
  <si>
    <t>네, 유선 안내 진행 중에 있습니다!</t>
  </si>
  <si>
    <t>아하 넵!!</t>
  </si>
  <si>
    <t>안녕하세요 박성민님 ☺️
 고위드 김일경 매니저입니다.
 서비스 이용에 불편을 드려 다시 한 번 죄송합니다.
 현재 11개로 재조정 완료 된 사실 안내 드립니다.
 관련하여 유선으로 자세히 안내 도와드리겠습니다.
 감사합니다.</t>
  </si>
  <si>
    <t>이용금액 전체취소 분인데, 엑셀다운받으면 부가세가 최초 금액 기그대로 출력됩니다.</t>
  </si>
  <si>
    <t>직원연결해서 안내해주세요</t>
  </si>
  <si>
    <t>이용금액 전체취소분이 엑셀다운받으면 부가세 금액은 최초 결제된 금액 기준으로 남아있습니다.</t>
  </si>
  <si>
    <t>네 고객님, 기다려주셔서 감사합니다. 취소분이 별도 행으로 존재함에도 부가세가 최초 결제 기준으로 남아있다면, 이는 카드사에서 해당 취소 건에 대해 보내준 원천 데이터 값이 그대로 반영되었을 가능성이 높습니다.
 혹시 엑셀파일 내에서 해당 부분이 결제 취소 단계인지, 매입단계인지 확인해주실 수 있으실까요?</t>
  </si>
  <si>
    <t>1/5 승인 1/6 매입 1/7 전체 취소 케이스 입니다</t>
  </si>
  <si>
    <t>네 고객님, 확인해주셔서 감사합니다. 
 관련부서 측 확인을 진행할텐데요, 일정시간 소요될 수 있는 점 양해부탁드립니다.</t>
  </si>
  <si>
    <t>@ALF 아래 템플릿으로 고객문의 정리해줘.
 최대한 간명하게 작성해주되, 문제요약은 구체적으로 이해하기 쉽게 고위드 용어로 작성해줘. * 표시는 다 안 들어가도록 빼줘.
 - 타이틀 :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</si>
  <si>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네, Jasmine님. 1/5 승인, 1/6 매입, 1/7 전체 취소 케이스임을 확인했습니다.
 말씀해주신 내용은 관련 부서에 전달하여 확인을 진행하도록 하겠습니다. 확인에 다소 시간이 소요될 수 있는 점 양해 부탁드립니다.</t>
  </si>
  <si>
    <t>@ALF @ALF 아래 템플릿으로 고객문의 정리해줘.
 최대한 간명하게 작성해주되, 문제요약은 구체적으로 이해하기 쉽게 고위드 용어로 작성해줘. * 표시는 다 안 들어가도록 빼줘.
 • 법인명 : 
 - 타이틀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</si>
  <si>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고위드 매니저님, 요청하신 고객 문의 정리입니다.
 ***
 타이틀: 지출관리 엑셀 다운로드 시 취소 건 부가세 표시 오류
 • 법인명: (정보 없음)
 • 사업자번호: (정보 없음)
 • 문의 경로: 채널톡
 • 문의 고객 성함 및 이메일: Jasmine (이메일 정보 없음)
 • 문의 인입 일시: 2026-02-11 12:28:17
 • 문제 요약: 고위드 지출관리 엑셀 다운로드 시, 전체 취소된 결제 건(승인-매입-전체취소 케이스)의 부가세가 최초 결제 금액 기준으로 표시되는 현상.
 • 발생 시점: 1/5 승인, 1/6 매입, 1/7 전체 취소된 특정 케이스에서 발생 확인. 반복 여부는 추가 확인 필요.
 • 고객영향도: 중
 ***</t>
  </si>
  <si>
    <t>취소건을 다운로드 받을 시, 이용금액 칼럼에는 빈칸으로 뜨되, 부가세는 그대로 남아있는 문제</t>
  </si>
  <si>
    <t>jasmine@lemonbase.com</t>
  </si>
  <si>
    <t>안녕하세요 해당 부분은 아직도 해결이 안된 것인지 궁금합니다.</t>
  </si>
  <si>
    <t>안녕하세요, 문의주신 내용 확인중에 있습니다. 잠시만 기다려주시면 감사하겠습니다.</t>
  </si>
  <si>
    <t>네 고객님, 기다려주셔서 감사합니다. 발생한 문제에 대해 팀 내에서 계속적으로 카드사와 소통 진행하면서 문제를 구체화하고 있으며, 3월 중 해결될 것으로 확인됩니다. 해결되는 시점에 저희 측에서 고객님께 별도로 안내드릴 수 있도록 하겠습니다. 
 오랜시간 답답하셨을텐데 빠른 해결요청 드릴 수 있도록 하겠습니다.</t>
  </si>
  <si>
    <t>네 안내 감사합니다!!</t>
  </si>
  <si>
    <t>네 담당자님 양해해주셔서 감사합니다. 저희 측에서 추가로 도움 드릴 내용이 있으실까요? 😀</t>
  </si>
  <si>
    <t>따로 없습니다 해결되는 시점에만 안내부탁드려요</t>
  </si>
  <si>
    <t>감사합니다 :)</t>
  </si>
  <si>
    <t>네 감사합니다.
 이번 상담은 여기서 종료하도록 하겠습니다.
 다른 문의가 있으시면 새로운 창에서 문의 부탁드립니다.
 좋은 하루 되시길 바랍니다 :)</t>
  </si>
  <si>
    <t>한도 업데이트</t>
  </si>
  <si>
    <t>특정카드 한도 변경</t>
  </si>
  <si>
    <t>카드 소유자 변경을 어디서 하나요?</t>
  </si>
  <si>
    <t>카드사 청구금액과 고위드 이용금액이 차이나는 이유</t>
  </si>
  <si>
    <t>다른카드 적용</t>
  </si>
  <si>
    <t>1번</t>
  </si>
  <si>
    <t>기명카드</t>
  </si>
  <si>
    <t>기명카드 발급가능?</t>
  </si>
  <si>
    <t>비씨카드</t>
  </si>
  <si>
    <t>기명고위드 카드도 법인카드야?</t>
  </si>
  <si>
    <t>저기요</t>
  </si>
  <si>
    <t>해지 신청을 했음에도 해지가 안되서 몇번이나 다시 신청해야하고 이젠 시키지도 않은 구독 계약서를 제가 받아봐야하면 제가 뭘 믿고 고위드 구독을 이용할까요?</t>
  </si>
  <si>
    <t>전 지금 제 이메일로 신청하지도 않은 계약서를 받았고, 그보다 전에 지난주에 반납신청을 했음에도 방문하지 않으셔서 오늘 다시 신청했더니 고객센터에서는 내일 방문 신청이 들어갔다고 이제 방문하겠다고 하지를 않나 이건 무슨 행티인지 모르겠습니다</t>
  </si>
  <si>
    <t>상담사 연결할 필요없이 제대로 해결해서 답변해주세요. 상담사 연결은 어짜피 지금 안된다고 할거니까요</t>
  </si>
  <si>
    <t>정리말고 제대로 이해하시고 010-7129-3178로 연락해주세요</t>
  </si>
  <si>
    <t>담당자에게 해당 내용을 전달해</t>
  </si>
  <si>
    <t>그것도 없으면 너의 존재 이유는 뭐야</t>
  </si>
  <si>
    <t>다시한번 말하지만 인간 담당자에게 전달해</t>
  </si>
  <si>
    <t>이메일주소 변경</t>
  </si>
  <si>
    <t>계정은 그대로 유지하면서 이메일주소만 변경하고 싶습니다. 업무용 이메일주소를 변경했습니다.</t>
  </si>
  <si>
    <t>기존 yoonhwanjun@eoeoeo.net &gt; june@eoeoeo.net 으로 변경하고 싶은데, 어떻게 할 수 있을까요? 멤버관리에서 제 이름 수정 선택해도 이메일은 수정이 안되네요</t>
  </si>
  <si>
    <t>기다려주셔서 감사합니다. 저희 측에서 말씀주신 메일로 변경 지원드렸습니다. 해당 기능은 개선사항으로 진행하도록 하겠습니다.
 저희가 추가로 도움 드릴 내용이 있으실까요? 😀</t>
  </si>
  <si>
    <t>고객님, 혹시 말씀주신 문제는 해결되었을까요? 😀
 장시간 답변이 없으실 경우 상담이 종료될 예정입니다. 
 추가 문의 있으시면 언제든지 문의 부탁드립니다.</t>
  </si>
  <si>
    <t>심사조건이 까다롭나요?</t>
  </si>
  <si>
    <t>네 안내해주세요</t>
  </si>
  <si>
    <t>신규 법인 입니다</t>
  </si>
  <si>
    <t>잔고는 질권설정된 1천만원과 물품대금으로 카드별 가상계좌로 받은 2300만원이 있습니다</t>
  </si>
  <si>
    <t>위 사항을 고려하면 한도가 얼마나 나오나요?</t>
  </si>
  <si>
    <t>선불카드 발급조건이 어떻게 되나요</t>
  </si>
  <si>
    <t>로그인</t>
  </si>
  <si>
    <t>로그인하는법</t>
  </si>
  <si>
    <t>영수증 일괄 등록</t>
  </si>
  <si>
    <t>월단위 결재</t>
  </si>
  <si>
    <t>월별로 승인 정산</t>
  </si>
  <si>
    <t>상담원연결</t>
  </si>
  <si>
    <t>시간은동일하게 11시30분으로 나옵니다.
 씨티커피는 2025년쯤 결제한적이있는 회사근처 작은카페입니다 (해당시간에 영업안함)</t>
  </si>
  <si>
    <t>특이사항은
 11시쯤에 네이버페이로 결제햇다가
 11시반쯤에 취소후 재결제했어요</t>
  </si>
  <si>
    <t>고객님, 혹시 21시에 취소 내역이 존재하는데 해당시간은 관련이 없는 부분일까요?</t>
  </si>
  <si>
    <t>법인명: 알 수 없음
 사업자번호: 알 수 없음
 문의 경로: 채널톡 (데스크 링크)
 문의 고객 성함 및 이메일: 박현수 / 알 수 없음
 문의 인입 일시: 알 수 없음 (대화 ID 698bd76410537611f1fb 시작 시간 확인 필요)
 문제 요약: 고객이 제출한 카드 영수증(2026-02-10 23:30:51 결제)의 거래 시간 정확성에 의문을 제기하며, 해당 시점 전후의 결제 및 취소 이력 확인을 요청함.
 발생 시점: 2026년 2월 10일 23:30:51 거래 시 발생한 시간 관련 문의
 고객영향도: 상</t>
  </si>
  <si>
    <t>잠시확인해보겠습니다</t>
  </si>
  <si>
    <t>아 시간을 제가잘못말씀드렸네요
 결제+취소건 시간 9시가 맞아요</t>
  </si>
  <si>
    <t>9시쯤 결제하고
 9시반쯤 취소
 11시반쯤 다시결제</t>
  </si>
  <si>
    <t>입니다 (네이버계정이랑 금액 다름(</t>
  </si>
  <si>
    <t>법인명: 주식회사 카펜스트리트
 사업자번호: 3648701374
 문의 경로: 채널톡 
 문의 고객 성함 및 이메일: 박현수 / mathapple316@gmail.com
 문의 인입 일시: 2026/02/11 10:22
 문제 요약: 고객이 제출한 카드 영수증(2026-02-10 23:30:51 결제)의 거래 시간 정확성에 의문 제기, 9시 결제 - 9시 30분 경 취소 - 23시 경 재결제, 승인번호 동일하나 가맹점명과 결제금액 차이가 있음 / 카드번호 4692
 발생 시점: 2026년 2월 10일 23:30:51 거래 시 발생한 시간 관련 문의</t>
  </si>
  <si>
    <t>@ALF 이 문제 타이틀작성해줘 법인명: 주식회사 카펜스트리트
 사업자번호: 3648701374
 문의 경로: 채널톡
 문의 고객 성함 및 이메일: 박현수 / mathapple316@gmail.com
 문의 인입 일시: 2026/02/11 10:22
 문제 요약: 고객이 제출한 카드 영수증(2026-02-10 23:30:51 결제)의 거래 시간 정확성에 의문 제기, 9시 결제 - 9시 30분 경 취소 - 23시 경 재결제, 승인번호 동일하나 가맹점명과 결제금액 차이가 있음 / 카드번호 4692 
 발생 시점: 2026년 2월 10일 23:30:51 거래 시 발생한 시간 관련 문의</t>
  </si>
  <si>
    <t>[박현수] 카드 영수증 거래 시간 오류 및 재결제 정보 불일치 (승인번호 동일)</t>
  </si>
  <si>
    <t>네, 고객님 기다려주셔서 감사합니다.
 해당 부분에 대해 관련부서에 확인 요청 진행해놓았으며, 회신 받는 즉시 상담창을 통해 재안내드릴 수 있도록 하겠습니다.
 조금만 시간 양해 부탁드립니다.</t>
  </si>
  <si>
    <t>고객님, 기다려주셔서 감사합니다. 동일한 카드에 동일한 승인번호가 존재하는 경우 일부 오류가 발생할 수 있는 점 확인되었습니다.
 현재는 복구처리가 완료된 것으로 확인되는데요, 혹시 해당 부분 확인해주실 수 있으실까요?</t>
  </si>
  <si>
    <t>감사합니다 확인했습니다~</t>
  </si>
  <si>
    <t>그룹 한도상향 방법</t>
  </si>
  <si>
    <t>홈텍스 연동 실패</t>
  </si>
  <si>
    <t>상담원</t>
  </si>
  <si>
    <t>한도상향 심사가 일주일째 대기중입니다</t>
  </si>
  <si>
    <t>고위드 고객센터에 어떻게 연락하는데요</t>
  </si>
  <si>
    <t>전화문의하고 싶습니다</t>
  </si>
  <si>
    <t>직원 별로 어떤카드가 배부되었는지 명단 확인은 어디서 하나요?</t>
  </si>
  <si>
    <t>무기명 카드 추가 발급은 어디서 해?</t>
  </si>
  <si>
    <t>멤버현황 엑셀로 내려받기 안되나?</t>
  </si>
  <si>
    <t>그럼 관련 문의 어디서 할 수 있어?</t>
  </si>
  <si>
    <t>멤버 초대 하는 방법</t>
  </si>
  <si>
    <t>무기명 카드 추가 신청</t>
  </si>
  <si>
    <t>나 총괄관리자인데 무기명카드로 신청이 안돼</t>
  </si>
  <si>
    <t>기존카드를 교체하고 싶으면 어떻게 해?</t>
  </si>
  <si>
    <t>기명카드 2건 신청했는데 배송현황 알고 싶습니다..!</t>
  </si>
  <si>
    <t>bc카드입니다</t>
  </si>
  <si>
    <t>고객센터 상담원 연결</t>
  </si>
  <si>
    <t>안녕하세요! bc기명카드 2건 신청 했는데 배송현황 알고 싶습니다!</t>
  </si>
  <si>
    <t>카드 신청</t>
  </si>
  <si>
    <t>신청 중 요류</t>
  </si>
  <si>
    <t>안녕하세요 
 지금 고위드에 용도를 등록하거나 수정을 하면 일시적이 오류가 발행했다고 창이 뜹니다</t>
  </si>
  <si>
    <t>이용내역관리에서 한달씩 말고 한꺼번에 일년치를 조회해서 다운로드 할 수 있는 방법은 없나요?</t>
  </si>
  <si>
    <t>신한카드 월 한도 60만원인데 
 이게 1일 30만원만 충전되는 경우도 있고 15일 이후에 잔여 30만원들어오거나 경우의 수가 다양했음 
 명확한 로직을 알고싶음</t>
  </si>
  <si>
    <t>지금 카드가 해외 결제가 되는 카드인가요?</t>
  </si>
  <si>
    <t>각 카드마다 비밀번호를 어떻게 설정해?</t>
  </si>
  <si>
    <t>이걸 고위드에서 해주는게 아니라 내가 직접해줘야한다고?</t>
  </si>
  <si>
    <t>비씨야</t>
  </si>
  <si>
    <t>근데 회원가입을 해야 비밀번호 바꿀 수 있는거 아니야?</t>
  </si>
  <si>
    <t>근데 회원가입할 때 비밀번호를 입력하라는데?</t>
  </si>
  <si>
    <t>비씨카드에 문의하니 이미 설정된 비밀번호가 있대. 초기 비밀번호가 있는건가?</t>
  </si>
  <si>
    <t>최초로 카드발급할 때 비밀번호가 없는 상태에서 발급이 된다는 말씀이신가요? 그게 가능한가요?</t>
  </si>
  <si>
    <t>고위드 담당자랑 통화하고 싶어</t>
  </si>
  <si>
    <t>https://docs.channel.io/gowid-guide/ko/articles/%EC%B9%B4%EB%93%9C-%EB%B9%84%EB%B0%80%EB%B2%88%ED%98%B8-%EB%B3%80%EA%B2%BD-%EB%B0%A9%EB%B2%95-1bc42d71#%EB%B9%84%EC%94%A8%EC%B9%B4%EB%93%9C</t>
  </si>
  <si>
    <t>네 고객님, BC카드의 경우, 입회 신청 시 아래 화면과 같이 비밀번호를 우선 설정한 뒤 발급 진행이 됩니다. 혹여나 비밀번호를 분실 하신 경우
 아래 가이드에 따라 진행해주셔야 하는 점 안내드립니다.</t>
  </si>
  <si>
    <t>저희가 처음 가입해서 사용하는건데, 현재는 카드비밀번호가 없는 상황인가요? 비씨카드 고객센터에 문의해보니 이미 설정되어있는 비밀번호가 있다고 회신을 받아서 여쭤봅니다.</t>
  </si>
  <si>
    <t>고객님께서 고위드에서 카드 신청 단계(아래 사진 첨부)에서 이미 카드비밀번호를 설정해주신 상태이십니다. 혹여나 비밀번호를 기억하지 못하신 경우 안내드린 가이드에 따라 진행해주셔야 하는 점 안내드립니다.</t>
  </si>
  <si>
    <t>네 감사합니다! 대표님께서 처음 가입하실 때, 입력하시고 기억이 잘 안나시는거 같은데 혹시 방법이 없을까요?ㅠㅠ</t>
  </si>
  <si>
    <t>네 고객님, 죄송하오나 카드사 측 비밀번호의 경우 저희 측에서도 변경처리 혹은 대무를 진행하기가 어려운 점 너른 양해 부탁드립니다. 😢</t>
  </si>
  <si>
    <t>사용자 박재형님의 앱 웹 사용 내역에 이 내역만 뜨지 않습니다. 단순 버그인지 설정할 수 있는 방법이 있는지 확인 부탁드립니다</t>
  </si>
  <si>
    <t>임직원 식대명목의 법인카드 발급 문의</t>
  </si>
  <si>
    <t>이용내역 관리 메뉴가 바뀐듯한데, 카드 결제 시 알림을 받을 수 있어??</t>
  </si>
  <si>
    <t>슬랙 연동은 안되는것이죠?</t>
  </si>
  <si>
    <t>취소건이 안불러와져서 매칭을 못하고 있는데 그건 오류인가요?</t>
  </si>
  <si>
    <t>안녕하세요. 롯데카드와 신한카드 중에 고민되어 여쭤봅니다. 롯데카드의 티타늄 등급은 따로 라운지 혜택등이 있는데 티타늄 등급 혜택의 조건이 있을까요?</t>
  </si>
  <si>
    <t>전직장 kb 무기명 법인 카드 이용시는 담당자의 kb페이앱에 무기명 카드를 매칭하여 온라인 결제를 할 수있었습니다. 혹 롯데, 신한 카드에도 비슷한 기능이 있을까요?</t>
  </si>
  <si>
    <t>담당자님 안녕하세요. 고위드입니다.
 고위드에서 발급하시는 롯데카드의 경우, 자동으로 티타늄 등급 혜택이 부여됩니다.
 티타늄 등급 혜택 제공을 위한 별도 조건은 없습니다.
 롯데카드 무기명 &gt; 디지로카
 신한카드 무기명 &gt; SOL페이
 통해서 등록 및 온라인 결제 가능하십니다.
 감사합니다.</t>
  </si>
  <si>
    <t>확인 감사합니다! 저번에 영문명 다 안 적고 주주명부 제출하기로 했는데</t>
  </si>
  <si>
    <t>실제 소유자 확인서도 작성해야할까요?</t>
  </si>
  <si>
    <t>주주명부 영문명 미기재에 대한 공문 갈음 방법 전달 받으신 것으로 확인되십니다.
 다만 이와 별개로 롯데카드 실제 소유자 확인서는 필수 서류입니다. 양식 맞추어 작성 부탁드리겠습니다.
 감사합니다.</t>
  </si>
  <si>
    <t>실제소유자 확인서 파일 누락해서 신청 완료 했는데 따로 제출 할 수 있을까요?</t>
  </si>
  <si>
    <t>담당자님, 요청주신 파일 보내드립니다. 작성 후 회신 주시면 롯데카드로 전달하도록 하겠습니다!</t>
  </si>
  <si>
    <t>이걸로 작성했는데 될까요?</t>
  </si>
  <si>
    <t>보내주신 서류는 주주명부이고, 작성이 필요한 서류는 롯데카드 필수 서류인 실제소유자 확인서 입니다!</t>
  </si>
  <si>
    <t>법인 주주명부 참고하시어 최대 지분율 보유중이신 자연인을 실제소유자 확인서에 양식 맞추어 기입 부탁드리겠습니다.</t>
  </si>
  <si>
    <t>참고로 실제소유자 확인서 가장 하단의 '작성인 정보'에는 법인인감/개인인감 불가하며 자필 서명만 가능한 점 전달 드립니다.</t>
  </si>
  <si>
    <t>확인 감사합니다. 현재 롯데카드에서 카드 접수 진행 중에 추가로 받는 서류가 있어, 저희가 사후 안내를 드리고 있는데, 현재 담당자님과 소통 중이니 제가 지금 바로 추가 안내드리려고 하는데 괜찮으실까요?</t>
  </si>
  <si>
    <t>제출 서류 안내
 - 법인 사실상 지배자 체크리스트 (신규 추가 · 필수)
 - [양식 바로가기]
 1) 작성 대상 및 범위
 - 최대 5명까지 기재 가능
 - 자연인 또는 법인 모두 기재 가능
 2) 체크리스트 작성 방법 
 - 사실상 지배자 존재 여부 체크
 - 체크리스트에 기재된 사실상 지배자 판단 기준 항목 중 해당되는 항목 1개에만 ‘Y’로 체크해 주세요.
 - ‘Y’는 반드시 1개 항목만 선택 가능하며, 선택하지 않은 나머지 모든 항목은 ‘N’으로 체크해 주셔야 합니다.
 - 복수 항목에 ‘Y’ 체크는 불가합니다 
 (2) 사실상 지배자가 있는 경우 기재 항목 사실상 지배자가 존재하는 경우, 아래 항목을 작성해 주세요.
 - 한글명 (자연인/법인 모두)
 - 영문명 (자연인/법인 모두)
 - 생년월일 (또는 사업자번호 – 법인인 경우) 
 - 국적 (자연인/법인 모두)
 - 지배 형태 (항목 1~4 중 택 1로 작성)
 3) 지배 형태 기재 안내 지배 형태는 안내된 번호 중 선택하여 기입해 주시면 됩니다.
 - 사실상 지배자 판단 기준 1~4 중 택 1. (1번부터 확인하시어 해당하는지 순차적으로 확인 요망)
 ※ 작성 시에는 본 메일에 첨부된 「법인 사실상 지배자 체크리스트」 양식을 참고해 주시기 바랍니다.</t>
  </si>
  <si>
    <t>서류 파일과 가이드 함께 전달 드렸습니다.</t>
  </si>
  <si>
    <t>확인 후 채널톡으로 회신 주시면 제가 확인 후 롯데카드로 바로 전달하도록 하겠습니다
 감사합니다</t>
  </si>
  <si>
    <t>제가 이 업무가 처음이라 비상장 법인데 대표이사님께서 최대 주주인데 이 경우에 사실상 지배자로 보아야 할까요?</t>
  </si>
  <si>
    <t>맞습니다. 최대 5인까지 법인 판단으로 기재 가능하시며, 실제 소유자에 작성해주신 임직원 명단을 그대로 작성해주셔도 됩니다!</t>
  </si>
  <si>
    <t>지배형태에는 항목숫자를 적으면 될까요?</t>
  </si>
  <si>
    <t>확인 완료하였습니다. 전달 주신 문서는 롯데카드로 전달하도록 하겠습니다.
 감사합니다.</t>
  </si>
  <si>
    <t>대락 승인까지 며칠이나 걸리나요?</t>
  </si>
  <si>
    <t>기다려 주셔서 감사합니다. 카드 발급 신청 후 심사 결과는 보통 3~5 영업일 이내에 이메일로 안내해 드리고 있습니다. 심사 완료 후 카드 배송까지는 최대 3 영업일 가량 소요될 수 있습니다.</t>
  </si>
  <si>
    <t>카드 별칭 바꾸는 방법</t>
  </si>
  <si>
    <t>법인의 한도는 법인 카드들의 카드한도 총합과 같은가요?</t>
  </si>
  <si>
    <t>신한카드 기준으로는 어때?</t>
  </si>
  <si>
    <t>특별한도승인</t>
  </si>
  <si>
    <t>특별 한도 승인 신청 방법</t>
  </si>
  <si>
    <t>카드 별명 설정</t>
  </si>
  <si>
    <t>없는데... 설정일괄수정 버튼이</t>
  </si>
  <si>
    <t>웹 카드관리 한도관리</t>
  </si>
  <si>
    <t>it기기 구독 반납형의 경우 a/s 가능한지?</t>
  </si>
  <si>
    <t>@고위드 이규호 매니저 님! 해당 내용 확인 부탁 드립니다</t>
  </si>
  <si>
    <t>안녕하세요 송현규님 ☺️
 고위드 김일경 매니저입니다.
 오래 기다려주셔서 감사합니다.
 네, 반납형/인수형 무관하게 계약 기간 동안에 A/S는 모두 가능합니다! 감사합니다.</t>
  </si>
  <si>
    <t>a/s는 무료인가요?</t>
  </si>
  <si>
    <t>사용자 과실이 없는 경우 전액 무료로 진행됩니다.
 반납형 상품의 경우 수리 기간 동안 대체 장비 무상 대여도 가능합니다.
 다만, 외관 손상 및 이물질이 들어가 사용자 과실로 판단되는 경우 수리비 실비가 청구되는 점 참고 부탁드립니다.</t>
  </si>
  <si>
    <t>상담원 전화연결 번호</t>
  </si>
  <si>
    <t>한도관련</t>
  </si>
  <si>
    <t>롯데카드 신규 발급</t>
  </si>
  <si>
    <t>고위드 초대도 했고 롯데카드에서 승인까지 완료했는데 사용카드로 안넘어가네요 이럴때는 어떻게해야하나요?</t>
  </si>
  <si>
    <t>상담사분 연결 부탁드립니다.</t>
  </si>
  <si>
    <t>1월 결제대금이 신한카드에서는 64,877,385원으로 보여지는데, 고위드에서 월별 청구내역을 다운로드 받으면 총 금액이 (취소건 포함) 104,544,984 원입니다. 저희가 이번에 4천만원을 먼저 선납해서 그 금액을 제한다 쳐도 64,544,984원으로 금액에 차액이 있는데 이유가 궁금합니다.</t>
  </si>
  <si>
    <t>상담사 연결 부탁드려요</t>
  </si>
  <si>
    <t>지니님 혹시 고위드 웹페이지 접속 후 '청구예정일'로 확인 가능하실까요?</t>
  </si>
  <si>
    <t>네, 그런데 저희 신한카드 명세서와 금액이 상이해서 누락 된 부분이 있는거 같아요.</t>
  </si>
  <si>
    <t>고위드_권민규_매니저님, 요청하신 고객 문의를 아래 템플릿에 따라 정리했습니다.
 - 법인명: (정보 없음)
 - 사업자번호: (정보 없음)
 - 문의 경로: 채널톡
 - 문의 고객 성함 및 이메일: Jiny (이메일 정보 없음)
 - 문의 인입 일시: 2026-02-12 10:01:45
 - 문제 요약: 1월 신한카드 명세서 금액(64,877,385원)과 고위드 월별 청구내역 다운로드 금액(취소 포함 104,544,984원) 간에 약 4천만원의 차이가 발생하며, 선납 4천만원을 제외하더라도 금액이 상이하여 누락된 부분이 있는 것으로 판단됨.
 - 발생 시점: 1월 결제대금 관련 (정확한 발생 시점 특정 불가)
 - 고객영향도: 상</t>
  </si>
  <si>
    <t>전달 감사합니다! 담당자님 혹시 청구예정일에는 금액이 어떻게 표시되실까요?</t>
  </si>
  <si>
    <t>12월에 이용한 금액이라하더라도, 승인과 매입 시점에 따라 1월에 청구될 수도 있고, 2월에 청구될 수 있습니다.</t>
  </si>
  <si>
    <t>마찬가지로 11월 말에 결제한 금액의 경우에는 매입이 지연된다면 1월에 청구되실 수도 있어</t>
  </si>
  <si>
    <t>해당 월의 이용 내역과 청구 금액의 결제건은 상이할 수 있다는 점 안내드립니다.</t>
  </si>
  <si>
    <t>5525764215591971 이 번호로만 조회해도 액셀로 다운받은 금액의 신한카드사 총액과 고위드 총액이 상이합니다.</t>
  </si>
  <si>
    <t>결제건이아닌 1월에 사용되어진 총 1월 청구액의 데이터를 받고 싶은건데요</t>
  </si>
  <si>
    <t>@ALF 고위드에서 다운로드 가능한 내역의 기준은
 이용일자 기준과 청구예정일 기준 중 선택 가능하십니다.
 1월 청구액 기준 데이터 다운로드는 지출관리&gt;이용내역관리&gt;청구예정일 클릭하시어 내역 다운로드 가능하십니다. 혹시 해당 경로로 확인하셨을 때도 상이한 금액으로 확인되실까요?
 를 공손하고 이해가 잘 되게끔 작성해줘</t>
  </si>
  <si>
    <t>고위드에서 이용 내역을 다운로드하실 때, '이용일자' 기준과 '청구예정일' 기준 중 선택이 가능합니다.
 1월 청구액을 기준으로 데이터를 확인하시려면, '지출관리 &gt; 이용내역관리'에서 '청구예정일'을 선택하신 후 내역을 다운로드하시면 됩니다. 해당 경로로 확인하셨을 때도 금액이 상이한지 알려주시면 감사하겠습니다.</t>
  </si>
  <si>
    <t>담당자님 기다려주셔서 감사합니다.
 고위드에서 이용 내역을 다운로드하실 때, '이용일자' 기준과 '청구예정일' 기준 중 선택이 가능합니다.
 1월 청구액을 기준으로 데이터를 확인하시려면, '지출관리 &gt; 이용내역관리'에서 '청구예정일'을 선택하신 후 내역을 다운로드하시면 됩니다. 번거로우시겠지만 해당 경로로 확인하셨을 때도 금액이 상이한지 알려주시면 감사하겠습니다.</t>
  </si>
  <si>
    <t>이대로 데이터를 다운 받은건데 제가 잘못안게 있다면 말씀 부탁드립니다!</t>
  </si>
  <si>
    <t>끝4자리로 비교했을때 z로 되어있는 행의 값이 신한카드와 고위드 간의 차액입니다. 고위드에 해당 expenses들이 반영이 안되어있거나, 더 되어있는데 신한은행에서 청구된 값으로 데이터를 받을 수는 없을까요?</t>
  </si>
  <si>
    <t>죄송한데 5525764215591970 해당 카드에도 138,000원이 같은 날에 결제가 되었는데도 이것만 누락이 되어 고위드 데이터 상에는 2월 청구액으로 안나오는 이유가 있을까요?</t>
  </si>
  <si>
    <t>@고위드 신현덕 매니저 완카생을 향한 길....🚞🚞🚞</t>
  </si>
  <si>
    <t>..</t>
  </si>
  <si>
    <t>담당자님 확인 감사합니다. 관련 내용 유관 부서에서 확인 중에 있습니다. 확인까지 조금만 시간 양해 부탁드리며, 추가로 궁금하신 점 있으시면 언제든지 말씀 부탁드립니다.</t>
  </si>
  <si>
    <t>법인명: 알 수 없음
 사업자번호: 알 수 없음
 문의 경로: 채널톡 (데스크 링크 첨부)
 문의 고객 성함 및 이메일: Jiny / 알 수 없음
 문의 인입 일시: 2026-02-12 10:56:52
 문제 요약: 고객이 '청구예정일' 기준으로 다운로드한 2월 청구액 데이터(고위드)와 신한카드 실제 청구액 총액이 상이하며, 특정 카드(5525764215591970)의 결제건(2026.01.27, 138,000원)이 고위드 데이터에서 누락되어 있음을 확인.
 발생 시점: 고객이 데이터를 다운로드하여 확인한 시점
 고객영향도: 상</t>
  </si>
  <si>
    <t>넵 빠르게 부탁드립니다</t>
  </si>
  <si>
    <t>@ALF 아래 내용을 바탕으로
 고객을 섬기는 말투의 법인향 안내 문구 작성해줘.
 1. 캡쳐하신 노리타 결제건은 매입 취소 되었기에 고위드에 청구예정으로 뜨지 않는다.
 2. 아직까지 '청구예정일 필터' 관련하여 그렇다면 고객께 '청구예정일'로 클릭 및 다운로드 하더라도
 카드 청구서와 정확히 일치할 수 없고,
 정확한 확인은 카드사 홈페이지 통해서 진행해달라
 3. 카드사에서 청구서가 발행되면 그 시점에 지출건들을 고정하는 기능을 만들기 위해 협의하고있다</t>
  </si>
  <si>
    <t>고객님, 기다려주셔서 감사합니다. 문의주신 내용에 대해 확인된 사항을 안내해 드립니다.
 우선, 캡처 화면에 보여주신 노리타 결제건(138,000원)은 확인 결과 매입 취소가 완료되어 고위드 시스템의 청구예정 내역에는 반영되지 않고 있습니다. 이 점 양해 부탁드립니다.
 또한, 현재 고위드에서 '청구예정일' 필터를 통해 다운로드하시는 데이터는 카드사 청구서와 실시간으로 100% 일치하지 않을 수 있습니다. 따라서 보다 정확한 청구 금액 확인을 위해서는 번거로우시겠지만, 해당 카드사 홈페이지를 통해 직접 확인해 주시기를 권장 드립니다.
 고객님의 의견을 반영하여, 카드사에서 청구서가 발행되는 시점에 해당 지출 내역을 고정하고 정확한 데이터를 제공할 수 있는 기능을 개발하기 위해 관련 부서와 적극적으로 협의 중에 있습니다.
 이용에 불편을 드린 점 다시 한번 사과드리며, 앞으로 더욱 정확하고 편리한 서비스를 제공할 수 있도록 최선을 다하겠습니다.</t>
  </si>
  <si>
    <t>@ALF
 위의 상담 내용을 확인하고 양식에 맞춰서 활동 로그를 작성해줘
 양식
 - 고객 구분: 신규 입회 / 기존 고객 (중 택 1)
 - 소통 채널: 채널톡
 - 업무 구분: 온보딩 퍼널 적체 관리 / 고객 문의 회신 / 개발 오류 확인 등 (너가 요약해서 개조식으로 작성)
 - 고객 문의 내용 상세: (내용 정리 후 기입해) (인간 상담사가 개입 전에 AI 상담 한 내용은 정리하지 않아도 돼) (이 때 최종 결과값을 명시해줘. 문의 내용은 3줄 정도로 작성해줘)</t>
  </si>
  <si>
    <t>- 고객 구분: 기존 고객
 - 소통 채널: 채널톡
 - 업무 구분:
 - 고객 문의 회신
 - 데이터 다운로드 내역 정합성 오류 확인 및 안내
 - 특정 거래 내역 누락 여부 확인 및 설명
 - 내부 부서 협의 진행 (카드사 청구서 발행 시 지출 내역 고정 기능 개발)
 - 고객 문의 내용 상세: 고객은 고위드에서 '청구예정일' 기준으로 다운로드한 2월 청구액 데이터가 실제 카드사 청구서와 상이하며, 특정 결제건(노리타, 138,000원)이 고위드 데이터에서 누락된 것을 문의했습니다. 해당 결제건은 매입 취소되어 고위드에 반영되지 않았으며, '청구예정일' 데이터는 카드사 청구서와 100% 일치하지 않을 수 있어 카드사 홈페이지를 통한 확인을 안내했습니다. 현재 카드사 청구서 발행 시 지출 내역을 고정하는 기능 개발을 협의 중입니다.</t>
  </si>
  <si>
    <t>@고위드 신현덕 매니저 @고위드 권민규 매니저 이용내역 대금 명세서 받아주세요..!</t>
  </si>
  <si>
    <t>는 위에 있는데 새롭게 받아야할게 있을까요??</t>
  </si>
  <si>
    <t>pdf만 봤는데 엑셀도 있군요 오케</t>
  </si>
  <si>
    <t>카드 하나만 주셨는데..</t>
  </si>
  <si>
    <t>잠시만요......</t>
  </si>
  <si>
    <t>25년 결제내역 모두</t>
  </si>
  <si>
    <t>진행중인데 사이트에서 안넘어가소</t>
  </si>
  <si>
    <t>안녕하세요 상담원연결 하고싶은데</t>
  </si>
  <si>
    <t>AI말고 상담원이요</t>
  </si>
  <si>
    <t>카드수령정보에서 안넘어가요</t>
  </si>
  <si>
    <t>여기서 안넘어가요</t>
  </si>
  <si>
    <t>내일까지 해야하는데</t>
  </si>
  <si>
    <t>좀 도와주세요</t>
  </si>
  <si>
    <t>010 5607 6543 연락주세요</t>
  </si>
  <si>
    <t>안녕하세요, 고위드 신현덕입니다. 문의주신 내용 확인중에 있습니다. 잠시만 기다려주시면 감사하겠습니다.</t>
  </si>
  <si>
    <t>다음은 고객 문의에 대한 요약 정보입니다.
 - 법인명: 정보 없음 (확인 필요)
 - 사업자번호: 정보 없음 (확인 필요)
 - 문의 경로: 채널톡
 - 문의 고객 성함 및 이메일: 한아란 (이메일 정보 없음)
 - 문의 인입 일시: 2026-02-11 17:16:38 (현재 시간 기준)
 - 문제 요약: 카드 발급 신청 중 '결제 및 수령정보' 단계에서 카드 수령 주소 및 명세서 수령 방법 선택 후 '다음' 버튼이 활성화되지 않아 다음 단계(전자서명)로 진행이 불가합니다.
 - 발생 시점: 현재 카드 발급 신청 진행 중 발생한 현상이며, 고객이 내일까지 처리를 요청하고 있습니다.
 - 고객영향도: 상</t>
  </si>
  <si>
    <t>@ALF 타이틀도 알려줘</t>
  </si>
  <si>
    <t>카드 발급 신청 중 '결제 및 수령정보' 단계 진행 오류</t>
  </si>
  <si>
    <t>유선 회신완료</t>
  </si>
  <si>
    <t>문자 안내완료</t>
  </si>
  <si>
    <t>구글 워크 스페이스를 다른곳으로 이동하려고하는데 절차가 어떻게 되나요?</t>
  </si>
  <si>
    <t>약정 취소 방법</t>
  </si>
  <si>
    <t>고위드 담당자 연결</t>
  </si>
  <si>
    <t>구글 워크스페이지 취소하고 싶은데요. 연간 약정이 되있는것 같은데 취소 가능할까요?</t>
  </si>
  <si>
    <t>약정 취소 방법 안내 부탁드리겠습니다.</t>
  </si>
  <si>
    <t>저희 회사가 메가존쪽에 선입금이 있어서 해당 금액으로 소진하기 위해 메가존쪽으로 이전 하려고 합니다. 소진 완료되면 고위드로 다시 오겠습니다.</t>
  </si>
  <si>
    <t>안녕하세요 김규철님 ☺️
 고위드 김일경 매니저입니다.
 해당 내용 확인하여 답변 드리겠습니다. 잠시만 기다려주시겠어요?</t>
  </si>
  <si>
    <t>담당자님!
 현재 툰스퀘어께선 연간요금제 사용 중에 있으시며, 27년 1월 6일 까지 계약이 이루어진 상황인데요! 
 이전에 해지를 하실 수는 있으나, 저희 쪽에 27년 1월 6일까지 사용하신 분에 대해선 청구가 이루어질 수 있습니다.
 해당 내용 자세한 상담 도와드리는게 좋을 것 같은데, 유선으로 안내 전환 도와드릴까요?</t>
  </si>
  <si>
    <t>회의 후 재회신 주시기로</t>
  </si>
  <si>
    <t>메일 회신 와서 상담 종료</t>
  </si>
  <si>
    <t>개인사업자도 되나요</t>
  </si>
  <si>
    <t>대표자 인증에서 이름변경</t>
  </si>
  <si>
    <t>고위드 api 연동 서비스를 연동하고자 합니다, api key 발급 방법은 FAQ에 나와있지 않아서 문의드립니다</t>
  </si>
  <si>
    <t>상담원 연결해주세요</t>
  </si>
  <si>
    <t>(슈퍼관리자 계정입니다)</t>
  </si>
  <si>
    <t>@ALF 
 API key 연동 가이드 알려줘</t>
  </si>
  <si>
    <t>문의하신 API Key 연동 가이드와 관련하여, 현재 제공된 자료에는 API Key 발급을 위한 구체적인 절차(예: 신청 경로, 담당 부서, 양식)에 대한 정보는 포함되어 있지 않습니다.
 다만, 고위드 API 서비스 연동에 대한 다음 정보들을 확인하실 수 있습니다.
 - API 인증 방식: Open API 서버는 아이디 및 패스워드 기반 인증 방식 없이, 오직 API Key 인증 방식만을 사용합니다. 고위드에서 제공하는 고유한 키 값을 HTTP Request Header의 "Authorization" 키 값으로 설정하여 API를 호출하는 구조입니다.
 - API Key 정책: 정책상 현재 관리자가 전체 조회할 수 있는 API Key만 발급이 가능합니다. 개발 테스트용(dev test) 키나 특정 사용자만 허용하는 키는 별도로 발급되지 않습니다.
 - 연동 방법: 각 API별 상세 가이드 문서인 `[SPECIFICATION]`을 통해 고위드와 통합하는 방법을 확인할 수 있습니다.
 API Key 발급에 대한 추가적인 문의사항은 내부 관련 부서에 직접 확인이 필요할 수 있습니다.</t>
  </si>
  <si>
    <t>기다려주셔서 감사합니다. API 키 발급 안내 드립니다.
 슈퍼관리자 계정 메일로만 api 발송이 가능합니다.
 한도상향/신규카드사 입회가 가능한 슈퍼관리자 분께 내부 협의 후 해당 이메일 전달 부탁드립니다!
 우선적으로, 해당 상담창에 API Key 발급을 위해 아래 내용 전달 부탁드립니다!
 - 법인명/사업자번호
 - 담당자 성함/직책/메일:
 (해당 담당자는 슈퍼관리자 권한 부여 必)
 - 필요한 API 데이터(예시: 지출내역 조회):
 - 요청사유(예시: 법인카드 지출 내역을 ERP에 연동):
 정보 확인 후 담당자 님이 안내 메일 드릴 예정입니다.
 참고하실 수 있는 가이드도 첨부 드립니다.
 감사합니다.</t>
  </si>
  <si>
    <t>법인명/사업자번호 콘스탄트 / 517-87-01809
 담당자 성함/직책/메일: 이재훈 / 운영이사 / jaehoon@theconst.kr
 (해당 담당자는 슈퍼관리자 권한 부여 必)
 필요한 API 데이터(예시: 지출내역 조회): 고위드 open api 리스트 전체 (조회 / 수정 등) ex) 지출내역조회 / 미제출영수증목록조회 / 지출내역수정 등
 요청사유(예시: 법인카드 지출 내역을 ERP에 연동): 법인카드 지출내역을 ERP 및 슬랙에 연동예정</t>
  </si>
  <si>
    <t>• 법인명: 콘스탄트
 • 사업자번호: 517-87-01809
 • 문의 경로: 채널톡
 • 문의 고객 성함 및 이메일: 이재훈, jaehoon@theconst.kr
 • 문의 인입 일시: 2026-02-12 10:44:36
 • 문제 요약: 슈퍼관리자 계정으로 고위드 Open API 서비스 전체 연동을 위해 API Key 발급을 요청하며, 법인카드 지출 내역을 ERP 및 슬랙에 연동할 예정.
 • 발생 시점: API 연동을 위한 첫 문의
 • 고객영향도: 상</t>
  </si>
  <si>
    <t>네 고객님, 말씀주셔서 감사합니다. 해당 부분은 관련 부서에 전달드렸으며, 최대 익일 중 메일로 해당 내용이 발송될 예정입니다. 😀
 저희가 추가로 도움 드릴 내용이 있으실까요?</t>
  </si>
  <si>
    <t>아니요, 없습니다 감사합니다!</t>
  </si>
  <si>
    <t>담당자님, 안녕하세요 고위드입니다.
 혹시 어떤 ERP사용하고 계신지 알려주실 수 있으실까요? 번거로우시겠지만 부탁드립니다. 
 감사합니다.</t>
  </si>
  <si>
    <t>지점이 다른데 동일 사업자 번호가 반영되어 있어, 해당 부분 확인 부탁드립니다.</t>
  </si>
  <si>
    <t>기다려주셔서 감사합니다,
 문의주신 맥도날드 결제 내역의 사업자 정보와 관련하여 안내드립니다.
 한국맥도날드 매장의 경우 한국맥도날드 유한회사 법인 소속의 직영 매장으로 운영되는 곳이 많으며, 이 경우 여러 매장에서 결제하시더라도 동일한 사업자번호가 표시될 수 있습니다.
 다만 매장(지점) 구분을 위해 영수증 또는 결제 내역상 매장명이나 지점 표기만 다르게 노출되는 경우가 있습니다.
 현재 고객님께서 확인하신 결제 건에 대해서는
 보다 정확한 안내를 위해 맥도날드 측에도 추가 확인을 진행한 후 확인되는 내용이 있는 대로 다시 안내드리겠습니다.
 확인까지 조금만 시간 양해 부탁드리며, 추가로 궁금하신 점 있으시면 언제든지 말씀 부탁드립니다.</t>
  </si>
  <si>
    <t>혹시 확인에 시간이 얼마나 소요되는지 여쭈어도 될까요?
 고위드 데이터를 바탕으로 결산을 진행하고 있어 문의드립니다!</t>
  </si>
  <si>
    <t>담당자님, 맥도날드 측에 확인 받은 내용 전달 드립니다.
 - '직영점'의 경우 동일 가맹사업자 번호로 승인
 - 캡쳐한 사진에 보내주신 모든 매장은 직영점으로 운영 중
 - 가맹점 사업자 번호가 다른 경우는 가맹점에 한함
 추가로 궁금하신 점 있으시면 언제든지 말씀 부탁드립니다. 감사합니다.</t>
  </si>
  <si>
    <t>담당자님, 기다려주셔서 감사합니다. 맥도날드 측에 확인 받은 내용 전달 드립니다.
 - '직영점'의 경우 동일 가맹사업자 번호로 승인
 - 캡쳐한 사진에 보내주신 모든 매장은 직영점으로 운영 중
 - 가맹점 사업자 번호가 다른 경우는 가맹점에 한함
 추가로 궁금하신 점 있으시면 언제든지 말씀 부탁드립니다. 감사합니다.</t>
  </si>
  <si>
    <t>네, 확인 감사합니다!</t>
  </si>
  <si>
    <t>네 감사합니다. 😀
 저희가 추가로 도움 드릴 내용이 있으실까요?</t>
  </si>
  <si>
    <t>📌 기존 상담: (https://desk.channel.io/gowid/user-chats/%EA%B9%80%EA%B7%9C%EC%B2%A0-698c51a681baab0bfaa1)</t>
  </si>
  <si>
    <t>확인했습니다. 해당 계약 유지하고 1월에 이전하는 방향으로 논의하겠습니다. 
 감사합니다.</t>
  </si>
  <si>
    <t>고위드 카드중에 비자 카드가 있나요?</t>
  </si>
  <si>
    <t>안녕하세요. 
 지출관리에 이용내역 관리, 슈퍼관리자는 댓글작성이 가능한데, 총괄관리자는 댓글 작성이 안되는 거 같은데, 댓글 작성할수 있도는 권한을 따로 부여 가능한가요?</t>
  </si>
  <si>
    <t>로그인안됨</t>
  </si>
  <si>
    <t>상담사 연결 해주세요</t>
  </si>
  <si>
    <t>고객님, 혹시 로그인이 안되는 상황을 조금 더 상세히 설명해주실 수 있으실까요?</t>
  </si>
  <si>
    <t>인증서로 로그인시 접속이 안돼서 아이디찾기를 통해 카드번호 등 입력을 했는데 회원정보가 존재하지 않는다고 뜨네요!</t>
  </si>
  <si>
    <t>네 고객님, 가입 시도하셨던 사업자 번호와 이메일 주소를 남겨주시면 담당자가 빠르게 확인해 드리겠습니다.</t>
  </si>
  <si>
    <t>423-88-00370
 brynn@millie.town
 입니다.</t>
  </si>
  <si>
    <t>담당자님 안녕하세요, 현재 확인되는 가입 이메일은
 brynn@millie.town 가 맞습니다!
 비밀번호는 https://www.gowid.com/login/search2 에서 재설정 가능하신데, 해당 링크로 접속하시어서 재설정 부탁드려도 될까요?</t>
  </si>
  <si>
    <t>연동을 했는데 아직 로그인이 안됩니다. 다음날 가능할까요?</t>
  </si>
  <si>
    <t>로그인 불가하신 화면 캡쳐하시어 전달 주시면 내부 확인 해보도록 하겠습니다!</t>
  </si>
  <si>
    <t>해당 화면은 신한카드 홈페이지로 확인되십니다!
 현재 고위드 로그인은 정상적으로 되고, 신한카드 총괄관리자 연동까지 하셨지만,
 신한카드 홈페이지에서 로그인이 불가능하신걸까요?</t>
  </si>
  <si>
    <t>네 맞습니다. 신한카드 로그인이 필요해서요~!</t>
  </si>
  <si>
    <t>담당자님 확인 감사합니다. 신한카드 홈페이지 오류의 경우 신한카드 고객센터를 통해 정확한 확인이 가능하십니다만,
 고위드 회원의 경우 일반적으로 해당 버튼을 통해 로그인을 진행하십니다.
 고위드 연동하셨을 때 사용하신 아이디/비밀번호 통해서 로그인 부탁드립니다.</t>
  </si>
  <si>
    <t>아이디는 계정 전부로 입력하면 될까요?</t>
  </si>
  <si>
    <t>고위드 연동하셨을 때 입력하셨던 아이디, 비밀번호로 그대로 입력해주시면 됩니다! 고위드 계정이 아닌, 고위드에서 신한 총괄관리자 연동 시 사용하셨던 계정으로 로그인 부탁드립니다.</t>
  </si>
  <si>
    <t>인증서로 로그인은 안되는걸까요 !?</t>
  </si>
  <si>
    <t>이전에 신한카드 총괄관리자 회원가입 시 인증서로 회원가입을 해두셨다면 가능합니다!</t>
  </si>
  <si>
    <t>법인께서 직접 회원가입하신 신한카드 총괄관리자 계정을
 고위드에서 연동해주시면 해당 정보 바탕으로 정보 연동 진행됩니다.
 다만 신한카드 홈페이지의 로그인 문제에 대해서 고위드에서 직접 확인드릴 수 있는 부분이 제한적인 점 양해 부탁드리겠습니다.
 - 신한카드 고객센터 : 1544-7000
 더욱 정확한 확인을 위해, 신한카드 고객센터 통해 확인 받아보시길 권유드립니다. 감사합니다.</t>
  </si>
  <si>
    <t>네 고객님, 양해해주셔서 감사합니다.
 저희가 추가로 도움 드릴 내용이 있으실까요?</t>
  </si>
  <si>
    <t>한도상향 적용을 어떻게 해야하나요?</t>
  </si>
  <si>
    <t>현재 신한카드 법인 회원 정보 만료로 갱신이 필요한데, 고위드 카드도 사용중이라
 신한카드사에서 지급보증 공문, 고위드 이사회 결의서 요청하였어</t>
  </si>
  <si>
    <t>어디에 요구해 ?</t>
  </si>
  <si>
    <t>신한카드사에서 신한은행으로 말한 내용이야 신한은행에서 나한테 전달해준거고.
 상담사 연결해줘</t>
  </si>
  <si>
    <t>안녕하세요. 주식회사 위드이노베이션 법인사업장 입니다.
 현재 신한카드와 고위드 사용중인데, 법인 회원정보 유효기간 만료로 갱신중에 있습니다.
 신한카드사에서 신한은행으로 얘기하기를 고위드측 지급보증 공문, 고위드 이사회 결의서 요청하였다고 합니다. 그래서 신한은행측에서 저에게 내용 전달해주셨습니다.
 갱신이 금일중으로 빠르게 처리가 필요한 상황이라 위 2가지 서류를 어떻게 받아볼 수 있을까요?</t>
  </si>
  <si>
    <t>안녕하세요 고위드입니다.
 신한카드사의 안내대로 신한 법인갱신을 위해서는 신한은행을 직접 방문 후 서류준비하여 제출해주셔야 합니다.
 [준비서류]
 - 사업자등록증
 - 법인인감증명서
 - 법인등기부등본
 - 주주명부
 - 최대 지분권자 실소유자 주주명부 (도장날인 원본, 스캔본X)
 - 최대 지분권자 실소유자 신분증
 - 대표님 신분증
 - 대표님 개인인감도장
 - 대표님 개인인감증명서
 다만, 연대보증인이 고위드이며 고위드의 이사회결의서가 필요할 경우, 신한은행 내방하실 시 고위드에서 자동적으로 신한카드사에 발송중입니다.
 - 지급보증 공문
 - 이사회 결의서
 신한갱신 유효기간 내에 미갱신하실 시, 신한카드사에서 카드를 사용하지 못하도록 한도를 0원으로 부여하는 점 참고 부탁드립니다! 법인 유효기간 만료되면 카드도 따라 정지되오나, 법인 갱신 후 카드유효기간이 남아있다면 그대로 사용하셔도 무방합니다.</t>
  </si>
  <si>
    <t>기다려주셔서 감사합니다.
 신한카드사의 안내대로 신한 법인갱신을 위해서는 신한은행을 직접 방문 후 서류준비하여 제출해주셔야 합니다.
 [준비서류]
 - 사업자등록증
 - 법인인감증명서
 - 법인등기부등본
 - 주주명부
 - 최대 지분권자 실소유자 주주명부 (도장날인 원본, 스캔본X)
 - 최대 지분권자 실소유자 신분증
 - 대표님 신분증
 - 대표님 개인인감도장
 - 대표님 개인인감증명서
 다만, 연대보증인이 고위드이며 고위드의 이사회결의서가 필요할 경우, 신한은행 내방하실 시 고위드에서 자동적으로 신한카드사에 발송중입니다.
 - 지급보증 공문
 - 이사회 결의서
 신한갱신 유효기간 내에 미갱신하실 시, 신한카드사에서 카드를 사용하지 못하도록 한도를 0원으로 부여하는 점 참고 부탁드립니다! 법인 유효기간 만료되면 카드도 따라 정지되오나, 법인 갱신 후 카드유효기간이 남아있다면 그대로 사용하셔도 무방합니다.</t>
  </si>
  <si>
    <t>이미 서류는 모두 제출된 상태이며, 추가로 고위드 2가지 서류를 요청한 상태입니다.</t>
  </si>
  <si>
    <t>카드사에서는 확인이 안되어서 서류를 요청하신 거 같은데, 발송이 된건가요?</t>
  </si>
  <si>
    <t>고위드측 지급보증 공문, 고위드 이사회 결의서
 요청하셨습니다.</t>
  </si>
  <si>
    <t>네 담당자님, 저희 측에서 신한카드 측 확인 진행해볼텐데요, 회신 받는 즉시 안내드릴 수 있도록 하겠습니다.</t>
  </si>
  <si>
    <t>네 감사합니다. 정말 죄송하지만 빠르게 부탁드리겠습니다 ㅠㅠ</t>
  </si>
  <si>
    <t>기다려주셔서 감사합니다. 신한카드사 측으로 요청드린 것으로 확인됩니다. 업무 처리 과정에 있어서 궁금하신 부분이나 처리가 어려우신 부분이 있다면 질문 주시면 감사하겠습니다. 😀</t>
  </si>
  <si>
    <t>제가 따로 신한카드 또는 신한은행측에 서류 보내지 않아도 고위드에서 따로 처리해주신 것인가요??</t>
  </si>
  <si>
    <t>네 맞습니다. 신한카드사에 발송되었으며, 카드사 측에서 인지가 되었을 것으로 보입니다. 혹여나 카드사 측에서 인지를 못한 경우 다시 한 번 문의주시면 빠르게 조치 지원드리도록 하겠습니다.</t>
  </si>
  <si>
    <t>장시간 답변이 없으셔서 이번 상담은 여기서 종료하도록 하겠습니다.
 다른 문의가 있으시면 새로운 창에서 문의 부탁드립니다.
 좋은 하루 되시길 바랍니다 :)</t>
  </si>
  <si>
    <t>상향한도 기존 발급된카드에 적용하는 방법</t>
  </si>
  <si>
    <t>한도상향 반영</t>
  </si>
  <si>
    <t>한도 상향완료되었다고</t>
  </si>
  <si>
    <t>메일이 왔는데</t>
  </si>
  <si>
    <t>현덕님께서 유선 안내 진행 중</t>
  </si>
  <si>
    <t>대표님, 혹시 관련부서에서 처리가 진행된 것으로 확인됩니다. 혹시 한도신청 재시도 해주실 수 있으실까요?</t>
  </si>
  <si>
    <t>고객님, 혹시 문제는 모두 해결되었을까요? 
 답변이 없으실 경우 상담이 종료될 예정입니다. 
 추가 문의 있으시면 언제든지 문의 부탁드립니다.</t>
  </si>
  <si>
    <t>고위드를 직원20명에게 20개 각각 나눠주면 직원들이 소득세를 내야하나요?</t>
  </si>
  <si>
    <t>주식회사 오크컴퍼니 (219-87-03733) 관리하시는 담당자분 전화 요청 부탁드릴 수 있을까요?</t>
  </si>
  <si>
    <t>한도 심사</t>
  </si>
  <si>
    <t>카드 정지</t>
  </si>
  <si>
    <t>현재 진행중인 법인카드 발급일정</t>
  </si>
  <si>
    <t>거래처가 법인사업자일 경우 법인 인감증명서가 왜 필요해?</t>
  </si>
  <si>
    <t>상담연결</t>
  </si>
  <si>
    <t>카드내역 안나옴</t>
  </si>
  <si>
    <t>빨리</t>
  </si>
  <si>
    <t>고객님, 혹시 어떤 문의이신지 조금 더 자세히 말씀 주실 수 있으실까요?</t>
  </si>
  <si>
    <t>안녕하세요, 저희 법인카드 사용내역 중 한 건이 고위드에 나타나지 않습니다
 해당 건 카드대금명세서에 나온 실제 거래내역인데 나오지 않는 이유 확인 부탁드립니다
 카드번호 : 5105-5450-0117-5535
 승인번호 : 24909068</t>
  </si>
  <si>
    <t>금액 : 1,266,726</t>
  </si>
  <si>
    <t>고객님 해당 승인번호 조회 결과, 승인 취소건으로 확인되는데요, 혹시 보고 계신 화면을 캡쳐하여 보여주실 수 있으실까요?</t>
  </si>
  <si>
    <t>이용대금명세서 캡쳐본 전달 드립니다</t>
  </si>
  <si>
    <t>네 고객님, 해당 이용대금 명세서는 롯데카드 측에서 다운 받은 내용이 맞으실까요? 해당 화면에서 보이는 해당 결제의 상태값을 알려주시면 감사하겠습니다.</t>
  </si>
  <si>
    <t>혹시 전액 취소 시 아예 고위드에 나타나지 않는걸까요??</t>
  </si>
  <si>
    <t>해당 명세서는 롯데카드 홈페이지에서 다운 받은 내역입니다</t>
  </si>
  <si>
    <t>네, 고객님 고위드 지출관리 서비스에서는 결제가 취소된 방식에 따라 내역 표시 방식이 달라집니다.
 - 전체 취소된 경우: 해당 결제 내역 자체가 삭제되어 확인이 어렵습니다. 취소된 건에 대해서는 별도로 확인하기 어렵다는 점 참고 부탁드립니다.
 - 부분 취소된 경우: 기존 결제 건에서 취소된 금액만큼 마이너스 계산되어 남은 잔액만 표시됩니다.
 매입취소는 이미 결제가 매입된 이후에 발생하며, 시점에 따라 청구서에서 제외되거나 이미 납부한 경우 계좌로 환불 입금되는 방식으로 처리됩니다. 상세한 취소 내역이나 환불 여부는 해당 카드사 홈페이지 또는 앱을 통해 정확히 확인하실 수 있습니다.</t>
  </si>
  <si>
    <t>넵 확인 감사합니다</t>
  </si>
  <si>
    <t>네 감사합니다. 😀
 추가로 문의 주실 내용이 있으실까요?</t>
  </si>
  <si>
    <t>없습니다 상담 종료하셔도 됩니다!</t>
  </si>
  <si>
    <t>고객님, 지출관리 신버전에서는 해당 내용 확인이 가능한데요, 혹시 구버전 사용 중이실까요?</t>
  </si>
  <si>
    <t>아마 그런 것 같습니다</t>
  </si>
  <si>
    <t>네 고객님, 혹시 신버전으로 변환하여 확인해주실 수 있으실까요? 지출관리 옆 초록색 버튼 눌러주시면 신버전 사용 가능하십니다. 😀</t>
  </si>
  <si>
    <t>넵 안내 감사합니다~!</t>
  </si>
  <si>
    <t>거래처가 대금을 받기 위해서 KYC 서류를 준비해야 한다고 하는데, 어떻게 준비하며면 되나요?</t>
  </si>
  <si>
    <t>구글 워크스페이스 Business Standard를 구독하고 있습니다. 해당 구독을 끊고 싶으면 언제 가능한지 궁금합니다.</t>
  </si>
  <si>
    <t>고위드가 리셀러에요. 고객센터 담당자님께서 확인해주셨으면 해서 문의드립니다</t>
  </si>
  <si>
    <t>상담사 연결 부탁드립니다</t>
  </si>
  <si>
    <t>구글 워크스페이스 Business Standard를 구독하고 있습니다. 해당 구독을 해지하고 싶을 경우, 해지 조건이 어떻게 되는지 궁금하고, 위약금 없이 해지하려면 언제부터 가능한지 안내부탁드립니다.</t>
  </si>
  <si>
    <t>안녕하세요 정지예님 ☺️
 고위드 김일경 매니저입니다.
 해당 내용 확인 후 답변 드리겠습니다. 잠시만 기다려주시겠어요?</t>
  </si>
  <si>
    <t>네!</t>
  </si>
  <si>
    <t>혹시 해지를 진행하시는 이유를 여쭤봐도 될까요? 사유에 따라 더 자세히 도와드릴 수 있을 것 같아서 여쭙습니다.</t>
  </si>
  <si>
    <t>탄력요금제. 바로 해지 가능.</t>
  </si>
  <si>
    <t>30개 라이선스</t>
  </si>
  <si>
    <t>타 리셀러의 요금을 써야할 이유가 생겨서입니다!</t>
  </si>
  <si>
    <t>확인 감사드립니다!
 현재 iocrops.com 도메인의 경우, 탄력요금제를 사용 중에 있는 것으로 확인 했습니다.
 탄력요금제의 경우, 바로 구글로 이전 처리가 가능하며 별도의 위약금 없이 이전이 가능한 점 안내 드립니다.
 결제의 경우 등록해주신 카드로 진행 되며, 결제 날짜는 오늘까지 계산되어 익월에 청구 됩니다.
 바로 해지 전환 도와드릴까요?</t>
  </si>
  <si>
    <t>아닙니다! 그럼 이번 달 며칠까지인가요?</t>
  </si>
  <si>
    <t>탄력요금제는 달로 계산하는 것이 아닌 일(day)로 계산하기 때문에, 언제까지 꼭 써야한다는 내용은 없는 것으로 이해해주시면 감사 드립니다. :)</t>
  </si>
  <si>
    <t>네 알겠습니다! 해지 해야할 경우 문의 다시 드리겠습니다. 지금처럼 문의 드리면 될까요, 아니면 어디로 연락을 드려야 하는지요?</t>
  </si>
  <si>
    <t>동일하게 채널톡 통해 문의 해주시면 바로 도와드리겠습니다. :) 감사합니다.</t>
  </si>
  <si>
    <t>사용자가 퇴사하고 신규 사용자 등록을 해야하는데 어떻게 해야하나요?</t>
  </si>
  <si>
    <t>카드 한도 상향신청하였는데 현금 6억원 이상 보유 조건이 있다고 전달받았습니다 이때 현금에 정기예금도 포함되는 것일까요?</t>
  </si>
  <si>
    <t>그럼 문의 할 수 있는 담당자의 메일 또는 연락처 확인 부탁드립니다</t>
  </si>
  <si>
    <t>채팅이 여기인데.. 어디서 추가로 문의 글을 남길 수 있죠?</t>
  </si>
  <si>
    <t>한도관련 문의 고의드 담당자 확인</t>
  </si>
  <si>
    <t>한도 상향/조정 관련해서 고위드 쪽 운영 담당자 연결을 원해</t>
  </si>
  <si>
    <t>네 고객님, 혹시 한도 상향 관련해서 어떤 내용이 궁금하실까요?</t>
  </si>
  <si>
    <t>현재 저희 대표님께서 보살핌 카드 상향 신청을 하셨는데 유선으로 1억2천만원의 한도 상향시 현금 5억원을 유지해야한다는 안내를 받으셨다고합니다.
 하여 해당 현금이 통장잔액의 현금인지 혹은 은행 정기예금을 포함하는 잔액인지 문의 드립니다.
 현재 당사가 현금자산을 가지고 정기예금을 운용하려고하고있어 해당 운용계획 수립을 위해 문의드립니다.
 확인부탁드리겠습니다.</t>
  </si>
  <si>
    <t>고객님, 기다려주셔서 감사합니다. 말씀주신 부분 전체를 포함하는 잔액입니다. 다만 고위드에 연결되어있는 공인인증서에 계좌가 모두 연동되어 있으면 별도의 조치는 하지 않으셔도 됩니다. 
 우려되시는 경우 혹시 확인이 필요한 계좌가 있으신 경우 계좌번호를 말씀주시면 빠르게 확인 진행해보도록 하겠습니다.</t>
  </si>
  <si>
    <t>고객님, 혹시 말씀주신 문제는 해결되었을까요? 😀
 장시간 답변이 없으실 경우 상담이 종료될 예정입니다.
 추가 문의 있으시면 언제든지 문의 부탁드립니다.</t>
  </si>
  <si>
    <t>반납</t>
  </si>
  <si>
    <t>핸드폰</t>
  </si>
  <si>
    <t>핸드폰 반납 2월 3일에 진행하였으나 현재 IT 장비 구독 현황을 확인해보면 반납 처리 반영 되지않았습니다. 확인 부탁드리며 , 분실시 위약금도 확인 부탁 드립니다.</t>
  </si>
  <si>
    <t>카드 해지신청했는데 고위드에서는 어떻게 반영해?</t>
  </si>
  <si>
    <t>Bc</t>
  </si>
  <si>
    <t>📌 기존 상담: (https://desk.channel.io/gowid/user-chats/%EB%B0%B0%EB%AF%BC%ED%98%9C-698d875a559ad256cbb6)</t>
  </si>
  <si>
    <t>안녕하세요, 신현덕 매니저님
 보살핌 배민혜입니다.
 현재 저희 대표님께서 보살핌 카드 상향 신청을 하셨는데 유선으로 1억2천만원의 한도 상향시 현금 5억원을 유지해야한다는 안내를 받으셨다고합니다.
 하여 해당 현금이 통장잔액의 현금인지 혹은 은행 정기예금을 포함하는 잔액인지 문의 드립니다.
 현재 당사가 현금자산을 가지고 정기예금을 운용하려고하고있어 해당 운용계획 수립을 위해 문의드립니다.
 확인부탁드리겠습니다.
 감사합니다.
 배민혜 드림</t>
  </si>
  <si>
    <t>📌 기존 상담: (https://desk.channel.io/gowid/user-chats/%EC%96%91%ED%95%B4%EB%AF%BC-698d3c10df8787c9e7a3)</t>
  </si>
  <si>
    <t>안녕하세요 신혁덕 매니저님
 롯데카드 심사가 언제 완료되는지 일정을 알 수 있을까요?</t>
  </si>
  <si>
    <t>네 담당자님, 롯데카드 심사는 카드사 측에서 진행 중에 있는 것으로 확인되며, 추석이 껴 있어 일정시간 소요될 것으로 보입니다. 최대한 이번 주 내로 심사 마쳐질 수 있도록 담당자에게 전달하겠습니다.
 감사합니다. 😀</t>
  </si>
  <si>
    <t>IT장비 구독해지</t>
  </si>
  <si>
    <t>반납했는데 해지로 언제 넘어가나요?</t>
  </si>
  <si>
    <t>LG그램 010NZWY072737
 2/5 반납</t>
  </si>
  <si>
    <t>698e6a4ab40b7706cb9e</t>
  </si>
  <si>
    <t>고위드 롯데,비씨,신한 카드 세개 중 발급 가능한 최대 한도 조회 후 카드 발급 진행하고 싶습니다. 관련 절차 안내 부탁드립니다.</t>
  </si>
  <si>
    <t>한도 조회 신청하는 방법 안내 부탁드립니다.</t>
  </si>
  <si>
    <t>안녕하세요
 등록된 공동인증서 기간만료 예정인데 범용만 가능한가요??</t>
  </si>
  <si>
    <t>슈퍼관리자 지정했는데도 권한이 바로 부여도지 읺아요</t>
  </si>
  <si>
    <t>카드 한도 조정 신청했는데, 언제 반영되나요?</t>
  </si>
  <si>
    <t>698e8059ad7adde456e9</t>
  </si>
  <si>
    <t>사업자번호 맞게 작성했는데 사업자번호 검증 중 오류가 발생합니다.</t>
  </si>
  <si>
    <t>담당자님 안녕하세요. 고위드입니다.
 입력하신 법인명 / 사업자등록번호 말씀 주시면
 확인 진행하도록 하겠습니다!</t>
  </si>
  <si>
    <t>바닐라브릿지/ 165-86-00709 입니다</t>
  </si>
  <si>
    <t>도입신청서 작성 중 해당 오류가 발생하셨을까요?
 주식회사 바닐라브릿지는 현재 고위드 회원이셔서, 도입신청서 작성이 필요치 않으십니다.
 기입회 법인께서 도입신청서를 작성하시면 해당 오류가 발생하며,
 바로 로그인 하시어 서비스 이용 부탁드리겠습니다. 감사합니다.</t>
  </si>
  <si>
    <t>네! 로그인해서 진행하겠습니다.
 감사합니다.</t>
  </si>
  <si>
    <t>상담원 연결해주세요.</t>
  </si>
  <si>
    <t>지난주에 카드 한도 상향 신청했습니다. 반영이안되었어요.</t>
  </si>
  <si>
    <t>심사중으로 조회됩니다.</t>
  </si>
  <si>
    <t>롯데카드요</t>
  </si>
  <si>
    <t>영업일 5일 지난 상태입니다.</t>
  </si>
  <si>
    <t>롯데카드 사용하고, 한도 상향신청한지 5영업일이 지난상태입니다. 상담원 연결 해주세요.</t>
  </si>
  <si>
    <t>기다려주셔서 감사합니다. 한도 상향 신청 후 오래 기다리시게 해서 죄송합니다. 
 롯데카드 한도 상향은 카드사 심사를 거치며, 통상 3~5영업일 내 결과가 안내됩니다. 현재 5영업일이 경과한 상황이므로, 저희 쪽에서 롯데카드 심사 진행 상황을 직접 확인하여 안내드리겠습니다. 
 확인 후 금일 오후 중으로 다시 연락드리겠습니다. 
 감사합니다.</t>
  </si>
  <si>
    <t>카드한도 급하게 상향하려고 합니다</t>
  </si>
  <si>
    <t>김병규 님의 카드한도를 하고 싶습니다</t>
  </si>
  <si>
    <t>한도 원하는 입력하는 칸이 없습니다</t>
  </si>
  <si>
    <t>신한카드 관리자에서도 한도 수정이 안된다고합니다. 고위드에 문의해보라고합니다.</t>
  </si>
  <si>
    <t>혹시 한도 수정을 하고싶은 상황이시라면, 법인의 총 한도 내에서 한도 수정이 가능한 점 안내드립니다. 또한 개별 카드의 한도 증액은 신한카드 관리자(총괄 관리자) 홈페이지에서 한도를 변경해 주셔야 하는 점 함께 안내드립니다.</t>
  </si>
  <si>
    <t>구글워크스페이스 옮기는데 얼마나걸리나요?</t>
  </si>
  <si>
    <t>안녕하세요 한종빈님 ☺️
 고위드 김일경 매니저입니다.
 라디우스랩의 경우, 현재 고위드로 구글워크스페이스 이전이 완료 되었음을 안내 드립니다!
 금일 이후로 상시 10% 할인을 받으실 수 있습니다. 
 감사합니다. 😀</t>
  </si>
  <si>
    <t>롯데카드 2장 신청한 후 한도를 각각 다르게 신청할수 있나요~? 기명카드로 진행하려면 개인카드 개설로 신청하면 되는지 여쭤봅니다!</t>
  </si>
  <si>
    <t>무기명카드 1장, 기명카드2장이 필요한데요, 모두 롯데카드로 발급 가능한가요? 아니면 카드사 모두 다르게 신청이 가능한건가요?</t>
  </si>
  <si>
    <t>무기명 카드 한도 100만원으로 먼저 신청하려고 하는데요, 한도 1000만원 나왔는데 이후에 한도가 변경될수있나요? 무기명 먼저 발급 후 기명카드 신청하려고 합니다</t>
  </si>
  <si>
    <t>안녕하세요~!
 사업자등록증에 기재된 사업장 소재지가 버츄얼오피스라서 해당 주소에서 카드 수령이 어려운데요, 카드수령주소 변경은 어려울까요?</t>
  </si>
  <si>
    <t>아직 카드 신청전인데 법인정보에서 수정이 어려울까요?</t>
  </si>
  <si>
    <t>698e982a6a2ef9e6c84e</t>
  </si>
  <si>
    <t>고위드 신한카드를 취소했는데, 해당 카드로 정기결제가 지속적으로 발생하고 있습니다. 왜 이럴까요?</t>
  </si>
  <si>
    <t>고위드에도 RCMS(TIPS R&amp;D) 사업비 사용 가능한 카드가 있나요?</t>
  </si>
  <si>
    <t>사업비카드신청</t>
  </si>
  <si>
    <t>현재 신한 광고비카드를 쓰고 있는데, 결제일에 잔금이 부족하면 어떻게 되나요?</t>
  </si>
  <si>
    <t>잔액이 부족해서 신용카드 비용의 일부만 결제가 되면, 일부 결제된 금액으로 다시 롤링이 되는건가?</t>
  </si>
  <si>
    <t>안녕하세요 일일한도 100만원 사용햇는데 초과라고 나와소요</t>
  </si>
  <si>
    <t>관리자페이지에서 일일한도 늘릴 수 있나요???</t>
  </si>
  <si>
    <t>알려준 경로 했느데 제한하눈거밖에 안나유ㅏ</t>
  </si>
  <si>
    <t>한도는 300만원 남아있어</t>
  </si>
  <si>
    <t>- 신한카드 고객센터 : 1544-7000
 - 롯데카드 고객센터 : 1599-8800
 - BC카드 고객센터 : 1588-4000</t>
  </si>
  <si>
    <t>문의에 대한 전화가 오지 않아 다시 문의드립니다.</t>
  </si>
  <si>
    <t>법인카드 상담 고객센터 전화 번호 알려주세요</t>
  </si>
  <si>
    <t>네 고객님, 답변이 늦어 죄송합니다. 
 정확한 확인을 위해 법인명과 사업자 번호 알려주실 수 있으실까요?</t>
  </si>
  <si>
    <t>698ea276352058b801b5</t>
  </si>
  <si>
    <t>카드 한도 변경</t>
  </si>
  <si>
    <t>롯데법인카드 전체 한도 변경 방법</t>
  </si>
  <si>
    <t>고위드 법인카드 총 한도 상향하고싶습니다</t>
  </si>
  <si>
    <t>슈퍼관리자 계정 로그인 &gt; 좌측 바에서 카드사 입회-한도 신청 클릭 &gt; 한도 조회 &gt; [한도 조회하기] 버튼을 눌러 우선 한도부터 조회 부탁드립니다. 이후 한도 상향 신청으로 진행 가능하십니다.</t>
  </si>
  <si>
    <t>기다려주셔서 감사합니다. 슈퍼관리자 계정 로그인 &gt; 좌측 바에서 카드사 입회-한도 신청 클릭 &gt; 한도 조회 &gt; [한도 조회하기] 버튼을 눌러 우선 한도부터 조회 부탁드립니다. 이후 한도 상향 신청으로 진행 가능하십니다.</t>
  </si>
  <si>
    <t>안녕하세요? 혹시 비씨카드 외에 롯데카드 등도 추가 신청 가능한가요?</t>
  </si>
  <si>
    <t>현재 비씨카드 사용중인데, 롯데카드나 신한카드로 추가 발급 원합니다</t>
  </si>
  <si>
    <t>그러면 상담사 연결 해 주세요</t>
  </si>
  <si>
    <t>네~ 점심시간 이후에 답변 부탁드립니다</t>
  </si>
  <si>
    <t>안녕하세요, Jessy Kim님! 답변을 기다려 주셔서 감사합니다.
 현재 비씨카드를 이용 중이시더라도 롯데카드나 신한카드를 추가로 신청하여 발급받으실 수 있습니다. 고위드는 신한, 비씨, 롯데 세 종류의 법인카드를 제공하고 있으며, 필요에 따라 다른 카드사의 카드를 추가로 이용하시는 것이 가능합니다.
 추가 발급과 관련하여 안내해 드립니다.
 - 롯데/신한카드 추가 신청: 각 카드사 홈페이지를 통해 신청하실 수 있습니다.
 - 롯데카드: 롯데카드 홈페이지 로그인 후 [카드] &gt; [법인카드 신청 조회] &gt; [카드 신청] 메뉴에서 진행 가능합니다. 고위드 가입 시 등록한 관리 담당자 계정으로 신청하셔야 하며, 법인 공동인증서 또는 관리자 명의의 휴대폰 인증이 필요합니다.
 - 신한카드: 신한카드 홈페이지에서 신청하실 수 있으며, 별도의 카드 발급 수수료나 연회비는 발생하지 않습니다.
 - 비용 안내: 롯데카드와 신한카드는 추가 발급 시 별도의 비용이 발생하지 않습니다. (참고로 비씨카드의 경우 추가 발급 시 매당 5,000원의 발급 비용이 발생합니다.)
 추가 발급 과정에서 도움이 필요하시거나 궁금한 점이 있으시면 언제든 말씀해 주세요!</t>
  </si>
  <si>
    <t>롯데카드 선결제 전부 결제해서 결제건이 없는데</t>
  </si>
  <si>
    <t>선결제 전부 해둬서 더 결제할게 없는데 지금 한도가 남아있지 않습니다. 확인 부탁드립니다.</t>
  </si>
  <si>
    <t>승인에서 카드 추가하고싶음</t>
  </si>
  <si>
    <t>내 영수증 제출에는 카드가 다 들어있는데 승인 내역에서는 카드번호가 조회가 안됩니다</t>
  </si>
  <si>
    <t>3 입니다</t>
  </si>
  <si>
    <t>한도상향신청 어떻게 해</t>
  </si>
  <si>
    <t>카드 발급 프로세스 설명해줘.</t>
  </si>
  <si>
    <t>고위드 체크카드도 있나요?</t>
  </si>
  <si>
    <t>승인과 매입의 차이</t>
  </si>
  <si>
    <t>앗 그러면 전체내역 창에서는 승인여부 확인이 불가한거야?</t>
  </si>
  <si>
    <t>아 아니 승인/매입내역말고 승인상태가 승인대기 중인이 승인이 된건지 알고 싶은데 전체내역 창에서 한눈에 확인할수 있는 방법은 없는건지 궁금해</t>
  </si>
  <si>
    <t>너가 보내준 마지막장의 사진을 보면 이용내역관리 창에서 맨마지막이 승인내역인거 보여? 나는 그렇게 창을 보고싶은데 창이 업데이트 되면서 싹 바뀌더니 이용내역관리에서 볼수없게 되었어....</t>
  </si>
  <si>
    <t>필터는 있지만 컬럼이 안보이는 상태야, 나는 승인컬럼을 필터로 해서 각각 확인하고 싶지않고 한눈에 승인/부분승인/승인대기 상태를 확인하고 싶어</t>
  </si>
  <si>
    <t>우리는 일별 점검용으로 확인하고 있어! 내 의견 꼭 남겨줘~ 한사람이 하루에 결제할수 있는 한도가 있는데 여러건 결제했을때 일부를 제출을 늦게하면 승인대기에서 확인이 안되잖아...? 그래서 승인대기 필터를 걸어서 봐야하면 한도가 넘어갔는지 정확히 확인이 어렵고 모르고 그냥 넘어가버리는거지...ㅠㅠ</t>
  </si>
  <si>
    <t>웅 고마워~ 꼭 바꼈으면 좋겟당..! ㅠㅠㅠㅠㅠ</t>
  </si>
  <si>
    <t>카드를 신청했는데 사용명세서를 이메일로 변경하고 싶어요</t>
  </si>
  <si>
    <t>신규법인이 고위드를 통해 법인카드를 발급하는 절차</t>
  </si>
  <si>
    <t>필요 서류</t>
  </si>
  <si>
    <t>698ec99ac0b832aa75f6</t>
  </si>
  <si>
    <t>왜 롯데카드는 간편한 한도 상향이 되는거에요</t>
  </si>
  <si>
    <t>이용내역 관리에 아무것도 안보입니다.</t>
  </si>
  <si>
    <t>이용내역관리 조회 눌렀는데 안보입니다.</t>
  </si>
  <si>
    <t>카드내역이 안보입니다.</t>
  </si>
  <si>
    <t>세부 입력 항목을 필수로 입력해야하는 용도를 선택했다가 이후 다른 용도를 바꾸니
 세부 입력 항목을 지울 수가 없습니다</t>
  </si>
  <si>
    <t>전체적으로 UI도 오히려 전보다 직관적이지 않고 불편합니다
 현재 선택된 월도 너무 작아지고 중간에 껴있어서 찾기 힘들구요</t>
  </si>
  <si>
    <t>고위드 해지하는 방법</t>
  </si>
  <si>
    <t>제안서나 소개서 보내주실수 있나요?</t>
  </si>
  <si>
    <t>안녕하세요~! 가입 후 공동인증서 연동 중 입니다
 인증서 연동시, 단기예금 계좌와 마이너스통장은 연결계좌에 연동이 안되는데요! 방법 문의 드립니다</t>
  </si>
  <si>
    <t>기존에 연간 요금제 사용중인데 탄력요금제로 변경할 수 있나요? 아니면 계약이 끝널때까지 기다렸다가 해야하나요</t>
  </si>
  <si>
    <t>고위드를 통해서 변경해도 마찬가지란 말이죠?</t>
  </si>
  <si>
    <t>지출관리 프로그램은 타사에서 발급받은 법인카드도 모두 확인할 수 있나요?</t>
  </si>
  <si>
    <t>한도심사가 끝났다고 해서 PC에서확인하면 한도심사중인데 몇일 되었는데 계속 마무리가 안되는듯합니다.</t>
  </si>
  <si>
    <t>카드혜택</t>
  </si>
  <si>
    <t>법인카드입니다</t>
  </si>
  <si>
    <t>롯데카드입니다
 공항 라운지사용혜택 궁금해요</t>
  </si>
  <si>
    <t>영수증을 등록했는데 시간이 지나 영수증이 삭제되었어요 왜그런건가요?</t>
  </si>
  <si>
    <t>법인카드 비밀번호</t>
  </si>
  <si>
    <t>온라인 결제용 비밀번호 관련 문의</t>
  </si>
  <si>
    <t>고위드 직원 법인카드 비밀번호</t>
  </si>
  <si>
    <t>사업자 등록증 오류로 자꾸 뜨네요</t>
  </si>
  <si>
    <t>한도 상향 신청</t>
  </si>
  <si>
    <t>제출 서류?</t>
  </si>
  <si>
    <t>fuel, 페이바이카드 수수료?</t>
  </si>
  <si>
    <t>fuel 1.8%는 뭐야</t>
  </si>
  <si>
    <t>스타트업이 고위드 카드를 꼭 고려해야 하는 이유는?</t>
  </si>
  <si>
    <t>지출관리 소개서 있어? pdf?</t>
  </si>
  <si>
    <t>롯데 법인카드 혜택</t>
  </si>
  <si>
    <t>발렛파킹 가능 리스트</t>
  </si>
  <si>
    <t>개인사업자도 신청할수있나요</t>
  </si>
  <si>
    <t>평잔 500만원이면 신청불가한가요</t>
  </si>
  <si>
    <t>개인사업자인데, 사업자 번호확인이 안된다고 나오네요</t>
  </si>
  <si>
    <t>개인사업자는 안되는 건가요</t>
  </si>
  <si>
    <t>"현재 구글 직결제로 8명 Standard 사용 중인데, 리셀러 전환 상담 원합니다. 관리자 2명은 Standard, 팀원 6명은 Starter로 섞어서 쓰고 싶고 견적서 부탁드립니다."</t>
  </si>
  <si>
    <t>월 단위 탄력 요금제 사용 중
 모두 스탠다드 사용 중임</t>
  </si>
  <si>
    <t>리아온 
 ceo@leaon.kr
  Starter 6명, Standard 2명</t>
  </si>
  <si>
    <t>노트북 렌탈 후 분실하면 어떻게 되나요</t>
  </si>
  <si>
    <t>외국인등록증으로 대표자 인증이 안됩니다</t>
  </si>
  <si>
    <t>it구독</t>
  </si>
  <si>
    <t>it 구독 한도 추가 요청</t>
  </si>
  <si>
    <t>월 1,130,000원
 도입예정일 2/20까지</t>
  </si>
  <si>
    <t>장바구니 그대로</t>
  </si>
  <si>
    <t>어떻게 되었나요?</t>
  </si>
  <si>
    <t>장비 매각하고 싶어요</t>
  </si>
  <si>
    <t>고객센터에 남길 수 있나요?</t>
  </si>
  <si>
    <t>고객센터에 연결해주세요</t>
  </si>
  <si>
    <t>장비 매각을 아직 진행하는 지 문의 드립니다</t>
  </si>
  <si>
    <t>고위드 구독 운영팀 유왕수입니다.
 기다려 주셔서 감사합니다.
 장비 매각 진행합니다.
 관련하여 안내를 도와드릴까요?</t>
  </si>
  <si>
    <t>네넵! 부탁 드립니다!</t>
  </si>
  <si>
    <t>기기 판매 신청하는 페이지 안내드립니다.
 해당 페이지는 저희 협력사와 같이 진행하는 페이지 입니다.
 IT 장비 중고 매각</t>
  </si>
  <si>
    <t>@고위드 권민규 매니저 
 안녕하세요, 민규님 해당 건 상담 종료가 되어서 완료 처리 부탁드립니다.</t>
  </si>
  <si>
    <t>카드 비용 정산이 매월 몇일이야?</t>
  </si>
  <si>
    <t>그럼 직원들이 제대로 자료를 안 올려도 사용한만큼은 일단은 결제가 되는거지?</t>
  </si>
  <si>
    <t>지금 해외 결제가 승인된게 맞아?</t>
  </si>
  <si>
    <t>우리는 기명이야 무기명이야?</t>
  </si>
  <si>
    <t>카드에는 다 candid inc. 로 되어 있는데? 이건 내가 임의로 배정한거긴해</t>
  </si>
  <si>
    <t>상담원 연결 필요</t>
  </si>
  <si>
    <t>담당자님 안녕하세요, 고위드입니다.
 문의 내용 남겨주시면 확인 후 안내 드리겠습니다. 감사합니다.</t>
  </si>
  <si>
    <t>안녕하세요. 어제 고위드 총 한도 상향신청을 하였는데 승인까지 얼마나 걸릴까요?? 저번에 요청드렸을 때, 고위드측인지 카드사측인지 심사 누락이 있었어서 대기시일이 오래걸렸던 것으로 압니다. 확인 부탁드립니다.</t>
  </si>
  <si>
    <t>고객님 기다려주셔서 감사합니다. 작일 오후 12시 경 내부적으로 한도 신청이 완료된 것으로 확인됩니다. 지출관리 - 왼쪽 사이드 바 카드사 입회. 한도신청 페이지에서 '심사중'으로 확인되실텐데요, 카드사 측 심사가 진행되고 있는 것으로 확인됩니다.
 이러한 경우 카드사 측 한도 상향 승인의 경우 영업일 기준 1~2일 가량 소요될 예정이며, 소득 증빙 서류 등 추가 자료 제출이 필요한 경우에는 상담원 연결 및 심사 과정에 따라 일정시간 소요될 수 있는 점 안내드립니다.</t>
  </si>
  <si>
    <t>네 확인했습니다. 별도 자료 제출이 필요없는 경우라면 내일 혹은 차주 월요일중으로 결과 확인이 되는 것으로 이해 하면 되겠네요</t>
  </si>
  <si>
    <t>네 맞습니다. 😀 혹여나 지연되는 경우라면 이메일로 별도의 안내가 진행됩니다. 해당 부분 참고하시어 카드사 측 요구 서류 및 사항들 제출 진행해주시면 되겠습니다.
 저희가 추가로 도움드릴 내용이 있으실까요?</t>
  </si>
  <si>
    <t>별도 추가 문의는 없습니다. 감사합니다. :)</t>
  </si>
  <si>
    <t>안녕하세요 :)
 사용중인 렌탈 장비를 분실했는데, 관련하여 비용 문의드립니다.
 장비 : LG그램 17인치(i7, window 10 pro)
 S/N : 201NZTS091009
 렌탈일 : 2022-06-20
 해당 장비 분실로, 비용 문의드립니다.</t>
  </si>
  <si>
    <t>이용금액 0원, 거래상태 승인 인 이용건수들도 모두 제출 해야하나요~?</t>
  </si>
  <si>
    <t>전화문의</t>
  </si>
  <si>
    <t>구글워크스페이스 구독관련문의</t>
  </si>
  <si>
    <t>라이선스가 있는데 계정생성이 안되는상황</t>
  </si>
  <si>
    <t>스위트스팟이고</t>
  </si>
  <si>
    <t>라이선스 여분은 3개 이상 있는거로 확인되는데 계정생성이 안됨</t>
  </si>
  <si>
    <t>그냥 사람이랑 연결을 해주세요</t>
  </si>
  <si>
    <t>저희 오늘 급한데 답변 언제 들을 수 있을까요?</t>
  </si>
  <si>
    <t>안녕하세요, 고위드 구독 운영팀 유왕수입니다.
 기다려주셔서 감사합니다.
 - 도메인 : sweetspot
 위 도메인이 맞으실까요?
 현재 아래와 같이 여유분이 있는 걸로 확인이 되는데요.
 계정 추가를 희망하시는 요금제가 스타터 요금제 맞으실까요?
 - 비즈니스 스탠다드 요금제 : 라이선스 1개 여유분
 - 비즈니스 스타터 요금제 : 라이선스 3개 여유분</t>
  </si>
  <si>
    <t>모자라면 추가하는게 맞는데</t>
  </si>
  <si>
    <t>현재 라이선스 여분이 있음에도 불과하고</t>
  </si>
  <si>
    <t>아이디생성이안됩니다</t>
  </si>
  <si>
    <t>해당 오류에 대해 확인을 했고 구글 측에 저희가 확인 후 안내를 도와드리겠습니다.</t>
  </si>
  <si>
    <t>계정 하나 생성이 오늘 필요한데 오늘중에는 해결 안되나요</t>
  </si>
  <si>
    <t>혹시 계정 생성시 뜨는 오류를 스크린샷 해주실 수 있으실까요?</t>
  </si>
  <si>
    <t>전달드린걸로 알고있습니다</t>
  </si>
  <si>
    <t>오늘중에 해결이 안되는걸까요</t>
  </si>
  <si>
    <t>해당 내용 확인 중에 있습니다! 오늘 중으로 빠르게 도와드리고자 합니다.
 말씀 하신대로 라이선스 수가 있는 것으로 확인 됐는데요!
 확인 되는 오류 페이지의 스크린샷을 채널톡 통해 첨부 해주셔야 원활하게 해결이 가능합니다.</t>
  </si>
  <si>
    <t>혹은 화면 내 송출 되는 오류 문구를 말씀 해주시겠어요?</t>
  </si>
  <si>
    <t>저희도 라이선스 부여를 해드려야 업무가 진행이되어서 확인 부탁드립니다.</t>
  </si>
  <si>
    <t>네, 해당 내용 빠르게 구글에 확인하여 답변 드릴 수 있도록 하겠습니다.
 서비스 이용에 불편 드려 죄송합니다.</t>
  </si>
  <si>
    <t>담당자님!
 오래 기다려주셔서 감사합니다.
 시크릿 모드로 진행을 다시 한 번 해보고, 이후로도 진행이 되지 않으면 구글 측에서도 별도의 기술 점검을 진행해야 한다는 답변을 받았습니다.
 우선, 시크릿 모드로 추가 진행 해보시고, 결과를 말씀 해주시면 감사 드립니다.
 1. 먼저, 크롬 브라우저 오픈
 2. 우측상단에 점 3개 아이콘 클릭
 3. 새 시크릿 창 클릭 하시면 검은색 크롬 브라우저가 나옵니다. 
 4. 이후 콘솔 로그인하여, 동일하게 추가 진행 후 결과를 말씀 해주시면 감사 드립니다.
 감사합니다.</t>
  </si>
  <si>
    <t>담당자님! 현재 스타터 계정으로 한개 추가 하신 점 확인 했습니다.
 앞으로도 동일한 현상 확인 시 시크릿 모드로 진행 해주시면 감사 드립니다.</t>
  </si>
  <si>
    <t>구글 워크스페이스 계정 추가</t>
  </si>
  <si>
    <t>구글 워크스페이스 계정을 추가해서 사용자를 늘리고 싶으신 걸</t>
  </si>
  <si>
    <t>멤버관리
 - 퇴직자와 신규등록멤버의 이메일주소 겹치는 문제 발생</t>
  </si>
  <si>
    <t>겹치는 이메일은 
 celine.kim@healingpaper.com
 입니다</t>
  </si>
  <si>
    <t>네 고객님, 기다려주셔서 감사합니다. 
 동일한 이메일 주소는 중복 등록이 되지 않기 때문에, 신규 멤버를 등록하려면 기존 퇴직자의 이메일을 비워주어야 합니다. 현재 퇴직자 상태가 퇴직상태인지 확인부탁드립니다.</t>
  </si>
  <si>
    <t>고위드 지출관리 설정 내 '멤버 관리' 메뉴에서 해당 멤버의 '정보 수정' 버튼을 통해 이메일 주소를 변경할 수 있는데요, 해당 정보 수정 진행 이후에 신규 멤버 등록 진행을 해보시는 것을 권장드립니다.
 혹여나 해당 경로로 진행하셨으나 진행되지 않는 경우 문의주시면 확인 도움 드리도록 하겠습니다.</t>
  </si>
  <si>
    <t>퇴사하신분 정보수정으로 들어가도 메일수정이
 불가능하게 나옵니다</t>
  </si>
  <si>
    <t>현주님 퇴사자분의 
 성함 / 변경하실 메일 주소
 보내주시면 즉시 변경 도와드리도록 하겠습니다!</t>
  </si>
  <si>
    <t>Celine 김희선 
 penny.chavairin@healingpaper.com
 입니다
 변경은 그냥 -1@healingpaper.com
 으로 부탁드립니다</t>
  </si>
  <si>
    <t>Celine 김희선님의 메일 주소를 1@healingpaper.com로 변경 완료해드렸습니다. 새로고침하셔서 확인 부탁드리겠습니다. 감사합니다</t>
  </si>
  <si>
    <t>확인되었습니다!
 감사합니다!</t>
  </si>
  <si>
    <t>법인전화번호가 핸드폰 번호일 경우는 어떡하죠?</t>
  </si>
  <si>
    <t>카드별 승인상태 전체 승인방법</t>
  </si>
  <si>
    <t>직원을 슈퍼관리자로 임명했는데 대시보드 탭은 보이나 한도가 확인이 안돼요</t>
  </si>
  <si>
    <t>박현준 님의 아이디이고, 대시보드 메뉴 및 한도정보는 보이나 회색으로 표시되고 금액이 안보여요</t>
  </si>
  <si>
    <t>고위드 법인 개인기명 카드대금 자동출금 시간 궁금합니다</t>
  </si>
  <si>
    <t>그럼 은행마다 출금 시간이 다른가요?</t>
  </si>
  <si>
    <t>고위드 개인기명 카드 즉시 출금 요청합니다.</t>
  </si>
  <si>
    <t>롯데 고위드</t>
  </si>
  <si>
    <t>사용자 분실 재발급 방법</t>
  </si>
  <si>
    <t>분실신고완료후 절차</t>
  </si>
  <si>
    <t>홈페이지내에서 재발급 화면이 안보이면</t>
  </si>
  <si>
    <t>기명자가 발급완료로 확인되어
 재발급 어렵다고 할때 관리자가 재발급신청해줘야해?</t>
  </si>
  <si>
    <t>안녕하세요 심사결과는 언제나오나요?</t>
  </si>
  <si>
    <t>기다려주셔서 감사합니다. 현재 롯데 카드 측에서 심사 진행 중에 있는 것으로 확인되며, 차주 초 해당 심사가 마쳐질 것으로 확인됩니다. 추석이 껴 있어 일정시간 소요되는 점 너른 양해 바라며, 심사가 완료되면 별도 안내 메일이 진행될 예정입니다.</t>
  </si>
  <si>
    <t>안녕하세요 구글 워크스페이스 추가신청하였는데 날짜변경은 어떻게 해야하나요?</t>
  </si>
  <si>
    <t>안보여요</t>
  </si>
  <si>
    <t>담당자 연결 부탁드립니다!</t>
  </si>
  <si>
    <t>정확하게 문의드리자면 
 3.3입사이신 분들을 위해 신청하였으나
 구글 계정추가를 위해 그 전부터 신청해야할지 질문드립니다</t>
  </si>
  <si>
    <t>안녕하세요. 고위드 구독 운영팀 유왕수입니다.
 기다려주셔서 감사합니다.
 오늘 오전 11시 30분에 라이선스 3개 신청을 하셨는데요.(적용일 3월 3일)
 3월 3일에 라이선스 활성화 되면 입사자 분들의 계정 추가가 가능합니다.</t>
  </si>
  <si>
    <t>그러면 날짜 변경하고싶은데 취소 부탁드려도될까요? 다시 신청하도록 하겠습니다</t>
  </si>
  <si>
    <t>네 잠시만요!</t>
  </si>
  <si>
    <t>혹시 희망하시는 날짜가 있으실까요?</t>
  </si>
  <si>
    <t>3월 2일 희망합니다!</t>
  </si>
  <si>
    <t>혹시 3월 3일전에 등록하고 미사용도 안 되는거죠 ? :)</t>
  </si>
  <si>
    <t>기다려주셔서 감사합니다.
 구글 정책상 라이선스가 활성화 되는 순간부터 비용이 발행하는 점 양해 부탁드립니다.</t>
  </si>
  <si>
    <t>넵 그러면 3월2일로 요청드립니다!</t>
  </si>
  <si>
    <t>넵! 알겠습니다. 3월 2일 라이선스 3개 추가 요청드리기 앞서,
 3월 2일 대체 휴일이라서요. 
 혹시.. 출근하셔서 세팅 예정이실까요?</t>
  </si>
  <si>
    <t>말씀주신 날짜에 추가는 가능한데요.
 계정 생성에 대해 담당자님의 진행 가능여부를 확인차 여쭙습니다!</t>
  </si>
  <si>
    <t>혹 그러면 3월 3일 딱 되는 12시에 바로 세팅가능할까요!?</t>
  </si>
  <si>
    <t>3월 3일 자정 조금 넘어서 라이선스 추가가 됩니다!
 괜찮으실까요?</t>
  </si>
  <si>
    <t>네네 괜찮습니다 오전에 세팅하면 될것같습니다 :)</t>
  </si>
  <si>
    <t>넵 알겠습니다.
 그럼 변동 없이 3월 3일(00시 ~ 01시 사이)에 3개의 라이선스 추가가 되는 것으로 진행하겠습니다.</t>
  </si>
  <si>
    <t>@고위드 권민규 매니저 
 안녕하세요, 민규님 오랜만입니다.
 해당 상담 끝나서 셔터 좀 닫아주심 감사하겠습니다.</t>
  </si>
  <si>
    <t>롯데 고위드 법인카드 사용 중인데 카드별 한도를 다르게 설정하고 싶어요</t>
  </si>
  <si>
    <t>카드 한도 상향 신청이 아직도 신청중에 있습니다. 언제 승인 날까요?</t>
  </si>
  <si>
    <t>직원에게 물어볼수 있을까요?</t>
  </si>
  <si>
    <t>고맙습니다.</t>
  </si>
  <si>
    <t>네 감사합니다. 추가로 문의 주실 내용이 있으실까요?</t>
  </si>
  <si>
    <t>없습니다. 수고하세요</t>
  </si>
  <si>
    <t>구글 워크스페이스를 작년에 탄력 요금제 조정을 했는데, 왜 27년에 적용이 되니?</t>
  </si>
  <si>
    <t>상담원과 대화하고 싶다</t>
  </si>
  <si>
    <t>고위드 측에 위 건으로 탄력 조정을 요청했는데, 왜 27년도에 적용이 되는거야?</t>
  </si>
  <si>
    <t>상담원 연결을 해줘</t>
  </si>
  <si>
    <t>맞아</t>
  </si>
  <si>
    <t>비즈니스 플러스의 16개에 대해
 작년에 탄력으로 변경 요청했으나,
 현재 상황을 보니 27년 1월에 탄력이 적용된다고 되어 있어서요.</t>
  </si>
  <si>
    <t>안녕하세요 박승표님 ☺️
 고위드 김일경 매니저입니다.
 해당 내용 확인하여 답변 드릴 수 있도록 하겠습니다. 잠시만 기다려주시겠어요?</t>
  </si>
  <si>
    <t>FUEL 거래처 정보를 등록하고 있습니다. 
 거래처에게 받은 서류를 등록 할 때 제가 등록을 하는것이라면 대리인 위임장이 필요한강교?</t>
  </si>
  <si>
    <t>후불교통카드를 재발급말고 막을 수 있는 방법은 업성 ?</t>
  </si>
  <si>
    <t>주유되는카드</t>
  </si>
  <si>
    <t>고위드 법인카드 주유</t>
  </si>
  <si>
    <t>카드 변경</t>
  </si>
  <si>
    <t>재발급한 카드 등록</t>
  </si>
  <si>
    <t>신한카드, 관리자는 아니야</t>
  </si>
  <si>
    <t>내 정보에 오류가 있습니다.
 이름, 권한이 잘못되어 있습니다.</t>
  </si>
  <si>
    <t>이름은 '손미경', 권한은 '회사 총괄 관리자' 입니다.</t>
  </si>
  <si>
    <t>이메일은 맞습니다.</t>
  </si>
  <si>
    <t>고객님, 혹시 어떤 오류가 발생한 화면을 캡쳐 후 저희 측에 공유해주실 수 있으실까요?</t>
  </si>
  <si>
    <t>황중식님의 직책, 권한, 이메일 변경이 필요하신 상황이 맞으실까요? 원하시는 사항 말씀주시면 변경 지원해드리겠습니다.</t>
  </si>
  <si>
    <t>저는 손미경 입니다.
 제 ID/PW로 로그인했는데 황중식님으로 내 정보가 나오고 있는 상황입니다.
 손미경-부사장-기관 총관리자(권한 부여 요청)
 나머지는 이메일은 맞습니다.</t>
  </si>
  <si>
    <t>최종 목적은 한도를 상향하고자 로그인했는데, 권한이 없는 것으로 나오고 있습니다.</t>
  </si>
  <si>
    <t>고객님, 로그인하실 때 사용하셨던 이메일 확인해주실 수 있으실까요?</t>
  </si>
  <si>
    <t>sonmk@orgasis.co.kr</t>
  </si>
  <si>
    <t>메일로 받은 정보에 따라 기업 총한도를 높이고자 합니다.</t>
  </si>
  <si>
    <t>네 고객님, 현재 손미경님께서는 son**76@gmail.com 로 로그인 하신 것으로 확인되시는데요, 혹시 해당 이메일로 변경하시어 재로그인 해주실 수 있으실까요?</t>
  </si>
  <si>
    <t>고객님, 혹시 문제 해결된 상황이실까요? 😀
 장시간 답변이 없으실 경우 상담이 종료될 예정입니다. 
 감사합니다.</t>
  </si>
  <si>
    <t>빠르고 친절하게 대응해 주셨습니다.</t>
  </si>
  <si>
    <t>구글 워크 스테이션</t>
  </si>
  <si>
    <t>구글 워크스페이스</t>
  </si>
  <si>
    <t>현재 사용자중 2명 퇴사해서 신규 인원으로 메일 등을 다시 세팅해야 하는데 어떻게 해야 하는지</t>
  </si>
  <si>
    <t>안녕하세요!
 비활성카드 삭제하고 싶은데 어떻게 없앨 수 있을까요?</t>
  </si>
  <si>
    <t>라이선스 추가하려면</t>
  </si>
  <si>
    <t>9409로 시작하는 카드는 실물 카드가 아닌가요?</t>
  </si>
  <si>
    <t>실물카드 받기도 전에 카드 하나가 activation 되어 있는데요</t>
  </si>
  <si>
    <t>안녕하세요! 금일 카드 대금 결제일로 알고 있는데 몇 시쯤 은행 계좌에서 출금될까요?</t>
  </si>
  <si>
    <t>안녕하세요! 결제 계좌에 카드 대금은 충분히 입금되어 있는데 아직 한도가 변경되지 않아 한도 변경은 언제 이루어지는지 궁금합니다!</t>
  </si>
  <si>
    <t>카드 이용 내역 삭제하는 방법 문의드립니다!</t>
  </si>
  <si>
    <t>마이페이지</t>
  </si>
  <si>
    <t>정보수정</t>
  </si>
  <si>
    <t>연락처 변경</t>
  </si>
  <si>
    <t>내정보</t>
  </si>
  <si>
    <t>추가심사진행중이라고 하는데, 지난주에 신청했거든요. 언제 완료가 될까요?</t>
  </si>
  <si>
    <t>심사기간만 알고싶습니다</t>
  </si>
  <si>
    <t>롯데카드심사</t>
  </si>
  <si>
    <t>구글 워크스페이스 사용중이었는데 카드 유효기간이 만료되어서 갱신하고 싶어요</t>
  </si>
  <si>
    <t>[구독] 잘못된 요청입니다. 담당자에게 문의해주세요.
 라고 나오네요</t>
  </si>
  <si>
    <t>신규 카드 발급
 logo
 신한카드
 신청 한도
 1,000,000
 원
 -&gt; 이렇게 방금 카드사 입회 ・ 한도 신청 완료했음. 
 카드 발급 완료까지 걸리는 시간이 얼마나 걸리는지 알고 싶음</t>
  </si>
  <si>
    <t>메일주소 잘못적었어요</t>
  </si>
  <si>
    <t>네 고객님, 혹시 멤버 정보 변경이 필요하신 상황이실까요? 
 정확한 정보 확인을 위해 법인명과 사업자 번호 함께 알려주시면 감사하겠습니다.</t>
  </si>
  <si>
    <t>📌 기존 상담: (https://desk.channel.io/gowid/user-chats/%EC%A3%BC%EC%8B%9D%ED%9A%8C%EC%82%AC+%ED%8A%B8%EC%9C%84%EB%84%AC-6996af7c373f0a18ddaf)</t>
  </si>
  <si>
    <t>-----Original Message-----
 From: "고위드 신현덕 매니저"&lt;team@gowid.mail.channel.io&gt;
 To: "주식회사 트위넬"&lt;twinel22@naver.com&gt;;
 Cc:
 Sent: 2026-02-19 (목) 15:40:08 (GMT+09:00)
 Subject: [고위드 Gowid] 네 고객님, 혹시 멤버 정보 변경이 필요하신 상황이실까요?
 고위드 신현덕 매니저 : 
 네 고객님, 혹시 멤버 정보 변경이 필요하신 상황이실까요?
 정확한 정보 확인을 위해 법인명과 사업자 번호 함께 알려주시면 감사하겠습니다.
 고위드 Gowid
 이메일로 바로 답장하거나 메신저로 대화할 수 있습니다.
 이 메일은 채널톡에서 발송되었습니다.</t>
  </si>
  <si>
    <t>담당자님, 기다려주셔서 감사합니다. 현재 고위드 회원가입이 완료되지 않아 정보 수정이 불가한 것으로 확인됩니다. 회원가입 완료 이후 저희 측에서 이메일로 변경 진행 도움 드리도록 하겠습니다.</t>
  </si>
  <si>
    <t>한도를 일반 법인카드보다 좋게 나온다고 하는데, 이를 위해 연동ㆍ제출하여야 하는 특수한 정보나 로그인 정보가 있나요?</t>
  </si>
  <si>
    <t>메일에는 한도심사결과끝났다고 나오느데 사이트에 로그인하면 한도심사중이라고 나오는데요</t>
  </si>
  <si>
    <t>몇일째 그러고 있습니다. 내부 확인부탁드립니다.</t>
  </si>
  <si>
    <t>신청 전 영어이름 바꾸고 싶스빈다</t>
  </si>
  <si>
    <t>신청 전 영어이름 변경</t>
  </si>
  <si>
    <t>지출관리 방식이 궁금합니다.</t>
  </si>
  <si>
    <t>전체 구조 및 이용방법 및 비용 문의드립니다.</t>
  </si>
  <si>
    <t>안녕하세요, 문의주신 내용 확인중에 있습니다.</t>
  </si>
  <si>
    <t>본인 인증 불가한 이메일 계정입니다
 jmk@awesomeent.kr
 seb@awesomeen.kr
 혹시 추가로 필요하실까해서 관련 정보 추가로 전달드리겠습니다.
 * 사업자등록번호: 7318601994
 * 법인카드 유형: 개인명의 법인카드
 * 카드 종류: 롯데법인카드 (고위드 롯데법인카드 후불교통 MASTER 임원용)</t>
  </si>
  <si>
    <t>seb@awesomeent.kr
 오타가 있어서 이메일 하나 다시 보내드려요!</t>
  </si>
  <si>
    <t>고객님, 번거로우시겠지만 롯데법인카드 웹 페이지에서 로그인 이후에 해당 절차를 진행해주셨을까요?</t>
  </si>
  <si>
    <t>선정산 할 수 있는 방법은 없을까요?</t>
  </si>
  <si>
    <t>고위드 카드 갱신</t>
  </si>
  <si>
    <t>지금 법인 카드 결제가 안되서 사용이 안되는데 오늘 안에 결제 되나요?</t>
  </si>
  <si>
    <t>상담원 연결해줘</t>
  </si>
  <si>
    <t>지금 법인 카드 결제가 안되서 사용이 안되고, 한도심사도 심사완료인데 아직 진행이 안되서 해결 부탁드립니다</t>
  </si>
  <si>
    <t>안녕하세요. 장한솔님. 고위드 카드사업부 리드 김태현입니다. 
 카드 결제가 안된다는 내용 확인해서 연락드립니다.</t>
  </si>
  <si>
    <t>담당자님, 해당 문제 관련하여 유선으로 안내드린 것으로 확인됩니다.
 혹시 문제는 해결되셨을까요?</t>
  </si>
  <si>
    <t>감사합니다. 장시간 답변이 없으셔서 이번 상담은 여기서 종료하도록 하겠습니다.
 추가적인 문의가 있으시면 새로운 창에서 문의 부탁드립니다.
 좋은 하루 되시길 바랍니다 :)</t>
  </si>
  <si>
    <t>잔액부족시 즉시결제는 어떻게 이용하나요?</t>
  </si>
  <si>
    <t>해지하고싶어요</t>
  </si>
  <si>
    <t>해지하는 방법 알려주세요.</t>
  </si>
  <si>
    <t>고객님, IT기기, 커피머신 등 구독 상품을 이용 중에 계실까요?</t>
  </si>
  <si>
    <t>@고위드 신현덕 매니저 님! 구독 해지 건이면 바로 캐치 할게요!</t>
  </si>
  <si>
    <t>구독상품 이용하는거 없어요</t>
  </si>
  <si>
    <t>네 담당자님, 혹시 개별 법인카드 해지를 말씀주시는걸까요? 고위드 탈회를 요청주시는 걸까요?</t>
  </si>
  <si>
    <t>고위드 탈퇴요</t>
  </si>
  <si>
    <t>고위드에서 연결해준 롯데 법인카드는 사용예정없고 고위드는 탈퇴할려고 합니다.</t>
  </si>
  <si>
    <t>네 담당자님, 말씀주셔서 감사합니다. 혹시 사용예정에 없는 사유를 간단히 여쭤봐도 괜찮으실까요? 소중한 의견 주시면 개선사항에 반영하도록 하겠습니다.</t>
  </si>
  <si>
    <t>타 법인카드는 한도가 7천8천 입니다. 고위드 롯데카드는 한도가 200인데....</t>
  </si>
  <si>
    <t>없어도 될 것같아요.</t>
  </si>
  <si>
    <t>네 소중한 의견 감사합니다. 다만 탈회의 경우 유선상으로 관련 절차를 진행하고 있습니다. 저희 측에서 탈회 진행 도움 드릴텐데요, 혹시 고위드 웹에서 별도로 한도 상향 신청을 해보셨으나 동일하게 한도가 200만원으로 확인되는 상황이실까요?</t>
  </si>
  <si>
    <t>상향안할려구요. 작년에 한도 올려준다고 연락와서 트라이해봤는데 뭐 오히려 한도 줄여주시드라구요.</t>
  </si>
  <si>
    <t>결산 곧 나오니 쓰고있는 카드 한도 올리는게 더 빠를듯 합니다.</t>
  </si>
  <si>
    <t>아래 요청하신 고객 문의 내용을 정리해 드립니다.
 - 법인명: (정보 없음)
 - 사업자번호: (정보 없음)
 - 문의 경로: 채널톡
 - 문의 고객 성함 및 이메일: 최진주 (이메일 정보 없음)
 - 문의 인입 일시: (정보 없음)
 - 문제 요약: 고위드 롯데 법인카드 한도가 타사 법인카드 대비 낮고, 과거 한도 상향 시도 시 오히려 한도 감소 경험이 있어 고위드 탈퇴를 요청함
 - 발생 시점: 작년에 고위드 롯데 법인카드 한도 상향 시도 시 경험 (반복된 현상 아님)
 - 고객영향도: 중</t>
  </si>
  <si>
    <t>네 고객님, 말씀 감사합니다. 저희 측에서 유선으로 안내 진행드릴텐데요, 편하신 시간대 말씀주시면 감사하겠습니다.</t>
  </si>
  <si>
    <t>1시에 부탁드립니다.</t>
  </si>
  <si>
    <t>네 감사합니다 담당자님, 13시에 유선 연락드리도록 하겠습니다.</t>
  </si>
  <si>
    <t>고객님, 답변이 없으셔서 이번 상담은 여기서 종료하도록 하겠습니다.
 다른 문의가 있으시면 새로운 창에서 문의 부탁드립니다.
 좋은 하루 되시길 바랍니다 :)</t>
  </si>
  <si>
    <t>6996f539543f3184a912</t>
  </si>
  <si>
    <t>로긴페이지를 알 수가 없습니다</t>
  </si>
  <si>
    <t>회원가입은 했는데 한도신청을 못했어요</t>
  </si>
  <si>
    <t>profile.name</t>
  </si>
  <si>
    <t>profile.authorities</t>
  </si>
  <si>
    <t>profile.companyname</t>
  </si>
  <si>
    <t>profile.corp_number</t>
  </si>
  <si>
    <t>profile.coregroup</t>
  </si>
  <si>
    <t>profile.profile</t>
  </si>
  <si>
    <t>profile.email</t>
  </si>
  <si>
    <t>profile.mobileNumber</t>
  </si>
  <si>
    <t>profile.landlineNumber</t>
  </si>
  <si>
    <t>profile.description</t>
  </si>
  <si>
    <t>profile.firstName</t>
  </si>
  <si>
    <t>profile.lastName</t>
  </si>
  <si>
    <t>memberId</t>
  </si>
  <si>
    <t>member</t>
  </si>
  <si>
    <t>sessionsCount</t>
  </si>
  <si>
    <t>city</t>
  </si>
  <si>
    <t>province</t>
  </si>
  <si>
    <t>country</t>
  </si>
  <si>
    <t>timeZone</t>
  </si>
  <si>
    <t>hasPushToken</t>
  </si>
  <si>
    <t>language</t>
  </si>
  <si>
    <t>lastSeenAt</t>
  </si>
  <si>
    <t>profile.회사명</t>
  </si>
  <si>
    <t>mobile.appName</t>
  </si>
  <si>
    <t>mobile.appVersion</t>
  </si>
  <si>
    <t>mobile.device</t>
  </si>
  <si>
    <t>mobile.lastSeenAt</t>
  </si>
  <si>
    <t>mobile.os</t>
  </si>
  <si>
    <t>mobile.osName</t>
  </si>
  <si>
    <t>mobile.sessionsCount</t>
  </si>
  <si>
    <t>unsubscribeEmail</t>
  </si>
  <si>
    <t>unsubscribeTexting</t>
  </si>
  <si>
    <t>web.browser</t>
  </si>
  <si>
    <t>web.browserName</t>
  </si>
  <si>
    <t>web.device</t>
  </si>
  <si>
    <t>web.lastSeenAt</t>
  </si>
  <si>
    <t>web.os</t>
  </si>
  <si>
    <t>web.osName</t>
  </si>
  <si>
    <t>web.sessionsCount</t>
  </si>
  <si>
    <t>profile.lastCheckoutCompletedAt</t>
  </si>
  <si>
    <t>profile.profileuserid</t>
  </si>
  <si>
    <t>profile.referrer</t>
  </si>
  <si>
    <t>profile.utmCampaign</t>
  </si>
  <si>
    <t>profile.utmContent</t>
  </si>
  <si>
    <t>profile.utmMedium</t>
  </si>
  <si>
    <t>profile.utmSource</t>
  </si>
  <si>
    <t>profile.utmTerm</t>
  </si>
  <si>
    <t>profile.kakaoProfileAgree</t>
  </si>
  <si>
    <t>profile.ageRange</t>
  </si>
  <si>
    <t>profile.birthday</t>
  </si>
  <si>
    <t>profile.gender</t>
  </si>
  <si>
    <t>hasChat</t>
  </si>
  <si>
    <t>profile.lastUtmSource</t>
  </si>
  <si>
    <t>profile.lastUtmMedium</t>
  </si>
  <si>
    <t>profile.lastUtmCampaign</t>
  </si>
  <si>
    <t>profile.lastUtmContent</t>
  </si>
  <si>
    <t>profile.lastUtmTerm</t>
  </si>
  <si>
    <t>profile.lastReferrer</t>
  </si>
  <si>
    <t>userImportTags</t>
  </si>
  <si>
    <t>EXPENSE:일반 멤버 / SUBSCRIPTION:구독 총괄 관리자 / CARD:일반 멤버 / FUEL:일반 멤버</t>
  </si>
  <si>
    <t>모비두 주식회사 (Mobidoo)</t>
  </si>
  <si>
    <t>120-88-01596</t>
  </si>
  <si>
    <t>비회원</t>
  </si>
  <si>
    <t>jace@mobidoo.co.kr</t>
  </si>
  <si>
    <t>서울시 송파구</t>
  </si>
  <si>
    <t>KR</t>
  </si>
  <si>
    <t>Asia/Seoul</t>
  </si>
  <si>
    <t>2024-09-09T07:31:25.532Z</t>
  </si>
  <si>
    <t>ko</t>
  </si>
  <si>
    <t>2026-02-20T04:51:44.003Z</t>
  </si>
  <si>
    <t>com.gowid.expense</t>
  </si>
  <si>
    <t>2.8.4</t>
  </si>
  <si>
    <t>Apple iPhone</t>
  </si>
  <si>
    <t>2026-02-12T05:05:21.250Z</t>
  </si>
  <si>
    <t>iOS 26.2.1</t>
  </si>
  <si>
    <t>iOS</t>
  </si>
  <si>
    <t>2026-02-20T04:51:44.004Z</t>
  </si>
  <si>
    <t>Chrome 145</t>
  </si>
  <si>
    <t>Chrome</t>
  </si>
  <si>
    <t>Desktop</t>
  </si>
  <si>
    <t>Windows NT ??</t>
  </si>
  <si>
    <t>Windows NT</t>
  </si>
  <si>
    <t>https://gowidsub.imweb.me/</t>
  </si>
  <si>
    <t>authority-01-2026</t>
  </si>
  <si>
    <t>gowid-card-image</t>
  </si>
  <si>
    <t>paid-search</t>
  </si>
  <si>
    <t>google</t>
  </si>
  <si>
    <t>법인카드</t>
  </si>
  <si>
    <t>https://www.google.com/</t>
  </si>
  <si>
    <t>EXPENSE:슈퍼관리자 / SUBSCRIPTION:구독 총괄 관리자 / CARD:슈퍼관리자</t>
  </si>
  <si>
    <t>주식회사 스위트스팟</t>
  </si>
  <si>
    <t>846-86-00225</t>
  </si>
  <si>
    <t>기가입회원/관리자/기존, 핵심고객(8월), 코어그룹, 코어그룹(12월)</t>
  </si>
  <si>
    <t>fiakim@sweetspot.co.kr</t>
  </si>
  <si>
    <t>서울시 영등포구</t>
  </si>
  <si>
    <t>2025-03-27T05:02:18.434Z</t>
  </si>
  <si>
    <t>2026-02-15T01:16:58.867Z</t>
  </si>
  <si>
    <t>2026-02-14T07:20:51.476Z</t>
  </si>
  <si>
    <t>iOS 18.7.1</t>
  </si>
  <si>
    <t>2026-02-15T01:16:58.868Z</t>
  </si>
  <si>
    <t>Edge 144</t>
  </si>
  <si>
    <t>Edge</t>
  </si>
  <si>
    <t>Windows &gt;=10</t>
  </si>
  <si>
    <t>https://payment-gateway.tosspayments.com/</t>
  </si>
  <si>
    <t>EXPENSE:슈퍼관리자 / CARD:슈퍼관리자</t>
  </si>
  <si>
    <t>주식회사 호아파트너스</t>
  </si>
  <si>
    <t>650-86-01021</t>
  </si>
  <si>
    <t>jh.han@eatech.kr</t>
  </si>
  <si>
    <t>서울시 강서구</t>
  </si>
  <si>
    <t>2024-09-26T09:22:59.428Z</t>
  </si>
  <si>
    <t>2026-02-13T08:09:44.046Z</t>
  </si>
  <si>
    <t>2026-02-13T08:09:44.047Z</t>
  </si>
  <si>
    <t>Chrome 144</t>
  </si>
  <si>
    <t>Apple Macintosh</t>
  </si>
  <si>
    <t>Mac OS &gt;=10.15.7</t>
  </si>
  <si>
    <t>Mac OS</t>
  </si>
  <si>
    <t>2025_11_11_channcel_talk_user</t>
  </si>
  <si>
    <t>CARD:슈퍼관리자</t>
  </si>
  <si>
    <t>주식회사 씨앤디</t>
  </si>
  <si>
    <t>858-87-01942</t>
  </si>
  <si>
    <t>cnd3700@cnd.ai</t>
  </si>
  <si>
    <t>인천시 미추홀구</t>
  </si>
  <si>
    <t>2026-01-30T08:04:29.506Z</t>
  </si>
  <si>
    <t>2026-01-30T08:07:38.900Z</t>
  </si>
  <si>
    <t>버킷히어로(주)</t>
  </si>
  <si>
    <t>561-88-03382</t>
  </si>
  <si>
    <t>기가입회원/관리자/신규, 기가입회원/관리자/기존</t>
  </si>
  <si>
    <t>kevin.kim@buckethero.net</t>
  </si>
  <si>
    <t>광주시 서구</t>
  </si>
  <si>
    <t>2024-10-16T02:32:55.649Z</t>
  </si>
  <si>
    <t>2026-02-05T01:45:18.325Z</t>
  </si>
  <si>
    <t>2026-02-05T01:45:18.326Z</t>
  </si>
  <si>
    <t>EXPENSE:슈퍼관리자 / FUEL:슈퍼관리자 / SUBSCRIPTION:구독 총괄 관리자 / CARD:슈퍼관리자</t>
  </si>
  <si>
    <t>주식회사 콘스탄트</t>
  </si>
  <si>
    <t>517-87-01809</t>
  </si>
  <si>
    <t>기가입회원/관리자/기존</t>
  </si>
  <si>
    <t>jaehoon@theconst.kr</t>
  </si>
  <si>
    <t>서울시 마포구</t>
  </si>
  <si>
    <t>2024-09-02T13:25:22.773Z</t>
  </si>
  <si>
    <t>2026-02-12T03:25:24.519Z</t>
  </si>
  <si>
    <t>2026-02-12T03:25:24.520Z</t>
  </si>
  <si>
    <t>2026-02-12T01:27:02.211Z</t>
  </si>
  <si>
    <t>주식회사 어글리랩</t>
  </si>
  <si>
    <t>524-86-02323</t>
  </si>
  <si>
    <t>mayj@uglee.io</t>
  </si>
  <si>
    <t>서울시 강남구</t>
  </si>
  <si>
    <t>2024-10-08T05:58:23.893Z</t>
  </si>
  <si>
    <t>2026-02-20T04:35:48.215Z</t>
  </si>
  <si>
    <t>Samsung SM-S901N</t>
  </si>
  <si>
    <t>2026-02-15T05:35:21.157Z</t>
  </si>
  <si>
    <t>Android 16</t>
  </si>
  <si>
    <t>Android</t>
  </si>
  <si>
    <t>2026-02-20T04:35:48.216Z</t>
  </si>
  <si>
    <t>https://search.naver.com/search.naver?sm=tab_hty.top&amp;where=nexearch&amp;ssc=tab.nx.all&amp;query=%EA%B3%A0%EC%9C%84%EB%93%9C&amp;oquery=%EA%B0%9C%EC%9D%B8%EB%B2%95%EC%9D%B8%EC%B9%B4%EB%93%9C&amp;tqi=iwg5VsqVOsVssS1mLswssssssLV-064300</t>
  </si>
  <si>
    <t>blog</t>
  </si>
  <si>
    <t>주식회사 엔스프링</t>
  </si>
  <si>
    <t>119-86-45571</t>
  </si>
  <si>
    <t>sevocard@sorizava.co.kr</t>
  </si>
  <si>
    <t>경기도 의정부시</t>
  </si>
  <si>
    <t>2024-01-09T04:48:57.396Z</t>
  </si>
  <si>
    <t>2026-02-20T02:17:12.553Z</t>
  </si>
  <si>
    <t>2026-02-20T02:17:12.554Z</t>
  </si>
  <si>
    <t>Edge 145</t>
  </si>
  <si>
    <t>https://timbel.hanbiro.net/</t>
  </si>
  <si>
    <t>https://docs.channel.io/</t>
  </si>
  <si>
    <t>EXPENSE:카드 총괄관리자 / CARD:카드 총괄관리자</t>
  </si>
  <si>
    <t>주식회사 디카르고</t>
  </si>
  <si>
    <t>419-81-02593</t>
  </si>
  <si>
    <t>ghkim@dkargo.io</t>
  </si>
  <si>
    <t>2023-11-30T02:17:48.925Z</t>
  </si>
  <si>
    <t>2026-02-20T04:48:44.194Z</t>
  </si>
  <si>
    <t>2026-02-19T15:25:54.308Z</t>
  </si>
  <si>
    <t>2026-02-20T04:48:44.195Z</t>
  </si>
  <si>
    <t>https://search.naver.com/</t>
  </si>
  <si>
    <t>아티움그룹 주식회사</t>
  </si>
  <si>
    <t>677-88-02368</t>
  </si>
  <si>
    <t>cole0914@naver.com</t>
  </si>
  <si>
    <t>2025-01-07T00:08:14.535Z</t>
  </si>
  <si>
    <t>2026-02-14T01:31:21.930Z</t>
  </si>
  <si>
    <t>2026-02-14T01:31:21.931Z</t>
  </si>
  <si>
    <t>https://search.naver.com/search.naver?ie=UTF-8&amp;query=%EA%B3%A0%EC%9C%84%EB%93%9C&amp;sm=chr_hty</t>
  </si>
  <si>
    <t>card-apply</t>
  </si>
  <si>
    <t>PC-light-251117-NBS-V1</t>
  </si>
  <si>
    <t>naver</t>
  </si>
  <si>
    <t>고위드</t>
  </si>
  <si>
    <t>12f84356-4872-442f-a003-481458c6e03a</t>
  </si>
  <si>
    <t>서울시 성북구</t>
  </si>
  <si>
    <t>2026-02-18T16:04:35.644Z</t>
  </si>
  <si>
    <t>Android Mobile</t>
  </si>
  <si>
    <t>Android ??</t>
  </si>
  <si>
    <t>주식회사 굿컨설팅그룹</t>
  </si>
  <si>
    <t>525-87-00418</t>
  </si>
  <si>
    <t>james.kim@goodconsulting.co.kr</t>
  </si>
  <si>
    <t>경기도 과천시</t>
  </si>
  <si>
    <t>2025-04-16T06:04:23.204Z</t>
  </si>
  <si>
    <t>2026-02-12T06:04:23.151Z</t>
  </si>
  <si>
    <t>2026-02-12T06:04:23.152Z</t>
  </si>
  <si>
    <t>73c08cab-7ff0-41c0-946d-4f102d4159dd</t>
  </si>
  <si>
    <t>서울시 중구</t>
  </si>
  <si>
    <t>2026-02-01T13:42:59.047Z</t>
  </si>
  <si>
    <t>2026-02-09T10:09:23.634Z</t>
  </si>
  <si>
    <t>2026-02-09T10:09:23.635Z</t>
  </si>
  <si>
    <t>Chrome 145.0.7632.41</t>
  </si>
  <si>
    <t>120242291175170606</t>
  </si>
  <si>
    <t>120242291175200606</t>
  </si>
  <si>
    <t>paid</t>
  </si>
  <si>
    <t>ig</t>
  </si>
  <si>
    <t>120242291175180606</t>
  </si>
  <si>
    <t>social</t>
  </si>
  <si>
    <t>link_in_bio</t>
  </si>
  <si>
    <t>CARD:슈퍼관리자 / SUBSCRIPTION:구독 총괄 관리자 / EXPENSE:슈퍼관리자</t>
  </si>
  <si>
    <t>주식회사 라디우스랩</t>
  </si>
  <si>
    <t>567-87-02875</t>
  </si>
  <si>
    <t>기가입회원/관리자/신규, 기가입회원/소지자</t>
  </si>
  <si>
    <t>stompesi@theradius.xyz</t>
  </si>
  <si>
    <t>2026-01-22T08:01:15.802Z</t>
  </si>
  <si>
    <t>2026-02-20T03:17:43.623Z</t>
  </si>
  <si>
    <t>Samsung SM-F966N</t>
  </si>
  <si>
    <t>2026-02-20T01:42:14.453Z</t>
  </si>
  <si>
    <t>주식회사 디에프코퍼레이션</t>
  </si>
  <si>
    <t>808-86-00446</t>
  </si>
  <si>
    <t>기가입회원/관리자/기존, 코어그룹(12월)</t>
  </si>
  <si>
    <t>tax@firstcanvas.co.kr</t>
  </si>
  <si>
    <t>2024-10-30T00:13:36.558Z</t>
  </si>
  <si>
    <t>2026-02-20T03:47:10.986Z</t>
  </si>
  <si>
    <t>Samsung SM-F766N</t>
  </si>
  <si>
    <t>2026-02-03T05:12:16.006Z</t>
  </si>
  <si>
    <t>주식회사 마크비전코리아</t>
  </si>
  <si>
    <t>490-81-01666</t>
  </si>
  <si>
    <t>jiny.jang@marqvision.com</t>
  </si>
  <si>
    <t>2024-10-07T04:44:01.509Z</t>
  </si>
  <si>
    <t>2026-02-13T07:20:46.746Z</t>
  </si>
  <si>
    <t>2026-02-12T04:36:51.597Z</t>
  </si>
  <si>
    <t>iOS 26.1</t>
  </si>
  <si>
    <t>2026-02-13T07:20:46.747Z</t>
  </si>
  <si>
    <t>Firefox 147.0</t>
  </si>
  <si>
    <t>Firefox</t>
  </si>
  <si>
    <t>738f7f9b-8968-4158-a908-dd8c8c2e22a1</t>
  </si>
  <si>
    <t>2026-02-19T08:00:19.971Z</t>
  </si>
  <si>
    <t>2026-02-19T08:34:12.127Z</t>
  </si>
  <si>
    <t>(주)자비스앤빌런즈</t>
  </si>
  <si>
    <t>158-86-00171</t>
  </si>
  <si>
    <t>기가입회원/관리자/기존, 핵심고객(8월), 코어그룹(12월)</t>
  </si>
  <si>
    <t>yunjoo@jobis.co</t>
  </si>
  <si>
    <t>2024-10-02T11:54:43.207Z</t>
  </si>
  <si>
    <t>2026-02-19T07:12:41.571Z</t>
  </si>
  <si>
    <t>2026-02-18T12:31:43.441Z</t>
  </si>
  <si>
    <t>iOS 18.5</t>
  </si>
  <si>
    <t>2026-02-19T07:12:41.572Z</t>
  </si>
  <si>
    <t>https://search.naver.com/search.naver?where=nexearch&amp;sm=top_hty&amp;fbm=0&amp;ie=utf8&amp;query=%EA%B3%A0%EC%9C%84%EB%93%9C</t>
  </si>
  <si>
    <t>https://search.naver.com/search.naver?where=nexearch&amp;sm=top_hty&amp;fbm=0&amp;ie=utf8&amp;query=%EA%B3%A0%EC%9C%84%EB%93%9C&amp;ackey=ol7i18k7</t>
  </si>
  <si>
    <t>EXPENSE:슈퍼관리자 / CARD:슈퍼관리자 / SUBSCRIPTION:구독 총괄 관리자</t>
  </si>
  <si>
    <t>주식회사 열다컴퍼니</t>
  </si>
  <si>
    <t>793-87-02566</t>
  </si>
  <si>
    <t>신한</t>
  </si>
  <si>
    <t>contact@yolda.kr</t>
  </si>
  <si>
    <t>서울시 광진구</t>
  </si>
  <si>
    <t>2023-11-13T08:17:53.023Z</t>
  </si>
  <si>
    <t>2026-02-19T14:45:54.902Z</t>
  </si>
  <si>
    <t>2.7.3</t>
  </si>
  <si>
    <t>Samsung SM-S908N</t>
  </si>
  <si>
    <t>2026-01-28T04:00:09.635Z</t>
  </si>
  <si>
    <t>2026-02-19T14:45:54.904Z</t>
  </si>
  <si>
    <t>주식회사 데이탄소프트</t>
  </si>
  <si>
    <t>326-88-01855</t>
  </si>
  <si>
    <t>기가입회원/관리자/기존, 비회원</t>
  </si>
  <si>
    <t>support@datansoft.com</t>
  </si>
  <si>
    <t>제주도 제주시</t>
  </si>
  <si>
    <t>2024-01-01T02:10:35.024Z</t>
  </si>
  <si>
    <t>2026-02-19T03:03:16.975Z</t>
  </si>
  <si>
    <t>Samsung SM-S926N</t>
  </si>
  <si>
    <t>2026-02-19T03:03:16.976Z</t>
  </si>
  <si>
    <t>2026-02-09T00:33:06.203Z</t>
  </si>
  <si>
    <t>https://corp.lottecard.co.kr/</t>
  </si>
  <si>
    <t>https://www.bing.com/</t>
  </si>
  <si>
    <t>주식회사 마이프랜차이즈</t>
  </si>
  <si>
    <t>584-87-01610</t>
  </si>
  <si>
    <t>dayoung@myfranchise.kr</t>
  </si>
  <si>
    <t>서울시 서초구</t>
  </si>
  <si>
    <t>2025-01-10T04:08:42.684Z</t>
  </si>
  <si>
    <t>2026-02-18T23:52:53.665Z</t>
  </si>
  <si>
    <t>Samsung SM-F956N</t>
  </si>
  <si>
    <t>2026-02-13T05:26:07.041Z</t>
  </si>
  <si>
    <t>2026-02-18T23:52:53.666Z</t>
  </si>
  <si>
    <t>주식회사 브릿센트(BRITCENT Inc.)</t>
  </si>
  <si>
    <t>850-87-01711</t>
  </si>
  <si>
    <t>britcent@britcent.com</t>
  </si>
  <si>
    <t>2024-11-28T07:43:38.504Z</t>
  </si>
  <si>
    <t>2026-01-31T14:09:41.263Z</t>
  </si>
  <si>
    <t>2.8.3</t>
  </si>
  <si>
    <t>2026-01-29T17:43:40.945Z</t>
  </si>
  <si>
    <t>2026-01-31T14:09:41.264Z</t>
  </si>
  <si>
    <t>주식회사 리훈 (RIHOON CO., LTD.)</t>
  </si>
  <si>
    <t>489-88-01777</t>
  </si>
  <si>
    <t>rihoon@rihoon.co.kr</t>
  </si>
  <si>
    <t>서울시 종로구</t>
  </si>
  <si>
    <t>2024-04-02T05:50:25.441Z</t>
  </si>
  <si>
    <t>2026-02-19T08:11:39.920Z</t>
  </si>
  <si>
    <t>2026-02-19T08:11:39.921Z</t>
  </si>
  <si>
    <t>주식회사 미스터아빠</t>
  </si>
  <si>
    <t>448-87-01712</t>
  </si>
  <si>
    <t>jw@papamarket.kr</t>
  </si>
  <si>
    <t>2024-11-15T00:34:32.978Z</t>
  </si>
  <si>
    <t>2026-02-04T01:20:53.236Z</t>
  </si>
  <si>
    <t>2026-02-04T01:20:53.237Z</t>
  </si>
  <si>
    <t>https://search.naver.com/search.naver?where=nexearch&amp;sm=top_sug.pre&amp;fbm=0&amp;acr=2&amp;acq=%EA%B3%A0%EC%9C%84%EB%93%9C&amp;qdt=0&amp;ie=utf8&amp;query=%EA%B3%A0%EC%9C%84%EB%93%9C</t>
  </si>
  <si>
    <t>EXPENSE:카드 총괄관리자 / SUBSCRIPTION:구독 총괄 관리자 / CARD:카드 총괄관리자</t>
  </si>
  <si>
    <t>주식회사 직진코퍼레이션</t>
  </si>
  <si>
    <t>574-88-01930</t>
  </si>
  <si>
    <t>기가입회원/관리자/기존, 핵심고객(8월)</t>
  </si>
  <si>
    <t>lar@we-ar.kr</t>
  </si>
  <si>
    <t>서울시 성동구</t>
  </si>
  <si>
    <t>2024-09-20T07:11:39.032Z</t>
  </si>
  <si>
    <t>2026-02-13T05:50:18.347Z</t>
  </si>
  <si>
    <t>2026-02-13T05:50:18.348Z</t>
  </si>
  <si>
    <t>CARD:슈퍼관리자 / EXPENSE:슈퍼관리자</t>
  </si>
  <si>
    <t>(주）TGWP</t>
  </si>
  <si>
    <t>211-88-10839</t>
  </si>
  <si>
    <t>기가입회원/관리자/신규, 비회원</t>
  </si>
  <si>
    <t>kmkim@tgwp.co.kr</t>
  </si>
  <si>
    <t>2026-02-04T02:40:16.744Z</t>
  </si>
  <si>
    <t>2026-02-20T00:07:23.083Z</t>
  </si>
  <si>
    <t>2026-02-12T02:52:24.561Z</t>
  </si>
  <si>
    <t>2026-02-20T00:07:23.084Z</t>
  </si>
  <si>
    <t>58fa77ac-0946-4d3c-be4e-9d23f38fdc57</t>
  </si>
  <si>
    <t>2026-02-06T02:06:39.034Z</t>
  </si>
  <si>
    <t>2026-02-10T07:38:24.400Z</t>
  </si>
  <si>
    <t>https://blog.gowid.com/</t>
  </si>
  <si>
    <t>workspace-30promotion</t>
  </si>
  <si>
    <t>organic-search</t>
  </si>
  <si>
    <t>bd7b4b89-a046-4941-9621-cb640fcd3603</t>
  </si>
  <si>
    <t>2026-02-17T12:10:42.492Z</t>
  </si>
  <si>
    <t>(주)쿨스쿨</t>
  </si>
  <si>
    <t>314-86-66749</t>
  </si>
  <si>
    <t>konan@coolschool.co.kr</t>
  </si>
  <si>
    <t>경기도 성남시 분당구</t>
  </si>
  <si>
    <t>2026-02-13T00:05:18.220Z</t>
  </si>
  <si>
    <t>2026-02-19T20:51:38.704Z</t>
  </si>
  <si>
    <t>2026-02-19T20:51:38.705Z</t>
  </si>
  <si>
    <t>주식회사 라로제코리아</t>
  </si>
  <si>
    <t>433-87-03789</t>
  </si>
  <si>
    <t>admin@larosee.co.kr</t>
  </si>
  <si>
    <t>2025-01-30T07:14:13.004Z</t>
  </si>
  <si>
    <t>2026-02-20T01:30:09.939Z</t>
  </si>
  <si>
    <t>Samsung SM-F741N</t>
  </si>
  <si>
    <t>2026-02-18T10:49:14.948Z</t>
  </si>
  <si>
    <t>2026-02-20T01:30:09.940Z</t>
  </si>
  <si>
    <t>주식회사 핀케치</t>
  </si>
  <si>
    <t>507-88-01605</t>
  </si>
  <si>
    <t>suhyun.lim@fincatch.co.kr</t>
  </si>
  <si>
    <t>2023-05-11T23:47:14.831Z</t>
  </si>
  <si>
    <t>2026-02-13T03:36:37.346Z</t>
  </si>
  <si>
    <t>2026-02-13T03:36:37.347Z</t>
  </si>
  <si>
    <t>5a68e7c9-22f2-4451-946c-ecba4e708fa9</t>
  </si>
  <si>
    <t>경기도 시흥시</t>
  </si>
  <si>
    <t>2026-02-11T08:12:43.401Z</t>
  </si>
  <si>
    <t>SamsungBrowser 29.0</t>
  </si>
  <si>
    <t>SamsungBrowser</t>
  </si>
  <si>
    <t>Samsung Phone</t>
  </si>
  <si>
    <t>84b16523-9d4e-46b1-b325-05e90fd6f9db</t>
  </si>
  <si>
    <t>2026-01-29T13:49:02.086Z</t>
  </si>
  <si>
    <t>2026-02-04T07:27:57.871Z</t>
  </si>
  <si>
    <t>2026-02-04T07:27:57.872Z</t>
  </si>
  <si>
    <t>https://m.search.naver.com/</t>
  </si>
  <si>
    <t>MO-light-251117-NBS-V1</t>
  </si>
  <si>
    <t>05ed8fb8-5637-41ed-a607-5409694012a3</t>
  </si>
  <si>
    <t>경기도 부천시 원미구</t>
  </si>
  <si>
    <t>2026-02-06T08:08:13.811Z</t>
  </si>
  <si>
    <t>2026-02-06T08:08:13.810Z</t>
  </si>
  <si>
    <t>https://stibee.com/</t>
  </si>
  <si>
    <t>EXPENSE:슈퍼 관리자 / CARD:슈퍼 관리자</t>
  </si>
  <si>
    <t>주식회사 데이터라이즈</t>
  </si>
  <si>
    <t>259-87-01484</t>
  </si>
  <si>
    <t>seongmoo.kim@datarize.ai</t>
  </si>
  <si>
    <t>2025-01-09T02:19:12.927Z</t>
  </si>
  <si>
    <t>2026-02-10T07:36:43.821Z</t>
  </si>
  <si>
    <t>2026-02-10T07:36:43.822Z</t>
  </si>
  <si>
    <t>Chrome 131</t>
  </si>
  <si>
    <t>2025-01-09T05:39:43.161Z</t>
  </si>
  <si>
    <t>주식회사 바닐라브릿지</t>
  </si>
  <si>
    <t>165-86-00709</t>
  </si>
  <si>
    <t>sungman@vanillabridge.com</t>
  </si>
  <si>
    <t>2026-01-22T05:53:47.911Z</t>
  </si>
  <si>
    <t>2026-02-19T01:10:09.709Z</t>
  </si>
  <si>
    <t>2026-02-19T01:10:09.710Z</t>
  </si>
  <si>
    <t>팀스파르타 주식회사</t>
  </si>
  <si>
    <t>783-86-01715</t>
  </si>
  <si>
    <t>기가입회원/관리자/기존, 코어그룹, 코어그룹(12월)</t>
  </si>
  <si>
    <t>eb.ko@teamsparta.co</t>
  </si>
  <si>
    <t>2025-04-14T08:53:57.936Z</t>
  </si>
  <si>
    <t>2026-02-20T03:40:27.969Z</t>
  </si>
  <si>
    <t>2026-02-14T03:15:22.223Z</t>
  </si>
  <si>
    <t>2026-02-20T03:40:27.970Z</t>
  </si>
  <si>
    <t>EXPENSE:카드 총괄관리자 / SUBSCRIPTION:일반 멤버 / CARD:카드 총괄관리자</t>
  </si>
  <si>
    <t>주식회사 에디트콜렉티브</t>
  </si>
  <si>
    <t>318-81-09139</t>
  </si>
  <si>
    <t>he.lim@editcollective.io</t>
  </si>
  <si>
    <t>2025-02-04T02:45:55.654Z</t>
  </si>
  <si>
    <t>2026-02-19T09:08:49.374Z</t>
  </si>
  <si>
    <t>Samsung SM-S937N</t>
  </si>
  <si>
    <t>2026-02-19T04:08:28.827Z</t>
  </si>
  <si>
    <t>2026-02-19T09:08:49.375Z</t>
  </si>
  <si>
    <t>https://gowid.com/</t>
  </si>
  <si>
    <t>(주)바스코리아</t>
  </si>
  <si>
    <t>851-81-02744</t>
  </si>
  <si>
    <t>비회원, 기가입회원/관리자/기존</t>
  </si>
  <si>
    <t>amitie47088@bas-korea.com</t>
  </si>
  <si>
    <t>부산시 강서구</t>
  </si>
  <si>
    <t>2025-11-20T05:09:30.986Z</t>
  </si>
  <si>
    <t>2026-01-26T08:18:24.110Z</t>
  </si>
  <si>
    <t>2026-01-26T08:18:24.111Z</t>
  </si>
  <si>
    <t>주식회사 위버케어</t>
  </si>
  <si>
    <t>336-87-00652</t>
  </si>
  <si>
    <t>genie@weavr.care</t>
  </si>
  <si>
    <t>2025-10-13T02:48:05.632Z</t>
  </si>
  <si>
    <t>2026-02-20T04:21:33.887Z</t>
  </si>
  <si>
    <t>2026-02-12T07:50:51.670Z</t>
  </si>
  <si>
    <t>주식회사 스튜디오오피큐알</t>
  </si>
  <si>
    <t>880-86-03111</t>
  </si>
  <si>
    <t>기가입회원/관리자/신규</t>
  </si>
  <si>
    <t>admin@officementary.com</t>
  </si>
  <si>
    <t>2026-01-06T01:29:15.442Z</t>
  </si>
  <si>
    <t>2026-02-19T23:51:27.165Z</t>
  </si>
  <si>
    <t>2026-02-12T08:44:35.983Z</t>
  </si>
  <si>
    <t>2026-02-19T23:51:27.166Z</t>
  </si>
  <si>
    <t>주식회사 팀블렌드</t>
  </si>
  <si>
    <t>154-86-01241</t>
  </si>
  <si>
    <t>lms@biskit.co</t>
  </si>
  <si>
    <t>서울시 양천구</t>
  </si>
  <si>
    <t>2023-11-30T05:15:49.533Z</t>
  </si>
  <si>
    <t>2026-02-20T02:30:23.595Z</t>
  </si>
  <si>
    <t>2026-02-20T02:30:23.596Z</t>
  </si>
  <si>
    <t>https://www.gowid.com/</t>
  </si>
  <si>
    <t>주식회사 파크로</t>
  </si>
  <si>
    <t>701-88-02550</t>
  </si>
  <si>
    <t>parkro2022@naver.com</t>
  </si>
  <si>
    <t>대구시 북구</t>
  </si>
  <si>
    <t>2026-01-28T02:13:01.250Z</t>
  </si>
  <si>
    <t>2026-02-14T13:59:26.007Z</t>
  </si>
  <si>
    <t>2026-02-14T13:59:26.008Z</t>
  </si>
  <si>
    <t>주식회사 딥서치 (DeepSearch, Inc)</t>
  </si>
  <si>
    <t>603-81-82945</t>
  </si>
  <si>
    <t>ai@deepsearch.com</t>
  </si>
  <si>
    <t>2024-11-26T01:09:55.593Z</t>
  </si>
  <si>
    <t>2026-02-12T06:01:12.191Z</t>
  </si>
  <si>
    <t>2.8.2</t>
  </si>
  <si>
    <t>2026-01-20T04:08:41.732Z</t>
  </si>
  <si>
    <t>iOS 26.2</t>
  </si>
  <si>
    <t>2026-02-12T06:01:12.192Z</t>
  </si>
  <si>
    <t>메이저월드</t>
  </si>
  <si>
    <t>e9138258-e38a-46a9-b80b-41050e0e3a40</t>
  </si>
  <si>
    <t>경기도 화성시</t>
  </si>
  <si>
    <t>2026-01-26T02:05:47.885Z</t>
  </si>
  <si>
    <t>2026-01-26T03:46:18.937Z</t>
  </si>
  <si>
    <t>2026-01-26T03:46:18.938Z</t>
  </si>
  <si>
    <t>주식회사 데어워크</t>
  </si>
  <si>
    <t>189-86-02697</t>
  </si>
  <si>
    <t>jimmy.woo@darewalk.com</t>
  </si>
  <si>
    <t>Seoul</t>
  </si>
  <si>
    <t>2025-06-05T06:55:55.135Z</t>
  </si>
  <si>
    <t>2026-02-20T00:49:40.188Z</t>
  </si>
  <si>
    <t>2026-02-20T00:49:40.189Z</t>
  </si>
  <si>
    <t>굿뉴스에너지 주식회사</t>
  </si>
  <si>
    <t>679-88-03344</t>
  </si>
  <si>
    <t>sk.lee@goodnews.energy</t>
  </si>
  <si>
    <t>2025-06-27T01:46:10.157Z</t>
  </si>
  <si>
    <t>2026-02-20T02:37:38.859Z</t>
  </si>
  <si>
    <t>2026-02-20T02:37:38.860Z</t>
  </si>
  <si>
    <t>모바일닥터</t>
  </si>
  <si>
    <t>211-88-95444</t>
  </si>
  <si>
    <t>seongchul@fevercoach.net</t>
  </si>
  <si>
    <t>경기도 용인시 수지구</t>
  </si>
  <si>
    <t>2024-11-12T07:38:23.329Z</t>
  </si>
  <si>
    <t>2026-01-30T06:32:25.995Z</t>
  </si>
  <si>
    <t>2026-01-30T06:32:25.996Z</t>
  </si>
  <si>
    <t>2026-01-30T04:55:00.825Z</t>
  </si>
  <si>
    <t>(주) 데이터뱅크</t>
  </si>
  <si>
    <t>725-81-01484</t>
  </si>
  <si>
    <t>brianhscho@data-bank.ai</t>
  </si>
  <si>
    <t>2023-11-29T11:14:19.031Z</t>
  </si>
  <si>
    <t>en</t>
  </si>
  <si>
    <t>2026-02-03T01:19:52.641Z</t>
  </si>
  <si>
    <t>2026-02-03T01:19:52.642Z</t>
  </si>
  <si>
    <t>2026-02-01T12:20:04.066Z</t>
  </si>
  <si>
    <t>main-header-bar</t>
  </si>
  <si>
    <t>EXPENSE:일반 멤버 / CARD:일반 멤버</t>
  </si>
  <si>
    <t>주식회사 코코지</t>
  </si>
  <si>
    <t>274-81-02025</t>
  </si>
  <si>
    <t>기가입회원/소지자</t>
  </si>
  <si>
    <t>sanghyun.park@kokozi.house</t>
  </si>
  <si>
    <t>2026-01-27T01:13:14.912Z</t>
  </si>
  <si>
    <t>2026-01-27T04:43:59.595Z</t>
  </si>
  <si>
    <t>2026-01-27T01:18:51.995Z</t>
  </si>
  <si>
    <t>2026-01-27T04:43:59.596Z</t>
  </si>
  <si>
    <t>주식회사 엄마의이유</t>
  </si>
  <si>
    <t>703-86-03890</t>
  </si>
  <si>
    <t>jake0227@naver.com</t>
  </si>
  <si>
    <t>2026-02-06T04:20:55.919Z</t>
  </si>
  <si>
    <t>2026-02-06T07:52:42.916Z</t>
  </si>
  <si>
    <t>2026-02-06T07:52:42.917Z</t>
  </si>
  <si>
    <t>크레플 주식회사(CREFLE Inc.)</t>
  </si>
  <si>
    <t>823-86-01560</t>
  </si>
  <si>
    <t>hs.heo@crefle.com</t>
  </si>
  <si>
    <t>2026-01-14T02:57:04.278Z</t>
  </si>
  <si>
    <t>2026-02-04T07:48:28.529Z</t>
  </si>
  <si>
    <t>2026-02-04T07:48:28.530Z</t>
  </si>
  <si>
    <t>주식회사 줄루웍스</t>
  </si>
  <si>
    <t>559-81-03774</t>
  </si>
  <si>
    <t>kimhaeda@gmail.com</t>
  </si>
  <si>
    <t>경기도 고양시 덕양구</t>
  </si>
  <si>
    <t>2026-02-06T04:18:11.316Z</t>
  </si>
  <si>
    <t>2026-02-19T01:51:04.187Z</t>
  </si>
  <si>
    <t>2026-02-19T01:51:04.188Z</t>
  </si>
  <si>
    <t>SUBSCRIPTION:구독 총괄 관리자</t>
  </si>
  <si>
    <t>주식회사 스튜디오크립티드</t>
  </si>
  <si>
    <t>329-86-02368</t>
  </si>
  <si>
    <t>cryptid.tax@gmail.com</t>
  </si>
  <si>
    <t>경기도 고양시 일산동구</t>
  </si>
  <si>
    <t>2026-02-19T05:06:06.711Z</t>
  </si>
  <si>
    <t>2026-02-19T05:06:06.710Z</t>
  </si>
  <si>
    <t>2026-02-19T05:08:37.981Z</t>
  </si>
  <si>
    <t>주식회사 클래디(Cladi Co.,Ltd)</t>
  </si>
  <si>
    <t>405-81-11055</t>
  </si>
  <si>
    <t>emmashin@cladi.me</t>
  </si>
  <si>
    <t>2026-01-21T02:52:14.412Z</t>
  </si>
  <si>
    <t>2026-02-19T04:40:55.341Z</t>
  </si>
  <si>
    <t>2026-02-19T04:40:55.342Z</t>
  </si>
  <si>
    <t>Safari 26.2</t>
  </si>
  <si>
    <t>Safari</t>
  </si>
  <si>
    <t>（주）한백자동차정비</t>
  </si>
  <si>
    <t>410-81-95552</t>
  </si>
  <si>
    <t>yunc1@kakao.com</t>
  </si>
  <si>
    <t>2025-08-21T01:26:28.356Z</t>
  </si>
  <si>
    <t>2026-02-06T02:24:47.461Z</t>
  </si>
  <si>
    <t>Samsung SM-S921N</t>
  </si>
  <si>
    <t>2026-02-06T02:24:47.462Z</t>
  </si>
  <si>
    <t>2026-02-06T01:01:14.290Z</t>
  </si>
  <si>
    <t>주식회사 샐러리파이 (Salarify Corp.)</t>
  </si>
  <si>
    <t>144-86-02597</t>
  </si>
  <si>
    <t>jioon.park@salarify.kr</t>
  </si>
  <si>
    <t>경기도 파주시</t>
  </si>
  <si>
    <t>2024-05-20T00:34:48.994Z</t>
  </si>
  <si>
    <t>2026-02-10T07:42:45.260Z</t>
  </si>
  <si>
    <t>2026-02-10T07:42:45.262Z</t>
  </si>
  <si>
    <t>2026-02-10T01:33:55.323Z</t>
  </si>
  <si>
    <t>Linkedin_main_page</t>
  </si>
  <si>
    <t>Linkedin_main</t>
  </si>
  <si>
    <t>주식회사 선하다</t>
  </si>
  <si>
    <t>301-88-01711</t>
  </si>
  <si>
    <t>기가입회원/관리자/기존, 기가입회원</t>
  </si>
  <si>
    <t>sunhada1233@naver.com</t>
  </si>
  <si>
    <t>2024-08-12T03:00:34.899Z</t>
  </si>
  <si>
    <t>2026-02-20T01:33:44.080Z</t>
  </si>
  <si>
    <t>2026-02-20T01:33:44.081Z</t>
  </si>
  <si>
    <t>87af4d19-5163-4924-80e7-01982c0b4b3d</t>
  </si>
  <si>
    <t>2026-02-11T08:33:29.390Z</t>
  </si>
  <si>
    <t>2026-02-11T08:42:16.655Z</t>
  </si>
  <si>
    <t>(주)와이오엘오</t>
  </si>
  <si>
    <t>610-86-34204</t>
  </si>
  <si>
    <t>choiye@yolocorp.kr</t>
  </si>
  <si>
    <t>2024-01-29T06:44:42.635Z</t>
  </si>
  <si>
    <t>2026-02-20T02:14:10.622Z</t>
  </si>
  <si>
    <t>2026-02-02T10:30:47.251Z</t>
  </si>
  <si>
    <t>2026-02-20T02:14:10.623Z</t>
  </si>
  <si>
    <t>엘스랩스 주식회사</t>
  </si>
  <si>
    <t>494-87-04027</t>
  </si>
  <si>
    <t>young@else.so</t>
  </si>
  <si>
    <t>2026-01-23T06:15:28.177Z</t>
  </si>
  <si>
    <t>2026-02-20T02:30:34.404Z</t>
  </si>
  <si>
    <t>2026-02-20T02:30:34.406Z</t>
  </si>
  <si>
    <t>주식회사 지투시그마 (Z to Sigma Inc.)</t>
  </si>
  <si>
    <t>893-81-01579</t>
  </si>
  <si>
    <t>기가입회원/관리자/기존, 일반/나머지고객</t>
  </si>
  <si>
    <t>claire@paywork.io</t>
  </si>
  <si>
    <t>2024-10-28T03:26:11.400Z</t>
  </si>
  <si>
    <t>2026-02-19T02:41:51.481Z</t>
  </si>
  <si>
    <t>2026-02-18T06:58:21.752Z</t>
  </si>
  <si>
    <t>2026-02-19T02:41:51.482Z</t>
  </si>
  <si>
    <t>c70481e4-4f57-4a92-a9b7-266065eb6412</t>
  </si>
  <si>
    <t>서울시 구로구</t>
  </si>
  <si>
    <t>2026-02-06T01:33:30.287Z</t>
  </si>
  <si>
    <t>2026-02-06T02:13:12.905Z</t>
  </si>
  <si>
    <t>주식회사 쟈스민</t>
  </si>
  <si>
    <t>411-81-93504</t>
  </si>
  <si>
    <t>jasmine.kcom@gmail.com</t>
  </si>
  <si>
    <t>2025-07-04T23:02:11.989Z</t>
  </si>
  <si>
    <t>2026-02-10T03:53:13.017Z</t>
  </si>
  <si>
    <t>Samsung SM-S931N</t>
  </si>
  <si>
    <t>2026-02-10T01:51:09.816Z</t>
  </si>
  <si>
    <t>2026-02-10T03:53:13.018Z</t>
  </si>
  <si>
    <t>고위드법인카드</t>
  </si>
  <si>
    <t>주식회사 부쉬맨(BUSHMAN Co., Ltd.)</t>
  </si>
  <si>
    <t>538-87-02289</t>
  </si>
  <si>
    <t>bushmankorea@gmail.com</t>
  </si>
  <si>
    <t>2025-02-02T07:45:02.208Z</t>
  </si>
  <si>
    <t>2026-02-10T07:39:09.293Z</t>
  </si>
  <si>
    <t>2026-02-10T07:39:09.294Z</t>
  </si>
  <si>
    <t>Chrome 138</t>
  </si>
  <si>
    <t>2025-12-02T08:21:17.809Z</t>
  </si>
  <si>
    <t>https://search.naver.com/search.naver?sm=tab_hty.top&amp;where=nexearch&amp;ssc=tab.nx.all&amp;query=%EA%B3%A0%EC%9C%84%EB%93%9C&amp;oquery=%EC%98%A4%EB%A0%8C%EC%A7%80%ED%94%8C%EB%9E%98%EB%8B%9B&amp;tqi=iH8h3sqVN8CssD%2B%2Fit4ssssstVo-232041</t>
  </si>
  <si>
    <t>하이퍼브레인 주식회사(HYPERBRAIN Co., Ltd.)</t>
  </si>
  <si>
    <t>453-81-03495</t>
  </si>
  <si>
    <t>cl_yu@hyperbrain.co.kr</t>
  </si>
  <si>
    <t>전북도 군산시</t>
  </si>
  <si>
    <t>2026-02-05T07:21:13.426Z</t>
  </si>
  <si>
    <t>2026-02-09T09:58:27.967Z</t>
  </si>
  <si>
    <t>2026-02-09T09:58:27.968Z</t>
  </si>
  <si>
    <t>헬로스킨 주식회사(HELLO SKIN Co.,Ltd.)</t>
  </si>
  <si>
    <t>888-88-00596</t>
  </si>
  <si>
    <t>jsy@jumiso.co.kr</t>
  </si>
  <si>
    <t>2026-01-19T04:29:20.387Z</t>
  </si>
  <si>
    <t>2026-02-19T02:30:05.729Z</t>
  </si>
  <si>
    <t>2026-02-19T02:30:05.730Z</t>
  </si>
  <si>
    <t>주식회사 시프트</t>
  </si>
  <si>
    <t>764-81-00613</t>
  </si>
  <si>
    <t>spiderman@xhiftcorp.com</t>
  </si>
  <si>
    <t>2026-02-11T02:53:59.855Z</t>
  </si>
  <si>
    <t>2026-02-11T02:54:10.312Z</t>
  </si>
  <si>
    <t>주식회사 크리에이즈컴퍼니</t>
  </si>
  <si>
    <t>475-86-03530</t>
  </si>
  <si>
    <t>ysweada@naver.com</t>
  </si>
  <si>
    <t>경남 양산시</t>
  </si>
  <si>
    <t>2026-02-09T01:22:25.772Z</t>
  </si>
  <si>
    <t>2026-02-11T02:45:40.552Z</t>
  </si>
  <si>
    <t>주식회사 리우</t>
  </si>
  <si>
    <t>257-81-01545</t>
  </si>
  <si>
    <t>wmy0102@riupack.com</t>
  </si>
  <si>
    <t>경북 포항시 남구</t>
  </si>
  <si>
    <t>2024-03-15T08:04:23.351Z</t>
  </si>
  <si>
    <t>2026-02-20T03:46:35.785Z</t>
  </si>
  <si>
    <t>2026-02-20T03:46:35.786Z</t>
  </si>
  <si>
    <t>https://www.riupack.com/</t>
  </si>
  <si>
    <t>주식회사 보살핌</t>
  </si>
  <si>
    <t>440-88-02179</t>
  </si>
  <si>
    <t>hansol.jang@bosalpim.co.kr</t>
  </si>
  <si>
    <t>2024-10-08T02:39:04.864Z</t>
  </si>
  <si>
    <t>2026-02-19T10:41:49.265Z</t>
  </si>
  <si>
    <t>2026-02-19T09:17:37.316Z</t>
  </si>
  <si>
    <t>2026-02-19T10:41:49.266Z</t>
  </si>
  <si>
    <t>주식회사 이오스튜디오</t>
  </si>
  <si>
    <t>501-87-01653</t>
  </si>
  <si>
    <t>ash@eoeoeo.net</t>
  </si>
  <si>
    <t>Seattle</t>
  </si>
  <si>
    <t>Washington</t>
  </si>
  <si>
    <t>US</t>
  </si>
  <si>
    <t>America/Los_Angeles</t>
  </si>
  <si>
    <t>2024-09-26T10:03:29.987Z</t>
  </si>
  <si>
    <t>2026-02-19T04:49:39.288Z</t>
  </si>
  <si>
    <t>2026-02-09T10:58:51.697Z</t>
  </si>
  <si>
    <t>2026-02-19T04:49:39.289Z</t>
  </si>
  <si>
    <t>스타트업법인카드</t>
  </si>
  <si>
    <t>주식회사 마티니 아이오</t>
  </si>
  <si>
    <t>111-81-35910</t>
  </si>
  <si>
    <t>eunyoung@aimed.xyz</t>
  </si>
  <si>
    <t>2024-10-28T23:12:02.807Z</t>
  </si>
  <si>
    <t>2026-02-20T04:57:53.039Z</t>
  </si>
  <si>
    <t>2026-02-20T04:57:53.040Z</t>
  </si>
  <si>
    <t>https://ntp.msn.com/</t>
  </si>
  <si>
    <t>e5bc6139-ebb1-4ed1-83a0-8a161a4615f7</t>
  </si>
  <si>
    <t>2026-01-30T09:06:28.458Z</t>
  </si>
  <si>
    <t>2026-02-02T05:58:58.493Z</t>
  </si>
  <si>
    <t>2026-02-02T06:01:12.589Z</t>
  </si>
  <si>
    <t>authority-lead-form-01-2026</t>
  </si>
  <si>
    <t>stibee-email-sequence-step2</t>
  </si>
  <si>
    <t>paid-social</t>
  </si>
  <si>
    <t>facebook</t>
  </si>
  <si>
    <t>프레시오리진 주식회사 농업회사법인</t>
  </si>
  <si>
    <t>566-88-03446</t>
  </si>
  <si>
    <t>freshorigin@naver.com</t>
  </si>
  <si>
    <t>부산시 동구</t>
  </si>
  <si>
    <t>2026-01-19T06:16:57.242Z</t>
  </si>
  <si>
    <t>2026-02-10T04:27:41.632Z</t>
  </si>
  <si>
    <t>2026-02-10T04:27:41.634Z</t>
  </si>
  <si>
    <t>a6cdead3-a011-42dd-af5b-fa2f408e1255</t>
  </si>
  <si>
    <t>서울시 관악구</t>
  </si>
  <si>
    <t>2026-02-13T03:25:34.825Z</t>
  </si>
  <si>
    <t>2026-02-14T10:32:38.005Z</t>
  </si>
  <si>
    <t>2026-02-14T10:32:38.006Z</t>
  </si>
  <si>
    <t>Chrome Webview 145.0.7632.49</t>
  </si>
  <si>
    <t>Chrome Webview</t>
  </si>
  <si>
    <t>http://instagram.com/</t>
  </si>
  <si>
    <t>commerce-card-02-2026</t>
  </si>
  <si>
    <t>commerce-card-1080x1080-v2</t>
  </si>
  <si>
    <t>120242817850330606</t>
  </si>
  <si>
    <t>commerce-card-1080x1080-v3</t>
  </si>
  <si>
    <t>신스타프리젠츠 주식회사(Shin Starr Presents Corp.)</t>
  </si>
  <si>
    <t>780-86-01695</t>
  </si>
  <si>
    <t>sy.kim@shinstarr.com</t>
  </si>
  <si>
    <t>2024-10-23T01:33:26.037Z</t>
  </si>
  <si>
    <t>2026-02-11T05:24:20.383Z</t>
  </si>
  <si>
    <t>2026-02-11T05:24:20.384Z</t>
  </si>
  <si>
    <t>https://search.yahoo.com/</t>
  </si>
  <si>
    <t>주식회사 퍼슬리</t>
  </si>
  <si>
    <t>241-81-03586</t>
  </si>
  <si>
    <t>기가입회원/소지자, 기가입회원/관리자/기존</t>
  </si>
  <si>
    <t>sangjun.oh@perslyai.com</t>
  </si>
  <si>
    <t>2025-06-22T04:49:04.365Z</t>
  </si>
  <si>
    <t>2026-02-19T07:38:16.781Z</t>
  </si>
  <si>
    <t>2026-02-19T07:38:16.782Z</t>
  </si>
  <si>
    <t>Whale 4.35.351.16</t>
  </si>
  <si>
    <t>Whale</t>
  </si>
  <si>
    <t>78dd17fd-672c-4492-8096-d44dd0a29d2c</t>
  </si>
  <si>
    <t>2026-02-05T10:39:13.814Z</t>
  </si>
  <si>
    <t>2026-02-06T01:22:08.561Z</t>
  </si>
  <si>
    <t>2026-02-06T01:25:02.637Z</t>
  </si>
  <si>
    <t>주식회사 라이넨스</t>
  </si>
  <si>
    <t>175-86-02816</t>
  </si>
  <si>
    <t>jhshim@lynens.kr</t>
  </si>
  <si>
    <t>2024-02-29T02:50:34.122Z</t>
  </si>
  <si>
    <t>2026-02-13T08:25:17.698Z</t>
  </si>
  <si>
    <t>2026-02-13T08:25:17.699Z</t>
  </si>
  <si>
    <t>Safari 18.3</t>
  </si>
  <si>
    <t>https://search.naver.com/search.naver?where=nexearch&amp;sm=top_sug.pre&amp;fbm=0&amp;acr=1&amp;acq=%EA%B3%A0%EC%9C%84%EB%93%9C&amp;qdt=0&amp;ie=utf8&amp;query=%EA%B3%A0%EC%9C%84%EB%93%9C&amp;ackey=z0pbdupz</t>
  </si>
  <si>
    <t>EXPENSE:일반 멤버 / SUBSCRIPTION:일반 멤버 / CARD:일반 멤버</t>
  </si>
  <si>
    <t>주식회사 고위드(GOWID Inc)</t>
  </si>
  <si>
    <t>261-81-25793</t>
  </si>
  <si>
    <t>gyejrdl12@gowid.com</t>
  </si>
  <si>
    <t>2026-01-30T09:32:34.269Z</t>
  </si>
  <si>
    <t>2026-02-19T08:32:44.632Z</t>
  </si>
  <si>
    <t>2026-02-19T08:32:44.633Z</t>
  </si>
  <si>
    <t>2026-02-08T23:28:26.710Z</t>
  </si>
  <si>
    <t>stibee-email-sequence-step1</t>
  </si>
  <si>
    <t>주식회사 밀크코퍼레이션 (Milk Corporation Corp.)</t>
  </si>
  <si>
    <t>755-81-02029</t>
  </si>
  <si>
    <t>jacob.park@milkcorp.kr</t>
  </si>
  <si>
    <t>서울시 중랑구</t>
  </si>
  <si>
    <t>2024-06-24T12:21:18.683Z</t>
  </si>
  <si>
    <t>2026-02-19T10:08:45.075Z</t>
  </si>
  <si>
    <t>2026-02-19T10:08:45.076Z</t>
  </si>
  <si>
    <t>주식회사 의식주컴퍼니</t>
  </si>
  <si>
    <t>561-87-00957</t>
  </si>
  <si>
    <t>코어그룹(12월)</t>
  </si>
  <si>
    <t>hrlim@lifegoeson.kr</t>
  </si>
  <si>
    <t>경기도 군포시</t>
  </si>
  <si>
    <t>2025-12-11T05:41:43.118Z</t>
  </si>
  <si>
    <t>2026-02-10T04:45:25.749Z</t>
  </si>
  <si>
    <t>2026-02-10T04:45:25.750Z</t>
  </si>
  <si>
    <t>주식회사 테라퓨젠바이오</t>
  </si>
  <si>
    <t>629-86-03025</t>
  </si>
  <si>
    <t>코어그룹, 코어그룹(12월)</t>
  </si>
  <si>
    <t>joon.ahn@terafugen.com</t>
  </si>
  <si>
    <t>2025-08-18T01:53:09.673Z</t>
  </si>
  <si>
    <t>2026-02-11T04:08:01.637Z</t>
  </si>
  <si>
    <t>Samsung SM-N986N</t>
  </si>
  <si>
    <t>2026-01-31T02:50:06.496Z</t>
  </si>
  <si>
    <t>Android 13</t>
  </si>
  <si>
    <t>2026-02-11T04:08:01.638Z</t>
  </si>
  <si>
    <t>https://flow.team/</t>
  </si>
  <si>
    <t>캔디드 유한회사</t>
  </si>
  <si>
    <t>717-87-02844</t>
  </si>
  <si>
    <t>sj@teamcandid.kr</t>
  </si>
  <si>
    <t>2026-01-26T07:30:29.380Z</t>
  </si>
  <si>
    <t>2026-02-20T00:06:55.976Z</t>
  </si>
  <si>
    <t>2026-02-20T00:06:55.977Z</t>
  </si>
  <si>
    <t>https://outline.teamcandid.kr/</t>
  </si>
  <si>
    <t>3e7120df-801d-43b6-938a-f38d6a3b5b1e</t>
  </si>
  <si>
    <t>2026-02-19T05:58:52.868Z</t>
  </si>
  <si>
    <t>2026-02-19T07:24:41.488Z</t>
  </si>
  <si>
    <t>2026-02-19T07:24:41.489Z</t>
  </si>
  <si>
    <t>내이루리 주식회사</t>
  </si>
  <si>
    <t>109-86-56649</t>
  </si>
  <si>
    <t>ceo@naeyil.com</t>
  </si>
  <si>
    <t>2023-12-01T01:49:43.496Z</t>
  </si>
  <si>
    <t>2026-02-12T22:08:52.381Z</t>
  </si>
  <si>
    <t>Android 14</t>
  </si>
  <si>
    <t>2026-02-12T22:08:52.382Z</t>
  </si>
  <si>
    <t>2026-02-04T05:12:28.877Z</t>
  </si>
  <si>
    <t>(주)리아온</t>
  </si>
  <si>
    <t>425-88-02525</t>
  </si>
  <si>
    <t>ceo@leaon.kr</t>
  </si>
  <si>
    <t>2026-02-18T14:08:21.745Z</t>
  </si>
  <si>
    <t>2026-02-19T18:16:06.353Z</t>
  </si>
  <si>
    <t>2026-02-19T18:16:06.354Z</t>
  </si>
  <si>
    <t>주식회사 아이엔지로보틱스</t>
  </si>
  <si>
    <t>199-88-02553</t>
  </si>
  <si>
    <t>hjlee7713@ingrobotics.com</t>
  </si>
  <si>
    <t>경기도 안양시 동안구</t>
  </si>
  <si>
    <t>2025-04-14T10:00:27.222Z</t>
  </si>
  <si>
    <t>2026-02-11T06:13:27.251Z</t>
  </si>
  <si>
    <t>2026-02-11T06:13:27.252Z</t>
  </si>
  <si>
    <t>https://wmail.ecount.com/</t>
  </si>
  <si>
    <t>주식회사 코네이스</t>
  </si>
  <si>
    <t>857-81-02868</t>
  </si>
  <si>
    <t>mike@conace.co.kr</t>
  </si>
  <si>
    <t>2026-01-06T05:05:59.832Z</t>
  </si>
  <si>
    <t>2026-02-19T02:46:14.967Z</t>
  </si>
  <si>
    <t>2026-02-19T02:46:14.968Z</t>
  </si>
  <si>
    <t>주식회사 벤치링크</t>
  </si>
  <si>
    <t>323-87-02784</t>
  </si>
  <si>
    <t>eric@benchlink.io</t>
  </si>
  <si>
    <t>2026-01-28T04:29:24.441Z</t>
  </si>
  <si>
    <t>2026-02-20T02:02:27.565Z</t>
  </si>
  <si>
    <t>2026-02-20T02:02:27.566Z</t>
  </si>
  <si>
    <t>hoihoi0615@printpac.co.kr</t>
  </si>
  <si>
    <t>5c1324ad-985e-4638-96c5-054671b06399</t>
  </si>
  <si>
    <t>2026-01-16T03:12:32.602Z</t>
  </si>
  <si>
    <t>2026-02-13T07:02:28.493Z</t>
  </si>
  <si>
    <t>2026-02-13T07:02:28.494Z</t>
  </si>
  <si>
    <t>(주)싸이어스</t>
  </si>
  <si>
    <t>367-81-02555</t>
  </si>
  <si>
    <t>sohyun0823@cyers.co.kr</t>
  </si>
  <si>
    <t>2025-12-30T05:24:52.530Z</t>
  </si>
  <si>
    <t>2026-02-11T07:31:46.589Z</t>
  </si>
  <si>
    <t>2026-02-11T06:39:15.346Z</t>
  </si>
  <si>
    <t>2026-02-11T07:31:46.590Z</t>
  </si>
  <si>
    <t>CARD:슈퍼관리자 / SUBSCRIPTION:구독 총괄 관리자</t>
  </si>
  <si>
    <t>주식회사 프라이스잇(priceit. Co.,Ltd.)</t>
  </si>
  <si>
    <t>431-86-03466</t>
  </si>
  <si>
    <t>hg.song@priceit.kr</t>
  </si>
  <si>
    <t>2026-02-10T07:14:17.857Z</t>
  </si>
  <si>
    <t>2026-02-19T00:00:46.732Z</t>
  </si>
  <si>
    <t>2026-02-19T00:24:24.108Z</t>
  </si>
  <si>
    <t>주식회사 뤼튼테크놀로지스</t>
  </si>
  <si>
    <t>202-81-67042</t>
  </si>
  <si>
    <t>bob@wrtn.io</t>
  </si>
  <si>
    <t>2025-12-18T18:58:13.339Z</t>
  </si>
  <si>
    <t>2026-02-20T00:24:50.942Z</t>
  </si>
  <si>
    <t>Samsung SM-S916N</t>
  </si>
  <si>
    <t>2026-02-20T00:24:50.943Z</t>
  </si>
  <si>
    <t>주식회사 나니아랩스</t>
  </si>
  <si>
    <t>191-88-02340</t>
  </si>
  <si>
    <t>lara.park@narnia.ai</t>
  </si>
  <si>
    <t>서울시 용산구</t>
  </si>
  <si>
    <t>2024-10-16T01:01:08.644Z</t>
  </si>
  <si>
    <t>2026-02-18T01:43:15.218Z</t>
  </si>
  <si>
    <t>Samsung SM-S911N</t>
  </si>
  <si>
    <t>2026-02-15T10:46:49.209Z</t>
  </si>
  <si>
    <t>2026-02-18T01:43:15.219Z</t>
  </si>
  <si>
    <t>주식회사 시그</t>
  </si>
  <si>
    <t>727-87-02292</t>
  </si>
  <si>
    <t>bang@sigcrew.com</t>
  </si>
  <si>
    <t>2025-07-31T14:44:45.838Z</t>
  </si>
  <si>
    <t>2026-02-10T12:09:34.107Z</t>
  </si>
  <si>
    <t>2026-02-10T12:09:34.108Z</t>
  </si>
  <si>
    <t>주식회사 웰케어스테이션</t>
  </si>
  <si>
    <t>788-81-03300</t>
  </si>
  <si>
    <t>brian@wellcarestation.com</t>
  </si>
  <si>
    <t>2026-01-13T14:12:48.575Z</t>
  </si>
  <si>
    <t>2026-01-29T07:15:34.017Z</t>
  </si>
  <si>
    <t>2026-01-29T07:15:34.018Z</t>
  </si>
  <si>
    <t>Safari 18.4</t>
  </si>
  <si>
    <t>2026-01-29T02:31:24.066Z</t>
  </si>
  <si>
    <t>429cd200-d885-4269-a451-43ea456428fa</t>
  </si>
  <si>
    <t>서울시 강북구</t>
  </si>
  <si>
    <t>2026-02-10T04:49:55.228Z</t>
  </si>
  <si>
    <t>2026-02-10T04:49:55.227Z</t>
  </si>
  <si>
    <t>주식회사 이십사점오(24.5 Corp.)</t>
  </si>
  <si>
    <t>889-87-01572</t>
  </si>
  <si>
    <t>shane@ssgsag.kr</t>
  </si>
  <si>
    <t>전북도 전주시 덕진구</t>
  </si>
  <si>
    <t>2023-12-05T05:46:37.062Z</t>
  </si>
  <si>
    <t>2026-02-19T01:34:48.579Z</t>
  </si>
  <si>
    <t>2026-02-12T08:04:45.837Z</t>
  </si>
  <si>
    <t>2026-02-19T01:34:48.580Z</t>
  </si>
  <si>
    <t>https://search.naver.com/search.naver?sm=tab_hty.top&amp;where=nexearch&amp;ssc=tab.nx.all&amp;query=%EA%B3%A0%EC%9C%84%EB%93%9C&amp;oquery=%EC%8A%A4%ED%83%80%ED%8A%B8%EC%97%85+%EB%8C%80%EC%B6%9C+%EC%84%9C%EB%B9%84%EC%8A%A4&amp;tqi=iPSDuspzLi0ssiGefjKssssss50-203789</t>
  </si>
  <si>
    <t>(주)쏘타컬렉션</t>
  </si>
  <si>
    <t>699-87-00849</t>
  </si>
  <si>
    <t>linzi.lee@whatsong.kr</t>
  </si>
  <si>
    <t>2025-04-08T01:27:02.229Z</t>
  </si>
  <si>
    <t>2026-02-19T00:32:54.471Z</t>
  </si>
  <si>
    <t>Samsung SM-S928N</t>
  </si>
  <si>
    <t>2026-02-12T02:52:28.007Z</t>
  </si>
  <si>
    <t>2026-02-19T00:32:54.472Z</t>
  </si>
  <si>
    <t>주식회사 리펀디</t>
  </si>
  <si>
    <t>294-87-03409</t>
  </si>
  <si>
    <t>jk.kim@refundy.co</t>
  </si>
  <si>
    <t>2024-12-20T07:32:01.812Z</t>
  </si>
  <si>
    <t>2026-02-19T15:19:18.517Z</t>
  </si>
  <si>
    <t>2026-02-19T15:19:18.518Z</t>
  </si>
  <si>
    <t>2026-02-13T06:51:07.101Z</t>
  </si>
  <si>
    <t>c74b3f4a-a26b-42be-9234-f8c05d3e5b86</t>
  </si>
  <si>
    <t>2026-01-26T09:39:19.187Z</t>
  </si>
  <si>
    <t>2026-01-26T23:21:20.797Z</t>
  </si>
  <si>
    <t>주식회사 아일로</t>
  </si>
  <si>
    <t>322-88-02342</t>
  </si>
  <si>
    <t>jeehyunlyu@ailo.kr</t>
  </si>
  <si>
    <t>2024-02-22T01:40:42.530Z</t>
  </si>
  <si>
    <t>2026-02-19T04:57:15.657Z</t>
  </si>
  <si>
    <t>2026-02-19T04:57:15.658Z</t>
  </si>
  <si>
    <t>Chrome 143</t>
  </si>
  <si>
    <t>dcamp</t>
  </si>
  <si>
    <t>benefits</t>
  </si>
  <si>
    <t>cpc</t>
  </si>
  <si>
    <t>(주)튜링</t>
  </si>
  <si>
    <t>254-87-01382</t>
  </si>
  <si>
    <t>mary@teamturing.com</t>
  </si>
  <si>
    <t>경기도 광명시</t>
  </si>
  <si>
    <t>2025-02-10T08:31:57.857Z</t>
  </si>
  <si>
    <t>2026-02-14T09:51:57.716Z</t>
  </si>
  <si>
    <t>Samsung SM-S938N</t>
  </si>
  <si>
    <t>2026-02-14T09:51:57.717Z</t>
  </si>
  <si>
    <t>2026-02-02T07:25:58.334Z</t>
  </si>
  <si>
    <t>https://seteuk.gowid.com/</t>
  </si>
  <si>
    <t>주식회사 오아페(OAFE Inc.)</t>
  </si>
  <si>
    <t>353-88-02803</t>
  </si>
  <si>
    <t>gnhan821@gmail.com</t>
  </si>
  <si>
    <t>경기도 안양시 만안구</t>
  </si>
  <si>
    <t>2025-07-03T01:32:13.627Z</t>
  </si>
  <si>
    <t>2026-02-19T04:50:03.924Z</t>
  </si>
  <si>
    <t>2026-02-09T06:34:00.186Z</t>
  </si>
  <si>
    <t>2026-02-19T04:50:03.925Z</t>
  </si>
  <si>
    <t>씨그로 주식회사</t>
  </si>
  <si>
    <t>119-87-09475</t>
  </si>
  <si>
    <t>hyehyun@cigro.io</t>
  </si>
  <si>
    <t>2024-06-13T02:06:29.955Z</t>
  </si>
  <si>
    <t>2026-02-14T09:22:47.956Z</t>
  </si>
  <si>
    <t>iOS 18.3</t>
  </si>
  <si>
    <t>2026-02-14T09:22:47.957Z</t>
  </si>
  <si>
    <t>2026-02-10T14:03:50.680Z</t>
  </si>
  <si>
    <t>https://m.search.naver.com/search.naver?sm=mtp_hty.top&amp;where=m&amp;query=%EA%B3%A0%EC%9C%84%EB%93%9C</t>
  </si>
  <si>
    <t>주식회사 글로랑</t>
  </si>
  <si>
    <t>596-81-00999</t>
  </si>
  <si>
    <t>dina@glorang.com</t>
  </si>
  <si>
    <t>2024-03-18T04:46:35.671Z</t>
  </si>
  <si>
    <t>2026-02-20T04:13:23.060Z</t>
  </si>
  <si>
    <t>Samsung SM-F731N</t>
  </si>
  <si>
    <t>2026-02-19T01:09:20.713Z</t>
  </si>
  <si>
    <t>아우르나 주식회사</t>
  </si>
  <si>
    <t>136-86-02956</t>
  </si>
  <si>
    <t>dk@tlakorea.com</t>
  </si>
  <si>
    <t>2026-01-06T06:11:00.739Z</t>
  </si>
  <si>
    <t>2026-01-27T06:58:20.789Z</t>
  </si>
  <si>
    <t>2026-01-27T06:58:20.791Z</t>
  </si>
  <si>
    <t>Chrome 123</t>
  </si>
  <si>
    <t>주식회사 바이오컴</t>
  </si>
  <si>
    <t>431-86-02657</t>
  </si>
  <si>
    <t>taejun@biocom.kr</t>
  </si>
  <si>
    <t>2026-02-02T13:19:31.404Z</t>
  </si>
  <si>
    <t>2026-02-20T03:31:17.871Z</t>
  </si>
  <si>
    <t>2026-02-20T03:31:17.872Z</t>
  </si>
  <si>
    <t>주식회사 프롬프트타운</t>
  </si>
  <si>
    <t>526-81-03003</t>
  </si>
  <si>
    <t>jini@prompt.town</t>
  </si>
  <si>
    <t>서울시 강동구</t>
  </si>
  <si>
    <t>2025-06-24T07:38:59.753Z</t>
  </si>
  <si>
    <t>2026-02-19T03:34:39.589Z</t>
  </si>
  <si>
    <t>2026-02-18T11:31:39.875Z</t>
  </si>
  <si>
    <t>2026-02-19T03:34:39.590Z</t>
  </si>
  <si>
    <t>https://webmail.mail.us-east-1.awsapps.com/</t>
  </si>
  <si>
    <t>킨도프 주식회사</t>
  </si>
  <si>
    <t>373-81-03113</t>
  </si>
  <si>
    <t>비회원, 기가입회원/관리자/신규</t>
  </si>
  <si>
    <t>jiyoung.an@kyndof.com</t>
  </si>
  <si>
    <t>2025-12-30T05:25:29.935Z</t>
  </si>
  <si>
    <t>2026-02-05T06:18:46.340Z</t>
  </si>
  <si>
    <t>주식회사 비티손해보험중개</t>
  </si>
  <si>
    <t>101-86-28173</t>
  </si>
  <si>
    <t>jun.lee@btisko.com</t>
  </si>
  <si>
    <t>부산시 동래구</t>
  </si>
  <si>
    <t>2024-02-28T07:43:19.975Z</t>
  </si>
  <si>
    <t>2026-02-20T04:48:22.825Z</t>
  </si>
  <si>
    <t>2026-02-20T04:48:22.826Z</t>
  </si>
  <si>
    <t>2026-02-19T07:32:47.408Z</t>
  </si>
  <si>
    <t>주식회사 마이크로바이오틱스</t>
  </si>
  <si>
    <t>539-88-00530</t>
  </si>
  <si>
    <t>ina@microbiotix.net</t>
  </si>
  <si>
    <t>2025-11-26T01:09:29.744Z</t>
  </si>
  <si>
    <t>2026-02-19T07:24:22.223Z</t>
  </si>
  <si>
    <t>2026-02-12T01:34:31.893Z</t>
  </si>
  <si>
    <t>2026-02-19T07:24:22.224Z</t>
  </si>
  <si>
    <t>753a9da7-9541-42be-8c72-b9b0325d3c28</t>
  </si>
  <si>
    <t>2026-02-08T05:28:39.956Z</t>
  </si>
  <si>
    <t>2026-02-17T14:43:07.574Z</t>
  </si>
  <si>
    <t>Chrome 144.0.7559.95</t>
  </si>
  <si>
    <t>iOS 17.6.1</t>
  </si>
  <si>
    <t>래티스 주식회사(Lattice Inc.)</t>
  </si>
  <si>
    <t>575-81-02914</t>
  </si>
  <si>
    <t>seonyong@lattice.im</t>
  </si>
  <si>
    <t>2026-01-12T09:42:59.855Z</t>
  </si>
  <si>
    <t>2026-02-20T03:44:07.717Z</t>
  </si>
  <si>
    <t>Samsung SM-F946N</t>
  </si>
  <si>
    <t>2026-02-20T02:03:53.538Z</t>
  </si>
  <si>
    <t>주식회사 툰스퀘어 (Toonsquare)</t>
  </si>
  <si>
    <t>879-88-01529</t>
  </si>
  <si>
    <t>cfo@toonsquare.co</t>
  </si>
  <si>
    <t>2024-12-10T06:12:56.710Z</t>
  </si>
  <si>
    <t>2026-02-13T04:48:08.112Z</t>
  </si>
  <si>
    <t>2026-01-17T07:24:57.691Z</t>
  </si>
  <si>
    <t>2026-02-13T04:48:08.113Z</t>
  </si>
  <si>
    <t>주식회사 오가시스 (ORGASIS Corp.)</t>
  </si>
  <si>
    <t>531-87-02594</t>
  </si>
  <si>
    <t>경기도 수원시 영통구</t>
  </si>
  <si>
    <t>2026-02-12T01:32:49.414Z</t>
  </si>
  <si>
    <t>2026-02-19T05:33:46.172Z</t>
  </si>
  <si>
    <t>문카데미 주식회사 (Mooncademy Inc.)</t>
  </si>
  <si>
    <t>194-86-01797</t>
  </si>
  <si>
    <t>jbr0111@mooncademy.co.kr</t>
  </si>
  <si>
    <t>2024-12-16T03:08:07.944Z</t>
  </si>
  <si>
    <t>2026-02-20T03:25:01.364Z</t>
  </si>
  <si>
    <t>2026-02-20T03:25:01.365Z</t>
  </si>
  <si>
    <t>EXPENSE:부서 카드 관리자 / CARD:부서 카드 관리자</t>
  </si>
  <si>
    <t>니드코리아 유한회사</t>
  </si>
  <si>
    <t>701-88-01906</t>
  </si>
  <si>
    <t>haeryung@getneed.com</t>
  </si>
  <si>
    <t>2024-11-20T00:30:54.069Z</t>
  </si>
  <si>
    <t>2026-02-20T04:31:52.375Z</t>
  </si>
  <si>
    <t>2026-02-20T04:31:52.376Z</t>
  </si>
  <si>
    <t>https://search.naver.com/search.naver?sm=tab_hty.top&amp;where=nexearch&amp;ssc=tab.nx.all&amp;query=%EA%B3%A0%EC%9C%84%EB%93%9C&amp;oquery=%EC%9A%B0%EC%B2%B4%EA%B5%AD&amp;tqi=i1jNvdqVN8VssnbAKOCssssssH8-435738</t>
  </si>
  <si>
    <t>64166284-6a51-4d12-89de-6385ba7eaa7f</t>
  </si>
  <si>
    <t>경기도 부천시 소사구</t>
  </si>
  <si>
    <t>2026-02-17T06:55:28.155Z</t>
  </si>
  <si>
    <t>2026-02-17T06:55:28.154Z</t>
  </si>
  <si>
    <t>（주）한백</t>
  </si>
  <si>
    <t>410-81-32391</t>
  </si>
  <si>
    <t>기가입회원/관리자/기존, 코어그룹</t>
  </si>
  <si>
    <t>hbc1122@hanmail.net</t>
  </si>
  <si>
    <t>광주시 광산구</t>
  </si>
  <si>
    <t>2024-10-29T01:18:40.413Z</t>
  </si>
  <si>
    <t>2026-02-13T07:04:34.361Z</t>
  </si>
  <si>
    <t>2026-02-13T07:04:34.362Z</t>
  </si>
  <si>
    <t>6acdfd70-bcf1-4d1d-b32d-ee711b89f3bf</t>
  </si>
  <si>
    <t>경북 포항시 북구</t>
  </si>
  <si>
    <t>2026-02-05T01:24:21.235Z</t>
  </si>
  <si>
    <t>2026-02-10T05:28:03.578Z</t>
  </si>
  <si>
    <t>2026-02-10T05:28:03.579Z</t>
  </si>
  <si>
    <t>CARD:일반 멤버 / EXPENSE:일반 멤버 / SUBSCRIPTION:일반 멤버</t>
  </si>
  <si>
    <t>주식회사 유어유니콘</t>
  </si>
  <si>
    <t>889-88-03238</t>
  </si>
  <si>
    <t>junggyu.ahn@yourunicorn.world</t>
  </si>
  <si>
    <t>2026-01-09T09:20:22.715Z</t>
  </si>
  <si>
    <t>2026-02-12T11:02:37.783Z</t>
  </si>
  <si>
    <t>2026-02-10T12:25:06.088Z</t>
  </si>
  <si>
    <t>2026-02-12T11:02:37.784Z</t>
  </si>
  <si>
    <t>f52b272e-b12c-49a8-890e-93127f581f03</t>
  </si>
  <si>
    <t>부산시 금정구</t>
  </si>
  <si>
    <t>2026-02-13T06:21:33.774Z</t>
  </si>
  <si>
    <t>2026-02-13T06:21:51.657Z</t>
  </si>
  <si>
    <t>2026-02-13T06:29:24.903Z</t>
  </si>
  <si>
    <t>Chrome 139</t>
  </si>
  <si>
    <t>주식회사 리프라이즈</t>
  </si>
  <si>
    <t>421-87-03001</t>
  </si>
  <si>
    <t>jongho.park@leaflyze.com</t>
  </si>
  <si>
    <t>2025-11-27T02:00:24.902Z</t>
  </si>
  <si>
    <t>2026-02-13T04:27:32.205Z</t>
  </si>
  <si>
    <t>2026-02-13T04:27:32.206Z</t>
  </si>
  <si>
    <t>f466f210-a7dc-4a2c-b256-ff1e9c5a8b8e</t>
  </si>
  <si>
    <t>2026-02-19T06:12:35.240Z</t>
  </si>
  <si>
    <t>2026-02-19T07:17:35.883Z</t>
  </si>
  <si>
    <t>Edge 143</t>
  </si>
  <si>
    <t>주식회사 플루비(PLUVI Co.,Ltd)</t>
  </si>
  <si>
    <t>830-86-03552</t>
  </si>
  <si>
    <t>twinelf17@naver.com</t>
  </si>
  <si>
    <t>경북 칠곡군</t>
  </si>
  <si>
    <t>2026-01-20T07:42:38.713Z</t>
  </si>
  <si>
    <t>2026-02-19T05:38:08.092Z</t>
  </si>
  <si>
    <t>2026-02-19T05:38:08.093Z</t>
  </si>
  <si>
    <t>주식회사 아이리스브라이트</t>
  </si>
  <si>
    <t>863-81-01831</t>
  </si>
  <si>
    <t>seonny04@irisbr.com</t>
  </si>
  <si>
    <t>2025-12-24T04:39:45.070Z</t>
  </si>
  <si>
    <t>2026-02-13T01:47:44.137Z</t>
  </si>
  <si>
    <t>iOS 18.3.2</t>
  </si>
  <si>
    <t>2026-02-13T01:47:44.138Z</t>
  </si>
  <si>
    <t>2026-02-06T03:30:40.135Z</t>
  </si>
  <si>
    <t>주식회사 엑소스피어 랩스</t>
  </si>
  <si>
    <t>565-81-01373</t>
  </si>
  <si>
    <t>shpark@exosp.com</t>
  </si>
  <si>
    <t>대전시 유성구</t>
  </si>
  <si>
    <t>2024-10-31T01:59:50.237Z</t>
  </si>
  <si>
    <t>2026-02-20T04:28:03.910Z</t>
  </si>
  <si>
    <t>2026-02-19T00:50:42.918Z</t>
  </si>
  <si>
    <t>2026-02-20T04:28:03.911Z</t>
  </si>
  <si>
    <t>CARD:슈퍼관리자 / EXPENSE:슈퍼관리자 / SUBSCRIPTION:구독 총괄 관리자</t>
  </si>
  <si>
    <t>kyw2419@gmail.com</t>
  </si>
  <si>
    <t>2025-11-08T10:46:34.368Z</t>
  </si>
  <si>
    <t>2026-02-19T08:31:13.831Z</t>
  </si>
  <si>
    <t>2026-02-14T09:11:00.387Z</t>
  </si>
  <si>
    <t>2026-02-19T08:31:13.832Z</t>
  </si>
  <si>
    <t>주식회사 레몬베이스</t>
  </si>
  <si>
    <t>197-87-01788</t>
  </si>
  <si>
    <t>Queens</t>
  </si>
  <si>
    <t>New York</t>
  </si>
  <si>
    <t>America/New_York</t>
  </si>
  <si>
    <t>2023-11-29T09:38:58.637Z</t>
  </si>
  <si>
    <t>2026-02-20T02:35:02.800Z</t>
  </si>
  <si>
    <t>2026-02-20T02:35:02.801Z</t>
  </si>
  <si>
    <t>https://www.shinhancard.com/</t>
  </si>
  <si>
    <t>EXPENSE:일반 멤버 / SUBSCRIPTION:구독 총괄 관리자 / CARD:일반 멤버</t>
  </si>
  <si>
    <t>사이오닉에이아이 주식회사</t>
  </si>
  <si>
    <t>245-86-02885</t>
  </si>
  <si>
    <t>scott@sionic.ai</t>
  </si>
  <si>
    <t>2025-07-14T05:32:50.945Z</t>
  </si>
  <si>
    <t>2026-02-19T03:37:43.057Z</t>
  </si>
  <si>
    <t>2.8.0</t>
  </si>
  <si>
    <t>2026-01-07T16:38:20.622Z</t>
  </si>
  <si>
    <t>주식회사 푸딘코</t>
  </si>
  <si>
    <t>405-88-01430</t>
  </si>
  <si>
    <t>ss00367@foodinko.com</t>
  </si>
  <si>
    <t>2024-10-17T09:42:20.301Z</t>
  </si>
  <si>
    <t>2026-02-04T09:17:58.365Z</t>
  </si>
  <si>
    <t>2026-02-04T09:17:58.366Z</t>
  </si>
  <si>
    <t>2026-02-04T01:45:31.760Z</t>
  </si>
  <si>
    <t>https://gowid.channel.io/</t>
  </si>
  <si>
    <t>c05bdf90-2ef1-4bd2-9237-6f7c1e8878b8</t>
  </si>
  <si>
    <t>2026-02-07T00:58:08.430Z</t>
  </si>
  <si>
    <t>2026-02-07T00:58:08.429Z</t>
  </si>
  <si>
    <t>주식회사 사각코퍼레이션</t>
  </si>
  <si>
    <t>364-87-03033</t>
  </si>
  <si>
    <t>기가입회원/관리자/기존, 코어그룹(12월), 비회원</t>
  </si>
  <si>
    <t>jisun@sagakcorp.com</t>
  </si>
  <si>
    <t>2024-10-31T07:29:15.435Z</t>
  </si>
  <si>
    <t>2026-02-20T04:27:14.051Z</t>
  </si>
  <si>
    <t>2026-01-28T11:51:52.902Z</t>
  </si>
  <si>
    <t>주식회사 비멕스 (BMEKS Co., Ltd.)</t>
  </si>
  <si>
    <t>691-88-01889</t>
  </si>
  <si>
    <t>ajin.lee@bmeks.com</t>
  </si>
  <si>
    <t>2024-08-06T00:57:37.961Z</t>
  </si>
  <si>
    <t>2026-02-20T03:17:20.954Z</t>
  </si>
  <si>
    <t>2026-02-12T01:55:03.600Z</t>
  </si>
  <si>
    <t>2026-02-20T03:17:20.955Z</t>
  </si>
  <si>
    <t>minhye.bae@bosalpim.co.kr</t>
  </si>
  <si>
    <t>2026-01-21T00:45:50.244Z</t>
  </si>
  <si>
    <t>2026-02-12T09:49:10.555Z</t>
  </si>
  <si>
    <t>2026-02-12T09:49:10.556Z</t>
  </si>
  <si>
    <t>주식회사 나우고 (NOWGO)</t>
  </si>
  <si>
    <t>753-87-03437</t>
  </si>
  <si>
    <t>immind@kakao.com</t>
  </si>
  <si>
    <t>2026-02-19T00:51:01.948Z</t>
  </si>
  <si>
    <t>2026-02-19T11:40:16.311Z</t>
  </si>
  <si>
    <t>2026-02-19T11:55:56.616Z</t>
  </si>
  <si>
    <t>c1c7616c-6ab8-4e32-8808-f1d609bd64cf</t>
  </si>
  <si>
    <t>2026-01-26T06:34:06.494Z</t>
  </si>
  <si>
    <t>2026-02-19T00:15:29.245Z</t>
  </si>
  <si>
    <t>blog_main</t>
  </si>
  <si>
    <t>post</t>
  </si>
  <si>
    <t>https://mail.google.com/</t>
  </si>
  <si>
    <t>닥터블릿헬스케어 주식회사</t>
  </si>
  <si>
    <t>382-88-01869</t>
  </si>
  <si>
    <t>기가입회원/관리자/기존, 비회원, 코어그룹(12월)</t>
  </si>
  <si>
    <t>kitae@drblet.com</t>
  </si>
  <si>
    <t>2025-02-24T05:36:15.169Z</t>
  </si>
  <si>
    <t>2026-02-20T02:42:55.388Z</t>
  </si>
  <si>
    <t>2026-02-20T02:42:55.389Z</t>
  </si>
  <si>
    <t>https://search.naver.com/search.naver?sm=tab_hty.top&amp;where=nexearch&amp;ssc=tab.nx.all&amp;query=%EA%B3%A0%EC%9C%84%EB%93%9C+%EC%B9%B4%EB%93%9C&amp;oquery=%EA%B3%A0%EC%9C%84%EB%93%9C&amp;tqi=i9nUKlqVOsCssjdX9UlssssstyV-087188</t>
  </si>
  <si>
    <t>601a7839-1c0a-4875-a89d-884ff07a3f0d</t>
  </si>
  <si>
    <t>2026-02-07T11:06:14.630Z</t>
  </si>
  <si>
    <t>2026-02-17T05:57:52.459Z</t>
  </si>
  <si>
    <t>2026-02-17T05:57:52.460Z</t>
  </si>
  <si>
    <t>(주)큐피스트(Cupist Inc.)</t>
  </si>
  <si>
    <t>590-81-00690</t>
  </si>
  <si>
    <t>operations@cupist.com</t>
  </si>
  <si>
    <t>2024-10-08T05:00:20.175Z</t>
  </si>
  <si>
    <t>2026-02-20T02:45:03.942Z</t>
  </si>
  <si>
    <t>2026-02-20T02:45:03.943Z</t>
  </si>
  <si>
    <t>주식회사 카랑</t>
  </si>
  <si>
    <t>242-86-00160</t>
  </si>
  <si>
    <t>hmpark@carang.co.kr</t>
  </si>
  <si>
    <t>2025-08-05T00:26:06.694Z</t>
  </si>
  <si>
    <t>2026-02-20T04:47:21.092Z</t>
  </si>
  <si>
    <t>2026-02-20T04:47:21.093Z</t>
  </si>
  <si>
    <t>https://carang.daouoffice.com/</t>
  </si>
  <si>
    <t>주식회사 제이엔케이글로벌 (JNK GLOBAL Inc)</t>
  </si>
  <si>
    <t>393-87-02181</t>
  </si>
  <si>
    <t>jnkglobal01@naver.com</t>
  </si>
  <si>
    <t>경기도 평택시</t>
  </si>
  <si>
    <t>2026-02-19T10:06:50.070Z</t>
  </si>
  <si>
    <t>2026-02-20T04:14:55.272Z</t>
  </si>
  <si>
    <t>2026-02-20T04:14:55.273Z</t>
  </si>
  <si>
    <t>데이오프컴퍼니 주식회사</t>
  </si>
  <si>
    <t>772-88-02872</t>
  </si>
  <si>
    <t>nick@dayoff.co.kr</t>
  </si>
  <si>
    <t>2024-09-27T14:54:30.861Z</t>
  </si>
  <si>
    <t>2026-02-05T04:51:56.217Z</t>
  </si>
  <si>
    <t>2026-02-05T04:51:56.218Z</t>
  </si>
  <si>
    <t>2026-02-06T00:56:50.401Z</t>
  </si>
  <si>
    <t>2026-02-06T00:56:50.400Z</t>
  </si>
  <si>
    <t>2026-02-06T01:17:58.583Z</t>
  </si>
  <si>
    <t>주식회사 안개로</t>
  </si>
  <si>
    <t>181-88-02998</t>
  </si>
  <si>
    <t>coreano@kakao.com</t>
  </si>
  <si>
    <t>2025-05-13T03:35:31.781Z</t>
  </si>
  <si>
    <t>2026-02-16T01:41:00.034Z</t>
  </si>
  <si>
    <t>2026-02-16T01:41:00.036Z</t>
  </si>
  <si>
    <t>주식회사 센티넬이노베이션</t>
  </si>
  <si>
    <t>476-81-00981</t>
  </si>
  <si>
    <t>yekim@stracka.kr</t>
  </si>
  <si>
    <t>2024-05-03T08:56:19.170Z</t>
  </si>
  <si>
    <t>2026-02-12T05:29:34.738Z</t>
  </si>
  <si>
    <t>Samsung SM-G991N</t>
  </si>
  <si>
    <t>2026-02-02T12:45:23.037Z</t>
  </si>
  <si>
    <t>Android 15</t>
  </si>
  <si>
    <t>2026-02-12T05:29:34.739Z</t>
  </si>
  <si>
    <t>https://search.naver.com/search.naver?sm=tab_hty.top&amp;where=nexearch&amp;ssc=tab.nx.all&amp;query=gowid+%EA%B3%A0%EA%B0%9D%EC%84%BC%ED%84%B0&amp;oquery=%EA%B3%A0%EC%9C%84%EB%93%9C+%EA%B3%A0%EA%B0%9D%EC%84%BC%ED%84%B0&amp;tqi=juTM2lqVN8CssSmpLhhssssssdh-425998&amp;ackey=jyo2g5xo</t>
  </si>
  <si>
    <t>로지스핏 주식회사</t>
  </si>
  <si>
    <t>186-88-02334</t>
  </si>
  <si>
    <t>myyoon@logisfit.co.kr</t>
  </si>
  <si>
    <t>경기도 김포시</t>
  </si>
  <si>
    <t>2025-04-03T03:40:58.128Z</t>
  </si>
  <si>
    <t>2026-02-20T00:07:32.408Z</t>
  </si>
  <si>
    <t>2026-02-20T00:07:32.409Z</t>
  </si>
  <si>
    <t>https://search.naver.com/search.naver?where=nexearch&amp;sm=top_hty&amp;fbm=0&amp;ie=utf8&amp;query=%EA%B3%A0%EC%9C%84%EB%93%9C&amp;ackey=uemjwxnz</t>
  </si>
  <si>
    <t>8b2d029f-74bb-42f4-a926-95fd9408cc25</t>
  </si>
  <si>
    <t>2026-01-29T09:01:54.563Z</t>
  </si>
  <si>
    <t>2026-01-30T06:29:46.446Z</t>
  </si>
  <si>
    <t>주식회사 우대빵부동산중개센터</t>
  </si>
  <si>
    <t>530-88-01793</t>
  </si>
  <si>
    <t>estatecloud19@gmail.com</t>
  </si>
  <si>
    <t>2024-10-28T08:16:14.848Z</t>
  </si>
  <si>
    <t>2026-02-09T08:48:11.130Z</t>
  </si>
  <si>
    <t>2026-02-09T08:48:11.131Z</t>
  </si>
  <si>
    <t>6883bd32-1726-4820-b8be-040d06f7a0c6</t>
  </si>
  <si>
    <t>2026-02-02T05:32:48.668Z</t>
  </si>
  <si>
    <t>2026-02-02T08:13:56.375Z</t>
  </si>
  <si>
    <t>2026-02-02T08:13:56.376Z</t>
  </si>
  <si>
    <t>주식회사 프라이데이투선데이</t>
  </si>
  <si>
    <t>434-88-02136</t>
  </si>
  <si>
    <t>soovin@fridaystudio.kr</t>
  </si>
  <si>
    <t>2026-01-27T01:34:18.084Z</t>
  </si>
  <si>
    <t>2026-02-13T03:33:56.294Z</t>
  </si>
  <si>
    <t>2026-02-13T03:33:56.295Z</t>
  </si>
  <si>
    <t>주식회사 더파운더즈 (The Founders Inc.)</t>
  </si>
  <si>
    <t>814-86-00820</t>
  </si>
  <si>
    <t>기가입회원/관리자/신규, 코어그룹(12월)</t>
  </si>
  <si>
    <t>ej.park@thefounders.kr</t>
  </si>
  <si>
    <t>2025-03-07T01:53:46.271Z</t>
  </si>
  <si>
    <t>2026-02-19T06:55:08.455Z</t>
  </si>
  <si>
    <t>2026-02-19T06:55:08.456Z</t>
  </si>
  <si>
    <t>주식회사 커널로그(Conalog Co., Ltd.)</t>
  </si>
  <si>
    <t>811-81-00786</t>
  </si>
  <si>
    <t>dhjung@conalog.com</t>
  </si>
  <si>
    <t>경기도 성남시 수정구</t>
  </si>
  <si>
    <t>2025-12-17T09:12:01.744Z</t>
  </si>
  <si>
    <t>2026-02-19T23:22:00.692Z</t>
  </si>
  <si>
    <t>iOS 26.3</t>
  </si>
  <si>
    <t>2026-02-19T23:22:00.693Z</t>
  </si>
  <si>
    <t>2026-02-19T01:12:14.148Z</t>
  </si>
  <si>
    <t>chimdae0616@sionic.ai</t>
  </si>
  <si>
    <t>2026-01-06T05:42:21.254Z</t>
  </si>
  <si>
    <t>2026-02-19T01:32:42.248Z</t>
  </si>
  <si>
    <t>2026-01-24T04:54:49.028Z</t>
  </si>
  <si>
    <t>2026-02-19T01:32:42.249Z</t>
  </si>
  <si>
    <t>주식회사 플랜바이테크놀로지스</t>
  </si>
  <si>
    <t>328-87-02983</t>
  </si>
  <si>
    <t>kai.roh@planby.us</t>
  </si>
  <si>
    <t>2023-09-29T01:03:53.239Z</t>
  </si>
  <si>
    <t>2026-02-19T08:30:55.748Z</t>
  </si>
  <si>
    <t>2026-02-13T12:44:52.334Z</t>
  </si>
  <si>
    <t>2026-02-19T08:30:55.749Z</t>
  </si>
  <si>
    <t>주식회사 알리는사람들</t>
  </si>
  <si>
    <t>752-86-00032</t>
  </si>
  <si>
    <t>semilee@alipeople.kr</t>
  </si>
  <si>
    <t>2024-10-28T01:42:16.628Z</t>
  </si>
  <si>
    <t>2026-02-20T03:12:18.840Z</t>
  </si>
  <si>
    <t>2026-02-20T03:12:18.841Z</t>
  </si>
  <si>
    <t>2026-02-20T00:52:28.531Z</t>
  </si>
  <si>
    <t>https://search.naver.com/search.naver?sm=tab_hty.top&amp;where=nexearch&amp;ssc=tab.nx.all&amp;query=%EA%B3%A0%EC%9C%84%EB%93%9C&amp;oquery=%ED%98%91%EC%97%85%ED%95%9C+%EB%8F%99%EB%A3%8C+%ED%8F%89%EA%B0%80&amp;tqi=iVe4tdqVN8ossaS3FkhssssssaV-305305</t>
  </si>
  <si>
    <t>주식회사 그래비티벤처스</t>
  </si>
  <si>
    <t>170-88-02251</t>
  </si>
  <si>
    <t>jessy@visioncreator.co.kr</t>
  </si>
  <si>
    <t>2025-07-01T04:05:06.734Z</t>
  </si>
  <si>
    <t>2026-02-13T04:09:44.776Z</t>
  </si>
  <si>
    <t>947f76ae-205b-444b-bfab-be5377d3e496</t>
  </si>
  <si>
    <t>대구시 수성구</t>
  </si>
  <si>
    <t>2026-02-05T23:23:08.786Z</t>
  </si>
  <si>
    <t>2026-02-06T02:03:49.224Z</t>
  </si>
  <si>
    <t>스톤아날로그스튜디오 주식회사</t>
  </si>
  <si>
    <t>222-86-03085</t>
  </si>
  <si>
    <t>sj@stone-official.com</t>
  </si>
  <si>
    <t>2026-02-13T07:51:44.483Z</t>
  </si>
  <si>
    <t>2026-02-13T08:04:20.097Z</t>
  </si>
  <si>
    <t>2026-02-13T08:04:20.098Z</t>
  </si>
  <si>
    <t>Safari 26.3</t>
  </si>
  <si>
    <t>53edd06a-2ca5-4e43-909c-ba62791db1b8</t>
  </si>
  <si>
    <t>2026-02-09T01:25:37.415Z</t>
  </si>
  <si>
    <t>powerlink-12-2025</t>
  </si>
  <si>
    <t>card-company</t>
  </si>
  <si>
    <t>주식회사 유니콘유니언</t>
  </si>
  <si>
    <t>798-81-02405</t>
  </si>
  <si>
    <t>deptmusic0922@gmail.com</t>
  </si>
  <si>
    <t>2024-07-26T05:44:31.366Z</t>
  </si>
  <si>
    <t>2026-02-20T03:13:29.219Z</t>
  </si>
  <si>
    <t>2026-02-15T06:15:58.460Z</t>
  </si>
  <si>
    <t>2026-02-20T03:13:29.221Z</t>
  </si>
  <si>
    <t>주식회사 에이프릴세븐</t>
  </si>
  <si>
    <t>206-86-42975</t>
  </si>
  <si>
    <t>admin@april7.co.kr</t>
  </si>
  <si>
    <t>2024-02-05T06:19:11.389Z</t>
  </si>
  <si>
    <t>2026-02-13T04:11:50.804Z</t>
  </si>
  <si>
    <t>2026-02-13T04:11:50.805Z</t>
  </si>
  <si>
    <t>5eefa0ed-dffc-4c93-b82a-9163c46a95aa</t>
  </si>
  <si>
    <t>2026-01-13T01:18:24.010Z</t>
  </si>
  <si>
    <t>2026-02-07T07:52:33.398Z</t>
  </si>
  <si>
    <t>2026-02-07T07:52:33.399Z</t>
  </si>
  <si>
    <t>Chrome Webview 144.0.7559.114</t>
  </si>
  <si>
    <t>Google Pixel 10 PRO XL</t>
  </si>
  <si>
    <t>limit-growth-copyvari-v2-1080x1080</t>
  </si>
  <si>
    <t>120241188764240606</t>
  </si>
  <si>
    <t>commerce-report-lead-form-02-2026</t>
  </si>
  <si>
    <t>120242601855040606</t>
  </si>
  <si>
    <t>120242601855010606</t>
  </si>
  <si>
    <t>https://l.facebook.com/</t>
  </si>
  <si>
    <t>로앤굿 주식회사</t>
  </si>
  <si>
    <t>668-86-01551</t>
  </si>
  <si>
    <t>sim@lawandgood.com</t>
  </si>
  <si>
    <t>2023-12-01T01:47:40.493Z</t>
  </si>
  <si>
    <t>2026-02-14T09:45:56.276Z</t>
  </si>
  <si>
    <t>2026-02-14T09:45:56.277Z</t>
  </si>
  <si>
    <t>2026-02-06T00:27:22.753Z</t>
  </si>
  <si>
    <t>주식회사 똑똑한소비자</t>
  </si>
  <si>
    <t>702-86-01564</t>
  </si>
  <si>
    <t>jhkang@abland.kr</t>
  </si>
  <si>
    <t>2025-09-10T07:07:12.129Z</t>
  </si>
  <si>
    <t>2026-02-12T16:18:55.844Z</t>
  </si>
  <si>
    <t>2026-02-12T16:18:55.845Z</t>
  </si>
  <si>
    <t>2026-02-03T16:11:40.612Z</t>
  </si>
  <si>
    <t>주식회사 하이어코퍼레이션</t>
  </si>
  <si>
    <t>445-88-02096</t>
  </si>
  <si>
    <t>lssok75@naver.com</t>
  </si>
  <si>
    <t>2024-06-04T02:34:42.978Z</t>
  </si>
  <si>
    <t>2026-02-20T03:13:38.433Z</t>
  </si>
  <si>
    <t>2026-02-20T03:13:38.434Z</t>
  </si>
  <si>
    <t>2026-02-19T02:58:26.149Z</t>
  </si>
  <si>
    <t>주식회사 레드빈 (REDBEAN Corporation)</t>
  </si>
  <si>
    <t>774-81-00852</t>
  </si>
  <si>
    <t>park@rdbcorp.com</t>
  </si>
  <si>
    <t>서울시 금천구</t>
  </si>
  <si>
    <t>2024-10-30T07:47:35.708Z</t>
  </si>
  <si>
    <t>2026-02-11T04:34:39.979Z</t>
  </si>
  <si>
    <t>2026-02-10T08:56:21.924Z</t>
  </si>
  <si>
    <t>2026-02-11T04:34:39.981Z</t>
  </si>
  <si>
    <t>2026-02-11T04:33:24.979Z</t>
  </si>
  <si>
    <t>주식회사 오크컴퍼니 (OAK COMPANY)</t>
  </si>
  <si>
    <t>219-87-03733</t>
  </si>
  <si>
    <t>ctd9449@naver.com</t>
  </si>
  <si>
    <t>2025-03-27T12:55:25.973Z</t>
  </si>
  <si>
    <t>2026-02-20T04:03:11.402Z</t>
  </si>
  <si>
    <t>2026-02-17T16:42:01.400Z</t>
  </si>
  <si>
    <t>2026-02-20T04:03:11.403Z</t>
  </si>
  <si>
    <t>농업회사법인 아이오크롭스 주식회사</t>
  </si>
  <si>
    <t>833-81-01261</t>
  </si>
  <si>
    <t>jyjeong@iocrops.com</t>
  </si>
  <si>
    <t>2025-07-16T02:15:23.722Z</t>
  </si>
  <si>
    <t>2026-02-12T07:40:20.560Z</t>
  </si>
  <si>
    <t>Samsung SM-S906N</t>
  </si>
  <si>
    <t>2026-02-12T06:52:19.751Z</t>
  </si>
  <si>
    <t>2026-02-12T07:40:20.561Z</t>
  </si>
  <si>
    <t>2026-02-12T07:29:51.744Z</t>
  </si>
  <si>
    <t>코어그룹(12월), 비회원</t>
  </si>
  <si>
    <t>evelyn@teamturing.com</t>
  </si>
  <si>
    <t>경기도 하남시</t>
  </si>
  <si>
    <t>2026-01-26T01:58:38.208Z</t>
  </si>
  <si>
    <t>2026-02-20T04:48:21.496Z</t>
  </si>
  <si>
    <t>2026-01-29T00:40:43.652Z</t>
  </si>
  <si>
    <t>주식회사 초이스포우먼(Choice for women Co., Ltd.)</t>
  </si>
  <si>
    <t>462-86-02699</t>
  </si>
  <si>
    <t>ejyeo@removethebra.com</t>
  </si>
  <si>
    <t>2024-08-12T00:42:26.197Z</t>
  </si>
  <si>
    <t>2026-02-19T04:11:43.216Z</t>
  </si>
  <si>
    <t>iOS 18.6.2</t>
  </si>
  <si>
    <t>2026-02-19T04:11:43.217Z</t>
  </si>
  <si>
    <t>2026-02-10T05:53:10.990Z</t>
  </si>
  <si>
    <t>2a78084b-62ec-4f40-b487-8b40bcfd326c</t>
  </si>
  <si>
    <t>2026-02-05T23:52:49.446Z</t>
  </si>
  <si>
    <t>2026-02-08T23:52:13.897Z</t>
  </si>
  <si>
    <t>CARD:카드 총괄관리자 / EXPENSE:카드 총괄관리자 / SUBSCRIPTION:구독 총괄 관리자</t>
  </si>
  <si>
    <t>주식회사 웨이비인터내셔널</t>
  </si>
  <si>
    <t>689-88-03545</t>
  </si>
  <si>
    <t>moon@wavy.kr</t>
  </si>
  <si>
    <t>서울시 동대문구</t>
  </si>
  <si>
    <t>2026-01-16T04:30:34.809Z</t>
  </si>
  <si>
    <t>2026-02-13T09:44:51.050Z</t>
  </si>
  <si>
    <t>2026-02-09T15:46:27.137Z</t>
  </si>
  <si>
    <t>2026-02-13T09:44:51.051Z</t>
  </si>
  <si>
    <t>구독좋아요 주식회사</t>
  </si>
  <si>
    <t>631-81-01947</t>
  </si>
  <si>
    <t>hlee@gudoclike.com</t>
  </si>
  <si>
    <t>2024-12-16T15:57:01.383Z</t>
  </si>
  <si>
    <t>2026-02-03T01:09:32.957Z</t>
  </si>
  <si>
    <t>2026-02-03T01:09:32.958Z</t>
  </si>
  <si>
    <t>2026-02-02T02:29:16.894Z</t>
  </si>
  <si>
    <t>주식회사 아크로스테크놀로지스</t>
  </si>
  <si>
    <t>160-88-02104</t>
  </si>
  <si>
    <t>chris@akrostec.com</t>
  </si>
  <si>
    <t>2025-12-11T07:43:23.055Z</t>
  </si>
  <si>
    <t>2026-02-06T10:22:40.080Z</t>
  </si>
  <si>
    <t>2026-02-03T13:08:15.085Z</t>
  </si>
  <si>
    <t>2026-02-06T10:22:40.081Z</t>
  </si>
  <si>
    <t>EXPENSE:세무 대리인 / CARD:세무 대리인</t>
  </si>
  <si>
    <t>주식회사 타인에이아이</t>
  </si>
  <si>
    <t>419-87-01728</t>
  </si>
  <si>
    <t>dkfwlqwkd@naver.com</t>
  </si>
  <si>
    <t>2025-07-04T05:02:23.183Z</t>
  </si>
  <si>
    <t>2026-02-13T07:01:48.366Z</t>
  </si>
  <si>
    <t>2026-02-13T07:04:55.224Z</t>
  </si>
  <si>
    <t>mathapple316@gmail.com</t>
  </si>
  <si>
    <t>87d764a6-a4d3-4308-bb59-6398acb3f205</t>
  </si>
  <si>
    <t>2026-02-11T01:12:02.075Z</t>
  </si>
  <si>
    <t>2026-02-11T03:28:38.441Z</t>
  </si>
  <si>
    <t>2026-02-11T03:28:38.442Z</t>
  </si>
  <si>
    <t>주식회사 똑똑홀딩스</t>
  </si>
  <si>
    <t>570-81-03825</t>
  </si>
  <si>
    <t>knockknock6@knockknocks.kr</t>
  </si>
  <si>
    <t>2025-05-28T03:04:16.127Z</t>
  </si>
  <si>
    <t>2026-02-07T00:37:35.712Z</t>
  </si>
  <si>
    <t>2026-02-07T00:37:35.713Z</t>
  </si>
  <si>
    <t>고위드카드</t>
  </si>
  <si>
    <t>phkim121@drblet.com</t>
  </si>
  <si>
    <t>2026-01-05T07:21:46.956Z</t>
  </si>
  <si>
    <t>2026-02-20T04:05:12.710Z</t>
  </si>
  <si>
    <t>2026-01-05T13:40:56.275Z</t>
  </si>
  <si>
    <t>a66d8d2e-93d7-49c3-a161-8169d97c1f26</t>
  </si>
  <si>
    <t>2026-02-18T15:53:45.536Z</t>
  </si>
  <si>
    <t>Chrome 145.0.7632.55</t>
  </si>
  <si>
    <t>라온 자산운용 주식회사 (RAON ASSET MANAGEMENT Co., Ltd)</t>
  </si>
  <si>
    <t>393-87-02667</t>
  </si>
  <si>
    <t>miraekim@raon-am.co.kr</t>
  </si>
  <si>
    <t>사원</t>
  </si>
  <si>
    <t>2025-09-26T03:27:26.554Z</t>
  </si>
  <si>
    <t>2026-02-19T03:09:10.332Z</t>
  </si>
  <si>
    <t>2026-02-19T03:07:05.005Z</t>
  </si>
  <si>
    <t>iOS 18.6</t>
  </si>
  <si>
    <t>2026-02-19T03:09:10.333Z</t>
  </si>
  <si>
    <t>expense</t>
  </si>
  <si>
    <t>app-3</t>
  </si>
  <si>
    <t>metric-studio</t>
  </si>
  <si>
    <t>밸류업부동산중개법인 주식회사</t>
  </si>
  <si>
    <t>818-88-02047</t>
  </si>
  <si>
    <t>ceokim79@naver.com</t>
  </si>
  <si>
    <t>2025-01-13T05:53:02.990Z</t>
  </si>
  <si>
    <t>2026-02-10T07:43:16.919Z</t>
  </si>
  <si>
    <t>2026-02-10T07:43:16.920Z</t>
  </si>
  <si>
    <t>Whale 4.29.282.15</t>
  </si>
  <si>
    <t>2025-01-13T13:15:11.374Z</t>
  </si>
  <si>
    <t>Windows 10.0</t>
  </si>
  <si>
    <t>https://search.naver.com/search.naver?sm=whl_nht&amp;query=%EA%B3%A0%EC%9C%84%EB%93%9C</t>
  </si>
  <si>
    <t>https://search.naver.com/search.naver?sm=tab_sug.top&amp;where=nexearch&amp;ssc=tab.nx.all&amp;query=%EA%B3%A0%EC%9C%84%EB%93%9C&amp;oquery=%EC%9A%B0%EB%A6%AC%EC%9D%80%ED%96%89+%EA%B8%B0%EC%97%85&amp;tqi=iGReddqo1aVssuSXOIhssssss9w-277170&amp;acq=rhdnlem&amp;acr=2&amp;qdt=0</t>
  </si>
  <si>
    <t>주식회사 뷰티스프린트</t>
  </si>
  <si>
    <t>527-88-02985</t>
  </si>
  <si>
    <t>babting110@gmail.com</t>
  </si>
  <si>
    <t>2026-02-11T00:57:42.624Z</t>
  </si>
  <si>
    <t>2026-02-11T01:31:37.487Z</t>
  </si>
  <si>
    <t>2026-02-11T01:31:48.344Z</t>
  </si>
  <si>
    <t>에버엑스 주식회사(EverEx)</t>
  </si>
  <si>
    <t>751-87-01409</t>
  </si>
  <si>
    <t>기가입회원/관리자/신규, 신규고객</t>
  </si>
  <si>
    <t>ryan.lim@everex.co.kr</t>
  </si>
  <si>
    <t>2025-07-29T07:19:33.383Z</t>
  </si>
  <si>
    <t>2026-02-12T02:45:18.679Z</t>
  </si>
  <si>
    <t>2026-02-12T02:45:18.680Z</t>
  </si>
  <si>
    <t>3c832b86-461b-478a-a56a-d6be48925307</t>
  </si>
  <si>
    <t>2026-02-12T08:16:25.487Z</t>
  </si>
  <si>
    <t>2026-02-13T02:13:51.884Z</t>
  </si>
  <si>
    <t>2026-02-13T02:35:56.820Z</t>
  </si>
  <si>
    <t>Instagram 416.0.0.26.68</t>
  </si>
  <si>
    <t>Instagram</t>
  </si>
  <si>
    <t>120242800852720606</t>
  </si>
  <si>
    <t>commerce-homepage-02-2026</t>
  </si>
  <si>
    <t>misung-commerce-video-v2</t>
  </si>
  <si>
    <t>120242835466230606</t>
  </si>
  <si>
    <t>08b1a1ec-70da-4e78-9c4e-095690a5c6fc</t>
  </si>
  <si>
    <t>경북 영천시</t>
  </si>
  <si>
    <t>2026-02-12T05:40:17.773Z</t>
  </si>
  <si>
    <t>2026-02-12T06:51:42.851Z</t>
  </si>
  <si>
    <t>주식회사 두부</t>
  </si>
  <si>
    <t>113-87-01422</t>
  </si>
  <si>
    <t>기가입회원/관리자/기존, 일반/나머지고객, 비회원</t>
  </si>
  <si>
    <t>peach@dubuhealth.com</t>
  </si>
  <si>
    <t>2024-10-14T00:48:41.289Z</t>
  </si>
  <si>
    <t>2026-02-20T02:09:27.709Z</t>
  </si>
  <si>
    <t>2026-02-20T02:09:27.710Z</t>
  </si>
  <si>
    <t>주식회사 아란푸드랩</t>
  </si>
  <si>
    <t>471-81-03381</t>
  </si>
  <si>
    <t>aranfoodlab@gmail.com</t>
  </si>
  <si>
    <t>2026-02-09T03:19:29.889Z</t>
  </si>
  <si>
    <t>2026-02-12T11:46:42.847Z</t>
  </si>
  <si>
    <t>2026-02-12T11:46:42.848Z</t>
  </si>
  <si>
    <t>주식회사 모두의연구소</t>
  </si>
  <si>
    <t>517-88-00184</t>
  </si>
  <si>
    <t>jinah.lee@modulabs.co.kr</t>
  </si>
  <si>
    <t>2024-08-27T02:56:13.298Z</t>
  </si>
  <si>
    <t>2026-02-19T07:20:24.449Z</t>
  </si>
  <si>
    <t>2026-02-19T07:20:24.450Z</t>
  </si>
  <si>
    <t>2026-02-11T05:07:59.708Z</t>
  </si>
  <si>
    <t>주식회사 카닥</t>
  </si>
  <si>
    <t>144-81-21245</t>
  </si>
  <si>
    <t>songa.kim@cardoc.kr</t>
  </si>
  <si>
    <t>울산시 남구</t>
  </si>
  <si>
    <t>2025-06-10T05:52:25.160Z</t>
  </si>
  <si>
    <t>2026-02-20T03:00:52.367Z</t>
  </si>
  <si>
    <t>2026-02-06T08:52:35.650Z</t>
  </si>
  <si>
    <t>2026-02-20T03:00:52.368Z</t>
  </si>
  <si>
    <t>PC_자사</t>
  </si>
  <si>
    <t>EXPENSE:카드 총괄관리자 / FUEL:카드 총괄관리자 / CARD:카드 총괄관리자</t>
  </si>
  <si>
    <t>주식회사 에이지온</t>
  </si>
  <si>
    <t>694-86-03335</t>
  </si>
  <si>
    <t>minty@ageonbio.com</t>
  </si>
  <si>
    <t>2025-06-06T08:21:48.594Z</t>
  </si>
  <si>
    <t>2026-02-10T02:58:34.243Z</t>
  </si>
  <si>
    <t>2026-02-04T04:11:27.140Z</t>
  </si>
  <si>
    <t>iOS 18.4.1</t>
  </si>
  <si>
    <t>2026-02-10T02:58:34.244Z</t>
  </si>
  <si>
    <t>5c1b2219-4b86-44c8-83c9-2d2a066126c1</t>
  </si>
  <si>
    <t>2026-02-12T04:30:59.080Z</t>
  </si>
  <si>
    <t>2026-02-12T04:30:59.079Z</t>
  </si>
  <si>
    <t>Whale 4.35.351.12</t>
  </si>
  <si>
    <t>18ab3e6a-efa4-44e3-bae0-64180cea6c15</t>
  </si>
  <si>
    <t>2026-02-16T06:21:04.368Z</t>
  </si>
  <si>
    <t>2026-02-17T09:41:28.738Z</t>
  </si>
  <si>
    <t>플럭서 주식회사</t>
  </si>
  <si>
    <t>798-87-02576</t>
  </si>
  <si>
    <t>luke.lee@fluxr.com</t>
  </si>
  <si>
    <t>2025-02-28T13:49:18.256Z</t>
  </si>
  <si>
    <t>2026-02-10T07:39:54.598Z</t>
  </si>
  <si>
    <t>2026-02-10T07:39:54.599Z</t>
  </si>
  <si>
    <t>Chrome 133</t>
  </si>
  <si>
    <t>(주)더앤트</t>
  </si>
  <si>
    <t>706-87-01020</t>
  </si>
  <si>
    <t>hyeran.shin@theant.kr</t>
  </si>
  <si>
    <t>2024-11-18T07:54:42.495Z</t>
  </si>
  <si>
    <t>2026-02-19T23:55:39.781Z</t>
  </si>
  <si>
    <t>2026-02-05T07:53:23.567Z</t>
  </si>
  <si>
    <t>c2619d0e-3535-4a00-b4f5-2edf277be766</t>
  </si>
  <si>
    <t>2026-02-11T16:43:12.063Z</t>
  </si>
  <si>
    <t>2026-02-11T16:43:12.062Z</t>
  </si>
  <si>
    <t>Chrome Webview 128.0.0.0</t>
  </si>
  <si>
    <t>commerce-lead-form-02-2026</t>
  </si>
  <si>
    <t>(주)뉴닉</t>
  </si>
  <si>
    <t>632-81-01159</t>
  </si>
  <si>
    <t>hey@newneek.co</t>
  </si>
  <si>
    <t>2025-11-06T05:02:11.248Z</t>
  </si>
  <si>
    <t>2026-02-19T07:23:02.422Z</t>
  </si>
  <si>
    <t>2026-01-26T00:01:47.197Z</t>
  </si>
  <si>
    <t>2026-02-19T07:23:02.423Z</t>
  </si>
  <si>
    <t>유한책임회사 에이브스</t>
  </si>
  <si>
    <t>186-81-02349</t>
  </si>
  <si>
    <t>lyu@aves.llc</t>
  </si>
  <si>
    <t>2026-02-09T07:22:16.305Z</t>
  </si>
  <si>
    <t>2026-02-19T16:13:28.066Z</t>
  </si>
  <si>
    <t>2026-02-19T16:13:28.067Z</t>
  </si>
  <si>
    <t>6f6b6303-f82e-4af7-a37e-31cec29545a8</t>
  </si>
  <si>
    <t>2026-02-18T09:25:03.024Z</t>
  </si>
  <si>
    <t>c841ae8e-8018-4f05-8c4b-96eaa1be999d</t>
  </si>
  <si>
    <t>2026-01-30T05:06:42.950Z</t>
  </si>
  <si>
    <t>2026-02-13T06:38:41.670Z</t>
  </si>
  <si>
    <t>CARD:일반 멤버 / EXPENSE:일반 멤버</t>
  </si>
  <si>
    <t>피아스페이스(주)</t>
  </si>
  <si>
    <t>802-87-02235</t>
  </si>
  <si>
    <t>si.jung@pia.space</t>
  </si>
  <si>
    <t>2026-02-09T04:40:41.585Z</t>
  </si>
  <si>
    <t>2026-02-09T06:36:45.561Z</t>
  </si>
  <si>
    <t>2026-02-09T04:51:39.972Z</t>
  </si>
  <si>
    <t>2026-02-09T06:36:45.562Z</t>
  </si>
  <si>
    <t>Chrome 128</t>
  </si>
  <si>
    <t>Linux Desktop</t>
  </si>
  <si>
    <t>Linux ??</t>
  </si>
  <si>
    <t>Linux</t>
  </si>
  <si>
    <t>주식회사 씨앤디네트워크</t>
  </si>
  <si>
    <t>665-81-03477</t>
  </si>
  <si>
    <t>인천시 서구</t>
  </si>
  <si>
    <t>2026-01-30T08:36:15.600Z</t>
  </si>
  <si>
    <t>2026-02-06T05:51:16.161Z</t>
  </si>
  <si>
    <t>2026-02-06T05:51:16.162Z</t>
  </si>
  <si>
    <t>(주)식스티세컨즈</t>
  </si>
  <si>
    <t>545-87-00746</t>
  </si>
  <si>
    <t>koe@60s.co.kr</t>
  </si>
  <si>
    <t>2024-08-02T02:37:04.194Z</t>
  </si>
  <si>
    <t>2026-02-09T03:14:10.745Z</t>
  </si>
  <si>
    <t>2026-02-09T03:16:36.069Z</t>
  </si>
  <si>
    <t>https://search.naver.com/search.naver?sm=tab_hty.top&amp;where=nexearch&amp;ssc=tab.nx.all&amp;query=%EA%B3%A0%EC%9C%84%EB%93%9C&amp;oquery=%EB%A1%AF%EB%8D%B0%EC%B9%B4%EB%93%9C+%EA%B3%A0%EC%9C%84%EB%93%9C&amp;tqi=iqxbedqo1e8ssSJEfMRssssstcV-463151</t>
  </si>
  <si>
    <t>chatgpt.com</t>
  </si>
  <si>
    <t>https://chatgpt.com/</t>
  </si>
  <si>
    <t>00e8bb11-91cb-40a8-aa09-8ac8d74fda6d</t>
  </si>
  <si>
    <t>2026-01-26T10:25:24.637Z</t>
  </si>
  <si>
    <t>2026-02-04T04:20:48.547Z</t>
  </si>
  <si>
    <t>5c78a23318a38cd6</t>
  </si>
  <si>
    <t>2026-02-08T13:10:49.656Z</t>
  </si>
  <si>
    <t>2026-02-12T07:06:56.060Z</t>
  </si>
  <si>
    <t>2026-02-12T07:06:56.061Z</t>
  </si>
  <si>
    <t>가제트코리아 주식회사</t>
  </si>
  <si>
    <t>786-87-01837</t>
  </si>
  <si>
    <t>raina@usimsa.com</t>
  </si>
  <si>
    <t>2025-11-14T01:11:18.257Z</t>
  </si>
  <si>
    <t>2026-02-19T05:44:40.193Z</t>
  </si>
  <si>
    <t>3d660e05-fe51-4668-bd38-020ae1be52a1</t>
  </si>
  <si>
    <t>2026-02-13T13:38:33.130Z</t>
  </si>
  <si>
    <t>2026-02-13T13:38:33.129Z</t>
  </si>
  <si>
    <t>misung-commerce-video-v3</t>
  </si>
  <si>
    <t>120242835466310606</t>
  </si>
  <si>
    <t>브라운백 주식회사</t>
  </si>
  <si>
    <t>545-81-00180</t>
  </si>
  <si>
    <t>sykim@brownbag.one</t>
  </si>
  <si>
    <t>2024-05-07T07:57:56.710Z</t>
  </si>
  <si>
    <t>2026-02-19T15:50:16.082Z</t>
  </si>
  <si>
    <t>2.7.2</t>
  </si>
  <si>
    <t>2025-12-04T14:24:11.263Z</t>
  </si>
  <si>
    <t>2026-02-19T15:50:16.083Z</t>
  </si>
  <si>
    <t>Chrome 132</t>
  </si>
  <si>
    <t>followup</t>
  </si>
  <si>
    <t>주식회사 봄찬 (Bomchan Inc.)</t>
  </si>
  <si>
    <t>745-81-03133</t>
  </si>
  <si>
    <t>jiheum@bomchan.com</t>
  </si>
  <si>
    <t>2026-02-14T07:22:38.370Z</t>
  </si>
  <si>
    <t>2026-02-14T07:22:38.369Z</t>
  </si>
  <si>
    <t>2026-02-14T07:39:09.858Z</t>
  </si>
  <si>
    <t>d05496c3-06b5-4806-be5a-5e5c58e95ace</t>
  </si>
  <si>
    <t>2026-02-09T05:08:46.193Z</t>
  </si>
  <si>
    <t>주식회사 인티그레이션</t>
  </si>
  <si>
    <t>784-87-01184</t>
  </si>
  <si>
    <t>seungyup.paik@medistream.co.kr</t>
  </si>
  <si>
    <t>2024-03-28T10:05:29.742Z</t>
  </si>
  <si>
    <t>2026-02-19T09:29:43.193Z</t>
  </si>
  <si>
    <t>2026-02-06T16:47:13.169Z</t>
  </si>
  <si>
    <t>https://support.cloud.google.com/</t>
  </si>
  <si>
    <t>주식회사 리옵스(LiOps)</t>
  </si>
  <si>
    <t>463-81-03056</t>
  </si>
  <si>
    <t>기가입회원/소지자, 기가입회원/관리자/기존, 비회원</t>
  </si>
  <si>
    <t>heejoon@liops.ai</t>
  </si>
  <si>
    <t>제주도 서귀포시</t>
  </si>
  <si>
    <t>2025-08-28T16:57:38.721Z</t>
  </si>
  <si>
    <t>2026-02-20T02:38:22.344Z</t>
  </si>
  <si>
    <t>2026-02-20T02:38:22.345Z</t>
  </si>
  <si>
    <t>2026-02-12T06:04:50.601Z</t>
  </si>
  <si>
    <t>주식회사 코스모스랩(COSMOS LAB Co. ,Ltd.)</t>
  </si>
  <si>
    <t>188-81-02234</t>
  </si>
  <si>
    <t>yosep@cosmoslab.kr</t>
  </si>
  <si>
    <t>경기도 포천시</t>
  </si>
  <si>
    <t>2023-11-30T01:26:49.786Z</t>
  </si>
  <si>
    <t>2026-02-20T04:37:04.401Z</t>
  </si>
  <si>
    <t>Samsung SM-S936N</t>
  </si>
  <si>
    <t>2026-02-19T00:19:51.005Z</t>
  </si>
  <si>
    <t>2026-02-20T04:37:04.402Z</t>
  </si>
  <si>
    <t>https://search.naver.com/search.naver?ie=UTF-8&amp;sm=whl_hty&amp;query=%EA%B3%A0%EC%9C%84%EB%93%9C</t>
  </si>
  <si>
    <t>(주)스타리치에이치알</t>
  </si>
  <si>
    <t>474-86-00321</t>
  </si>
  <si>
    <t>bolamini@naver.com</t>
  </si>
  <si>
    <t>2025-06-12T04:52:13.555Z</t>
  </si>
  <si>
    <t>2026-02-19T23:39:06.091Z</t>
  </si>
  <si>
    <t>2026-02-19T12:24:46.517Z</t>
  </si>
  <si>
    <t>2026-02-19T23:39:06.092Z</t>
  </si>
  <si>
    <t>hsra@mobidoo.co.kr</t>
  </si>
  <si>
    <t>2025-05-28T07:04:30.495Z</t>
  </si>
  <si>
    <t>2026-02-20T00:53:36.745Z</t>
  </si>
  <si>
    <t>2026-02-19T05:09:35.250Z</t>
  </si>
  <si>
    <t>2026-02-20T00:53:36.746Z</t>
  </si>
  <si>
    <t>https://search.naver.com/search.naver?where=nexearch&amp;sm=top_hty&amp;fbm=0&amp;ie=utf8&amp;query=%EA%B3%A0%EC%9C%84%EB%93%9C&amp;ackey=e06wppk3</t>
  </si>
  <si>
    <t>kmh0308@jirocorp.io</t>
  </si>
  <si>
    <t>2026-02-10T06:30:27.717Z</t>
  </si>
  <si>
    <t>2026-02-10T07:24:27.374Z</t>
  </si>
  <si>
    <t>2026-02-10T07:24:27.375Z</t>
  </si>
  <si>
    <t>주식회사 레이어블</t>
  </si>
  <si>
    <t>772-87-03404</t>
  </si>
  <si>
    <t>beomjun@layable.kr</t>
  </si>
  <si>
    <t>2025-06-30T05:51:53.637Z</t>
  </si>
  <si>
    <t>2026-02-11T12:20:48.950Z</t>
  </si>
  <si>
    <t>2026-02-11T12:20:48.951Z</t>
  </si>
  <si>
    <t>b8dbf295-44d0-4781-a07e-80626b9443ae</t>
  </si>
  <si>
    <t>2025-12-24T01:04:10.525Z</t>
  </si>
  <si>
    <t>2026-02-12T04:25:41.138Z</t>
  </si>
  <si>
    <t>2026-02-12T04:25:41.139Z</t>
  </si>
  <si>
    <t>주식회사 더라스트</t>
  </si>
  <si>
    <t>101-86-92452</t>
  </si>
  <si>
    <t>yefly@naver.com</t>
  </si>
  <si>
    <t>2024-11-28T01:18:43.398Z</t>
  </si>
  <si>
    <t>2026-02-13T09:15:40.474Z</t>
  </si>
  <si>
    <t>2026-02-13T09:15:40.475Z</t>
  </si>
  <si>
    <t>2026-02-13T05:34:32.067Z</t>
  </si>
  <si>
    <t>https://admin.stepbaas.com/</t>
  </si>
  <si>
    <t>주식회사 발렌라이프</t>
  </si>
  <si>
    <t>728-81-02541</t>
  </si>
  <si>
    <t>sk.youn@valen-life.com</t>
  </si>
  <si>
    <t>2026-02-10T01:18:57.077Z</t>
  </si>
  <si>
    <t>2026-02-19T06:41:30.212Z</t>
  </si>
  <si>
    <t>2026-02-19T06:41:30.213Z</t>
  </si>
  <si>
    <t>알리콘 주식회사</t>
  </si>
  <si>
    <t>363-88-00097</t>
  </si>
  <si>
    <t>finance@rocketpunch.com</t>
  </si>
  <si>
    <t>2024-07-15T00:33:19.683Z</t>
  </si>
  <si>
    <t>2026-02-04T08:09:54.560Z</t>
  </si>
  <si>
    <t>2026-02-04T08:09:54.561Z</t>
  </si>
  <si>
    <t>EXPENSE:카드 총괄관리자 / CARD:카드 총괄관리자 / SUBSCRIPTION:일반 멤버</t>
  </si>
  <si>
    <t>주식회사 엘로이랩</t>
  </si>
  <si>
    <t>208-88-01770</t>
  </si>
  <si>
    <t>sh.Lim@elroilab.com</t>
  </si>
  <si>
    <t>전남 담양군</t>
  </si>
  <si>
    <t>2026-01-28T04:51:44.834Z</t>
  </si>
  <si>
    <t>2026-02-20T03:08:59.201Z</t>
  </si>
  <si>
    <t>Samsung SM-G986N</t>
  </si>
  <si>
    <t>2026-02-20T03:08:59.202Z</t>
  </si>
  <si>
    <t>2026-02-11T05:46:10.730Z</t>
  </si>
  <si>
    <t>주식회사 어베어(Abear)</t>
  </si>
  <si>
    <t>885-88-02289</t>
  </si>
  <si>
    <t>ryan@windly.cc</t>
  </si>
  <si>
    <t>2024-04-08T13:27:15.313Z</t>
  </si>
  <si>
    <t>2026-02-20T03:56:40.597Z</t>
  </si>
  <si>
    <t>2026-02-20T03:56:40.598Z</t>
  </si>
  <si>
    <t>CARD:부서 카드 관리자 / EXPENSE:부서 카드 관리자</t>
  </si>
  <si>
    <t>주식회사 큐엔티</t>
  </si>
  <si>
    <t>113-87-00777</t>
  </si>
  <si>
    <t>nhkim@qnt.co.kr</t>
  </si>
  <si>
    <t>2026-01-15T00:07:15.512Z</t>
  </si>
  <si>
    <t>2026-02-03T06:09:46.303Z</t>
  </si>
  <si>
    <t>2026-02-03T06:09:46.304Z</t>
  </si>
  <si>
    <t>2026-02-03T05:55:41.061Z</t>
  </si>
  <si>
    <t>주식회사 소울유니버스 (SOUL UNIVERSE INC.)</t>
  </si>
  <si>
    <t>639-81-02144</t>
  </si>
  <si>
    <t>aisha.song@souluniverse.com</t>
  </si>
  <si>
    <t>2025-04-02T02:22:50.824Z</t>
  </si>
  <si>
    <t>2026-02-19T23:55:39.393Z</t>
  </si>
  <si>
    <t>2026-02-19T04:31:40.252Z</t>
  </si>
  <si>
    <t>2026-02-19T23:55:39.394Z</t>
  </si>
  <si>
    <t>https://search.naver.com/search.naver?sm=tab_hty.top&amp;where=nexearch&amp;ssc=tab.nx.all&amp;query=%EA%B3%A0%EC%9C%84%EB%93%9C&amp;oquery=%EC%9D%B8%EC%88%98%EC%9D%B8%EA%B3%84&amp;tqi=i%2ByOWdqps8wss4ZGwANsssssse0-522930</t>
  </si>
  <si>
    <t>주식회사 프리윌린</t>
  </si>
  <si>
    <t>834-86-00713</t>
  </si>
  <si>
    <t>hyerin@mathflat.com</t>
  </si>
  <si>
    <t>2024-06-17T07:31:29.690Z</t>
  </si>
  <si>
    <t>2026-02-20T01:44:52.081Z</t>
  </si>
  <si>
    <t>2026-02-05T15:21:56.833Z</t>
  </si>
  <si>
    <t>2026-02-20T01:44:52.082Z</t>
  </si>
  <si>
    <t>f2070be2-fd51-4972-a837-21658410ae26</t>
  </si>
  <si>
    <t>서울시 동작구</t>
  </si>
  <si>
    <t>2026-02-17T10:51:46.471Z</t>
  </si>
  <si>
    <t>2026-02-17T10:51:46.470Z</t>
  </si>
  <si>
    <t>Instagram 416.1.0.27.68</t>
  </si>
  <si>
    <t>iOS 18.7</t>
  </si>
  <si>
    <t>주식회사 제논</t>
  </si>
  <si>
    <t>763-81-01040</t>
  </si>
  <si>
    <t>chan.choi@genon.ai</t>
  </si>
  <si>
    <t>2025-12-29T07:56:51.039Z</t>
  </si>
  <si>
    <t>2026-01-28T03:31:28.764Z</t>
  </si>
  <si>
    <t>2026-01-28T03:31:46.214Z</t>
  </si>
  <si>
    <t>주식회사 위밋모빌리티</t>
  </si>
  <si>
    <t>806-87-00694</t>
  </si>
  <si>
    <t>ruddo177@wemeetmobility.com</t>
  </si>
  <si>
    <t>2025-05-14T04:11:42.957Z</t>
  </si>
  <si>
    <t>2026-02-19T00:54:50.969Z</t>
  </si>
  <si>
    <t>2026-02-19T00:54:50.970Z</t>
  </si>
  <si>
    <t>주식회사 스펙터</t>
  </si>
  <si>
    <t>449-88-01707</t>
  </si>
  <si>
    <t>admin@specter.co.kr</t>
  </si>
  <si>
    <t>2024-11-08T06:11:15.343Z</t>
  </si>
  <si>
    <t>2026-02-12T08:02:14.449Z</t>
  </si>
  <si>
    <t>https://search.naver.com/search.naver?sm=tab_hty.top&amp;where=nexearch&amp;ssc=tab.nx.all&amp;query=%EA%B3%A0%EC%9C%84%EB%93%9C&amp;oquery=4%EB%8C%80%EB%B3%B4%ED%97%98+%ED%86%B5%ED%95%A9%EC%A7%95%EC%88%98%ED%8F%AC%ED%84%B8&amp;tqi=jvS8Ksqo15wssl5KNyhssssst3w-074680&amp;ackey=pwsbg68u</t>
  </si>
  <si>
    <t>주식회사 마진맥스</t>
  </si>
  <si>
    <t>826-86-02651</t>
  </si>
  <si>
    <t>been.bin@marginmax.me</t>
  </si>
  <si>
    <t>2024-03-19T03:08:14.951Z</t>
  </si>
  <si>
    <t>2026-02-20T02:27:42.435Z</t>
  </si>
  <si>
    <t>2026-02-19T07:28:17.658Z</t>
  </si>
  <si>
    <t>2026-02-20T02:27:42.436Z</t>
  </si>
  <si>
    <t>03e66659-87e3-42cc-a842-909443d32deb</t>
  </si>
  <si>
    <t>2026-02-05T22:29:21.435Z</t>
  </si>
  <si>
    <t>Instagram 414.0.0.23.79</t>
  </si>
  <si>
    <t>https://l.instagram.com/</t>
  </si>
  <si>
    <t>엠에프알 주식회사</t>
  </si>
  <si>
    <t>576-86-02305</t>
  </si>
  <si>
    <t>hjsung2507@mfr-c.com</t>
  </si>
  <si>
    <t>대구시 달성군</t>
  </si>
  <si>
    <t>2025-07-02T03:08:58.517Z</t>
  </si>
  <si>
    <t>2026-02-20T04:16:59.763Z</t>
  </si>
  <si>
    <t>2026-02-20T04:16:59.764Z</t>
  </si>
  <si>
    <t>주식회사 사월일일</t>
  </si>
  <si>
    <t>791-81-03494</t>
  </si>
  <si>
    <t>amudoanworks@gmail.com</t>
  </si>
  <si>
    <t>2026-02-04T06:36:13.174Z</t>
  </si>
  <si>
    <t>2026-02-20T02:34:41.092Z</t>
  </si>
  <si>
    <t>2026-02-20T02:34:41.093Z</t>
  </si>
  <si>
    <t>oh@glowaidbeauty.com</t>
  </si>
  <si>
    <t>41a8371c-c6f4-4aac-b155-5b449dd5fc16</t>
  </si>
  <si>
    <t>2025-12-23T02:33:41.985Z</t>
  </si>
  <si>
    <t>2026-02-03T13:06:40.634Z</t>
  </si>
  <si>
    <t>2026-02-03T13:06:40.635Z</t>
  </si>
  <si>
    <t>a_20251222</t>
  </si>
  <si>
    <t>organic-social</t>
  </si>
  <si>
    <t>linkedin</t>
  </si>
  <si>
    <t>주식회사 올세일코퍼레이션 (ALLSALE Corp.)</t>
  </si>
  <si>
    <t>251-81-03375</t>
  </si>
  <si>
    <t>rex@allsale.ai</t>
  </si>
  <si>
    <t>경기도 광주시</t>
  </si>
  <si>
    <t>2025-12-01T10:30:58.506Z</t>
  </si>
  <si>
    <t>2026-02-20T04:33:18.270Z</t>
  </si>
  <si>
    <t>2026-02-20T04:33:18.271Z</t>
  </si>
  <si>
    <t>notebook-subscription</t>
  </si>
  <si>
    <t>how-to-itsub</t>
  </si>
  <si>
    <t>주식회사 플루토 (PLUTO)</t>
  </si>
  <si>
    <t>444-87-02140</t>
  </si>
  <si>
    <t>hmyang@petsnology.co.kr</t>
  </si>
  <si>
    <t>2024-02-19T05:13:27.980Z</t>
  </si>
  <si>
    <t>2026-02-20T02:25:27.703Z</t>
  </si>
  <si>
    <t>2026-01-13T15:07:29.271Z</t>
  </si>
  <si>
    <t>2026-02-20T02:25:27.704Z</t>
  </si>
  <si>
    <t>dde81978-7d7a-46ac-8f8e-6b2225601f01</t>
  </si>
  <si>
    <t>경기도 용인시 기흥구</t>
  </si>
  <si>
    <t>2026-01-30T07:11:05.349Z</t>
  </si>
  <si>
    <t>2026-01-30T07:12:02.979Z</t>
  </si>
  <si>
    <t>주식회사 크리에이트립</t>
  </si>
  <si>
    <t>531-86-00338</t>
  </si>
  <si>
    <t>bs@creatrip.com</t>
  </si>
  <si>
    <t>2023-12-08T01:54:33.260Z</t>
  </si>
  <si>
    <t>2026-02-13T03:49:30.371Z</t>
  </si>
  <si>
    <t>2026-02-13T03:49:30.372Z</t>
  </si>
  <si>
    <t>주식회사 콘콘</t>
  </si>
  <si>
    <t>772-87-02399</t>
  </si>
  <si>
    <t>sy_seo@ozjejakso.com</t>
  </si>
  <si>
    <t>2024-12-19T04:29:40.169Z</t>
  </si>
  <si>
    <t>2026-02-10T07:37:39.675Z</t>
  </si>
  <si>
    <t>2026-02-10T07:37:39.676Z</t>
  </si>
  <si>
    <t>2026-01-20T05:18:44.280Z</t>
  </si>
  <si>
    <t>de4d7945-33eb-4f18-915e-f906f2f4bb2d</t>
  </si>
  <si>
    <t>인천시 연수구</t>
  </si>
  <si>
    <t>2026-01-29T01:20:27.706Z</t>
  </si>
  <si>
    <t>2026-02-05T04:29:38.712Z</t>
  </si>
  <si>
    <t>2026-02-05T04:31:25.784Z</t>
  </si>
  <si>
    <t>팀키토 주식회사</t>
  </si>
  <si>
    <t>513-81-92058</t>
  </si>
  <si>
    <t>teamketo@biocom.kr</t>
  </si>
  <si>
    <t>2026-01-06T03:21:25.096Z</t>
  </si>
  <si>
    <t>2026-02-19T01:05:34.416Z</t>
  </si>
  <si>
    <t>2026-02-19T01:05:34.417Z</t>
  </si>
  <si>
    <t>(주)더릭스</t>
  </si>
  <si>
    <t>880-87-01202</t>
  </si>
  <si>
    <t>k-minhee@therix.co.kr</t>
  </si>
  <si>
    <t>2026-01-28T00:54:38.047Z</t>
  </si>
  <si>
    <t>2026-02-09T01:52:12.558Z</t>
  </si>
  <si>
    <t>2026-02-09T01:52:12.559Z</t>
  </si>
  <si>
    <t>주식회사 케이티밀리의서재</t>
  </si>
  <si>
    <t>423-88-00370</t>
  </si>
  <si>
    <t>brynn@millie.town</t>
  </si>
  <si>
    <t>2026-02-12T01:56:02.762Z</t>
  </si>
  <si>
    <t>2026-02-12T03:09:45.597Z</t>
  </si>
  <si>
    <t>2026-02-12T03:09:45.598Z</t>
  </si>
  <si>
    <t>qntcnc@qnt.co.kr</t>
  </si>
  <si>
    <t>2026-01-08T09:18:37.030Z</t>
  </si>
  <si>
    <t>2026-02-19T00:09:25.119Z</t>
  </si>
  <si>
    <t>2026-02-19T00:09:25.120Z</t>
  </si>
  <si>
    <t>https://gemini.google.com/</t>
  </si>
  <si>
    <t>주식회사 테이텀</t>
  </si>
  <si>
    <t>277-81-01840</t>
  </si>
  <si>
    <t>eamon.lee@tatumsecurity.com</t>
  </si>
  <si>
    <t>2025-05-07T08:48:51.716Z</t>
  </si>
  <si>
    <t>2026-02-09T05:23:37.123Z</t>
  </si>
  <si>
    <t>2026-02-09T05:23:37.124Z</t>
  </si>
  <si>
    <t>5bbd5eb01970f585</t>
  </si>
  <si>
    <t>경기도 성남시 중원구</t>
  </si>
  <si>
    <t>2026-02-11T10:52:28.435Z</t>
  </si>
  <si>
    <t>2026-02-11T10:52:28.434Z</t>
  </si>
  <si>
    <t>Samsung SM-G977N</t>
  </si>
  <si>
    <t>Android 12</t>
  </si>
  <si>
    <t>twinel22@naver.com</t>
  </si>
  <si>
    <t>c104e7ec-0fad-49bb-a577-cb0ae358ecca</t>
  </si>
  <si>
    <t>2026-02-19T06:36:41.660Z</t>
  </si>
  <si>
    <t>2026-02-19T06:46:15.412Z</t>
  </si>
  <si>
    <t>주식회사 위드이노베이션</t>
  </si>
  <si>
    <t>757-86-00056</t>
  </si>
  <si>
    <t>zqoops1@naver.com</t>
  </si>
  <si>
    <t>강원도 춘천시</t>
  </si>
  <si>
    <t>2024-07-31T07:15:10.375Z</t>
  </si>
  <si>
    <t>2026-02-20T00:21:11.545Z</t>
  </si>
  <si>
    <t>2026-02-09T05:06:21.406Z</t>
  </si>
  <si>
    <t>2026-02-20T00:21:11.546Z</t>
  </si>
  <si>
    <t>주식회사 에이에이씨 (AAC Inc.)</t>
  </si>
  <si>
    <t>294-88-03046</t>
  </si>
  <si>
    <t>tg.kang@anti-agingclub.kr</t>
  </si>
  <si>
    <t>2025-12-23T02:31:15.647Z</t>
  </si>
  <si>
    <t>2026-02-20T00:35:09.289Z</t>
  </si>
  <si>
    <t>2026-02-20T00:35:09.290Z</t>
  </si>
  <si>
    <t>주식회사 스케일업스쿼드(SCALEUPSQUAD Corp.)</t>
  </si>
  <si>
    <t>413-86-02907</t>
  </si>
  <si>
    <t>contact@scaleupsquad.io</t>
  </si>
  <si>
    <t>2024-11-04T10:24:17.383Z</t>
  </si>
  <si>
    <t>2026-02-20T03:04:33.943Z</t>
  </si>
  <si>
    <t>2026-02-20T03:04:33.944Z</t>
  </si>
  <si>
    <t>주식회사 뷰바(VYOOVA Corp.)</t>
  </si>
  <si>
    <t>782-86-03272</t>
  </si>
  <si>
    <t>zoe@vyoova.com</t>
  </si>
  <si>
    <t>2025-04-02T02:42:50.729Z</t>
  </si>
  <si>
    <t>2026-02-20T03:01:56.772Z</t>
  </si>
  <si>
    <t>2026-02-13T09:08:56.510Z</t>
  </si>
  <si>
    <t>2026-02-20T03:01:56.773Z</t>
  </si>
  <si>
    <t>주식회사 펄스애드</t>
  </si>
  <si>
    <t>406-81-66742</t>
  </si>
  <si>
    <t>기가입회원/관리자/신규, 비회원, 기가입회원/관리자/기존</t>
  </si>
  <si>
    <t>aiden.lee@pulsead.io</t>
  </si>
  <si>
    <t>2026-01-07T07:02:17.920Z</t>
  </si>
  <si>
    <t>2026-02-20T04:49:25.927Z</t>
  </si>
  <si>
    <t>2026-02-20T04:51:05.249Z</t>
  </si>
  <si>
    <t>startup-corporatecard</t>
  </si>
  <si>
    <t>yong@rdbcorp.com</t>
  </si>
  <si>
    <t>2024-09-20T06:31:50.657Z</t>
  </si>
  <si>
    <t>2026-02-19T00:09:59.160Z</t>
  </si>
  <si>
    <t>2026-02-19T00:09:59.161Z</t>
  </si>
  <si>
    <t>2026-02-11T01:43:18.995Z</t>
  </si>
  <si>
    <t>(주)미스터팍</t>
  </si>
  <si>
    <t>102-88-01109</t>
  </si>
  <si>
    <t>3221min@valetman.co.kr</t>
  </si>
  <si>
    <t>2026-01-26T15:23:03.005Z</t>
  </si>
  <si>
    <t>2026-01-29T01:07:38.372Z</t>
  </si>
  <si>
    <t>2026-01-29T01:51:45.069Z</t>
  </si>
  <si>
    <t>기가입회원/소지자, 코어그룹(12월)</t>
  </si>
  <si>
    <t>finance@kokozi.com</t>
  </si>
  <si>
    <t>2025-08-08T05:59:41.488Z</t>
  </si>
  <si>
    <t>2026-02-19T06:39:14.904Z</t>
  </si>
  <si>
    <t>2026-02-19T06:39:14.905Z</t>
  </si>
  <si>
    <t>626-81-02814</t>
  </si>
  <si>
    <t>management@vespexx.com</t>
  </si>
  <si>
    <t>2024-10-30T08:48:05.617Z</t>
  </si>
  <si>
    <t>2026-02-12T01:18:23.578Z</t>
  </si>
  <si>
    <t>2026-02-12T01:18:23.579Z</t>
  </si>
  <si>
    <t>주식회사 한국공간데이터</t>
  </si>
  <si>
    <t>416-87-01054</t>
  </si>
  <si>
    <t>habin.jung@koreaspacedata.com</t>
  </si>
  <si>
    <t>2026-01-19T07:08:05.770Z</t>
  </si>
  <si>
    <t>2026-02-09T02:52:06.900Z</t>
  </si>
  <si>
    <t>2026-02-04T03:35:55.431Z</t>
  </si>
  <si>
    <t>2026-02-09T02:52:06.901Z</t>
  </si>
  <si>
    <t>2026-02-09T01:39:56.438Z</t>
  </si>
  <si>
    <t>주식회사 맘편한세상</t>
  </si>
  <si>
    <t>144-81-36563</t>
  </si>
  <si>
    <t>park_sy@mfort.co.kr</t>
  </si>
  <si>
    <t>2025-06-09T05:53:55.015Z</t>
  </si>
  <si>
    <t>2026-02-19T09:04:05.288Z</t>
  </si>
  <si>
    <t>2026-02-19T04:41:12.768Z</t>
  </si>
  <si>
    <t>2026-02-19T09:04:05.289Z</t>
  </si>
  <si>
    <t>렌즈아이메디칼주식회사</t>
  </si>
  <si>
    <t>581-88-01336</t>
  </si>
  <si>
    <t>hikim@lenseye.kr</t>
  </si>
  <si>
    <t>2025-03-26T02:33:39.203Z</t>
  </si>
  <si>
    <t>2026-02-12T05:20:58.703Z</t>
  </si>
  <si>
    <t>2026-02-12T05:20:58.704Z</t>
  </si>
  <si>
    <t>https://lenseyemedical.daouoffice.com/</t>
  </si>
  <si>
    <t>주식회사 이터녹스</t>
  </si>
  <si>
    <t>839-86-03001</t>
  </si>
  <si>
    <t>hg@eternox.com</t>
  </si>
  <si>
    <t>2025-12-31T07:15:59.639Z</t>
  </si>
  <si>
    <t>2026-02-19T05:02:02.384Z</t>
  </si>
  <si>
    <t>2026-02-19T05:02:02.385Z</t>
  </si>
  <si>
    <t>jpa@lautec.com</t>
  </si>
  <si>
    <t>3188155e-aa3b-454a-8928-a8665fcd8086</t>
  </si>
  <si>
    <t>강원도 원주시</t>
  </si>
  <si>
    <t>2026-01-28T02:01:33.304Z</t>
  </si>
  <si>
    <t>2026-01-28T02:01:33.303Z</t>
  </si>
  <si>
    <t>2026-01-28T02:07:09.079Z</t>
  </si>
  <si>
    <t>corporatecard</t>
  </si>
  <si>
    <t>(주)마이노멀컴퍼니</t>
  </si>
  <si>
    <t>612-88-00913</t>
  </si>
  <si>
    <t>phj930@mynormal.co</t>
  </si>
  <si>
    <t>2025-12-04T04:26:23.441Z</t>
  </si>
  <si>
    <t>2026-02-20T01:04:22.670Z</t>
  </si>
  <si>
    <t>2026-02-20T01:04:22.671Z</t>
  </si>
  <si>
    <t>2026-02-18T23:11:03.484Z</t>
  </si>
  <si>
    <t>펀치랩 주식회사</t>
  </si>
  <si>
    <t>626-88-02996</t>
  </si>
  <si>
    <t>일반/나머지고객, 기가입회원/소지자, 비회원</t>
  </si>
  <si>
    <t>soyoung@punchylab.com</t>
  </si>
  <si>
    <t>2025-08-18T04:42:30.687Z</t>
  </si>
  <si>
    <t>2026-02-19T08:55:03.960Z</t>
  </si>
  <si>
    <t>2026-02-19T08:55:03.961Z</t>
  </si>
  <si>
    <t>주식회사 레이첼블루</t>
  </si>
  <si>
    <t>710-81-02012</t>
  </si>
  <si>
    <t>기가입회원/관리자/기존, 기가입회원/관리자/신규, 비회원</t>
  </si>
  <si>
    <t>alain@rachelblue.com</t>
  </si>
  <si>
    <t>2024-10-09T06:18:05.244Z</t>
  </si>
  <si>
    <t>2026-02-19T23:54:59.876Z</t>
  </si>
  <si>
    <t>2026-02-05T03:56:20.328Z</t>
  </si>
  <si>
    <t>2026-02-19T23:54:59.877Z</t>
  </si>
  <si>
    <t>b2e2cf58-86de-4771-885c-4972f59fb510</t>
  </si>
  <si>
    <t>경기도 고양시 일산서구</t>
  </si>
  <si>
    <t>2026-02-10T18:32:54.489Z</t>
  </si>
  <si>
    <t>2026-02-10T18:32:54.488Z</t>
  </si>
  <si>
    <t>daeun@need.ai</t>
  </si>
  <si>
    <t>2025-12-03T06:52:23.048Z</t>
  </si>
  <si>
    <t>2026-01-28T07:36:41.556Z</t>
  </si>
  <si>
    <t>2026-01-28T07:36:41.557Z</t>
  </si>
  <si>
    <t>(주)헤렌</t>
  </si>
  <si>
    <t>701-87-00540</t>
  </si>
  <si>
    <t>placehee@herren.co.kr</t>
  </si>
  <si>
    <t>2024-04-18T07:04:08.437Z</t>
  </si>
  <si>
    <t>2026-02-19T05:03:17.577Z</t>
  </si>
  <si>
    <t>2026-02-19T05:03:17.578Z</t>
  </si>
  <si>
    <t>https://search.naver.com/search.naver?where=nexearch&amp;sm=top_hty&amp;fbm=0&amp;ie=utf8&amp;query=%EA%B3%A0%EC%9C%84%EB%93%9C+%EB%B2%95%EC%9D%B8%EC%B9%B4%EB%93%9C</t>
  </si>
  <si>
    <t>ffd11028-8299-4c99-8edd-077450064fa2</t>
  </si>
  <si>
    <t>2026-02-19T03:18:55.654Z</t>
  </si>
  <si>
    <t>주식회사 엔투이머트리얼즈</t>
  </si>
  <si>
    <t>624-88-03077</t>
  </si>
  <si>
    <t>gypark@n2ematerials.com</t>
  </si>
  <si>
    <t>2025-09-30T01:40:49.257Z</t>
  </si>
  <si>
    <t>2026-02-20T04:27:40.077Z</t>
  </si>
  <si>
    <t>2026-02-18T09:25:12.398Z</t>
  </si>
  <si>
    <t>2026-02-20T04:27:40.078Z</t>
  </si>
  <si>
    <t>EXPENSE:부서 카드 관리자 / SUBSCRIPTION:일반 멤버 / CARD:부서 카드 관리자</t>
  </si>
  <si>
    <t>주식회사 밀리밀</t>
  </si>
  <si>
    <t>802-86-00981</t>
  </si>
  <si>
    <t>jinha.park@milimeal.com</t>
  </si>
  <si>
    <t>2025-04-09T01:34:37.796Z</t>
  </si>
  <si>
    <t>2026-02-19T07:28:26.804Z</t>
  </si>
  <si>
    <t>iOS 26.0.1</t>
  </si>
  <si>
    <t>2026-02-19T07:28:26.805Z</t>
  </si>
  <si>
    <t>2026-02-11T04:20:10.261Z</t>
  </si>
  <si>
    <t>(주)알파캣</t>
  </si>
  <si>
    <t>238-81-02674</t>
  </si>
  <si>
    <t>kccfaa@gmail.com</t>
  </si>
  <si>
    <t>2024-12-24T07:09:22.026Z</t>
  </si>
  <si>
    <t>2026-02-20T02:23:05.646Z</t>
  </si>
  <si>
    <t>2026-02-20T02:23:05.647Z</t>
  </si>
  <si>
    <t>2026-02-11T05:33:40.412Z</t>
  </si>
  <si>
    <t>(주)시오랩</t>
  </si>
  <si>
    <t>273-87-02456</t>
  </si>
  <si>
    <t>yk.lee@seiolab.com</t>
  </si>
  <si>
    <t>2026-02-10T22:43:04.635Z</t>
  </si>
  <si>
    <t>2026-02-11T07:08:00.824Z</t>
  </si>
  <si>
    <t>2026-02-11T07:08:00.825Z</t>
  </si>
  <si>
    <t>주식회사 외식인</t>
  </si>
  <si>
    <t>875-88-00682</t>
  </si>
  <si>
    <t>account@fnbpeople.co.kr</t>
  </si>
  <si>
    <t>2024-08-13T07:53:40.995Z</t>
  </si>
  <si>
    <t>2026-02-18T23:58:46.039Z</t>
  </si>
  <si>
    <t>2026-02-18T11:02:15.985Z</t>
  </si>
  <si>
    <t>2026-02-18T23:58:46.040Z</t>
  </si>
  <si>
    <t>a0c5ca83-8696-43c4-a22f-579e8082876e</t>
  </si>
  <si>
    <t>경기도 구리시</t>
  </si>
  <si>
    <t>2026-02-10T14:18:13.646Z</t>
  </si>
  <si>
    <t>2026-02-10T14:18:13.645Z</t>
  </si>
  <si>
    <t>주식회사 슬래시비슬래시</t>
  </si>
  <si>
    <t>893-88-01559</t>
  </si>
  <si>
    <t>daniel29park@gmail.com</t>
  </si>
  <si>
    <t>경남 창원시 진해구</t>
  </si>
  <si>
    <t>2025-06-02T12:11:35.663Z</t>
  </si>
  <si>
    <t>2026-02-10T07:18:52.476Z</t>
  </si>
  <si>
    <t>테바소프트 주식회사</t>
  </si>
  <si>
    <t>440-87-02207</t>
  </si>
  <si>
    <t>sunny@tebahsoft.com</t>
  </si>
  <si>
    <t>2024-11-08T01:00:56.496Z</t>
  </si>
  <si>
    <t>2026-02-10T08:16:40.486Z</t>
  </si>
  <si>
    <t>2026-02-10T07:25:20.342Z</t>
  </si>
  <si>
    <t>https://tebahsoft.daouoffice.com/</t>
  </si>
  <si>
    <t>주식회사 오픈아이오티</t>
  </si>
  <si>
    <t>175-88-03861</t>
  </si>
  <si>
    <t>admin@openiot.app</t>
  </si>
  <si>
    <t>2026-02-06T04:43:12.704Z</t>
  </si>
  <si>
    <t>2026-02-19T08:07:20.942Z</t>
  </si>
  <si>
    <t>2026-02-19T08:07:20.943Z</t>
  </si>
  <si>
    <t>데브헤드 주식회사(DEV.HEAD Co., Ltd.)</t>
  </si>
  <si>
    <t>259-87-01543</t>
  </si>
  <si>
    <t>기가입회원/관리자/신규, 기가입회원/관리자/기존, 비회원</t>
  </si>
  <si>
    <t>kr8534@gmail.com</t>
  </si>
  <si>
    <t>2025-06-09T08:08:24.093Z</t>
  </si>
  <si>
    <t>2026-02-10T02:31:43.441Z</t>
  </si>
  <si>
    <t>2026-02-10T02:31:43.442Z</t>
  </si>
  <si>
    <t>2026-02-06T08:48:13.788Z</t>
  </si>
  <si>
    <t>(주)올림플래닛</t>
  </si>
  <si>
    <t>120-88-24298</t>
  </si>
  <si>
    <t>smekim@olimplanet.com</t>
  </si>
  <si>
    <t>2025-10-28T05:19:32.681Z</t>
  </si>
  <si>
    <t>2026-02-09T00:54:01.543Z</t>
  </si>
  <si>
    <t>2026-02-09T00:54:01.544Z</t>
  </si>
  <si>
    <t>matthewlee@sweetspot.co.kr</t>
  </si>
  <si>
    <t>2026-02-06T04:38:39.753Z</t>
  </si>
  <si>
    <t>2026-02-09T09:45:04.089Z</t>
  </si>
  <si>
    <t>2026-02-06T04:39:39.974Z</t>
  </si>
  <si>
    <t>2026-02-09T09:45:04.090Z</t>
  </si>
  <si>
    <t>f6679c48-1d7b-4d08-9cfb-e19443ab418c</t>
  </si>
  <si>
    <t>2026-01-18T10:46:47.181Z</t>
  </si>
  <si>
    <t>2026-02-14T15:04:17.789Z</t>
  </si>
  <si>
    <t>https://brunch.co.kr/</t>
  </si>
  <si>
    <t>sophy@wavy.kr</t>
  </si>
  <si>
    <t>2026-01-16T01:53:43.577Z</t>
  </si>
  <si>
    <t>2026-02-13T10:20:13.353Z</t>
  </si>
  <si>
    <t>2026-02-12T06:56:43.953Z</t>
  </si>
  <si>
    <t>iOS 18.7.4</t>
  </si>
  <si>
    <t>2026-02-13T10:20:13.354Z</t>
  </si>
  <si>
    <t>주식회사 업스테이지</t>
  </si>
  <si>
    <t>830-88-01918</t>
  </si>
  <si>
    <t>jihye@upstage.ai</t>
  </si>
  <si>
    <t>2024-10-07T02:28:36.029Z</t>
  </si>
  <si>
    <t>2026-02-10T07:32:58.787Z</t>
  </si>
  <si>
    <t>2026-02-10T07:32:58.788Z</t>
  </si>
  <si>
    <t>2025-01-03T08:02:43.799Z</t>
  </si>
  <si>
    <t>주식회사 스티커스코퍼레이션</t>
  </si>
  <si>
    <t>737-81-01527</t>
  </si>
  <si>
    <t>h_s820@drmamma.co.kr</t>
  </si>
  <si>
    <t>부산시 기장군</t>
  </si>
  <si>
    <t>2025-07-07T04:53:03.955Z</t>
  </si>
  <si>
    <t>2026-02-20T04:49:02.802Z</t>
  </si>
  <si>
    <t>2026-02-20T04:49:02.803Z</t>
  </si>
  <si>
    <t>SOFTEYE</t>
  </si>
  <si>
    <t>903-84-01182</t>
  </si>
  <si>
    <t>hyoeun.jeong@softeye.ai</t>
  </si>
  <si>
    <t>2025-12-30T06:30:54.615Z</t>
  </si>
  <si>
    <t>2026-02-06T01:44:13.877Z</t>
  </si>
  <si>
    <t>2026-02-06T01:44:13.878Z</t>
  </si>
  <si>
    <t>주식회사 봄담아</t>
  </si>
  <si>
    <t>857-81-01423</t>
  </si>
  <si>
    <t>support@bomdama.com</t>
  </si>
  <si>
    <t>2023-11-30T03:52:46.998Z</t>
  </si>
  <si>
    <t>2026-02-11T01:27:52.939Z</t>
  </si>
  <si>
    <t>2026-02-11T01:27:52.940Z</t>
  </si>
  <si>
    <t>9b266d02-05f9-44fe-808d-bd75df5bf985</t>
  </si>
  <si>
    <t>2026-02-03T01:01:28.458Z</t>
  </si>
  <si>
    <t>2026-02-03T01:01:28.457Z</t>
  </si>
  <si>
    <t>2026-02-03T01:05:56.881Z</t>
  </si>
  <si>
    <t>Samsung SM-S918N</t>
  </si>
  <si>
    <t>주식회사 두어스 (Doers Corp.)</t>
  </si>
  <si>
    <t>698-81-03138</t>
  </si>
  <si>
    <t>sj@doers.company</t>
  </si>
  <si>
    <t>경남 창원시 의창구</t>
  </si>
  <si>
    <t>2025-10-22T03:34:34.987Z</t>
  </si>
  <si>
    <t>2026-02-19T13:33:09.160Z</t>
  </si>
  <si>
    <t>2026-02-19T05:29:35.107Z</t>
  </si>
  <si>
    <t>주식회사 아토즈소프트</t>
  </si>
  <si>
    <t>117-81-81687</t>
  </si>
  <si>
    <t>ATOZSOFT@ATOZSOFT.CO.KR</t>
  </si>
  <si>
    <t>2025-07-08T01:45:38.778Z</t>
  </si>
  <si>
    <t>2026-02-20T03:17:31.838Z</t>
  </si>
  <si>
    <t>2026-02-20T03:17:31.839Z</t>
  </si>
  <si>
    <t>주식회사 콥틱</t>
  </si>
  <si>
    <t>578-86-00787</t>
  </si>
  <si>
    <t>account@breezm.com</t>
  </si>
  <si>
    <t>2025-06-20T08:40:20.055Z</t>
  </si>
  <si>
    <t>2026-01-30T03:44:02.183Z</t>
  </si>
  <si>
    <t>2026-01-30T03:44:02.184Z</t>
  </si>
  <si>
    <t>주식회사 콘텐츠테크놀로지스</t>
  </si>
  <si>
    <t>427-86-02060</t>
  </si>
  <si>
    <t>yujeong@contentstech.com</t>
  </si>
  <si>
    <t>2024-11-20T01:32:24.373Z</t>
  </si>
  <si>
    <t>2026-02-11T04:26:09.611Z</t>
  </si>
  <si>
    <t>2026-02-11T04:26:09.612Z</t>
  </si>
  <si>
    <t>https://search.naver.com/search.naver?where=nexearch&amp;sm=top_sug.pre&amp;fbm=0&amp;acr=1&amp;acq=%EA%B3%A0%EC%9C%84%EB%93%9C&amp;qdt=0&amp;ie=utf8&amp;query=%EA%B3%A0%EC%9C%84%EB%93%9C</t>
  </si>
  <si>
    <t>276260de-a106-4ca4-8a85-c88a54c0c69c</t>
  </si>
  <si>
    <t>2026-01-14T07:49:19.159Z</t>
  </si>
  <si>
    <t>2026-02-18T18:13:35.030Z</t>
  </si>
  <si>
    <t>android-app://com.google.android.gm/</t>
  </si>
  <si>
    <t>이마고웍스 주식회사</t>
  </si>
  <si>
    <t>460-81-01758</t>
  </si>
  <si>
    <t>기가입회원/관리자/기존, 코어그룹, 비회원</t>
  </si>
  <si>
    <t>hmkang@imagoworks.ai</t>
  </si>
  <si>
    <t>2023-08-03T00:51:52.309Z</t>
  </si>
  <si>
    <t>2026-02-20T04:36:24.376Z</t>
  </si>
  <si>
    <t>2026-02-16T08:37:45.200Z</t>
  </si>
  <si>
    <t>2026-02-20T04:36:24.377Z</t>
  </si>
  <si>
    <t>EXPENSE:세무 대리인 / SUBSCRIPTION:일반 멤버 / CARD:세무 대리인</t>
  </si>
  <si>
    <t>주식회사 슈퍼빌런랩스 (Supervillain Labs Inc.)</t>
  </si>
  <si>
    <t>856-87-02886</t>
  </si>
  <si>
    <t>taeseung.ha@bridgepartners.kr</t>
  </si>
  <si>
    <t>2024-12-02T09:04:50.199Z</t>
  </si>
  <si>
    <t>2026-02-13T07:07:03.111Z</t>
  </si>
  <si>
    <t>https://search.naver.com/search.naver?sm=tab_hty.top&amp;where=nexearch&amp;ssc=tab.nx.all&amp;query=%EA%B3%A0%EC%9C%84%EB%93%9C+%EC%B9%B4%EB%93%9C&amp;oquery=%EA%B3%A0%EC%9C%84%EB%93%9C&amp;tqi=i013Jwqo1awss7IgcVdsssssttN-330395</t>
  </si>
  <si>
    <t>younghwan.kwon@need.ai</t>
  </si>
  <si>
    <t>부산시 부산진구</t>
  </si>
  <si>
    <t>2026-02-05T05:33:32.103Z</t>
  </si>
  <si>
    <t>2026-02-13T09:35:57.402Z</t>
  </si>
  <si>
    <t>2026-02-13T09:35:57.403Z</t>
  </si>
  <si>
    <t>seorim2030@nate.com</t>
  </si>
  <si>
    <t>2026-02-13T01:10:01.683Z</t>
  </si>
  <si>
    <t>2026-02-13T01:59:34.218Z</t>
  </si>
  <si>
    <t>2026-02-13T01:59:34.219Z</t>
  </si>
  <si>
    <t>36e390ef-88a9-47bc-847c-86860a591a4b</t>
  </si>
  <si>
    <t>Phnom Penh</t>
  </si>
  <si>
    <t>KH</t>
  </si>
  <si>
    <t>Asia/Phnom_Penh</t>
  </si>
  <si>
    <t>2026-02-10T17:37:37.929Z</t>
  </si>
  <si>
    <t>주식회사 언엑스</t>
  </si>
  <si>
    <t>118-88-03591</t>
  </si>
  <si>
    <t>km.kim@unxai.studio</t>
  </si>
  <si>
    <t>2026-02-04T04:04:22.685Z</t>
  </si>
  <si>
    <t>2026-02-12T09:12:11.380Z</t>
  </si>
  <si>
    <t>2026-02-12T09:26:20.051Z</t>
  </si>
  <si>
    <t>주식회사 용감한컴퍼니</t>
  </si>
  <si>
    <t>114-86-92856</t>
  </si>
  <si>
    <t>기가입회원/관리자/신규, 신규고객, 비회원, 코어그룹</t>
  </si>
  <si>
    <t>ellia@bravecompany.io</t>
  </si>
  <si>
    <t>2025-07-29T11:50:25.264Z</t>
  </si>
  <si>
    <t>2026-02-13T01:01:46.658Z</t>
  </si>
  <si>
    <t>2026-02-13T01:01:46.659Z</t>
  </si>
  <si>
    <t>3f377525-f5a1-46e7-b787-7d84e8333273</t>
  </si>
  <si>
    <t>경기도 용인시 처인구</t>
  </si>
  <si>
    <t>2026-02-19T01:38:23.156Z</t>
  </si>
  <si>
    <t>2026-02-19T02:22:48.064Z</t>
  </si>
  <si>
    <t>2026-02-19T02:22:48.065Z</t>
  </si>
  <si>
    <t>주식회사 모드하우스</t>
  </si>
  <si>
    <t>127-87-02153</t>
  </si>
  <si>
    <t>jung23@mod-haus.com</t>
  </si>
  <si>
    <t>2024-05-14T06:37:52.152Z</t>
  </si>
  <si>
    <t>2026-02-06T04:11:57.342Z</t>
  </si>
  <si>
    <t>Samsung SM-G981N</t>
  </si>
  <si>
    <t>2026-01-14T12:54:07.871Z</t>
  </si>
  <si>
    <t>2026-02-06T04:11:57.343Z</t>
  </si>
  <si>
    <t>68e1abf6-7966-420a-ad64-06b67ecac657</t>
  </si>
  <si>
    <t>2026-02-10T13:03:19.758Z</t>
  </si>
  <si>
    <t>2026-02-10T13:03:19.757Z</t>
  </si>
  <si>
    <t>ff2edb34-cc9d-4ea0-b368-82a06dd19776</t>
  </si>
  <si>
    <t>2026-02-06T12:28:05.178Z</t>
  </si>
  <si>
    <t>2026-02-06T12:28:05.177Z</t>
  </si>
  <si>
    <t>주식회사 콕스인터랙티브</t>
  </si>
  <si>
    <t>420-81-02142</t>
  </si>
  <si>
    <t>sj.lee@cocs.kr</t>
  </si>
  <si>
    <t>2025-12-22T01:14:50.292Z</t>
  </si>
  <si>
    <t>2026-02-18T10:39:52.386Z</t>
  </si>
  <si>
    <t>2025-12-26T07:34:52.921Z</t>
  </si>
  <si>
    <t>주식회사 렛서</t>
  </si>
  <si>
    <t>146-87-02023</t>
  </si>
  <si>
    <t>nrpark@letsur.ai</t>
  </si>
  <si>
    <t>2025-12-17T09:07:00.697Z</t>
  </si>
  <si>
    <t>2026-02-17T09:06:09.050Z</t>
  </si>
  <si>
    <t>2026-02-13T01:03:52.852Z</t>
  </si>
  <si>
    <t>a82bb7bf-78de-4da4-8644-fad6c1a2e2dd</t>
  </si>
  <si>
    <t>2026-01-26T06:34:57.628Z</t>
  </si>
  <si>
    <t>2026-02-13T08:56:12.820Z</t>
  </si>
  <si>
    <t>2026-02-13T08:56:32.295Z</t>
  </si>
  <si>
    <t>수퍼빈 주식회사</t>
  </si>
  <si>
    <t>395-81-00208</t>
  </si>
  <si>
    <t>finance@superbin.co.kr</t>
  </si>
  <si>
    <t>2024-12-10T03:13:49.916Z</t>
  </si>
  <si>
    <t>2026-02-10T06:36:27.816Z</t>
  </si>
  <si>
    <t>2026-02-10T06:36:27.817Z</t>
  </si>
  <si>
    <t>(주)제네시스네스트</t>
  </si>
  <si>
    <t>744-88-02294</t>
  </si>
  <si>
    <t>yuri.lee@genesisnest.com</t>
  </si>
  <si>
    <t>2024-12-19T00:37:29.167Z</t>
  </si>
  <si>
    <t>2026-02-20T02:18:22.249Z</t>
  </si>
  <si>
    <t>2026-02-20T02:18:22.250Z</t>
  </si>
  <si>
    <t>2026-02-20T02:16:21.736Z</t>
  </si>
  <si>
    <t>2026-01-30T06:30:33.119Z</t>
  </si>
  <si>
    <t>2026-02-02T08:31:20.546Z</t>
  </si>
  <si>
    <t>2026-02-02T08:31:30.092Z</t>
  </si>
  <si>
    <t>(주)서울로보틱스 (Seoul Robotics Co.,Ltd)</t>
  </si>
  <si>
    <t>893-88-00768</t>
  </si>
  <si>
    <t>raye@seoulrobotics.org</t>
  </si>
  <si>
    <t>2024-04-23T02:11:28.057Z</t>
  </si>
  <si>
    <t>2026-02-20T04:29:27.602Z</t>
  </si>
  <si>
    <t>2026-02-19T06:57:43.406Z</t>
  </si>
  <si>
    <t>2026-02-20T04:29:27.603Z</t>
  </si>
  <si>
    <t>jeanne@teamturing.com</t>
  </si>
  <si>
    <t>2024-10-18T04:40:49.048Z</t>
  </si>
  <si>
    <t>2026-02-19T09:03:31.404Z</t>
  </si>
  <si>
    <t>2026-02-19T09:03:31.405Z</t>
  </si>
  <si>
    <t>2026-02-19T05:55:59.866Z</t>
  </si>
  <si>
    <t>d0d1fd31-1e88-4fe8-98f5-442cb60124d3</t>
  </si>
  <si>
    <t>2026-02-09T07:57:45.841Z</t>
  </si>
  <si>
    <t>2026-02-09T08:08:58.823Z</t>
  </si>
  <si>
    <t>noa@allsale.ai</t>
  </si>
  <si>
    <t>2025-12-09T04:43:06.520Z</t>
  </si>
  <si>
    <t>2026-02-20T04:04:35.743Z</t>
  </si>
  <si>
    <t>Samsung SM-F721N</t>
  </si>
  <si>
    <t>2026-02-17T18:00:04.964Z</t>
  </si>
  <si>
    <t>2026-02-20T04:04:35.744Z</t>
  </si>
  <si>
    <t>비회원, 코어그룹(12월)</t>
  </si>
  <si>
    <t>ga@sweetspot.co.kr</t>
  </si>
  <si>
    <t>2026-01-28T05:32:20.264Z</t>
  </si>
  <si>
    <t>2026-02-15T13:01:01.721Z</t>
  </si>
  <si>
    <t>2026-02-15T13:01:01.722Z</t>
  </si>
  <si>
    <t>481c6b31-f633-48fe-baea-5ef5976f4113</t>
  </si>
  <si>
    <t>2025-12-16T08:07:35.172Z</t>
  </si>
  <si>
    <t>2026-02-19T01:00:57.385Z</t>
  </si>
  <si>
    <t>2026-02-19T01:00:57.386Z</t>
  </si>
  <si>
    <t>8049bef1-a39d-45de-8396-191fe44f4e94</t>
  </si>
  <si>
    <t>2026-02-09T02:16:27.746Z</t>
  </si>
  <si>
    <t>(주)엠지솔루션스</t>
  </si>
  <si>
    <t>217-86-00674</t>
  </si>
  <si>
    <t>sy.park@motiphysio.com</t>
  </si>
  <si>
    <t>2025-11-27T04:00:51.469Z</t>
  </si>
  <si>
    <t>2026-02-19T10:07:17.961Z</t>
  </si>
  <si>
    <t>2026-02-12T10:09:09.098Z</t>
  </si>
  <si>
    <t>2026-02-19T10:07:17.962Z</t>
  </si>
  <si>
    <t>이투파트너스 주식회사</t>
  </si>
  <si>
    <t>789-87-00405</t>
  </si>
  <si>
    <t>jhdoh@e2partners.co.kr</t>
  </si>
  <si>
    <t>Auckland</t>
  </si>
  <si>
    <t>NZ</t>
  </si>
  <si>
    <t>Pacific/Auckland</t>
  </si>
  <si>
    <t>2024-11-05T08:06:28.810Z</t>
  </si>
  <si>
    <t>2026-02-12T02:26:03.675Z</t>
  </si>
  <si>
    <t>2026-02-12T02:26:03.676Z</t>
  </si>
  <si>
    <t>주식회사 탠덤스튜디오(Tandum Studio Co.,Ltd.)</t>
  </si>
  <si>
    <t>270-88-02376</t>
  </si>
  <si>
    <t>yd@tandumstudio.com</t>
  </si>
  <si>
    <t>충북 제천시</t>
  </si>
  <si>
    <t>2026-02-04T08:31:27.231Z</t>
  </si>
  <si>
    <t>2026-02-11T01:21:44.314Z</t>
  </si>
  <si>
    <t>2026-02-11T01:21:44.315Z</t>
  </si>
  <si>
    <t>ca6a2cf7-231b-4199-81dd-ff8d4f890209</t>
  </si>
  <si>
    <t>2026-02-03T14:38:11.314Z</t>
  </si>
  <si>
    <t>2026-02-13T09:51:17.727Z</t>
  </si>
  <si>
    <t>2026-02-13T09:51:17.728Z</t>
  </si>
  <si>
    <t>주식회사 엠엑스엔코리아</t>
  </si>
  <si>
    <t>703-88-03026</t>
  </si>
  <si>
    <t>hr.jin@mxncommerce.com</t>
  </si>
  <si>
    <t>2025-08-27T00:11:37.321Z</t>
  </si>
  <si>
    <t>2026-02-13T00:26:41.726Z</t>
  </si>
  <si>
    <t>주식회사 솔로몬랩스(Solomon Labs Co., Ltd.)</t>
  </si>
  <si>
    <t>249-87-03675</t>
  </si>
  <si>
    <t>dasom.park@solomontax.ai</t>
  </si>
  <si>
    <t>2025-11-04T07:23:27.350Z</t>
  </si>
  <si>
    <t>2026-02-20T04:53:25.770Z</t>
  </si>
  <si>
    <t>2026-02-20T03:00:28Z</t>
  </si>
  <si>
    <t>iOS 17.5.1</t>
  </si>
  <si>
    <t>2026-02-20T04:53:25.771Z</t>
  </si>
  <si>
    <t>주식회사 로이드케이</t>
  </si>
  <si>
    <t>120-87-67951</t>
  </si>
  <si>
    <t>neil.kwon@lloydk.co.kr</t>
  </si>
  <si>
    <t>2025-09-30T08:14:35.886Z</t>
  </si>
  <si>
    <t>2026-02-19T09:54:37.495Z</t>
  </si>
  <si>
    <t>2026-02-19T09:47:50.328Z</t>
  </si>
  <si>
    <t>2026-02-19T09:57:40.655Z</t>
  </si>
  <si>
    <t>신한법인카드</t>
  </si>
  <si>
    <t>card-apply-lead</t>
  </si>
  <si>
    <t>주식회사 닷어스</t>
  </si>
  <si>
    <t>535-81-02842</t>
  </si>
  <si>
    <t>oscar.kang@dotus.kr</t>
  </si>
  <si>
    <t>2025-11-03T01:27:32.493Z</t>
  </si>
  <si>
    <t>2026-02-20T02:29:42.647Z</t>
  </si>
  <si>
    <t>2026-02-19T09:29:50.826Z</t>
  </si>
  <si>
    <t>2026-02-20T02:29:42.648Z</t>
  </si>
  <si>
    <t>요모랩스 주식회사</t>
  </si>
  <si>
    <t>750-87-02176</t>
  </si>
  <si>
    <t>helpyomo@gmail.com</t>
  </si>
  <si>
    <t>충남 보령시</t>
  </si>
  <si>
    <t>2025-10-24T05:07:59.653Z</t>
  </si>
  <si>
    <t>2026-02-15T13:44:23.439Z</t>
  </si>
  <si>
    <t>2026-02-15T13:44:23.440Z</t>
  </si>
  <si>
    <t>2026-02-09T06:15:15.501Z</t>
  </si>
  <si>
    <t>주식회사 커들리스튜디오</t>
  </si>
  <si>
    <t>636-88-02713</t>
  </si>
  <si>
    <t>yoni@cuddlystudio.co.kr</t>
  </si>
  <si>
    <t>2025-05-07T10:34:08.988Z</t>
  </si>
  <si>
    <t>2026-02-19T08:34:31.839Z</t>
  </si>
  <si>
    <t>2026-02-13T09:14:14.108Z</t>
  </si>
  <si>
    <t>2026-02-19T08:34:31.840Z</t>
  </si>
  <si>
    <t>b14bcc37-552e-4fd7-971f-344c25c840fd</t>
  </si>
  <si>
    <t>2026-02-02T23:57:06.089Z</t>
  </si>
  <si>
    <t>2026-02-03T03:24:41.429Z</t>
  </si>
  <si>
    <t>주식회사 브릿지코드</t>
  </si>
  <si>
    <t>781-81-01811</t>
  </si>
  <si>
    <t>jaeyoung.yang@bridgecode.kr</t>
  </si>
  <si>
    <t>2024-11-07T02:07:36.603Z</t>
  </si>
  <si>
    <t>2026-02-11T04:06:58.198Z</t>
  </si>
  <si>
    <t>2026-02-11T04:06:58.199Z</t>
  </si>
  <si>
    <t>CARD:부서 카드 관리자 / EXPENSE:부서 카드 관리자 / SUBSCRIPTION:구글 워크스페이스 담당자</t>
  </si>
  <si>
    <t>주식회사 무촌</t>
  </si>
  <si>
    <t>547-87-02245</t>
  </si>
  <si>
    <t>jm@muchon.kr</t>
  </si>
  <si>
    <t>2025-10-14T07:21:30.848Z</t>
  </si>
  <si>
    <t>2026-02-19T05:55:03.847Z</t>
  </si>
  <si>
    <t>2026-02-05T16:10:47.375Z</t>
  </si>
  <si>
    <t>2026-02-19T05:55:03.848Z</t>
  </si>
  <si>
    <t>(주)매시브다이나믹</t>
  </si>
  <si>
    <t>130-86-94026</t>
  </si>
  <si>
    <t>mdynamic@naver.com</t>
  </si>
  <si>
    <t>2026-02-18T02:15:09.190Z</t>
  </si>
  <si>
    <t>2026-02-18T03:05:13.390Z</t>
  </si>
  <si>
    <t>2026-02-18T03:05:45.895Z</t>
  </si>
  <si>
    <t>법인카드한도</t>
  </si>
  <si>
    <t>주식회사 앳홈</t>
  </si>
  <si>
    <t>136-81-34676</t>
  </si>
  <si>
    <t>l_sh_2236@athomecorp.com</t>
  </si>
  <si>
    <t>2026-02-11T04:51:29.640Z</t>
  </si>
  <si>
    <t>2026-02-20T00:34:14.667Z</t>
  </si>
  <si>
    <t>핵심고객(8월), 기가입회원/관리자/기존</t>
  </si>
  <si>
    <t>june@eoeoeo.net</t>
  </si>
  <si>
    <t>2025-09-08T02:02:45.173Z</t>
  </si>
  <si>
    <t>2026-02-19T04:16:28.085Z</t>
  </si>
  <si>
    <t>2026-02-19T02:29:47.045Z</t>
  </si>
  <si>
    <t>(주)온차</t>
  </si>
  <si>
    <t>799-81-02937</t>
  </si>
  <si>
    <t>jjm@oncha.co.kr</t>
  </si>
  <si>
    <t>부산시 수영구</t>
  </si>
  <si>
    <t>2026-02-19T03:00:34.158Z</t>
  </si>
  <si>
    <t>2026-02-19T05:36:04.108Z</t>
  </si>
  <si>
    <t>2026-02-19T05:36:04.109Z</t>
  </si>
  <si>
    <t>https://webmail.oncha.co.kr/</t>
  </si>
  <si>
    <t>주식회사 에프엠더블유</t>
  </si>
  <si>
    <t>234-87-02000</t>
  </si>
  <si>
    <t>fmwmild@naver.com</t>
  </si>
  <si>
    <t>경남 김해시</t>
  </si>
  <si>
    <t>2025-12-10T07:50:51.492Z</t>
  </si>
  <si>
    <t>2026-02-02T01:05:24.292Z</t>
  </si>
  <si>
    <t>2026-02-02T01:05:24.293Z</t>
  </si>
  <si>
    <t>2026-01-30T06:44:30.140Z</t>
  </si>
  <si>
    <t>contact@gowid.com</t>
  </si>
  <si>
    <t>2022-12-16T01:50:17.917Z</t>
  </si>
  <si>
    <t>2026-02-20T05:00:33.629Z</t>
  </si>
  <si>
    <t>2026-02-12T07:09:22.314Z</t>
  </si>
  <si>
    <t>2026-02-20T05:00:33.630Z</t>
  </si>
  <si>
    <t>card</t>
  </si>
  <si>
    <t>condition-3</t>
  </si>
  <si>
    <t>gowidxbican</t>
  </si>
  <si>
    <t>promo</t>
  </si>
  <si>
    <t>negoking</t>
  </si>
  <si>
    <t>commerce-newlanding-260130</t>
  </si>
  <si>
    <t>https://paybycard.figma.site/</t>
  </si>
  <si>
    <t>주식회사 힐링페이퍼</t>
  </si>
  <si>
    <t>117-81-81256</t>
  </si>
  <si>
    <t>핵심고객(8월), 코어그룹</t>
  </si>
  <si>
    <t>oudi.kim@healingpaper.com</t>
  </si>
  <si>
    <t>2025-10-27T02:26:22.320Z</t>
  </si>
  <si>
    <t>2026-02-19T01:33:47.008Z</t>
  </si>
  <si>
    <t>2026-02-13T00:11:58.991Z</t>
  </si>
  <si>
    <t>iOS 18.3.1</t>
  </si>
  <si>
    <t>2026-02-19T01:33:47.009Z</t>
  </si>
  <si>
    <t>주식회사 모요 (MOYO Inc.)</t>
  </si>
  <si>
    <t>716-87-02405</t>
  </si>
  <si>
    <t>dh.choi@moyoplan.com</t>
  </si>
  <si>
    <t>Incheon</t>
  </si>
  <si>
    <t>2025-03-11T02:37:40.494Z</t>
  </si>
  <si>
    <t>2026-02-11T14:19:01.772Z</t>
  </si>
  <si>
    <t>2026-02-11T14:17:37.771Z</t>
  </si>
  <si>
    <t>2026-02-11T14:19:01.773Z</t>
  </si>
  <si>
    <t>bd4c064e-5186-41d7-8529-b529b3365af4</t>
  </si>
  <si>
    <t>2026-02-06T01:52:24.200Z</t>
  </si>
  <si>
    <t>8c00054a-da84-42c7-b338-2efa306c6b83</t>
  </si>
  <si>
    <t>2026-02-16T03:14:23.406Z</t>
  </si>
  <si>
    <t>주식회사 카프라픽쳐스</t>
  </si>
  <si>
    <t>554-81-02839</t>
  </si>
  <si>
    <t>admin@capra.life</t>
  </si>
  <si>
    <t>2024-11-08T06:40:01.591Z</t>
  </si>
  <si>
    <t>2026-02-20T04:28:03.590Z</t>
  </si>
  <si>
    <t>2025-12-01T04:10:54.121Z</t>
  </si>
  <si>
    <t>2026-02-20T04:28:03.591Z</t>
  </si>
  <si>
    <t>주식회사 알피</t>
  </si>
  <si>
    <t>821-86-02087</t>
  </si>
  <si>
    <t>joonghee79@gmail.com</t>
  </si>
  <si>
    <t>2024-06-19T05:44:57.894Z</t>
  </si>
  <si>
    <t>2026-02-18T23:21:59.652Z</t>
  </si>
  <si>
    <t>2026-02-18T23:21:59.653Z</t>
  </si>
  <si>
    <t>15ad0aea-38a8-4cd8-a65b-68a1cd79ef4c</t>
  </si>
  <si>
    <t>2026-02-13T07:50:54.036Z</t>
  </si>
  <si>
    <t>2026-02-20T01:17:32.269Z</t>
  </si>
  <si>
    <t>2026-02-20T01:17:32.270Z</t>
  </si>
  <si>
    <t>cfdd8267-95a8-4854-bd73-0c1b2d73c7ac</t>
  </si>
  <si>
    <t>2026-02-14T03:20:20.150Z</t>
  </si>
  <si>
    <t>비회원, 기가입회원/관리자/신규, 기가입회원/관리자/기존</t>
  </si>
  <si>
    <t>songyi.lee@koreaspacedata.com</t>
  </si>
  <si>
    <t>2025-11-28T08:58:03.957Z</t>
  </si>
  <si>
    <t>2026-02-11T11:24:37.518Z</t>
  </si>
  <si>
    <t>2026-02-11T11:24:37.519Z</t>
  </si>
  <si>
    <t>2026-02-10T06:18:18.110Z</t>
  </si>
  <si>
    <t>26d024c2-edf4-4539-99e9-0aa4c08318eb</t>
  </si>
  <si>
    <t>2026-02-19T10:07:34.328Z</t>
  </si>
  <si>
    <t>120242835466260606</t>
  </si>
  <si>
    <t>(주) 마플코퍼레이션</t>
  </si>
  <si>
    <t>105-88-13322</t>
  </si>
  <si>
    <t>milg@marpple.com</t>
  </si>
  <si>
    <t>2024-08-13T01:54:22.233Z</t>
  </si>
  <si>
    <t>2026-02-05T08:52:23.233Z</t>
  </si>
  <si>
    <t>2026-02-05T08:52:23.234Z</t>
  </si>
  <si>
    <t>주식회사 대모산개발단</t>
  </si>
  <si>
    <t>489-87-03180</t>
  </si>
  <si>
    <t>contact@demodev.io</t>
  </si>
  <si>
    <t>2026-02-09T08:31:47.761Z</t>
  </si>
  <si>
    <t>2026-02-10T04:11:37.832Z</t>
  </si>
  <si>
    <t>2026-02-10T04:16:53.924Z</t>
  </si>
  <si>
    <t>주식회사 지투지바이오</t>
  </si>
  <si>
    <t>195-88-00664</t>
  </si>
  <si>
    <t>invoice@g2gbio.com</t>
  </si>
  <si>
    <t>충북 진천군</t>
  </si>
  <si>
    <t>2025-06-16T01:00:51.441Z</t>
  </si>
  <si>
    <t>2026-02-13T02:34:31.436Z</t>
  </si>
  <si>
    <t>2026-02-13T02:34:31.437Z</t>
  </si>
  <si>
    <t>주식회사 브랜뉴에이전시 (Brand New Agency Inc.)</t>
  </si>
  <si>
    <t>639-87-02302</t>
  </si>
  <si>
    <t>minseo@brandnewagency.co.kr</t>
  </si>
  <si>
    <t>2024-07-03T04:20:35.148Z</t>
  </si>
  <si>
    <t>2026-02-19T04:22:23.236Z</t>
  </si>
  <si>
    <t>2026-02-12T10:36:59.591Z</t>
  </si>
  <si>
    <t>2026-02-19T04:22:23.237Z</t>
  </si>
  <si>
    <t>fa6f7026-96b6-4550-964f-752818937ebc</t>
  </si>
  <si>
    <t>2026-02-19T01:00:08.103Z</t>
  </si>
  <si>
    <t>2026-02-20T03:58:07.707Z</t>
  </si>
  <si>
    <t>2026-02-20T03:58:07.708Z</t>
  </si>
  <si>
    <t>주식회사 딥블루인사이트에이아이</t>
  </si>
  <si>
    <t>838-81-03982</t>
  </si>
  <si>
    <t>yesican1@gmail.com</t>
  </si>
  <si>
    <t>2026-01-29T13:52:19.071Z</t>
  </si>
  <si>
    <t>2026-02-09T00:50:09.494Z</t>
  </si>
  <si>
    <t>2026-01-30T11:23:42.582Z</t>
  </si>
  <si>
    <t>2026-02-09T00:50:09.495Z</t>
  </si>
  <si>
    <t>2026-02-03T05:03:01.766Z</t>
  </si>
  <si>
    <t>뉴타입인더스트리즈 주식회사</t>
  </si>
  <si>
    <t>589-86-03426</t>
  </si>
  <si>
    <t>joe.cho@newtypeinds.com</t>
  </si>
  <si>
    <t>2026-02-09T00:34:28.133Z</t>
  </si>
  <si>
    <t>2026-02-19T04:39:20.654Z</t>
  </si>
  <si>
    <t>2026-02-19T04:39:20.775Z</t>
  </si>
  <si>
    <t>주식회사 노래하는새</t>
  </si>
  <si>
    <t>237-81-03345</t>
  </si>
  <si>
    <t>tax@songbirdkr.com</t>
  </si>
  <si>
    <t>2026-01-29T08:15:45.435Z</t>
  </si>
  <si>
    <t>2026-02-09T01:27:12.344Z</t>
  </si>
  <si>
    <t>2026-02-09T01:27:12.345Z</t>
  </si>
  <si>
    <t>008aa387-7995-4040-8cfb-b975d4019be6</t>
  </si>
  <si>
    <t>2025-11-05T09:23:30.150Z</t>
  </si>
  <si>
    <t>2026-02-12T08:09:21.958Z</t>
  </si>
  <si>
    <t>2026-02-12T08:09:21.959Z</t>
  </si>
  <si>
    <t>주식회사 비즈니스캔버스</t>
  </si>
  <si>
    <t>714-86-01927</t>
  </si>
  <si>
    <t>hello@business-canvas.com</t>
  </si>
  <si>
    <t>2024-09-04T02:23:48.428Z</t>
  </si>
  <si>
    <t>2026-02-19T05:52:35.125Z</t>
  </si>
  <si>
    <t>2026-02-19T05:52:35.126Z</t>
  </si>
  <si>
    <t>주식회사 엠플랜잇(MPLANIT CO.,Ltd)</t>
  </si>
  <si>
    <t>345-86-01551</t>
  </si>
  <si>
    <t>jungwon.moon@mplanit.co.kr</t>
  </si>
  <si>
    <t>2025-07-15T00:51:00.588Z</t>
  </si>
  <si>
    <t>2026-02-11T05:38:07.123Z</t>
  </si>
  <si>
    <t>2026-02-11T05:38:55.940Z</t>
  </si>
  <si>
    <t>주식회사 와트 (Watt Co.,Ltd.)</t>
  </si>
  <si>
    <t>813-86-01618</t>
  </si>
  <si>
    <t>watt@3watt.co</t>
  </si>
  <si>
    <t>2024-03-26T06:05:33.859Z</t>
  </si>
  <si>
    <t>2026-02-20T00:05:14.697Z</t>
  </si>
  <si>
    <t>2026-02-20T00:05:14.698Z</t>
  </si>
  <si>
    <t>주식회사 엑스와이지 (XYZ, Inc.)</t>
  </si>
  <si>
    <t>105-88-16839</t>
  </si>
  <si>
    <t>jo@xyzcorp.io</t>
  </si>
  <si>
    <t>2022-08-26T00:21:51.378Z</t>
  </si>
  <si>
    <t>2026-02-20T05:00:40.681Z</t>
  </si>
  <si>
    <t>2026-02-07T06:52:32.882Z</t>
  </si>
  <si>
    <t>2026-02-20T05:00:40.682Z</t>
  </si>
  <si>
    <t>피에프씨테크놀로지스 주식회사</t>
  </si>
  <si>
    <t>668-88-00027</t>
  </si>
  <si>
    <t>tax@pfct.co.kr</t>
  </si>
  <si>
    <t>2024-10-29T06:15:58.847Z</t>
  </si>
  <si>
    <t>2026-02-12T11:06:24.165Z</t>
  </si>
  <si>
    <t>2026-02-12T11:06:24.166Z</t>
  </si>
  <si>
    <t>주식회사 파인우드리빙</t>
  </si>
  <si>
    <t>819-86-01256</t>
  </si>
  <si>
    <t>기가입회원/관리자/신규, 코어그룹, 코어그룹(12월)</t>
  </si>
  <si>
    <t>account@pinewoodliv.com</t>
  </si>
  <si>
    <t>2025-04-08T09:43:25.186Z</t>
  </si>
  <si>
    <t>2026-02-19T08:41:14.457Z</t>
  </si>
  <si>
    <t>2026-02-19T08:41:14.458Z</t>
  </si>
  <si>
    <t>주식회사 크리에이션뮤직라이츠</t>
  </si>
  <si>
    <t>418-88-01867</t>
  </si>
  <si>
    <t>wbi@kreation.co.kr</t>
  </si>
  <si>
    <t>경북 구미시</t>
  </si>
  <si>
    <t>2024-09-06T08:21:38.458Z</t>
  </si>
  <si>
    <t>2026-02-10T07:59:54.352Z</t>
  </si>
  <si>
    <t>2026-02-02T16:31:41.084Z</t>
  </si>
  <si>
    <t>2026-02-10T07:59:54.353Z</t>
  </si>
  <si>
    <t>https://search.naver.com/search.naver?sm=tab_hty.top&amp;where=nexearch&amp;ssc=tab.nx.all&amp;query=%EA%B3%A0%EC%9C%84%EB%93%9C&amp;oquery=%EC%9C%84%ED%95%98%EA%B3%A0&amp;tqi=iWq8%2BwqpsECssaTaczVssssstoG-419185</t>
  </si>
  <si>
    <t>EXPENSE:일반 멤버 / FUEL:일반 멤버 / SUBSCRIPTION:일반 멤버 / CARD:일반 멤버</t>
  </si>
  <si>
    <t>주식회사 넥스트플레이어</t>
  </si>
  <si>
    <t>201-86-33675</t>
  </si>
  <si>
    <t>hanna.kim@nextplayer.com</t>
  </si>
  <si>
    <t>2025-11-04T09:30:30.447Z</t>
  </si>
  <si>
    <t>2026-02-20T00:54:13.264Z</t>
  </si>
  <si>
    <t>2026-02-02T08:12:56.983Z</t>
  </si>
  <si>
    <t>블링커스 주식회사</t>
  </si>
  <si>
    <t>247-81-02402</t>
  </si>
  <si>
    <t>swpark@blinkers.company</t>
  </si>
  <si>
    <t>2024-08-26T00:53:39.763Z</t>
  </si>
  <si>
    <t>2026-02-20T04:59:21.154Z</t>
  </si>
  <si>
    <t>2026-02-13T03:52:28.940Z</t>
  </si>
  <si>
    <t>2026-02-20T04:59:21.155Z</t>
  </si>
  <si>
    <t>https://business.kakao.com/</t>
  </si>
  <si>
    <t>e695cda6-6f43-46df-bf5b-fe3507dbec11</t>
  </si>
  <si>
    <t>2026-02-06T07:25:16.537Z</t>
  </si>
  <si>
    <t>2026-02-12T05:50:57.994Z</t>
  </si>
  <si>
    <t>2026-02-12T05:50:57.995Z</t>
  </si>
  <si>
    <t>웨이브스튜디오라이브 주식회사</t>
  </si>
  <si>
    <t>529-88-02526</t>
  </si>
  <si>
    <t>ye.do@wavestudio.live</t>
  </si>
  <si>
    <t>2024-07-26T05:04:47.377Z</t>
  </si>
  <si>
    <t>2026-02-19T01:25:15.207Z</t>
  </si>
  <si>
    <t>2026-02-19T01:25:15.208Z</t>
  </si>
  <si>
    <t>주식회사 캘러스컴퍼니</t>
  </si>
  <si>
    <t>615-86-18887</t>
  </si>
  <si>
    <t>jxy1@calluscompany.com</t>
  </si>
  <si>
    <t>대구시 동구</t>
  </si>
  <si>
    <t>2024-11-08T05:49:07.097Z</t>
  </si>
  <si>
    <t>2026-02-10T08:14:35.655Z</t>
  </si>
  <si>
    <t>2026-02-10T08:14:35.656Z</t>
  </si>
  <si>
    <t>573a3e51-a3f9-4e1a-a20a-a8863f305bcf</t>
  </si>
  <si>
    <t>2026-02-16T21:17:17.811Z</t>
  </si>
  <si>
    <t>2026-02-17T12:09:51.210Z</t>
  </si>
  <si>
    <t>2026-02-17T12:09:51.211Z</t>
  </si>
  <si>
    <t>carousel-commerce-card-v2</t>
  </si>
  <si>
    <t>120242817850340606</t>
  </si>
  <si>
    <t>parkna@lottecard.co.kr</t>
  </si>
  <si>
    <t>2026-01-27T06:57:57.929Z</t>
  </si>
  <si>
    <t>2026-01-27T06:57:57.928Z</t>
  </si>
  <si>
    <t>2026-01-27T06:57:57.943Z</t>
  </si>
  <si>
    <t>주식회사 비석세스</t>
  </si>
  <si>
    <t>120-87-59693</t>
  </si>
  <si>
    <t>jeonjinju@besuccess.com</t>
  </si>
  <si>
    <t>2024-04-30T05:47:28.183Z</t>
  </si>
  <si>
    <t>2026-02-10T07:43:57.909Z</t>
  </si>
  <si>
    <t>2026-02-10T07:43:57.910Z</t>
  </si>
  <si>
    <t>2026-01-26T08:18:42.216Z</t>
  </si>
  <si>
    <t>주식회사 케미컴퍼니 (Chemi Company Corp.)</t>
  </si>
  <si>
    <t>361-88-03119</t>
  </si>
  <si>
    <t>비회원, 기가입회원/관리자/신규, 기가입회원/소지자</t>
  </si>
  <si>
    <t>2026-01-09T06:37:32.407Z</t>
  </si>
  <si>
    <t>2026-02-07T05:36:36.327Z</t>
  </si>
  <si>
    <t>2026-02-07T05:36:36.328Z</t>
  </si>
  <si>
    <t>주식회사 클레</t>
  </si>
  <si>
    <t>157-86-02249</t>
  </si>
  <si>
    <t>기가입회원/관리자/신규, 비회원, 코어그룹(12월)</t>
  </si>
  <si>
    <t>ywjeong@cle.vision</t>
  </si>
  <si>
    <t>2025-06-25T09:04:25.697Z</t>
  </si>
  <si>
    <t>2026-02-20T02:40:04.160Z</t>
  </si>
  <si>
    <t>2026-02-20T02:40:04.161Z</t>
  </si>
  <si>
    <t>2026-02-20T00:11:51.739Z</t>
  </si>
  <si>
    <t>3e64e83f-33f7-4eb1-aacb-a2d25e86bce0</t>
  </si>
  <si>
    <t>2026-01-29T08:17:45.534Z</t>
  </si>
  <si>
    <t>2026-02-19T12:04:10.840Z</t>
  </si>
  <si>
    <t>알고케어 주식회사 (Algo Care)</t>
  </si>
  <si>
    <t>592-88-01296</t>
  </si>
  <si>
    <t>anny@algocarelab.com</t>
  </si>
  <si>
    <t>충북 충주시</t>
  </si>
  <si>
    <t>2023-11-30T03:33:32.190Z</t>
  </si>
  <si>
    <t>2026-02-19T06:29:03.187Z</t>
  </si>
  <si>
    <t>2026-02-19T03:46:56.162Z</t>
  </si>
  <si>
    <t>2026-02-19T06:29:03.188Z</t>
  </si>
  <si>
    <t>주식회사 디에스솔브</t>
  </si>
  <si>
    <t>415-86-01452</t>
  </si>
  <si>
    <t>dssolve33@gmail.com</t>
  </si>
  <si>
    <t>2025-12-05T00:04:53.802Z</t>
  </si>
  <si>
    <t>2026-02-12T13:24:04.122Z</t>
  </si>
  <si>
    <t>2026-02-12T13:24:04.123Z</t>
  </si>
  <si>
    <t>(주)링글잉글리시에듀케이션서비스</t>
  </si>
  <si>
    <t>876-81-00110</t>
  </si>
  <si>
    <t>yoonji.song@ringleplus.com</t>
  </si>
  <si>
    <t>2025-01-20T07:32:33.260Z</t>
  </si>
  <si>
    <t>2026-02-06T09:05:04.216Z</t>
  </si>
  <si>
    <t>2026-02-06T09:05:04.217Z</t>
  </si>
  <si>
    <t>IT-cold-mail</t>
  </si>
  <si>
    <t>sales-outbound</t>
  </si>
  <si>
    <t>(주)아이엠디티</t>
  </si>
  <si>
    <t>677-86-02118</t>
  </si>
  <si>
    <t>finance@iamdt.co.kr</t>
  </si>
  <si>
    <t>2024-11-19T01:37:02.858Z</t>
  </si>
  <si>
    <t>2026-02-19T05:32:51.213Z</t>
  </si>
  <si>
    <t>2026-02-19T05:32:51.214Z</t>
  </si>
  <si>
    <t>8c09fa21-b7ac-424e-97cc-7f7572eb1ffc</t>
  </si>
  <si>
    <t>2026-02-17T04:24:54.554Z</t>
  </si>
  <si>
    <t>UIWebView 605.1.15</t>
  </si>
  <si>
    <t>UIWebView</t>
  </si>
  <si>
    <t>모빌리전트 주식회사</t>
  </si>
  <si>
    <t>588-86-01463</t>
  </si>
  <si>
    <t>ckh@mobiligent.io</t>
  </si>
  <si>
    <t>2026-02-13T04:12:19.088Z</t>
  </si>
  <si>
    <t>2026-02-13T04:16:05.510Z</t>
  </si>
  <si>
    <t>주식회사 클린미션</t>
  </si>
  <si>
    <t>799-86-03789</t>
  </si>
  <si>
    <t>구독단독고객</t>
  </si>
  <si>
    <t>kaze@cleanmission.co.kr</t>
  </si>
  <si>
    <t>2026-01-29T09:35:41.481Z</t>
  </si>
  <si>
    <t>2026-02-04T06:54:54.784Z</t>
  </si>
  <si>
    <t>2026-02-04T06:54:54.785Z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</si>
</sst>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sz val="11.0"/>
      <color rgb="FF000000"/>
      <name val="&quot;맑은 고딕&quot;"/>
    </font>
    <font>
      <u/>
      <sz val="11.0"/>
      <color rgb="FF000000"/>
      <name val="&quot;맑은 고딕&quo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164" xfId="0" applyAlignment="1" applyFont="1" applyNumberFormat="1">
      <alignment readingOrder="0" shrinkToFit="0" wrapText="0"/>
    </xf>
    <xf borderId="0" fillId="0" fontId="1" numFmtId="0" xfId="0" applyAlignment="1" applyFont="1">
      <alignment shrinkToFit="0" wrapText="0"/>
    </xf>
    <xf borderId="0" fillId="0" fontId="2" numFmtId="0" xfId="0" applyAlignment="1" applyFont="1">
      <alignment readingOrder="0" shrinkToFit="0" wrapText="0"/>
    </xf>
    <xf borderId="0" fillId="0" fontId="1" numFmtId="0" xfId="0" applyAlignment="1" applyFont="1">
      <alignment horizontal="right" readingOrder="0" shrinkToFit="0" wrapText="0"/>
    </xf>
    <xf quotePrefix="1"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wid.com" TargetMode="External"/><Relationship Id="rId194" Type="http://schemas.openxmlformats.org/officeDocument/2006/relationships/hyperlink" Target="https://desk.channel.io/gowid/user-chats/698e98247cabc24f5904" TargetMode="External"/><Relationship Id="rId193" Type="http://schemas.openxmlformats.org/officeDocument/2006/relationships/hyperlink" Target="https://www.gowid.com" TargetMode="External"/><Relationship Id="rId192" Type="http://schemas.openxmlformats.org/officeDocument/2006/relationships/hyperlink" Target="https://desk.channel.io/gowid/user-chats/698e98b40c93c41c04e1" TargetMode="External"/><Relationship Id="rId191" Type="http://schemas.openxmlformats.org/officeDocument/2006/relationships/hyperlink" Target="https://desk.channel.io/gowid/user-chats/698e99b836ddecf547a7" TargetMode="External"/><Relationship Id="rId187" Type="http://schemas.openxmlformats.org/officeDocument/2006/relationships/hyperlink" Target="https://desk.channel.io/gowid/user-chats/698e9a97ba6e6070345b" TargetMode="External"/><Relationship Id="rId186" Type="http://schemas.openxmlformats.org/officeDocument/2006/relationships/hyperlink" Target="https://www.gowid.com" TargetMode="External"/><Relationship Id="rId185" Type="http://schemas.openxmlformats.org/officeDocument/2006/relationships/hyperlink" Target="https://desk.channel.io/gowid/user-chats/698e9cf308aafb0fd1d6" TargetMode="External"/><Relationship Id="rId184" Type="http://schemas.openxmlformats.org/officeDocument/2006/relationships/hyperlink" Target="https://www.gowid.com" TargetMode="External"/><Relationship Id="rId189" Type="http://schemas.openxmlformats.org/officeDocument/2006/relationships/hyperlink" Target="https://desk.channel.io/gowid/user-chats/698e9a665d87683de89f" TargetMode="External"/><Relationship Id="rId188" Type="http://schemas.openxmlformats.org/officeDocument/2006/relationships/hyperlink" Target="https://www.gowid.com" TargetMode="External"/><Relationship Id="rId183" Type="http://schemas.openxmlformats.org/officeDocument/2006/relationships/hyperlink" Target="https://desk.channel.io/gowid/user-chats/698ea42b0f3f3a1f6f63" TargetMode="External"/><Relationship Id="rId182" Type="http://schemas.openxmlformats.org/officeDocument/2006/relationships/hyperlink" Target="https://desk.channel.io/gowid/user-chats/698ea42af0ecd7780afa" TargetMode="External"/><Relationship Id="rId181" Type="http://schemas.openxmlformats.org/officeDocument/2006/relationships/hyperlink" Target="https://gowid.channel.io" TargetMode="External"/><Relationship Id="rId180" Type="http://schemas.openxmlformats.org/officeDocument/2006/relationships/hyperlink" Target="https://desk.channel.io/gowid/user-chats/698ea5e149c230cf78b3" TargetMode="External"/><Relationship Id="rId176" Type="http://schemas.openxmlformats.org/officeDocument/2006/relationships/hyperlink" Target="https://desk.channel.io/gowid/user-chats/698eaf3084bb8d0135ad" TargetMode="External"/><Relationship Id="rId175" Type="http://schemas.openxmlformats.org/officeDocument/2006/relationships/hyperlink" Target="https://www.gowid.com" TargetMode="External"/><Relationship Id="rId174" Type="http://schemas.openxmlformats.org/officeDocument/2006/relationships/hyperlink" Target="https://desk.channel.io/gowid/user-chats/698eb1688796950ffe1b" TargetMode="External"/><Relationship Id="rId173" Type="http://schemas.openxmlformats.org/officeDocument/2006/relationships/hyperlink" Target="https://www.gowid.com" TargetMode="External"/><Relationship Id="rId179" Type="http://schemas.openxmlformats.org/officeDocument/2006/relationships/hyperlink" Target="https://www.gowid.com" TargetMode="External"/><Relationship Id="rId178" Type="http://schemas.openxmlformats.org/officeDocument/2006/relationships/hyperlink" Target="https://desk.channel.io/gowid/user-chats/698eab6711a2100bb7c9" TargetMode="External"/><Relationship Id="rId177" Type="http://schemas.openxmlformats.org/officeDocument/2006/relationships/hyperlink" Target="https://www.gowid.com" TargetMode="External"/><Relationship Id="rId198" Type="http://schemas.openxmlformats.org/officeDocument/2006/relationships/hyperlink" Target="https://desk.channel.io/gowid/user-chats/698e9128c702bec703ac" TargetMode="External"/><Relationship Id="rId197" Type="http://schemas.openxmlformats.org/officeDocument/2006/relationships/hyperlink" Target="https://www.gowid.com" TargetMode="External"/><Relationship Id="rId196" Type="http://schemas.openxmlformats.org/officeDocument/2006/relationships/hyperlink" Target="https://desk.channel.io/gowid/user-chats/698e9464a8364b5ff83b" TargetMode="External"/><Relationship Id="rId195" Type="http://schemas.openxmlformats.org/officeDocument/2006/relationships/hyperlink" Target="https://www.gowid.com" TargetMode="External"/><Relationship Id="rId199" Type="http://schemas.openxmlformats.org/officeDocument/2006/relationships/hyperlink" Target="https://www.gowid.com" TargetMode="External"/><Relationship Id="rId150" Type="http://schemas.openxmlformats.org/officeDocument/2006/relationships/hyperlink" Target="https://desk.channel.io/gowid/user-chats/698f2c0f0df099d402db" TargetMode="External"/><Relationship Id="rId392" Type="http://schemas.openxmlformats.org/officeDocument/2006/relationships/hyperlink" Target="https://desk.channel.io/gowid/user-chats/698adf0c7cc1942453f4" TargetMode="External"/><Relationship Id="rId391" Type="http://schemas.openxmlformats.org/officeDocument/2006/relationships/hyperlink" Target="https://desk.channel.io/gowid/user-chats/698adfed81adef71cded" TargetMode="External"/><Relationship Id="rId390" Type="http://schemas.openxmlformats.org/officeDocument/2006/relationships/hyperlink" Target="https://desk.channel.io/gowid/user-chats/698ae0255efb499e9cfc" TargetMode="External"/><Relationship Id="rId1" Type="http://schemas.openxmlformats.org/officeDocument/2006/relationships/hyperlink" Target="https://www.gowid.com" TargetMode="External"/><Relationship Id="rId2" Type="http://schemas.openxmlformats.org/officeDocument/2006/relationships/hyperlink" Target="https://desk.channel.io/gowid/user-chats/6996f5f607c5323d04fc" TargetMode="External"/><Relationship Id="rId3" Type="http://schemas.openxmlformats.org/officeDocument/2006/relationships/hyperlink" Target="https://www.gowid.com" TargetMode="External"/><Relationship Id="rId149" Type="http://schemas.openxmlformats.org/officeDocument/2006/relationships/hyperlink" Target="https://www.gowid.com" TargetMode="External"/><Relationship Id="rId4" Type="http://schemas.openxmlformats.org/officeDocument/2006/relationships/hyperlink" Target="https://desk.channel.io/gowid/user-chats/6996e18029ec011e9717" TargetMode="External"/><Relationship Id="rId148" Type="http://schemas.openxmlformats.org/officeDocument/2006/relationships/hyperlink" Target="https://desk.channel.io/gowid/user-chats/698fd42f4a9cb35fc3b8" TargetMode="External"/><Relationship Id="rId9" Type="http://schemas.openxmlformats.org/officeDocument/2006/relationships/hyperlink" Target="https://www.gowid.com" TargetMode="External"/><Relationship Id="rId143" Type="http://schemas.openxmlformats.org/officeDocument/2006/relationships/hyperlink" Target="https://www.gowid.com" TargetMode="External"/><Relationship Id="rId385" Type="http://schemas.openxmlformats.org/officeDocument/2006/relationships/hyperlink" Target="https://desk.channel.io/gowid/user-chats/698ae1769eaed48b2110" TargetMode="External"/><Relationship Id="rId142" Type="http://schemas.openxmlformats.org/officeDocument/2006/relationships/hyperlink" Target="https://desk.channel.io/gowid/user-chats/699090245719cbe7c1f8" TargetMode="External"/><Relationship Id="rId384" Type="http://schemas.openxmlformats.org/officeDocument/2006/relationships/hyperlink" Target="https://desk.channel.io/gowid/user-chats/698ae19f9829b7e25c27" TargetMode="External"/><Relationship Id="rId141" Type="http://schemas.openxmlformats.org/officeDocument/2006/relationships/hyperlink" Target="https://www.gowid.com" TargetMode="External"/><Relationship Id="rId383" Type="http://schemas.openxmlformats.org/officeDocument/2006/relationships/hyperlink" Target="https://desk.channel.io/gowid/user-chats/698ae67ea1dae2bb3f6f" TargetMode="External"/><Relationship Id="rId140" Type="http://schemas.openxmlformats.org/officeDocument/2006/relationships/hyperlink" Target="https://desk.channel.io/gowid/user-chats/699090fa707eb709b1bf" TargetMode="External"/><Relationship Id="rId382" Type="http://schemas.openxmlformats.org/officeDocument/2006/relationships/hyperlink" Target="https://www.gowid.com" TargetMode="External"/><Relationship Id="rId5" Type="http://schemas.openxmlformats.org/officeDocument/2006/relationships/hyperlink" Target="https://www.gowid.com" TargetMode="External"/><Relationship Id="rId147" Type="http://schemas.openxmlformats.org/officeDocument/2006/relationships/hyperlink" Target="https://www.gowid.com" TargetMode="External"/><Relationship Id="rId389" Type="http://schemas.openxmlformats.org/officeDocument/2006/relationships/hyperlink" Target="https://desk.channel.io/gowid/user-chats/698ae07eee365e38356b" TargetMode="External"/><Relationship Id="rId6" Type="http://schemas.openxmlformats.org/officeDocument/2006/relationships/hyperlink" Target="https://desk.channel.io/gowid/user-chats/6996e105f22aec26e769" TargetMode="External"/><Relationship Id="rId146" Type="http://schemas.openxmlformats.org/officeDocument/2006/relationships/hyperlink" Target="https://desk.channel.io/gowid/user-chats/698feb2e42771f8d853e" TargetMode="External"/><Relationship Id="rId388" Type="http://schemas.openxmlformats.org/officeDocument/2006/relationships/hyperlink" Target="https://desk.channel.io/gowid/user-chats/698ae0ac49d05b567324" TargetMode="External"/><Relationship Id="rId7" Type="http://schemas.openxmlformats.org/officeDocument/2006/relationships/hyperlink" Target="https://www.gowid.com" TargetMode="External"/><Relationship Id="rId145" Type="http://schemas.openxmlformats.org/officeDocument/2006/relationships/hyperlink" Target="https://www.gowid.com" TargetMode="External"/><Relationship Id="rId387" Type="http://schemas.openxmlformats.org/officeDocument/2006/relationships/hyperlink" Target="https://desk.channel.io/gowid/user-chats/698ae1152e19f8404b85" TargetMode="External"/><Relationship Id="rId8" Type="http://schemas.openxmlformats.org/officeDocument/2006/relationships/hyperlink" Target="https://desk.channel.io/gowid/user-chats/6996de144eda6fa56870" TargetMode="External"/><Relationship Id="rId144" Type="http://schemas.openxmlformats.org/officeDocument/2006/relationships/hyperlink" Target="https://desk.channel.io/gowid/user-chats/6990263d4821c0e6f577" TargetMode="External"/><Relationship Id="rId386" Type="http://schemas.openxmlformats.org/officeDocument/2006/relationships/hyperlink" Target="https://desk.channel.io/gowid/user-chats/698ae156e716b16663f5" TargetMode="External"/><Relationship Id="rId381" Type="http://schemas.openxmlformats.org/officeDocument/2006/relationships/hyperlink" Target="https://desk.channel.io/gowid/user-chats/698ae82108e0489f3641" TargetMode="External"/><Relationship Id="rId380" Type="http://schemas.openxmlformats.org/officeDocument/2006/relationships/hyperlink" Target="https://www.gowid.com" TargetMode="External"/><Relationship Id="rId139" Type="http://schemas.openxmlformats.org/officeDocument/2006/relationships/hyperlink" Target="https://www.gowid.com" TargetMode="External"/><Relationship Id="rId138" Type="http://schemas.openxmlformats.org/officeDocument/2006/relationships/hyperlink" Target="https://desk.channel.io/gowid/user-chats/69912d3a9f72a80a42c3" TargetMode="External"/><Relationship Id="rId137" Type="http://schemas.openxmlformats.org/officeDocument/2006/relationships/hyperlink" Target="https://www.gowid.com" TargetMode="External"/><Relationship Id="rId379" Type="http://schemas.openxmlformats.org/officeDocument/2006/relationships/hyperlink" Target="https://desk.channel.io/gowid/user-chats/698ae9467a0198087b18" TargetMode="External"/><Relationship Id="rId132" Type="http://schemas.openxmlformats.org/officeDocument/2006/relationships/hyperlink" Target="https://desk.channel.io/gowid/user-chats/6992b3231e19dddd78a6" TargetMode="External"/><Relationship Id="rId374" Type="http://schemas.openxmlformats.org/officeDocument/2006/relationships/hyperlink" Target="https://desk.channel.io/gowid/user-chats/698aef05797ad0461c4b" TargetMode="External"/><Relationship Id="rId131" Type="http://schemas.openxmlformats.org/officeDocument/2006/relationships/hyperlink" Target="https://www.gowid.com" TargetMode="External"/><Relationship Id="rId373" Type="http://schemas.openxmlformats.org/officeDocument/2006/relationships/hyperlink" Target="https://www.gowid.com" TargetMode="External"/><Relationship Id="rId130" Type="http://schemas.openxmlformats.org/officeDocument/2006/relationships/hyperlink" Target="https://desk.channel.io/gowid/user-chats/6992b77913fa21e7ffaf" TargetMode="External"/><Relationship Id="rId372" Type="http://schemas.openxmlformats.org/officeDocument/2006/relationships/hyperlink" Target="https://desk.channel.io/gowid/user-chats/698aef419d5fbdfeeb12" TargetMode="External"/><Relationship Id="rId371" Type="http://schemas.openxmlformats.org/officeDocument/2006/relationships/hyperlink" Target="https://www.gowid.com" TargetMode="External"/><Relationship Id="rId136" Type="http://schemas.openxmlformats.org/officeDocument/2006/relationships/hyperlink" Target="https://desk.channel.io/gowid/user-chats/69928bb7d49eaf6ff80e" TargetMode="External"/><Relationship Id="rId378" Type="http://schemas.openxmlformats.org/officeDocument/2006/relationships/hyperlink" Target="https://www.gowid.com" TargetMode="External"/><Relationship Id="rId135" Type="http://schemas.openxmlformats.org/officeDocument/2006/relationships/hyperlink" Target="https://www.gowid.com" TargetMode="External"/><Relationship Id="rId377" Type="http://schemas.openxmlformats.org/officeDocument/2006/relationships/hyperlink" Target="https://desk.channel.io/gowid/user-chats/698ae9996804e4e85638" TargetMode="External"/><Relationship Id="rId134" Type="http://schemas.openxmlformats.org/officeDocument/2006/relationships/hyperlink" Target="https://desk.channel.io/gowid/user-chats/69928fe6044e32d1e21c" TargetMode="External"/><Relationship Id="rId376" Type="http://schemas.openxmlformats.org/officeDocument/2006/relationships/hyperlink" Target="https://www.gowid.com" TargetMode="External"/><Relationship Id="rId133" Type="http://schemas.openxmlformats.org/officeDocument/2006/relationships/hyperlink" Target="https://www.gowid.com" TargetMode="External"/><Relationship Id="rId375" Type="http://schemas.openxmlformats.org/officeDocument/2006/relationships/hyperlink" Target="https://desk.channel.io/gowid/user-chats/698aea382703e5eb5655" TargetMode="External"/><Relationship Id="rId172" Type="http://schemas.openxmlformats.org/officeDocument/2006/relationships/hyperlink" Target="https://desk.channel.io/gowid/user-chats/698eb50e14d644d798ec" TargetMode="External"/><Relationship Id="rId171" Type="http://schemas.openxmlformats.org/officeDocument/2006/relationships/hyperlink" Target="https://www.gowid.com" TargetMode="External"/><Relationship Id="rId170" Type="http://schemas.openxmlformats.org/officeDocument/2006/relationships/hyperlink" Target="https://desk.channel.io/gowid/user-chats/698ebc0cdeebf6962e08" TargetMode="External"/><Relationship Id="rId165" Type="http://schemas.openxmlformats.org/officeDocument/2006/relationships/hyperlink" Target="https://www.gowid.com" TargetMode="External"/><Relationship Id="rId164" Type="http://schemas.openxmlformats.org/officeDocument/2006/relationships/hyperlink" Target="https://desk.channel.io/gowid/user-chats/698ec5a3ed85daa92bb3" TargetMode="External"/><Relationship Id="rId163" Type="http://schemas.openxmlformats.org/officeDocument/2006/relationships/hyperlink" Target="https://www.gowid.com" TargetMode="External"/><Relationship Id="rId162" Type="http://schemas.openxmlformats.org/officeDocument/2006/relationships/hyperlink" Target="https://desk.channel.io/gowid/user-chats/698ecaf2d49947b1cfa6" TargetMode="External"/><Relationship Id="rId169" Type="http://schemas.openxmlformats.org/officeDocument/2006/relationships/hyperlink" Target="https://www.gowid.com" TargetMode="External"/><Relationship Id="rId168" Type="http://schemas.openxmlformats.org/officeDocument/2006/relationships/hyperlink" Target="https://desk.channel.io/gowid/user-chats/698ebf8c86f0063c0b38" TargetMode="External"/><Relationship Id="rId167" Type="http://schemas.openxmlformats.org/officeDocument/2006/relationships/hyperlink" Target="https://www.gowid.com" TargetMode="External"/><Relationship Id="rId166" Type="http://schemas.openxmlformats.org/officeDocument/2006/relationships/hyperlink" Target="https://desk.channel.io/gowid/user-chats/698ec3f19bf8a3a99922" TargetMode="External"/><Relationship Id="rId161" Type="http://schemas.openxmlformats.org/officeDocument/2006/relationships/hyperlink" Target="https://www.gowid.com" TargetMode="External"/><Relationship Id="rId160" Type="http://schemas.openxmlformats.org/officeDocument/2006/relationships/hyperlink" Target="https://desk.channel.io/gowid/user-chats/698ecb05c0b3187cda16" TargetMode="External"/><Relationship Id="rId159" Type="http://schemas.openxmlformats.org/officeDocument/2006/relationships/hyperlink" Target="https://www.gowid.com" TargetMode="External"/><Relationship Id="rId154" Type="http://schemas.openxmlformats.org/officeDocument/2006/relationships/hyperlink" Target="https://desk.channel.io/gowid/user-chats/698ee05640c92be3e7a6" TargetMode="External"/><Relationship Id="rId396" Type="http://schemas.openxmlformats.org/officeDocument/2006/relationships/hyperlink" Target="https://desk.channel.io/gowid/user-chats/698ad54dc759822db346" TargetMode="External"/><Relationship Id="rId153" Type="http://schemas.openxmlformats.org/officeDocument/2006/relationships/hyperlink" Target="https://www.gowid.com" TargetMode="External"/><Relationship Id="rId395" Type="http://schemas.openxmlformats.org/officeDocument/2006/relationships/hyperlink" Target="https://www.gowid.com" TargetMode="External"/><Relationship Id="rId152" Type="http://schemas.openxmlformats.org/officeDocument/2006/relationships/hyperlink" Target="https://desk.channel.io/gowid/user-chats/698ee08c82eec0f7b72b" TargetMode="External"/><Relationship Id="rId394" Type="http://schemas.openxmlformats.org/officeDocument/2006/relationships/hyperlink" Target="https://desk.channel.io/gowid/user-chats/698adc779a8fceaca810" TargetMode="External"/><Relationship Id="rId151" Type="http://schemas.openxmlformats.org/officeDocument/2006/relationships/hyperlink" Target="https://www.gowid.com" TargetMode="External"/><Relationship Id="rId393" Type="http://schemas.openxmlformats.org/officeDocument/2006/relationships/hyperlink" Target="https://www.gowid.com" TargetMode="External"/><Relationship Id="rId158" Type="http://schemas.openxmlformats.org/officeDocument/2006/relationships/hyperlink" Target="https://desk.channel.io/gowid/user-chats/698ecc788b8ccabfcf9f" TargetMode="External"/><Relationship Id="rId157" Type="http://schemas.openxmlformats.org/officeDocument/2006/relationships/hyperlink" Target="https://www.gowid.com" TargetMode="External"/><Relationship Id="rId399" Type="http://schemas.openxmlformats.org/officeDocument/2006/relationships/hyperlink" Target="https://www.gowid.com" TargetMode="External"/><Relationship Id="rId156" Type="http://schemas.openxmlformats.org/officeDocument/2006/relationships/hyperlink" Target="https://desk.channel.io/gowid/user-chats/698edbce1ad9f05bbb64" TargetMode="External"/><Relationship Id="rId398" Type="http://schemas.openxmlformats.org/officeDocument/2006/relationships/hyperlink" Target="https://desk.channel.io/gowid/user-chats/698ad1fca6bbfb8b4294" TargetMode="External"/><Relationship Id="rId155" Type="http://schemas.openxmlformats.org/officeDocument/2006/relationships/hyperlink" Target="https://www.gowid.com" TargetMode="External"/><Relationship Id="rId397" Type="http://schemas.openxmlformats.org/officeDocument/2006/relationships/hyperlink" Target="https://www.gowid.com" TargetMode="External"/><Relationship Id="rId808" Type="http://schemas.openxmlformats.org/officeDocument/2006/relationships/hyperlink" Target="https://desk.channel.io/gowid/user-chats/697abd511b11b14f6ce2" TargetMode="External"/><Relationship Id="rId807" Type="http://schemas.openxmlformats.org/officeDocument/2006/relationships/hyperlink" Target="https://gowid.channel.io" TargetMode="External"/><Relationship Id="rId806" Type="http://schemas.openxmlformats.org/officeDocument/2006/relationships/hyperlink" Target="https://desk.channel.io/gowid/user-chats/697acce5291d97f4d087" TargetMode="External"/><Relationship Id="rId805" Type="http://schemas.openxmlformats.org/officeDocument/2006/relationships/hyperlink" Target="https://gowid.channel.io" TargetMode="External"/><Relationship Id="rId809" Type="http://schemas.openxmlformats.org/officeDocument/2006/relationships/hyperlink" Target="https://www.gowid.com" TargetMode="External"/><Relationship Id="rId800" Type="http://schemas.openxmlformats.org/officeDocument/2006/relationships/hyperlink" Target="https://desk.channel.io/gowid/user-chats/697b160347c018109711" TargetMode="External"/><Relationship Id="rId804" Type="http://schemas.openxmlformats.org/officeDocument/2006/relationships/hyperlink" Target="https://desk.channel.io/gowid/user-chats/697ada208e160a9cf66d" TargetMode="External"/><Relationship Id="rId803" Type="http://schemas.openxmlformats.org/officeDocument/2006/relationships/hyperlink" Target="https://desk.channel.io/gowid/user-chats/697ae8255a89d74aa6e5" TargetMode="External"/><Relationship Id="rId802" Type="http://schemas.openxmlformats.org/officeDocument/2006/relationships/hyperlink" Target="https://desk.channel.io/gowid/user-chats/697afee7de71a8b0756f" TargetMode="External"/><Relationship Id="rId801" Type="http://schemas.openxmlformats.org/officeDocument/2006/relationships/hyperlink" Target="https://www.gowid.com" TargetMode="External"/><Relationship Id="rId40" Type="http://schemas.openxmlformats.org/officeDocument/2006/relationships/hyperlink" Target="https://www.gowid.com" TargetMode="External"/><Relationship Id="rId42" Type="http://schemas.openxmlformats.org/officeDocument/2006/relationships/hyperlink" Target="https://www.gowid.com" TargetMode="External"/><Relationship Id="rId41" Type="http://schemas.openxmlformats.org/officeDocument/2006/relationships/hyperlink" Target="https://desk.channel.io/gowid/user-chats/6996a5821c6300cff115" TargetMode="External"/><Relationship Id="rId44" Type="http://schemas.openxmlformats.org/officeDocument/2006/relationships/hyperlink" Target="https://www.gowid.com" TargetMode="External"/><Relationship Id="rId43" Type="http://schemas.openxmlformats.org/officeDocument/2006/relationships/hyperlink" Target="https://desk.channel.io/gowid/user-chats/6996a3f63e6dfd8a17ef" TargetMode="External"/><Relationship Id="rId46" Type="http://schemas.openxmlformats.org/officeDocument/2006/relationships/hyperlink" Target="https://www.gowid.com" TargetMode="External"/><Relationship Id="rId45" Type="http://schemas.openxmlformats.org/officeDocument/2006/relationships/hyperlink" Target="https://desk.channel.io/gowid/user-chats/6996a1db5dfe1fb7581c" TargetMode="External"/><Relationship Id="rId509" Type="http://schemas.openxmlformats.org/officeDocument/2006/relationships/hyperlink" Target="https://www.gowid.com" TargetMode="External"/><Relationship Id="rId508" Type="http://schemas.openxmlformats.org/officeDocument/2006/relationships/hyperlink" Target="https://desk.channel.io/gowid/user-chats/69893b004f9dc324e73b" TargetMode="External"/><Relationship Id="rId503" Type="http://schemas.openxmlformats.org/officeDocument/2006/relationships/hyperlink" Target="https://www.gowid.com" TargetMode="External"/><Relationship Id="rId745" Type="http://schemas.openxmlformats.org/officeDocument/2006/relationships/hyperlink" Target="https://desk.channel.io/gowid/user-chats/6980380f38c0b155adc4" TargetMode="External"/><Relationship Id="rId502" Type="http://schemas.openxmlformats.org/officeDocument/2006/relationships/hyperlink" Target="https://desk.channel.io/gowid/user-chats/698945079d2796bd0fac" TargetMode="External"/><Relationship Id="rId744" Type="http://schemas.openxmlformats.org/officeDocument/2006/relationships/hyperlink" Target="https://desk.channel.io/gowid/user-chats/69803d334250e5e55d48" TargetMode="External"/><Relationship Id="rId501" Type="http://schemas.openxmlformats.org/officeDocument/2006/relationships/hyperlink" Target="https://www.gowid.com" TargetMode="External"/><Relationship Id="rId743" Type="http://schemas.openxmlformats.org/officeDocument/2006/relationships/hyperlink" Target="https://gowid.channel.io" TargetMode="External"/><Relationship Id="rId500" Type="http://schemas.openxmlformats.org/officeDocument/2006/relationships/hyperlink" Target="https://desk.channel.io/gowid/user-chats/69894538cdf2840abbdb" TargetMode="External"/><Relationship Id="rId742" Type="http://schemas.openxmlformats.org/officeDocument/2006/relationships/hyperlink" Target="https://desk.channel.io/gowid/user-chats/69804399e80e191ca237" TargetMode="External"/><Relationship Id="rId507" Type="http://schemas.openxmlformats.org/officeDocument/2006/relationships/hyperlink" Target="https://www.gowid.com" TargetMode="External"/><Relationship Id="rId749" Type="http://schemas.openxmlformats.org/officeDocument/2006/relationships/hyperlink" Target="https://desk.channel.io/gowid/user-chats/698034ce8b9c7bc43135" TargetMode="External"/><Relationship Id="rId506" Type="http://schemas.openxmlformats.org/officeDocument/2006/relationships/hyperlink" Target="https://desk.channel.io/gowid/user-chats/6989437e24bc0cfa7bc5" TargetMode="External"/><Relationship Id="rId748" Type="http://schemas.openxmlformats.org/officeDocument/2006/relationships/hyperlink" Target="https://www.gowid.com" TargetMode="External"/><Relationship Id="rId505" Type="http://schemas.openxmlformats.org/officeDocument/2006/relationships/hyperlink" Target="https://gowid.channel.io" TargetMode="External"/><Relationship Id="rId747" Type="http://schemas.openxmlformats.org/officeDocument/2006/relationships/hyperlink" Target="https://desk.channel.io/gowid/user-chats/69802ada6a5f0ec25211" TargetMode="External"/><Relationship Id="rId504" Type="http://schemas.openxmlformats.org/officeDocument/2006/relationships/hyperlink" Target="https://desk.channel.io/gowid/user-chats/698944352aafe9a9ff82" TargetMode="External"/><Relationship Id="rId746" Type="http://schemas.openxmlformats.org/officeDocument/2006/relationships/hyperlink" Target="https://www.gowid.com" TargetMode="External"/><Relationship Id="rId48" Type="http://schemas.openxmlformats.org/officeDocument/2006/relationships/hyperlink" Target="https://www.gowid.com" TargetMode="External"/><Relationship Id="rId47" Type="http://schemas.openxmlformats.org/officeDocument/2006/relationships/hyperlink" Target="https://desk.channel.io/gowid/user-chats/69969b9781793e8a72d7" TargetMode="External"/><Relationship Id="rId49" Type="http://schemas.openxmlformats.org/officeDocument/2006/relationships/hyperlink" Target="https://desk.channel.io/gowid/user-chats/69969a5fe1fc17b96564" TargetMode="External"/><Relationship Id="rId741" Type="http://schemas.openxmlformats.org/officeDocument/2006/relationships/hyperlink" Target="https://desk.channel.io/gowid/user-chats/69804798ce74a0228e84" TargetMode="External"/><Relationship Id="rId740" Type="http://schemas.openxmlformats.org/officeDocument/2006/relationships/hyperlink" Target="https://www.gowid.com" TargetMode="External"/><Relationship Id="rId31" Type="http://schemas.openxmlformats.org/officeDocument/2006/relationships/hyperlink" Target="https://desk.channel.io/gowid/user-chats/6996ac71bcd572c171f4" TargetMode="External"/><Relationship Id="rId30" Type="http://schemas.openxmlformats.org/officeDocument/2006/relationships/hyperlink" Target="https://www.gowid.com" TargetMode="External"/><Relationship Id="rId33" Type="http://schemas.openxmlformats.org/officeDocument/2006/relationships/hyperlink" Target="https://desk.channel.io/gowid/user-chats/6996ac37bdf4850a6fb0" TargetMode="External"/><Relationship Id="rId32" Type="http://schemas.openxmlformats.org/officeDocument/2006/relationships/hyperlink" Target="https://www.gowid.com" TargetMode="External"/><Relationship Id="rId35" Type="http://schemas.openxmlformats.org/officeDocument/2006/relationships/hyperlink" Target="https://desk.channel.io/gowid/user-chats/6996a8437d5b72bf1640" TargetMode="External"/><Relationship Id="rId34" Type="http://schemas.openxmlformats.org/officeDocument/2006/relationships/hyperlink" Target="https://www.gowid.com" TargetMode="External"/><Relationship Id="rId739" Type="http://schemas.openxmlformats.org/officeDocument/2006/relationships/hyperlink" Target="https://desk.channel.io/gowid/user-chats/69804844a6ab7f2c1563" TargetMode="External"/><Relationship Id="rId734" Type="http://schemas.openxmlformats.org/officeDocument/2006/relationships/hyperlink" Target="https://desk.channel.io/gowid/user-chats/69805477b660cf2c7a99" TargetMode="External"/><Relationship Id="rId733" Type="http://schemas.openxmlformats.org/officeDocument/2006/relationships/hyperlink" Target="https://www.gowid.com" TargetMode="External"/><Relationship Id="rId732" Type="http://schemas.openxmlformats.org/officeDocument/2006/relationships/hyperlink" Target="https://desk.channel.io/gowid/user-chats/698067c33bdaaf6266ca" TargetMode="External"/><Relationship Id="rId731" Type="http://schemas.openxmlformats.org/officeDocument/2006/relationships/hyperlink" Target="https://www.gowid.com" TargetMode="External"/><Relationship Id="rId738" Type="http://schemas.openxmlformats.org/officeDocument/2006/relationships/hyperlink" Target="https://www.gowid.com" TargetMode="External"/><Relationship Id="rId737" Type="http://schemas.openxmlformats.org/officeDocument/2006/relationships/hyperlink" Target="https://desk.channel.io/gowid/user-chats/69805194f37c208a1985" TargetMode="External"/><Relationship Id="rId736" Type="http://schemas.openxmlformats.org/officeDocument/2006/relationships/hyperlink" Target="https://desk.channel.io/gowid/user-chats/698054127e297579144a" TargetMode="External"/><Relationship Id="rId735" Type="http://schemas.openxmlformats.org/officeDocument/2006/relationships/hyperlink" Target="https://www.gowid.com" TargetMode="External"/><Relationship Id="rId37" Type="http://schemas.openxmlformats.org/officeDocument/2006/relationships/hyperlink" Target="https://desk.channel.io/gowid/user-chats/6996a5d9e42382cabfa6" TargetMode="External"/><Relationship Id="rId36" Type="http://schemas.openxmlformats.org/officeDocument/2006/relationships/hyperlink" Target="https://gowid.channel.io" TargetMode="External"/><Relationship Id="rId39" Type="http://schemas.openxmlformats.org/officeDocument/2006/relationships/hyperlink" Target="https://desk.channel.io/gowid/user-chats/6996a5c85da03308cb7d" TargetMode="External"/><Relationship Id="rId38" Type="http://schemas.openxmlformats.org/officeDocument/2006/relationships/hyperlink" Target="https://www.gowid.com" TargetMode="External"/><Relationship Id="rId730" Type="http://schemas.openxmlformats.org/officeDocument/2006/relationships/hyperlink" Target="https://desk.channel.io/gowid/user-chats/69806a8082fbb9c80a1a" TargetMode="External"/><Relationship Id="rId20" Type="http://schemas.openxmlformats.org/officeDocument/2006/relationships/hyperlink" Target="https://desk.channel.io/gowid/user-chats/6996c38339acf66f73db" TargetMode="External"/><Relationship Id="rId22" Type="http://schemas.openxmlformats.org/officeDocument/2006/relationships/hyperlink" Target="https://desk.channel.io/gowid/user-chats/6996b9fb528495ca8c69" TargetMode="External"/><Relationship Id="rId21" Type="http://schemas.openxmlformats.org/officeDocument/2006/relationships/hyperlink" Target="https://www.gowid.com" TargetMode="External"/><Relationship Id="rId24" Type="http://schemas.openxmlformats.org/officeDocument/2006/relationships/hyperlink" Target="https://desk.channel.io/gowid/user-chats/6996b8ff711dff23d7ae" TargetMode="External"/><Relationship Id="rId23" Type="http://schemas.openxmlformats.org/officeDocument/2006/relationships/hyperlink" Target="https://www.gowid.com" TargetMode="External"/><Relationship Id="rId525" Type="http://schemas.openxmlformats.org/officeDocument/2006/relationships/hyperlink" Target="https://desk.channel.io/gowid/user-chats/6989271d55595a4e59a4" TargetMode="External"/><Relationship Id="rId767" Type="http://schemas.openxmlformats.org/officeDocument/2006/relationships/hyperlink" Target="https://desk.channel.io/gowid/user-chats/697ff7f16f4629a13b80" TargetMode="External"/><Relationship Id="rId524" Type="http://schemas.openxmlformats.org/officeDocument/2006/relationships/hyperlink" Target="https://desk.channel.io/gowid/user-chats/69892fde208ca5a4dfcd" TargetMode="External"/><Relationship Id="rId766" Type="http://schemas.openxmlformats.org/officeDocument/2006/relationships/hyperlink" Target="https://www.gowid.com" TargetMode="External"/><Relationship Id="rId523" Type="http://schemas.openxmlformats.org/officeDocument/2006/relationships/hyperlink" Target="https://www.gowid.com" TargetMode="External"/><Relationship Id="rId765" Type="http://schemas.openxmlformats.org/officeDocument/2006/relationships/hyperlink" Target="https://desk.channel.io/gowid/user-chats/697ff97fe53dd6a4dc60" TargetMode="External"/><Relationship Id="rId522" Type="http://schemas.openxmlformats.org/officeDocument/2006/relationships/hyperlink" Target="https://desk.channel.io/gowid/user-chats/6989327c5082507023da" TargetMode="External"/><Relationship Id="rId764" Type="http://schemas.openxmlformats.org/officeDocument/2006/relationships/hyperlink" Target="https://desk.channel.io/gowid/user-chats/697ffc1c8d3269df513b" TargetMode="External"/><Relationship Id="rId529" Type="http://schemas.openxmlformats.org/officeDocument/2006/relationships/hyperlink" Target="https://desk.channel.io/gowid/user-chats/69888bae7a7f48bd66b5" TargetMode="External"/><Relationship Id="rId528" Type="http://schemas.openxmlformats.org/officeDocument/2006/relationships/hyperlink" Target="https://www.gowid.com" TargetMode="External"/><Relationship Id="rId527" Type="http://schemas.openxmlformats.org/officeDocument/2006/relationships/hyperlink" Target="https://desk.channel.io/gowid/user-chats/698926fb6533a6e2f8fb" TargetMode="External"/><Relationship Id="rId769" Type="http://schemas.openxmlformats.org/officeDocument/2006/relationships/hyperlink" Target="https://desk.channel.io/gowid/user-chats/697e1c67084066cb8d09" TargetMode="External"/><Relationship Id="rId526" Type="http://schemas.openxmlformats.org/officeDocument/2006/relationships/hyperlink" Target="https://docs.channel.io/gowid-guide/ko" TargetMode="External"/><Relationship Id="rId768" Type="http://schemas.openxmlformats.org/officeDocument/2006/relationships/hyperlink" Target="https://www.gowid.com" TargetMode="External"/><Relationship Id="rId26" Type="http://schemas.openxmlformats.org/officeDocument/2006/relationships/hyperlink" Target="https://desk.channel.io/gowid/user-chats/6996b2968cf1975c3cb5" TargetMode="External"/><Relationship Id="rId25" Type="http://schemas.openxmlformats.org/officeDocument/2006/relationships/hyperlink" Target="https://www.gowid.com" TargetMode="External"/><Relationship Id="rId28" Type="http://schemas.openxmlformats.org/officeDocument/2006/relationships/hyperlink" Target="https://gowid.channel.io" TargetMode="External"/><Relationship Id="rId27" Type="http://schemas.openxmlformats.org/officeDocument/2006/relationships/hyperlink" Target="https://desk.channel.io/gowid/user-chats/6996b047df5bc0d1ba53" TargetMode="External"/><Relationship Id="rId521" Type="http://schemas.openxmlformats.org/officeDocument/2006/relationships/hyperlink" Target="https://www.gowid.com" TargetMode="External"/><Relationship Id="rId763" Type="http://schemas.openxmlformats.org/officeDocument/2006/relationships/hyperlink" Target="https://www.gowid.com" TargetMode="External"/><Relationship Id="rId29" Type="http://schemas.openxmlformats.org/officeDocument/2006/relationships/hyperlink" Target="https://desk.channel.io/gowid/user-chats/6996af7c373f0a18ddaf" TargetMode="External"/><Relationship Id="rId520" Type="http://schemas.openxmlformats.org/officeDocument/2006/relationships/hyperlink" Target="https://desk.channel.io/gowid/user-chats/69893372be3d05859622" TargetMode="External"/><Relationship Id="rId762" Type="http://schemas.openxmlformats.org/officeDocument/2006/relationships/hyperlink" Target="https://desk.channel.io/gowid/user-chats/697ffeb6d25bbbf751d3" TargetMode="External"/><Relationship Id="rId761" Type="http://schemas.openxmlformats.org/officeDocument/2006/relationships/hyperlink" Target="https://www.gowid.com" TargetMode="External"/><Relationship Id="rId760" Type="http://schemas.openxmlformats.org/officeDocument/2006/relationships/hyperlink" Target="https://desk.channel.io/gowid/user-chats/697ff99e3337b6c25c7f" TargetMode="External"/><Relationship Id="rId11" Type="http://schemas.openxmlformats.org/officeDocument/2006/relationships/hyperlink" Target="https://www.gowid.com" TargetMode="External"/><Relationship Id="rId10" Type="http://schemas.openxmlformats.org/officeDocument/2006/relationships/hyperlink" Target="https://desk.channel.io/gowid/user-chats/6996d57bbaa55f0e7c31" TargetMode="External"/><Relationship Id="rId13" Type="http://schemas.openxmlformats.org/officeDocument/2006/relationships/hyperlink" Target="https://www.gowid.com" TargetMode="External"/><Relationship Id="rId12" Type="http://schemas.openxmlformats.org/officeDocument/2006/relationships/hyperlink" Target="https://desk.channel.io/gowid/user-chats/6996ce7029650198cbd4" TargetMode="External"/><Relationship Id="rId519" Type="http://schemas.openxmlformats.org/officeDocument/2006/relationships/hyperlink" Target="https://www.gowid.com" TargetMode="External"/><Relationship Id="rId514" Type="http://schemas.openxmlformats.org/officeDocument/2006/relationships/hyperlink" Target="https://desk.channel.io/gowid/user-chats/698938d96ef656cfaf7f" TargetMode="External"/><Relationship Id="rId756" Type="http://schemas.openxmlformats.org/officeDocument/2006/relationships/hyperlink" Target="https://www.gowid.com" TargetMode="External"/><Relationship Id="rId513" Type="http://schemas.openxmlformats.org/officeDocument/2006/relationships/hyperlink" Target="https://www.gowid.com" TargetMode="External"/><Relationship Id="rId755" Type="http://schemas.openxmlformats.org/officeDocument/2006/relationships/hyperlink" Target="https://desk.channel.io/gowid/user-chats/698011a35b4d7e682355" TargetMode="External"/><Relationship Id="rId512" Type="http://schemas.openxmlformats.org/officeDocument/2006/relationships/hyperlink" Target="https://desk.channel.io/gowid/user-chats/698939d2d4fc8757d454" TargetMode="External"/><Relationship Id="rId754" Type="http://schemas.openxmlformats.org/officeDocument/2006/relationships/hyperlink" Target="https://www.gowid.com" TargetMode="External"/><Relationship Id="rId511" Type="http://schemas.openxmlformats.org/officeDocument/2006/relationships/hyperlink" Target="https://www.gowid.com" TargetMode="External"/><Relationship Id="rId753" Type="http://schemas.openxmlformats.org/officeDocument/2006/relationships/hyperlink" Target="https://desk.channel.io/gowid/user-chats/6980181d685d187e8d3d" TargetMode="External"/><Relationship Id="rId518" Type="http://schemas.openxmlformats.org/officeDocument/2006/relationships/hyperlink" Target="https://desk.channel.io/gowid/user-chats/698936a001cbbe64e5d7" TargetMode="External"/><Relationship Id="rId517" Type="http://schemas.openxmlformats.org/officeDocument/2006/relationships/hyperlink" Target="https://www.gowid.com" TargetMode="External"/><Relationship Id="rId759" Type="http://schemas.openxmlformats.org/officeDocument/2006/relationships/hyperlink" Target="https://desk.channel.io/gowid/user-chats/69800908071121485af5" TargetMode="External"/><Relationship Id="rId516" Type="http://schemas.openxmlformats.org/officeDocument/2006/relationships/hyperlink" Target="https://desk.channel.io/gowid/user-chats/69893795b6d72016218c" TargetMode="External"/><Relationship Id="rId758" Type="http://schemas.openxmlformats.org/officeDocument/2006/relationships/hyperlink" Target="https://www.gowid.com" TargetMode="External"/><Relationship Id="rId515" Type="http://schemas.openxmlformats.org/officeDocument/2006/relationships/hyperlink" Target="https://www.gowid.com" TargetMode="External"/><Relationship Id="rId757" Type="http://schemas.openxmlformats.org/officeDocument/2006/relationships/hyperlink" Target="https://desk.channel.io/gowid/user-chats/69800c4bd08be52254ba" TargetMode="External"/><Relationship Id="rId15" Type="http://schemas.openxmlformats.org/officeDocument/2006/relationships/hyperlink" Target="https://www.gowid.com" TargetMode="External"/><Relationship Id="rId14" Type="http://schemas.openxmlformats.org/officeDocument/2006/relationships/hyperlink" Target="https://desk.channel.io/gowid/user-chats/6996cd3338319030d407" TargetMode="External"/><Relationship Id="rId17" Type="http://schemas.openxmlformats.org/officeDocument/2006/relationships/hyperlink" Target="https://www.gowid.com" TargetMode="External"/><Relationship Id="rId16" Type="http://schemas.openxmlformats.org/officeDocument/2006/relationships/hyperlink" Target="https://desk.channel.io/gowid/user-chats/697c672b52de5a403c86" TargetMode="External"/><Relationship Id="rId19" Type="http://schemas.openxmlformats.org/officeDocument/2006/relationships/hyperlink" Target="https://www.gowid.com" TargetMode="External"/><Relationship Id="rId510" Type="http://schemas.openxmlformats.org/officeDocument/2006/relationships/hyperlink" Target="https://desk.channel.io/gowid/user-chats/69893a60472efeea61b4" TargetMode="External"/><Relationship Id="rId752" Type="http://schemas.openxmlformats.org/officeDocument/2006/relationships/hyperlink" Target="https://www.gowid.com" TargetMode="External"/><Relationship Id="rId18" Type="http://schemas.openxmlformats.org/officeDocument/2006/relationships/hyperlink" Target="https://desk.channel.io/gowid/user-chats/6996cb0be0a6e6c19f53" TargetMode="External"/><Relationship Id="rId751" Type="http://schemas.openxmlformats.org/officeDocument/2006/relationships/hyperlink" Target="https://desk.channel.io/gowid/user-chats/6980336f91e30ff42e13" TargetMode="External"/><Relationship Id="rId750" Type="http://schemas.openxmlformats.org/officeDocument/2006/relationships/hyperlink" Target="https://www.gowid.com" TargetMode="External"/><Relationship Id="rId84" Type="http://schemas.openxmlformats.org/officeDocument/2006/relationships/hyperlink" Target="https://www.gowid.com" TargetMode="External"/><Relationship Id="rId83" Type="http://schemas.openxmlformats.org/officeDocument/2006/relationships/hyperlink" Target="https://desk.channel.io/gowid/user-chats/69966d7cde84a3ed71c9" TargetMode="External"/><Relationship Id="rId86" Type="http://schemas.openxmlformats.org/officeDocument/2006/relationships/hyperlink" Target="https://www.gowid.com" TargetMode="External"/><Relationship Id="rId85" Type="http://schemas.openxmlformats.org/officeDocument/2006/relationships/hyperlink" Target="https://desk.channel.io/gowid/user-chats/69966b03377bbcd30756" TargetMode="External"/><Relationship Id="rId88" Type="http://schemas.openxmlformats.org/officeDocument/2006/relationships/hyperlink" Target="https://gowid.channel.io" TargetMode="External"/><Relationship Id="rId87" Type="http://schemas.openxmlformats.org/officeDocument/2006/relationships/hyperlink" Target="https://desk.channel.io/gowid/user-chats/69966ad0db252b7e9f9c" TargetMode="External"/><Relationship Id="rId89" Type="http://schemas.openxmlformats.org/officeDocument/2006/relationships/hyperlink" Target="https://desk.channel.io/gowid/user-chats/699669909e77937c8ba7" TargetMode="External"/><Relationship Id="rId709" Type="http://schemas.openxmlformats.org/officeDocument/2006/relationships/hyperlink" Target="https://desk.channel.io/gowid/user-chats/69816a203470f4bc2c8a" TargetMode="External"/><Relationship Id="rId708" Type="http://schemas.openxmlformats.org/officeDocument/2006/relationships/hyperlink" Target="https://www.gowid.com" TargetMode="External"/><Relationship Id="rId707" Type="http://schemas.openxmlformats.org/officeDocument/2006/relationships/hyperlink" Target="https://desk.channel.io/gowid/user-chats/69816ebe75d6375f4e73" TargetMode="External"/><Relationship Id="rId706" Type="http://schemas.openxmlformats.org/officeDocument/2006/relationships/hyperlink" Target="https://www.gowid.com" TargetMode="External"/><Relationship Id="rId80" Type="http://schemas.openxmlformats.org/officeDocument/2006/relationships/hyperlink" Target="https://www.gowid.com" TargetMode="External"/><Relationship Id="rId82" Type="http://schemas.openxmlformats.org/officeDocument/2006/relationships/hyperlink" Target="https://www.gowid.com" TargetMode="External"/><Relationship Id="rId81" Type="http://schemas.openxmlformats.org/officeDocument/2006/relationships/hyperlink" Target="https://desk.channel.io/gowid/user-chats/69966ed04b12a996b578" TargetMode="External"/><Relationship Id="rId701" Type="http://schemas.openxmlformats.org/officeDocument/2006/relationships/hyperlink" Target="https://desk.channel.io/gowid/user-chats/6981a4d368cf6993c10d" TargetMode="External"/><Relationship Id="rId700" Type="http://schemas.openxmlformats.org/officeDocument/2006/relationships/hyperlink" Target="https://www.gowid.com" TargetMode="External"/><Relationship Id="rId705" Type="http://schemas.openxmlformats.org/officeDocument/2006/relationships/hyperlink" Target="https://desk.channel.io/gowid/user-chats/6981755d43cb95b51a6e" TargetMode="External"/><Relationship Id="rId704" Type="http://schemas.openxmlformats.org/officeDocument/2006/relationships/hyperlink" Target="https://www.gowid.com" TargetMode="External"/><Relationship Id="rId703" Type="http://schemas.openxmlformats.org/officeDocument/2006/relationships/hyperlink" Target="https://desk.channel.io/gowid/user-chats/69818496a0f1ad268353" TargetMode="External"/><Relationship Id="rId702" Type="http://schemas.openxmlformats.org/officeDocument/2006/relationships/hyperlink" Target="https://www.gowid.com" TargetMode="External"/><Relationship Id="rId73" Type="http://schemas.openxmlformats.org/officeDocument/2006/relationships/hyperlink" Target="https://desk.channel.io/gowid/user-chats/699675f5aa3871542499" TargetMode="External"/><Relationship Id="rId72" Type="http://schemas.openxmlformats.org/officeDocument/2006/relationships/hyperlink" Target="https://www.gowid.com" TargetMode="External"/><Relationship Id="rId75" Type="http://schemas.openxmlformats.org/officeDocument/2006/relationships/hyperlink" Target="https://desk.channel.io/gowid/user-chats/699675b48a63d6b03ed4" TargetMode="External"/><Relationship Id="rId74" Type="http://schemas.openxmlformats.org/officeDocument/2006/relationships/hyperlink" Target="https://www.gowid.com" TargetMode="External"/><Relationship Id="rId77" Type="http://schemas.openxmlformats.org/officeDocument/2006/relationships/hyperlink" Target="https://desk.channel.io/gowid/user-chats/69967557ccb0490826ab" TargetMode="External"/><Relationship Id="rId76" Type="http://schemas.openxmlformats.org/officeDocument/2006/relationships/hyperlink" Target="https://www.gowid.com" TargetMode="External"/><Relationship Id="rId79" Type="http://schemas.openxmlformats.org/officeDocument/2006/relationships/hyperlink" Target="https://desk.channel.io/gowid/user-chats/6996725aede844f38879" TargetMode="External"/><Relationship Id="rId78" Type="http://schemas.openxmlformats.org/officeDocument/2006/relationships/hyperlink" Target="https://www.gowid.com" TargetMode="External"/><Relationship Id="rId937" Type="http://schemas.openxmlformats.org/officeDocument/2006/relationships/drawing" Target="../drawings/drawing1.xml"/><Relationship Id="rId71" Type="http://schemas.openxmlformats.org/officeDocument/2006/relationships/hyperlink" Target="https://desk.channel.io/gowid/user-chats/699675ec3808cb178591" TargetMode="External"/><Relationship Id="rId70" Type="http://schemas.openxmlformats.org/officeDocument/2006/relationships/hyperlink" Target="https://www.gowid.com" TargetMode="External"/><Relationship Id="rId932" Type="http://schemas.openxmlformats.org/officeDocument/2006/relationships/hyperlink" Target="https://desk.channel.io/gowid/user-chats/6976c81bde9186f60b7a" TargetMode="External"/><Relationship Id="rId931" Type="http://schemas.openxmlformats.org/officeDocument/2006/relationships/hyperlink" Target="https://gowid.channel.io" TargetMode="External"/><Relationship Id="rId930" Type="http://schemas.openxmlformats.org/officeDocument/2006/relationships/hyperlink" Target="https://desk.channel.io/gowid/user-chats/6976cf73cb53e553fa96" TargetMode="External"/><Relationship Id="rId936" Type="http://schemas.openxmlformats.org/officeDocument/2006/relationships/hyperlink" Target="https://desk.channel.io/gowid/user-chats/6976bcf86eb9a25e8354" TargetMode="External"/><Relationship Id="rId935" Type="http://schemas.openxmlformats.org/officeDocument/2006/relationships/hyperlink" Target="https://www.gowid.com" TargetMode="External"/><Relationship Id="rId934" Type="http://schemas.openxmlformats.org/officeDocument/2006/relationships/hyperlink" Target="https://desk.channel.io/gowid/user-chats/6976c63b7ff568629b43" TargetMode="External"/><Relationship Id="rId933" Type="http://schemas.openxmlformats.org/officeDocument/2006/relationships/hyperlink" Target="https://www.gowid.com" TargetMode="External"/><Relationship Id="rId62" Type="http://schemas.openxmlformats.org/officeDocument/2006/relationships/hyperlink" Target="https://desk.channel.io/gowid/user-chats/69967bcfa966a7cf3c4d" TargetMode="External"/><Relationship Id="rId61" Type="http://schemas.openxmlformats.org/officeDocument/2006/relationships/hyperlink" Target="https://www.gowid.com" TargetMode="External"/><Relationship Id="rId64" Type="http://schemas.openxmlformats.org/officeDocument/2006/relationships/hyperlink" Target="https://www.gowid.com" TargetMode="External"/><Relationship Id="rId63" Type="http://schemas.openxmlformats.org/officeDocument/2006/relationships/hyperlink" Target="https://desk.channel.io/gowid/user-chats/698d979a04d5b1245178" TargetMode="External"/><Relationship Id="rId66" Type="http://schemas.openxmlformats.org/officeDocument/2006/relationships/hyperlink" Target="https://www.gowid.com" TargetMode="External"/><Relationship Id="rId65" Type="http://schemas.openxmlformats.org/officeDocument/2006/relationships/hyperlink" Target="https://desk.channel.io/gowid/user-chats/69967b01ae8debaaf0de" TargetMode="External"/><Relationship Id="rId68" Type="http://schemas.openxmlformats.org/officeDocument/2006/relationships/hyperlink" Target="https://www.gowid.com" TargetMode="External"/><Relationship Id="rId67" Type="http://schemas.openxmlformats.org/officeDocument/2006/relationships/hyperlink" Target="https://desk.channel.io/gowid/user-chats/69967a4c2b07490a20c4" TargetMode="External"/><Relationship Id="rId729" Type="http://schemas.openxmlformats.org/officeDocument/2006/relationships/hyperlink" Target="https://www.gowid.com" TargetMode="External"/><Relationship Id="rId728" Type="http://schemas.openxmlformats.org/officeDocument/2006/relationships/hyperlink" Target="https://desk.channel.io/gowid/user-chats/69806b3c86ad486688a6" TargetMode="External"/><Relationship Id="rId60" Type="http://schemas.openxmlformats.org/officeDocument/2006/relationships/hyperlink" Target="https://desk.channel.io/gowid/user-chats/699680185446fb920981" TargetMode="External"/><Relationship Id="rId723" Type="http://schemas.openxmlformats.org/officeDocument/2006/relationships/hyperlink" Target="https://desk.channel.io/gowid/user-chats/698095bc7cb0f85d9b97" TargetMode="External"/><Relationship Id="rId722" Type="http://schemas.openxmlformats.org/officeDocument/2006/relationships/hyperlink" Target="https://desk.channel.io/gowid/user-chats/698149f15be04747751b" TargetMode="External"/><Relationship Id="rId721" Type="http://schemas.openxmlformats.org/officeDocument/2006/relationships/hyperlink" Target="https://www.gowid.com" TargetMode="External"/><Relationship Id="rId720" Type="http://schemas.openxmlformats.org/officeDocument/2006/relationships/hyperlink" Target="https://desk.channel.io/gowid/user-chats/69814b84d494c09ddd18" TargetMode="External"/><Relationship Id="rId727" Type="http://schemas.openxmlformats.org/officeDocument/2006/relationships/hyperlink" Target="https://www.gowid.com" TargetMode="External"/><Relationship Id="rId726" Type="http://schemas.openxmlformats.org/officeDocument/2006/relationships/hyperlink" Target="https://desk.channel.io/gowid/user-chats/69808892cff649bb9c51" TargetMode="External"/><Relationship Id="rId725" Type="http://schemas.openxmlformats.org/officeDocument/2006/relationships/hyperlink" Target="https://www.gowid.com" TargetMode="External"/><Relationship Id="rId724" Type="http://schemas.openxmlformats.org/officeDocument/2006/relationships/hyperlink" Target="https://desk.channel.io/gowid/user-chats/698093946b27eab7f0bb" TargetMode="External"/><Relationship Id="rId69" Type="http://schemas.openxmlformats.org/officeDocument/2006/relationships/hyperlink" Target="https://desk.channel.io/gowid/user-chats/69967989eaefdf6b94b4" TargetMode="External"/><Relationship Id="rId51" Type="http://schemas.openxmlformats.org/officeDocument/2006/relationships/hyperlink" Target="https://desk.channel.io/gowid/user-chats/6996945158bb08e6d581" TargetMode="External"/><Relationship Id="rId50" Type="http://schemas.openxmlformats.org/officeDocument/2006/relationships/hyperlink" Target="https://www.gowid.com" TargetMode="External"/><Relationship Id="rId53" Type="http://schemas.openxmlformats.org/officeDocument/2006/relationships/hyperlink" Target="https://desk.channel.io/gowid/user-chats/6996900cec4cc2ff1764" TargetMode="External"/><Relationship Id="rId52" Type="http://schemas.openxmlformats.org/officeDocument/2006/relationships/hyperlink" Target="https://www.gowid.com" TargetMode="External"/><Relationship Id="rId55" Type="http://schemas.openxmlformats.org/officeDocument/2006/relationships/hyperlink" Target="https://desk.channel.io/gowid/user-chats/6996900132e6ee07c769" TargetMode="External"/><Relationship Id="rId54" Type="http://schemas.openxmlformats.org/officeDocument/2006/relationships/hyperlink" Target="https://www.gowid.com" TargetMode="External"/><Relationship Id="rId57" Type="http://schemas.openxmlformats.org/officeDocument/2006/relationships/hyperlink" Target="https://desk.channel.io/gowid/user-chats/69968b6fc41146c130e6" TargetMode="External"/><Relationship Id="rId56" Type="http://schemas.openxmlformats.org/officeDocument/2006/relationships/hyperlink" Target="https://www.gowid.com" TargetMode="External"/><Relationship Id="rId719" Type="http://schemas.openxmlformats.org/officeDocument/2006/relationships/hyperlink" Target="https://www.gowid.com" TargetMode="External"/><Relationship Id="rId718" Type="http://schemas.openxmlformats.org/officeDocument/2006/relationships/hyperlink" Target="https://desk.channel.io/gowid/user-chats/698147c7c4cb87285c6d" TargetMode="External"/><Relationship Id="rId717" Type="http://schemas.openxmlformats.org/officeDocument/2006/relationships/hyperlink" Target="https://www.gowid.com" TargetMode="External"/><Relationship Id="rId712" Type="http://schemas.openxmlformats.org/officeDocument/2006/relationships/hyperlink" Target="https://www.gowid.com" TargetMode="External"/><Relationship Id="rId711" Type="http://schemas.openxmlformats.org/officeDocument/2006/relationships/hyperlink" Target="https://desk.channel.io/gowid/user-chats/698166f89b54bf2f3095" TargetMode="External"/><Relationship Id="rId710" Type="http://schemas.openxmlformats.org/officeDocument/2006/relationships/hyperlink" Target="https://www.gowid.com" TargetMode="External"/><Relationship Id="rId716" Type="http://schemas.openxmlformats.org/officeDocument/2006/relationships/hyperlink" Target="https://desk.channel.io/gowid/user-chats/698156866ecd2f157cda" TargetMode="External"/><Relationship Id="rId715" Type="http://schemas.openxmlformats.org/officeDocument/2006/relationships/hyperlink" Target="https://desk.channel.io/gowid/user-chats/69815925041a97a121be" TargetMode="External"/><Relationship Id="rId714" Type="http://schemas.openxmlformats.org/officeDocument/2006/relationships/hyperlink" Target="https://www.gowid.com" TargetMode="External"/><Relationship Id="rId713" Type="http://schemas.openxmlformats.org/officeDocument/2006/relationships/hyperlink" Target="https://desk.channel.io/gowid/user-chats/69815ed87eea5d2f4e25" TargetMode="External"/><Relationship Id="rId59" Type="http://schemas.openxmlformats.org/officeDocument/2006/relationships/hyperlink" Target="https://desk.channel.io/gowid/user-chats/6996812c771869e2e69b" TargetMode="External"/><Relationship Id="rId58" Type="http://schemas.openxmlformats.org/officeDocument/2006/relationships/hyperlink" Target="https://www.gowid.com" TargetMode="External"/><Relationship Id="rId590" Type="http://schemas.openxmlformats.org/officeDocument/2006/relationships/hyperlink" Target="https://desk.channel.io/gowid/user-chats/698560953c9f8a2a68ba" TargetMode="External"/><Relationship Id="rId107" Type="http://schemas.openxmlformats.org/officeDocument/2006/relationships/hyperlink" Target="https://desk.channel.io/gowid/user-chats/6995e33fdcead327a338" TargetMode="External"/><Relationship Id="rId349" Type="http://schemas.openxmlformats.org/officeDocument/2006/relationships/hyperlink" Target="https://www.gowid.com" TargetMode="External"/><Relationship Id="rId106" Type="http://schemas.openxmlformats.org/officeDocument/2006/relationships/hyperlink" Target="https://www.gowid.com" TargetMode="External"/><Relationship Id="rId348" Type="http://schemas.openxmlformats.org/officeDocument/2006/relationships/hyperlink" Target="https://desk.channel.io/gowid/user-chats/698bd76410537611f1fb" TargetMode="External"/><Relationship Id="rId105" Type="http://schemas.openxmlformats.org/officeDocument/2006/relationships/hyperlink" Target="https://desk.channel.io/gowid/user-chats/6996016789d5f7b91f1d" TargetMode="External"/><Relationship Id="rId347" Type="http://schemas.openxmlformats.org/officeDocument/2006/relationships/hyperlink" Target="https://www.gowid.com" TargetMode="External"/><Relationship Id="rId589" Type="http://schemas.openxmlformats.org/officeDocument/2006/relationships/hyperlink" Target="https://www.gowid.com" TargetMode="External"/><Relationship Id="rId104" Type="http://schemas.openxmlformats.org/officeDocument/2006/relationships/hyperlink" Target="https://www.gowid.com" TargetMode="External"/><Relationship Id="rId346" Type="http://schemas.openxmlformats.org/officeDocument/2006/relationships/hyperlink" Target="https://desk.channel.io/gowid/user-chats/698bd8b70913f7c8c704" TargetMode="External"/><Relationship Id="rId588" Type="http://schemas.openxmlformats.org/officeDocument/2006/relationships/hyperlink" Target="https://desk.channel.io/gowid/user-chats/698565ef47f500145f88" TargetMode="External"/><Relationship Id="rId109" Type="http://schemas.openxmlformats.org/officeDocument/2006/relationships/hyperlink" Target="https://desk.channel.io/gowid/user-chats/6995e1d1bb4103aa1859" TargetMode="External"/><Relationship Id="rId108" Type="http://schemas.openxmlformats.org/officeDocument/2006/relationships/hyperlink" Target="https://www.gowid.com" TargetMode="External"/><Relationship Id="rId341" Type="http://schemas.openxmlformats.org/officeDocument/2006/relationships/hyperlink" Target="https://www.gowid.com" TargetMode="External"/><Relationship Id="rId583" Type="http://schemas.openxmlformats.org/officeDocument/2006/relationships/hyperlink" Target="https://www.gowid.com" TargetMode="External"/><Relationship Id="rId340" Type="http://schemas.openxmlformats.org/officeDocument/2006/relationships/hyperlink" Target="https://desk.channel.io/gowid/user-chats/698bdc20b673ff0bd155" TargetMode="External"/><Relationship Id="rId582" Type="http://schemas.openxmlformats.org/officeDocument/2006/relationships/hyperlink" Target="https://desk.channel.io/gowid/user-chats/698572673ab400033ab5" TargetMode="External"/><Relationship Id="rId581" Type="http://schemas.openxmlformats.org/officeDocument/2006/relationships/hyperlink" Target="https://www.gowid.com" TargetMode="External"/><Relationship Id="rId580" Type="http://schemas.openxmlformats.org/officeDocument/2006/relationships/hyperlink" Target="https://desk.channel.io/gowid/user-chats/69857482426518db37d5" TargetMode="External"/><Relationship Id="rId103" Type="http://schemas.openxmlformats.org/officeDocument/2006/relationships/hyperlink" Target="https://desk.channel.io/gowid/user-chats/6996485a380dd38bc9f0" TargetMode="External"/><Relationship Id="rId345" Type="http://schemas.openxmlformats.org/officeDocument/2006/relationships/hyperlink" Target="https://www.gowid.com" TargetMode="External"/><Relationship Id="rId587" Type="http://schemas.openxmlformats.org/officeDocument/2006/relationships/hyperlink" Target="https://www.gowid.com" TargetMode="External"/><Relationship Id="rId102" Type="http://schemas.openxmlformats.org/officeDocument/2006/relationships/hyperlink" Target="https://www.gowid.com" TargetMode="External"/><Relationship Id="rId344" Type="http://schemas.openxmlformats.org/officeDocument/2006/relationships/hyperlink" Target="https://desk.channel.io/gowid/user-chats/698bd8d60290e3db94e3" TargetMode="External"/><Relationship Id="rId586" Type="http://schemas.openxmlformats.org/officeDocument/2006/relationships/hyperlink" Target="https://desk.channel.io/gowid/user-chats/6985667a9840f19821b2" TargetMode="External"/><Relationship Id="rId101" Type="http://schemas.openxmlformats.org/officeDocument/2006/relationships/hyperlink" Target="https://desk.channel.io/gowid/user-chats/6996514f0ecc58d9ec12" TargetMode="External"/><Relationship Id="rId343" Type="http://schemas.openxmlformats.org/officeDocument/2006/relationships/hyperlink" Target="https://www.gowid.com" TargetMode="External"/><Relationship Id="rId585" Type="http://schemas.openxmlformats.org/officeDocument/2006/relationships/hyperlink" Target="https://www.gowid.com" TargetMode="External"/><Relationship Id="rId100" Type="http://schemas.openxmlformats.org/officeDocument/2006/relationships/hyperlink" Target="https://www.gowid.com" TargetMode="External"/><Relationship Id="rId342" Type="http://schemas.openxmlformats.org/officeDocument/2006/relationships/hyperlink" Target="https://desk.channel.io/gowid/user-chats/698bdb21c9451465ae7f" TargetMode="External"/><Relationship Id="rId584" Type="http://schemas.openxmlformats.org/officeDocument/2006/relationships/hyperlink" Target="https://desk.channel.io/gowid/user-chats/6985713318661f71f812" TargetMode="External"/><Relationship Id="rId338" Type="http://schemas.openxmlformats.org/officeDocument/2006/relationships/hyperlink" Target="https://desk.channel.io/gowid/user-chats/698bdc9b4336df7a0b9f" TargetMode="External"/><Relationship Id="rId337" Type="http://schemas.openxmlformats.org/officeDocument/2006/relationships/hyperlink" Target="https://www.gowid.com" TargetMode="External"/><Relationship Id="rId579" Type="http://schemas.openxmlformats.org/officeDocument/2006/relationships/hyperlink" Target="https://www.gowid.com" TargetMode="External"/><Relationship Id="rId336" Type="http://schemas.openxmlformats.org/officeDocument/2006/relationships/hyperlink" Target="https://desk.channel.io/gowid/user-chats/698be07bd3e8cf85b791" TargetMode="External"/><Relationship Id="rId578" Type="http://schemas.openxmlformats.org/officeDocument/2006/relationships/hyperlink" Target="https://desk.channel.io/gowid/user-chats/698577bf30255388e6b9" TargetMode="External"/><Relationship Id="rId335" Type="http://schemas.openxmlformats.org/officeDocument/2006/relationships/hyperlink" Target="https://www.gowid.com" TargetMode="External"/><Relationship Id="rId577" Type="http://schemas.openxmlformats.org/officeDocument/2006/relationships/hyperlink" Target="https://desk.channel.io/gowid/user-chats/698578038e0d0516fc12" TargetMode="External"/><Relationship Id="rId339" Type="http://schemas.openxmlformats.org/officeDocument/2006/relationships/hyperlink" Target="https://www.gowid.com" TargetMode="External"/><Relationship Id="rId330" Type="http://schemas.openxmlformats.org/officeDocument/2006/relationships/hyperlink" Target="https://desk.channel.io/gowid/user-chats/698be6022b5307e148eb" TargetMode="External"/><Relationship Id="rId572" Type="http://schemas.openxmlformats.org/officeDocument/2006/relationships/hyperlink" Target="https://www.gowid.com" TargetMode="External"/><Relationship Id="rId571" Type="http://schemas.openxmlformats.org/officeDocument/2006/relationships/hyperlink" Target="https://desk.channel.io/gowid/user-chats/698592a82dadd44dd3dd" TargetMode="External"/><Relationship Id="rId570" Type="http://schemas.openxmlformats.org/officeDocument/2006/relationships/hyperlink" Target="https://www.gowid.com" TargetMode="External"/><Relationship Id="rId334" Type="http://schemas.openxmlformats.org/officeDocument/2006/relationships/hyperlink" Target="https://desk.channel.io/gowid/user-chats/698be0b76df37ec34af5" TargetMode="External"/><Relationship Id="rId576" Type="http://schemas.openxmlformats.org/officeDocument/2006/relationships/hyperlink" Target="https://www.gowid.com" TargetMode="External"/><Relationship Id="rId333" Type="http://schemas.openxmlformats.org/officeDocument/2006/relationships/hyperlink" Target="https://www.gowid.com" TargetMode="External"/><Relationship Id="rId575" Type="http://schemas.openxmlformats.org/officeDocument/2006/relationships/hyperlink" Target="https://desk.channel.io/gowid/user-chats/69857d380c3743b6c295" TargetMode="External"/><Relationship Id="rId332" Type="http://schemas.openxmlformats.org/officeDocument/2006/relationships/hyperlink" Target="https://desk.channel.io/gowid/user-chats/698be0e8072ebc3dcc49" TargetMode="External"/><Relationship Id="rId574" Type="http://schemas.openxmlformats.org/officeDocument/2006/relationships/hyperlink" Target="https://www.gowid.com" TargetMode="External"/><Relationship Id="rId331" Type="http://schemas.openxmlformats.org/officeDocument/2006/relationships/hyperlink" Target="https://www.gowid.com" TargetMode="External"/><Relationship Id="rId573" Type="http://schemas.openxmlformats.org/officeDocument/2006/relationships/hyperlink" Target="https://desk.channel.io/gowid/user-chats/698591fab36e9f670822" TargetMode="External"/><Relationship Id="rId370" Type="http://schemas.openxmlformats.org/officeDocument/2006/relationships/hyperlink" Target="https://desk.channel.io/gowid/user-chats/698af9dcc458137228e5" TargetMode="External"/><Relationship Id="rId129" Type="http://schemas.openxmlformats.org/officeDocument/2006/relationships/hyperlink" Target="https://www.gowid.com" TargetMode="External"/><Relationship Id="rId128" Type="http://schemas.openxmlformats.org/officeDocument/2006/relationships/hyperlink" Target="https://desk.channel.io/gowid/user-chats/69938a7f06fa6b93af10" TargetMode="External"/><Relationship Id="rId127" Type="http://schemas.openxmlformats.org/officeDocument/2006/relationships/hyperlink" Target="https://www.gowid.com" TargetMode="External"/><Relationship Id="rId369" Type="http://schemas.openxmlformats.org/officeDocument/2006/relationships/hyperlink" Target="https://www.gowid.com" TargetMode="External"/><Relationship Id="rId126" Type="http://schemas.openxmlformats.org/officeDocument/2006/relationships/hyperlink" Target="https://desk.channel.io/gowid/user-chats/6993d3183f9e8345c738" TargetMode="External"/><Relationship Id="rId368" Type="http://schemas.openxmlformats.org/officeDocument/2006/relationships/hyperlink" Target="https://desk.channel.io/gowid/user-chats/698b100c546fb54aa270" TargetMode="External"/><Relationship Id="rId121" Type="http://schemas.openxmlformats.org/officeDocument/2006/relationships/hyperlink" Target="https://desk.channel.io/gowid/user-chats/6994491f3fb324d173b0" TargetMode="External"/><Relationship Id="rId363" Type="http://schemas.openxmlformats.org/officeDocument/2006/relationships/hyperlink" Target="https://www.gowid.com" TargetMode="External"/><Relationship Id="rId120" Type="http://schemas.openxmlformats.org/officeDocument/2006/relationships/hyperlink" Target="https://www.gowid.com" TargetMode="External"/><Relationship Id="rId362" Type="http://schemas.openxmlformats.org/officeDocument/2006/relationships/hyperlink" Target="https://desk.channel.io/gowid/user-chats/698b3e905d744f34c6c4" TargetMode="External"/><Relationship Id="rId361" Type="http://schemas.openxmlformats.org/officeDocument/2006/relationships/hyperlink" Target="https://www.gowid.com" TargetMode="External"/><Relationship Id="rId360" Type="http://schemas.openxmlformats.org/officeDocument/2006/relationships/hyperlink" Target="https://desk.channel.io/gowid/user-chats/698b4876641676b4282d" TargetMode="External"/><Relationship Id="rId125" Type="http://schemas.openxmlformats.org/officeDocument/2006/relationships/hyperlink" Target="https://desk.channel.io/gowid/user-chats/6993edba454444025c3f" TargetMode="External"/><Relationship Id="rId367" Type="http://schemas.openxmlformats.org/officeDocument/2006/relationships/hyperlink" Target="https://www.gowid.com" TargetMode="External"/><Relationship Id="rId124" Type="http://schemas.openxmlformats.org/officeDocument/2006/relationships/hyperlink" Target="https://www.gowid.com" TargetMode="External"/><Relationship Id="rId366" Type="http://schemas.openxmlformats.org/officeDocument/2006/relationships/hyperlink" Target="https://desk.channel.io/gowid/user-chats/698b2075db67c166aa57" TargetMode="External"/><Relationship Id="rId123" Type="http://schemas.openxmlformats.org/officeDocument/2006/relationships/hyperlink" Target="https://desk.channel.io/gowid/user-chats/699410fbd9cfa3c0f5e8" TargetMode="External"/><Relationship Id="rId365" Type="http://schemas.openxmlformats.org/officeDocument/2006/relationships/hyperlink" Target="https://www.gowid.com" TargetMode="External"/><Relationship Id="rId122" Type="http://schemas.openxmlformats.org/officeDocument/2006/relationships/hyperlink" Target="https://www.gowid.com" TargetMode="External"/><Relationship Id="rId364" Type="http://schemas.openxmlformats.org/officeDocument/2006/relationships/hyperlink" Target="https://desk.channel.io/gowid/user-chats/698b2cb08c8177567e40" TargetMode="External"/><Relationship Id="rId95" Type="http://schemas.openxmlformats.org/officeDocument/2006/relationships/hyperlink" Target="https://desk.channel.io/gowid/user-chats/69965cb527628d271556" TargetMode="External"/><Relationship Id="rId94" Type="http://schemas.openxmlformats.org/officeDocument/2006/relationships/hyperlink" Target="https://gowidsub.com/" TargetMode="External"/><Relationship Id="rId97" Type="http://schemas.openxmlformats.org/officeDocument/2006/relationships/hyperlink" Target="https://desk.channel.io/gowid/user-chats/699656fc95e5363522d9" TargetMode="External"/><Relationship Id="rId96" Type="http://schemas.openxmlformats.org/officeDocument/2006/relationships/hyperlink" Target="https://www.gowid.com" TargetMode="External"/><Relationship Id="rId99" Type="http://schemas.openxmlformats.org/officeDocument/2006/relationships/hyperlink" Target="https://desk.channel.io/gowid/user-chats/6996516cc92726048c8e" TargetMode="External"/><Relationship Id="rId98" Type="http://schemas.openxmlformats.org/officeDocument/2006/relationships/hyperlink" Target="https://www.gowid.com" TargetMode="External"/><Relationship Id="rId91" Type="http://schemas.openxmlformats.org/officeDocument/2006/relationships/hyperlink" Target="https://desk.channel.io/gowid/user-chats/69966475af0d81faea0b" TargetMode="External"/><Relationship Id="rId90" Type="http://schemas.openxmlformats.org/officeDocument/2006/relationships/hyperlink" Target="https://www.gowid.com" TargetMode="External"/><Relationship Id="rId93" Type="http://schemas.openxmlformats.org/officeDocument/2006/relationships/hyperlink" Target="https://desk.channel.io/gowid/user-chats/699660087ecb2d6affe6" TargetMode="External"/><Relationship Id="rId92" Type="http://schemas.openxmlformats.org/officeDocument/2006/relationships/hyperlink" Target="https://www.gowid.com" TargetMode="External"/><Relationship Id="rId118" Type="http://schemas.openxmlformats.org/officeDocument/2006/relationships/hyperlink" Target="https://www.gowid.com" TargetMode="External"/><Relationship Id="rId117" Type="http://schemas.openxmlformats.org/officeDocument/2006/relationships/hyperlink" Target="https://desk.channel.io/gowid/user-chats/699520c5dfe6d5ce53af" TargetMode="External"/><Relationship Id="rId359" Type="http://schemas.openxmlformats.org/officeDocument/2006/relationships/hyperlink" Target="https://www.gowid.com" TargetMode="External"/><Relationship Id="rId116" Type="http://schemas.openxmlformats.org/officeDocument/2006/relationships/hyperlink" Target="https://www.gowid.com" TargetMode="External"/><Relationship Id="rId358" Type="http://schemas.openxmlformats.org/officeDocument/2006/relationships/hyperlink" Target="https://desk.channel.io/gowid/user-chats/698b48d35e6a85b7e2d7" TargetMode="External"/><Relationship Id="rId115" Type="http://schemas.openxmlformats.org/officeDocument/2006/relationships/hyperlink" Target="https://desk.channel.io/gowid/user-chats/6995729789a153a92af6" TargetMode="External"/><Relationship Id="rId357" Type="http://schemas.openxmlformats.org/officeDocument/2006/relationships/hyperlink" Target="https://www.gowid.com" TargetMode="External"/><Relationship Id="rId599" Type="http://schemas.openxmlformats.org/officeDocument/2006/relationships/hyperlink" Target="https://www.gowid.com" TargetMode="External"/><Relationship Id="rId119" Type="http://schemas.openxmlformats.org/officeDocument/2006/relationships/hyperlink" Target="https://desk.channel.io/gowid/user-chats/69945c7069e2d06bf27e" TargetMode="External"/><Relationship Id="rId110" Type="http://schemas.openxmlformats.org/officeDocument/2006/relationships/hyperlink" Target="https://www.gowid.com" TargetMode="External"/><Relationship Id="rId352" Type="http://schemas.openxmlformats.org/officeDocument/2006/relationships/hyperlink" Target="https://desk.channel.io/gowid/user-chats/698b7a4b63301ae10cd7" TargetMode="External"/><Relationship Id="rId594" Type="http://schemas.openxmlformats.org/officeDocument/2006/relationships/hyperlink" Target="https://desk.channel.io/gowid/user-chats/6985537a20e5ad3311d5" TargetMode="External"/><Relationship Id="rId351" Type="http://schemas.openxmlformats.org/officeDocument/2006/relationships/hyperlink" Target="https://www.gowid.com" TargetMode="External"/><Relationship Id="rId593" Type="http://schemas.openxmlformats.org/officeDocument/2006/relationships/hyperlink" Target="https://www.gowid.com" TargetMode="External"/><Relationship Id="rId350" Type="http://schemas.openxmlformats.org/officeDocument/2006/relationships/hyperlink" Target="https://desk.channel.io/gowid/user-chats/698bb4913fc93584026f" TargetMode="External"/><Relationship Id="rId592" Type="http://schemas.openxmlformats.org/officeDocument/2006/relationships/hyperlink" Target="https://desk.channel.io/gowid/user-chats/69856078b9febe924884" TargetMode="External"/><Relationship Id="rId591" Type="http://schemas.openxmlformats.org/officeDocument/2006/relationships/hyperlink" Target="https://www.gowid.com" TargetMode="External"/><Relationship Id="rId114" Type="http://schemas.openxmlformats.org/officeDocument/2006/relationships/hyperlink" Target="https://www.gowid.com" TargetMode="External"/><Relationship Id="rId356" Type="http://schemas.openxmlformats.org/officeDocument/2006/relationships/hyperlink" Target="https://desk.channel.io/gowid/user-chats/698b6d44cf05b1109bb1" TargetMode="External"/><Relationship Id="rId598" Type="http://schemas.openxmlformats.org/officeDocument/2006/relationships/hyperlink" Target="https://desk.channel.io/gowid/user-chats/69854b17db290c1abbc7" TargetMode="External"/><Relationship Id="rId113" Type="http://schemas.openxmlformats.org/officeDocument/2006/relationships/hyperlink" Target="https://desk.channel.io/gowid/user-chats/6995888bb1831788c49f" TargetMode="External"/><Relationship Id="rId355" Type="http://schemas.openxmlformats.org/officeDocument/2006/relationships/hyperlink" Target="https://www.gowid.com" TargetMode="External"/><Relationship Id="rId597" Type="http://schemas.openxmlformats.org/officeDocument/2006/relationships/hyperlink" Target="https://www.gowid.com" TargetMode="External"/><Relationship Id="rId112" Type="http://schemas.openxmlformats.org/officeDocument/2006/relationships/hyperlink" Target="https://www.gowid.com" TargetMode="External"/><Relationship Id="rId354" Type="http://schemas.openxmlformats.org/officeDocument/2006/relationships/hyperlink" Target="https://desk.channel.io/gowid/user-chats/698b70ed0dfb26de17eb" TargetMode="External"/><Relationship Id="rId596" Type="http://schemas.openxmlformats.org/officeDocument/2006/relationships/hyperlink" Target="https://desk.channel.io/gowid/user-chats/69854bac30bc0daf12f0" TargetMode="External"/><Relationship Id="rId111" Type="http://schemas.openxmlformats.org/officeDocument/2006/relationships/hyperlink" Target="https://desk.channel.io/gowid/user-chats/6995c7e9c170f3de46d7" TargetMode="External"/><Relationship Id="rId353" Type="http://schemas.openxmlformats.org/officeDocument/2006/relationships/hyperlink" Target="https://www.gowid.com" TargetMode="External"/><Relationship Id="rId595" Type="http://schemas.openxmlformats.org/officeDocument/2006/relationships/hyperlink" Target="https://gowid.channel.io" TargetMode="External"/><Relationship Id="rId305" Type="http://schemas.openxmlformats.org/officeDocument/2006/relationships/hyperlink" Target="https://www.gowid.com" TargetMode="External"/><Relationship Id="rId547" Type="http://schemas.openxmlformats.org/officeDocument/2006/relationships/hyperlink" Target="https://desk.channel.io/gowid/user-chats/6985b36aa697899957a9" TargetMode="External"/><Relationship Id="rId789" Type="http://schemas.openxmlformats.org/officeDocument/2006/relationships/hyperlink" Target="https://desk.channel.io/gowid/user-chats/697bffe1b4e07836646f" TargetMode="External"/><Relationship Id="rId304" Type="http://schemas.openxmlformats.org/officeDocument/2006/relationships/hyperlink" Target="https://desk.channel.io/gowid/user-chats/698c1e10e4fc0e7252a3" TargetMode="External"/><Relationship Id="rId546" Type="http://schemas.openxmlformats.org/officeDocument/2006/relationships/hyperlink" Target="https://desk.channel.io/gowid/user-chats/6985db9aae64bf2f0891" TargetMode="External"/><Relationship Id="rId788" Type="http://schemas.openxmlformats.org/officeDocument/2006/relationships/hyperlink" Target="https://desk.channel.io/gowid/user-chats/697c145212a1de4f84b0" TargetMode="External"/><Relationship Id="rId303" Type="http://schemas.openxmlformats.org/officeDocument/2006/relationships/hyperlink" Target="https://www.gowid.com" TargetMode="External"/><Relationship Id="rId545" Type="http://schemas.openxmlformats.org/officeDocument/2006/relationships/hyperlink" Target="https://www.gowid.com" TargetMode="External"/><Relationship Id="rId787" Type="http://schemas.openxmlformats.org/officeDocument/2006/relationships/hyperlink" Target="https://www.gowid.com" TargetMode="External"/><Relationship Id="rId302" Type="http://schemas.openxmlformats.org/officeDocument/2006/relationships/hyperlink" Target="https://desk.channel.io/gowid/user-chats/698c1e492491286af5e0" TargetMode="External"/><Relationship Id="rId544" Type="http://schemas.openxmlformats.org/officeDocument/2006/relationships/hyperlink" Target="https://desk.channel.io/gowid/user-chats/6985de7581daee1dd480" TargetMode="External"/><Relationship Id="rId786" Type="http://schemas.openxmlformats.org/officeDocument/2006/relationships/hyperlink" Target="https://desk.channel.io/gowid/user-chats/697c2baede58c1ab87e7" TargetMode="External"/><Relationship Id="rId309" Type="http://schemas.openxmlformats.org/officeDocument/2006/relationships/hyperlink" Target="https://www.gowid.com" TargetMode="External"/><Relationship Id="rId308" Type="http://schemas.openxmlformats.org/officeDocument/2006/relationships/hyperlink" Target="https://desk.channel.io/gowid/user-chats/698c1ab12dcdb01352c1" TargetMode="External"/><Relationship Id="rId307" Type="http://schemas.openxmlformats.org/officeDocument/2006/relationships/hyperlink" Target="https://www.gowid.com" TargetMode="External"/><Relationship Id="rId549" Type="http://schemas.openxmlformats.org/officeDocument/2006/relationships/hyperlink" Target="https://desk.channel.io/gowid/user-chats/6985aad04b2eacf051fd" TargetMode="External"/><Relationship Id="rId306" Type="http://schemas.openxmlformats.org/officeDocument/2006/relationships/hyperlink" Target="https://desk.channel.io/gowid/user-chats/698c1ce19f9f8211c255" TargetMode="External"/><Relationship Id="rId548" Type="http://schemas.openxmlformats.org/officeDocument/2006/relationships/hyperlink" Target="https://desk.channel.io/gowid/user-chats/6985ae64cbeeb3eea231" TargetMode="External"/><Relationship Id="rId781" Type="http://schemas.openxmlformats.org/officeDocument/2006/relationships/hyperlink" Target="https://www.gowid.com" TargetMode="External"/><Relationship Id="rId780" Type="http://schemas.openxmlformats.org/officeDocument/2006/relationships/hyperlink" Target="https://desk.channel.io/gowid/user-chats/697b48bc8ce7ce912034" TargetMode="External"/><Relationship Id="rId301" Type="http://schemas.openxmlformats.org/officeDocument/2006/relationships/hyperlink" Target="https://www.gowid.com" TargetMode="External"/><Relationship Id="rId543" Type="http://schemas.openxmlformats.org/officeDocument/2006/relationships/hyperlink" Target="https://www.gowid.com" TargetMode="External"/><Relationship Id="rId785" Type="http://schemas.openxmlformats.org/officeDocument/2006/relationships/hyperlink" Target="https://desk.channel.io/gowid/user-chats/697c2e9743927066edea" TargetMode="External"/><Relationship Id="rId300" Type="http://schemas.openxmlformats.org/officeDocument/2006/relationships/hyperlink" Target="https://desk.channel.io/gowid/user-chats/698c3613033a1c46d721" TargetMode="External"/><Relationship Id="rId542" Type="http://schemas.openxmlformats.org/officeDocument/2006/relationships/hyperlink" Target="https://desk.channel.io/gowid/user-chats/6985e45f86ee598fdbee" TargetMode="External"/><Relationship Id="rId784" Type="http://schemas.openxmlformats.org/officeDocument/2006/relationships/hyperlink" Target="https://desk.channel.io/gowid/user-chats/697c35fc01ff1c02f715" TargetMode="External"/><Relationship Id="rId541" Type="http://schemas.openxmlformats.org/officeDocument/2006/relationships/hyperlink" Target="https://www.gowid.com" TargetMode="External"/><Relationship Id="rId783" Type="http://schemas.openxmlformats.org/officeDocument/2006/relationships/hyperlink" Target="https://www.gowid.com" TargetMode="External"/><Relationship Id="rId540" Type="http://schemas.openxmlformats.org/officeDocument/2006/relationships/hyperlink" Target="https://desk.channel.io/gowid/user-chats/69868d507637ab98cb9d" TargetMode="External"/><Relationship Id="rId782" Type="http://schemas.openxmlformats.org/officeDocument/2006/relationships/hyperlink" Target="https://desk.channel.io/gowid/user-chats/697c39ef5bb888a0e52e" TargetMode="External"/><Relationship Id="rId536" Type="http://schemas.openxmlformats.org/officeDocument/2006/relationships/hyperlink" Target="https://www.gowid.com" TargetMode="External"/><Relationship Id="rId778" Type="http://schemas.openxmlformats.org/officeDocument/2006/relationships/hyperlink" Target="https://desk.channel.io/gowid/user-chats/697c501131de8f331abc" TargetMode="External"/><Relationship Id="rId535" Type="http://schemas.openxmlformats.org/officeDocument/2006/relationships/hyperlink" Target="https://desk.channel.io/gowid/user-chats/6986ef353b2ba2dd5279" TargetMode="External"/><Relationship Id="rId777" Type="http://schemas.openxmlformats.org/officeDocument/2006/relationships/hyperlink" Target="https://desk.channel.io/gowid/user-chats/697c537b11e0e55b3cc9" TargetMode="External"/><Relationship Id="rId534" Type="http://schemas.openxmlformats.org/officeDocument/2006/relationships/hyperlink" Target="https://www.gowid.com" TargetMode="External"/><Relationship Id="rId776" Type="http://schemas.openxmlformats.org/officeDocument/2006/relationships/hyperlink" Target="https://www.gowid.com" TargetMode="External"/><Relationship Id="rId533" Type="http://schemas.openxmlformats.org/officeDocument/2006/relationships/hyperlink" Target="https://desk.channel.io/gowid/user-chats/6986f4195e4cb01f4c1c" TargetMode="External"/><Relationship Id="rId775" Type="http://schemas.openxmlformats.org/officeDocument/2006/relationships/hyperlink" Target="https://desk.channel.io/gowid/user-chats/697c549473fb41b9775f" TargetMode="External"/><Relationship Id="rId539" Type="http://schemas.openxmlformats.org/officeDocument/2006/relationships/hyperlink" Target="https://www.gowid.com" TargetMode="External"/><Relationship Id="rId538" Type="http://schemas.openxmlformats.org/officeDocument/2006/relationships/hyperlink" Target="https://desk.channel.io/gowid/user-chats/69868e3eb81325b6d3eb" TargetMode="External"/><Relationship Id="rId537" Type="http://schemas.openxmlformats.org/officeDocument/2006/relationships/hyperlink" Target="https://desk.channel.io/gowid/user-chats/69868f0d8996a3d7ddce" TargetMode="External"/><Relationship Id="rId779" Type="http://schemas.openxmlformats.org/officeDocument/2006/relationships/hyperlink" Target="https://www.gowid.com" TargetMode="External"/><Relationship Id="rId770" Type="http://schemas.openxmlformats.org/officeDocument/2006/relationships/hyperlink" Target="https://desk.channel.io/gowid/user-chats/697d84ff105589b02fb8" TargetMode="External"/><Relationship Id="rId532" Type="http://schemas.openxmlformats.org/officeDocument/2006/relationships/hyperlink" Target="https://www.gowid.com" TargetMode="External"/><Relationship Id="rId774" Type="http://schemas.openxmlformats.org/officeDocument/2006/relationships/hyperlink" Target="https://desk.channel.io/gowid/user-chats/697c59be995f1692820b" TargetMode="External"/><Relationship Id="rId531" Type="http://schemas.openxmlformats.org/officeDocument/2006/relationships/hyperlink" Target="https://desk.channel.io/gowid/user-chats/6987e1a363451d08c3d6" TargetMode="External"/><Relationship Id="rId773" Type="http://schemas.openxmlformats.org/officeDocument/2006/relationships/hyperlink" Target="https://docs.channel.io/gowid-guide/ko" TargetMode="External"/><Relationship Id="rId530" Type="http://schemas.openxmlformats.org/officeDocument/2006/relationships/hyperlink" Target="https://www.gowid.com" TargetMode="External"/><Relationship Id="rId772" Type="http://schemas.openxmlformats.org/officeDocument/2006/relationships/hyperlink" Target="https://desk.channel.io/gowid/user-chats/697c665134f84db904f6" TargetMode="External"/><Relationship Id="rId771" Type="http://schemas.openxmlformats.org/officeDocument/2006/relationships/hyperlink" Target="https://www.gowid.com" TargetMode="External"/><Relationship Id="rId327" Type="http://schemas.openxmlformats.org/officeDocument/2006/relationships/hyperlink" Target="https://www.gowid.com" TargetMode="External"/><Relationship Id="rId569" Type="http://schemas.openxmlformats.org/officeDocument/2006/relationships/hyperlink" Target="https://desk.channel.io/gowid/user-chats/6985935c2a1a307a1539" TargetMode="External"/><Relationship Id="rId326" Type="http://schemas.openxmlformats.org/officeDocument/2006/relationships/hyperlink" Target="https://desk.channel.io/gowid/user-chats/698c037d2b1a9ec03ffc" TargetMode="External"/><Relationship Id="rId568" Type="http://schemas.openxmlformats.org/officeDocument/2006/relationships/hyperlink" Target="https://www.gowid.com" TargetMode="External"/><Relationship Id="rId325" Type="http://schemas.openxmlformats.org/officeDocument/2006/relationships/hyperlink" Target="https://www.gowid.com" TargetMode="External"/><Relationship Id="rId567" Type="http://schemas.openxmlformats.org/officeDocument/2006/relationships/hyperlink" Target="https://desk.channel.io/gowid/user-chats/6985946ea1f39c7d75e0" TargetMode="External"/><Relationship Id="rId324" Type="http://schemas.openxmlformats.org/officeDocument/2006/relationships/hyperlink" Target="https://desk.channel.io/gowid/user-chats/698c0418f1e1efa2351a" TargetMode="External"/><Relationship Id="rId566" Type="http://schemas.openxmlformats.org/officeDocument/2006/relationships/hyperlink" Target="https://www.gowid.com" TargetMode="External"/><Relationship Id="rId329" Type="http://schemas.openxmlformats.org/officeDocument/2006/relationships/hyperlink" Target="https://www.gowid.com" TargetMode="External"/><Relationship Id="rId328" Type="http://schemas.openxmlformats.org/officeDocument/2006/relationships/hyperlink" Target="https://desk.channel.io/gowid/user-chats/698bf0ab86ca73e5bf84" TargetMode="External"/><Relationship Id="rId561" Type="http://schemas.openxmlformats.org/officeDocument/2006/relationships/hyperlink" Target="https://desk.channel.io/gowid/user-chats/69859ad9e87079764904" TargetMode="External"/><Relationship Id="rId560" Type="http://schemas.openxmlformats.org/officeDocument/2006/relationships/hyperlink" Target="https://www.gowid.com" TargetMode="External"/><Relationship Id="rId323" Type="http://schemas.openxmlformats.org/officeDocument/2006/relationships/hyperlink" Target="https://www.gowid.com" TargetMode="External"/><Relationship Id="rId565" Type="http://schemas.openxmlformats.org/officeDocument/2006/relationships/hyperlink" Target="https://desk.channel.io/gowid/user-chats/698597b8218491e9e6e0" TargetMode="External"/><Relationship Id="rId322" Type="http://schemas.openxmlformats.org/officeDocument/2006/relationships/hyperlink" Target="https://desk.channel.io/gowid/user-chats/698c10439f181d59f3ec" TargetMode="External"/><Relationship Id="rId564" Type="http://schemas.openxmlformats.org/officeDocument/2006/relationships/hyperlink" Target="https://www.gowid.com" TargetMode="External"/><Relationship Id="rId321" Type="http://schemas.openxmlformats.org/officeDocument/2006/relationships/hyperlink" Target="https://www.gowid.com" TargetMode="External"/><Relationship Id="rId563" Type="http://schemas.openxmlformats.org/officeDocument/2006/relationships/hyperlink" Target="https://desk.channel.io/gowid/user-chats/69859835589c85ea1f25" TargetMode="External"/><Relationship Id="rId320" Type="http://schemas.openxmlformats.org/officeDocument/2006/relationships/hyperlink" Target="https://desk.channel.io/gowid/user-chats/698c11b669403203ea8b" TargetMode="External"/><Relationship Id="rId562" Type="http://schemas.openxmlformats.org/officeDocument/2006/relationships/hyperlink" Target="https://www.gowid.com" TargetMode="External"/><Relationship Id="rId316" Type="http://schemas.openxmlformats.org/officeDocument/2006/relationships/hyperlink" Target="https://desk.channel.io/gowid/user-chats/698c120d3d61ff1c45da" TargetMode="External"/><Relationship Id="rId558" Type="http://schemas.openxmlformats.org/officeDocument/2006/relationships/hyperlink" Target="https://www.gowid.com" TargetMode="External"/><Relationship Id="rId315" Type="http://schemas.openxmlformats.org/officeDocument/2006/relationships/hyperlink" Target="https://www.gowid.com" TargetMode="External"/><Relationship Id="rId557" Type="http://schemas.openxmlformats.org/officeDocument/2006/relationships/hyperlink" Target="https://desk.channel.io/gowid/user-chats/6985a1797dd1f75bea5f" TargetMode="External"/><Relationship Id="rId799" Type="http://schemas.openxmlformats.org/officeDocument/2006/relationships/hyperlink" Target="https://www.gowid.com" TargetMode="External"/><Relationship Id="rId314" Type="http://schemas.openxmlformats.org/officeDocument/2006/relationships/hyperlink" Target="https://desk.channel.io/gowid/user-chats/698c15a4b174bae8fe04" TargetMode="External"/><Relationship Id="rId556" Type="http://schemas.openxmlformats.org/officeDocument/2006/relationships/hyperlink" Target="https://www.gowid.com" TargetMode="External"/><Relationship Id="rId798" Type="http://schemas.openxmlformats.org/officeDocument/2006/relationships/hyperlink" Target="https://desk.channel.io/gowid/user-chats/697b1752427bb1d7b7a0" TargetMode="External"/><Relationship Id="rId313" Type="http://schemas.openxmlformats.org/officeDocument/2006/relationships/hyperlink" Target="https://www.gowid.com" TargetMode="External"/><Relationship Id="rId555" Type="http://schemas.openxmlformats.org/officeDocument/2006/relationships/hyperlink" Target="https://desk.channel.io/gowid/user-chats/6985a4656985d6264704" TargetMode="External"/><Relationship Id="rId797" Type="http://schemas.openxmlformats.org/officeDocument/2006/relationships/hyperlink" Target="https://www.gowid.com" TargetMode="External"/><Relationship Id="rId319" Type="http://schemas.openxmlformats.org/officeDocument/2006/relationships/hyperlink" Target="https://www.gowid.com" TargetMode="External"/><Relationship Id="rId318" Type="http://schemas.openxmlformats.org/officeDocument/2006/relationships/hyperlink" Target="https://desk.channel.io/gowid/user-chats/698c11e197f7245cd64a" TargetMode="External"/><Relationship Id="rId317" Type="http://schemas.openxmlformats.org/officeDocument/2006/relationships/hyperlink" Target="https://www.gowid.com" TargetMode="External"/><Relationship Id="rId559" Type="http://schemas.openxmlformats.org/officeDocument/2006/relationships/hyperlink" Target="https://desk.channel.io/gowid/user-chats/6985a060cbfb2ee3b193" TargetMode="External"/><Relationship Id="rId550" Type="http://schemas.openxmlformats.org/officeDocument/2006/relationships/hyperlink" Target="https://www.gowid.com" TargetMode="External"/><Relationship Id="rId792" Type="http://schemas.openxmlformats.org/officeDocument/2006/relationships/hyperlink" Target="https://desk.channel.io/gowid/user-chats/697b47938158453306fa" TargetMode="External"/><Relationship Id="rId791" Type="http://schemas.openxmlformats.org/officeDocument/2006/relationships/hyperlink" Target="https://www.gowid.com" TargetMode="External"/><Relationship Id="rId790" Type="http://schemas.openxmlformats.org/officeDocument/2006/relationships/hyperlink" Target="https://desk.channel.io/gowid/user-chats/697bf0d97d008f18c390" TargetMode="External"/><Relationship Id="rId312" Type="http://schemas.openxmlformats.org/officeDocument/2006/relationships/hyperlink" Target="https://desk.channel.io/gowid/user-chats/698c16ac1fb47070a7db" TargetMode="External"/><Relationship Id="rId554" Type="http://schemas.openxmlformats.org/officeDocument/2006/relationships/hyperlink" Target="https://www.gowid.com" TargetMode="External"/><Relationship Id="rId796" Type="http://schemas.openxmlformats.org/officeDocument/2006/relationships/hyperlink" Target="https://desk.channel.io/gowid/user-chats/697b1e946451042c0b96" TargetMode="External"/><Relationship Id="rId311" Type="http://schemas.openxmlformats.org/officeDocument/2006/relationships/hyperlink" Target="https://www.gowid.com" TargetMode="External"/><Relationship Id="rId553" Type="http://schemas.openxmlformats.org/officeDocument/2006/relationships/hyperlink" Target="https://desk.channel.io/gowid/user-chats/6985aae5c742c9fdf2ea" TargetMode="External"/><Relationship Id="rId795" Type="http://schemas.openxmlformats.org/officeDocument/2006/relationships/hyperlink" Target="https://www.gowid.com" TargetMode="External"/><Relationship Id="rId310" Type="http://schemas.openxmlformats.org/officeDocument/2006/relationships/hyperlink" Target="https://desk.channel.io/gowid/user-chats/698c16a2a8b329754159" TargetMode="External"/><Relationship Id="rId552" Type="http://schemas.openxmlformats.org/officeDocument/2006/relationships/hyperlink" Target="https://www.gowid.com" TargetMode="External"/><Relationship Id="rId794" Type="http://schemas.openxmlformats.org/officeDocument/2006/relationships/hyperlink" Target="https://desk.channel.io/gowid/user-chats/697b25b634255b054fd7" TargetMode="External"/><Relationship Id="rId551" Type="http://schemas.openxmlformats.org/officeDocument/2006/relationships/hyperlink" Target="https://desk.channel.io/gowid/user-chats/6985ab2de10dd03070ad" TargetMode="External"/><Relationship Id="rId793" Type="http://schemas.openxmlformats.org/officeDocument/2006/relationships/hyperlink" Target="https://gowid.channel.io" TargetMode="External"/><Relationship Id="rId297" Type="http://schemas.openxmlformats.org/officeDocument/2006/relationships/hyperlink" Target="https://www.gowid.com" TargetMode="External"/><Relationship Id="rId296" Type="http://schemas.openxmlformats.org/officeDocument/2006/relationships/hyperlink" Target="https://desk.channel.io/gowid/user-chats/698c3986572c86ae1925" TargetMode="External"/><Relationship Id="rId295" Type="http://schemas.openxmlformats.org/officeDocument/2006/relationships/hyperlink" Target="https://www.gowid.com" TargetMode="External"/><Relationship Id="rId294" Type="http://schemas.openxmlformats.org/officeDocument/2006/relationships/hyperlink" Target="https://desk.channel.io/gowid/user-chats/698c39a66152024677cb" TargetMode="External"/><Relationship Id="rId299" Type="http://schemas.openxmlformats.org/officeDocument/2006/relationships/hyperlink" Target="https://www.gowid.com" TargetMode="External"/><Relationship Id="rId298" Type="http://schemas.openxmlformats.org/officeDocument/2006/relationships/hyperlink" Target="https://desk.channel.io/gowid/user-chats/698c38c55b88ef41117e" TargetMode="External"/><Relationship Id="rId271" Type="http://schemas.openxmlformats.org/officeDocument/2006/relationships/hyperlink" Target="https://www.gowid.com" TargetMode="External"/><Relationship Id="rId270" Type="http://schemas.openxmlformats.org/officeDocument/2006/relationships/hyperlink" Target="https://desk.channel.io/gowid/user-chats/698d31de678765b3ad26" TargetMode="External"/><Relationship Id="rId269" Type="http://schemas.openxmlformats.org/officeDocument/2006/relationships/hyperlink" Target="https://www.gowid.com" TargetMode="External"/><Relationship Id="rId264" Type="http://schemas.openxmlformats.org/officeDocument/2006/relationships/hyperlink" Target="https://desk.channel.io/gowid/user-chats/698d35f33e54a437ea4a" TargetMode="External"/><Relationship Id="rId263" Type="http://schemas.openxmlformats.org/officeDocument/2006/relationships/hyperlink" Target="https://www.gowid.com" TargetMode="External"/><Relationship Id="rId262" Type="http://schemas.openxmlformats.org/officeDocument/2006/relationships/hyperlink" Target="https://desk.channel.io/gowid/user-chats/698d36201bc78fe23c6c" TargetMode="External"/><Relationship Id="rId261" Type="http://schemas.openxmlformats.org/officeDocument/2006/relationships/hyperlink" Target="https://www.gowid.com" TargetMode="External"/><Relationship Id="rId268" Type="http://schemas.openxmlformats.org/officeDocument/2006/relationships/hyperlink" Target="https://desk.channel.io/gowid/user-chats/698d32186767c5049873" TargetMode="External"/><Relationship Id="rId267" Type="http://schemas.openxmlformats.org/officeDocument/2006/relationships/hyperlink" Target="https://www.gowid.com" TargetMode="External"/><Relationship Id="rId266" Type="http://schemas.openxmlformats.org/officeDocument/2006/relationships/hyperlink" Target="https://desk.channel.io/gowid/user-chats/698d3361110c16aff7b5" TargetMode="External"/><Relationship Id="rId265" Type="http://schemas.openxmlformats.org/officeDocument/2006/relationships/hyperlink" Target="https://www.gowid.com" TargetMode="External"/><Relationship Id="rId260" Type="http://schemas.openxmlformats.org/officeDocument/2006/relationships/hyperlink" Target="https://desk.channel.io/gowid/user-chats/698d3c10df8787c9e7a3" TargetMode="External"/><Relationship Id="rId259" Type="http://schemas.openxmlformats.org/officeDocument/2006/relationships/hyperlink" Target="https://www.gowid.com" TargetMode="External"/><Relationship Id="rId258" Type="http://schemas.openxmlformats.org/officeDocument/2006/relationships/hyperlink" Target="https://desk.channel.io/gowid/user-chats/698d57a4121a6d6a0e61" TargetMode="External"/><Relationship Id="rId253" Type="http://schemas.openxmlformats.org/officeDocument/2006/relationships/hyperlink" Target="https://desk.channel.io/gowid/user-chats/698d685107f7e9f842a4" TargetMode="External"/><Relationship Id="rId495" Type="http://schemas.openxmlformats.org/officeDocument/2006/relationships/hyperlink" Target="https://www.gowid.com" TargetMode="External"/><Relationship Id="rId252" Type="http://schemas.openxmlformats.org/officeDocument/2006/relationships/hyperlink" Target="https://www.gowid.com" TargetMode="External"/><Relationship Id="rId494" Type="http://schemas.openxmlformats.org/officeDocument/2006/relationships/hyperlink" Target="https://desk.channel.io/gowid/user-chats/69896461b7daf1e5aa2f" TargetMode="External"/><Relationship Id="rId251" Type="http://schemas.openxmlformats.org/officeDocument/2006/relationships/hyperlink" Target="https://desk.channel.io/gowid/user-chats/698d69aba6b16914778d" TargetMode="External"/><Relationship Id="rId493" Type="http://schemas.openxmlformats.org/officeDocument/2006/relationships/hyperlink" Target="https://www.gowid.com" TargetMode="External"/><Relationship Id="rId250" Type="http://schemas.openxmlformats.org/officeDocument/2006/relationships/hyperlink" Target="https://www.gowid.com" TargetMode="External"/><Relationship Id="rId492" Type="http://schemas.openxmlformats.org/officeDocument/2006/relationships/hyperlink" Target="https://desk.channel.io/gowid/user-chats/6989680260cb83446f08" TargetMode="External"/><Relationship Id="rId257" Type="http://schemas.openxmlformats.org/officeDocument/2006/relationships/hyperlink" Target="https://www.gowid.com" TargetMode="External"/><Relationship Id="rId499" Type="http://schemas.openxmlformats.org/officeDocument/2006/relationships/hyperlink" Target="https://www.gowid.com" TargetMode="External"/><Relationship Id="rId256" Type="http://schemas.openxmlformats.org/officeDocument/2006/relationships/hyperlink" Target="https://desk.channel.io/gowid/user-chats/698d3021e595b18e7276" TargetMode="External"/><Relationship Id="rId498" Type="http://schemas.openxmlformats.org/officeDocument/2006/relationships/hyperlink" Target="https://desk.channel.io/gowid/user-chats/6989487dca1137292d03" TargetMode="External"/><Relationship Id="rId255" Type="http://schemas.openxmlformats.org/officeDocument/2006/relationships/hyperlink" Target="https://desk.channel.io/gowid/user-chats/698d63bcf05a0a8f18e6" TargetMode="External"/><Relationship Id="rId497" Type="http://schemas.openxmlformats.org/officeDocument/2006/relationships/hyperlink" Target="https://www.gowid.com" TargetMode="External"/><Relationship Id="rId254" Type="http://schemas.openxmlformats.org/officeDocument/2006/relationships/hyperlink" Target="https://www.gowid.com" TargetMode="External"/><Relationship Id="rId496" Type="http://schemas.openxmlformats.org/officeDocument/2006/relationships/hyperlink" Target="https://desk.channel.io/gowid/user-chats/69895ec6e8e8aeeebde8" TargetMode="External"/><Relationship Id="rId293" Type="http://schemas.openxmlformats.org/officeDocument/2006/relationships/hyperlink" Target="https://www.gowid.com" TargetMode="External"/><Relationship Id="rId292" Type="http://schemas.openxmlformats.org/officeDocument/2006/relationships/hyperlink" Target="https://desk.channel.io/gowid/user-chats/698c39fce2e84f9d3974" TargetMode="External"/><Relationship Id="rId291" Type="http://schemas.openxmlformats.org/officeDocument/2006/relationships/hyperlink" Target="https://gowid.channel.io" TargetMode="External"/><Relationship Id="rId290" Type="http://schemas.openxmlformats.org/officeDocument/2006/relationships/hyperlink" Target="https://desk.channel.io/gowid/user-chats/698c3a4aa5eafcc1703a" TargetMode="External"/><Relationship Id="rId286" Type="http://schemas.openxmlformats.org/officeDocument/2006/relationships/hyperlink" Target="https://desk.channel.io/gowid/user-chats/698c465c3f4b4ddfb9e5" TargetMode="External"/><Relationship Id="rId285" Type="http://schemas.openxmlformats.org/officeDocument/2006/relationships/hyperlink" Target="https://www.gowid.com" TargetMode="External"/><Relationship Id="rId284" Type="http://schemas.openxmlformats.org/officeDocument/2006/relationships/hyperlink" Target="https://desk.channel.io/gowid/user-chats/698c51a681baab0bfaa1" TargetMode="External"/><Relationship Id="rId283" Type="http://schemas.openxmlformats.org/officeDocument/2006/relationships/hyperlink" Target="https://www.gowid.com" TargetMode="External"/><Relationship Id="rId289" Type="http://schemas.openxmlformats.org/officeDocument/2006/relationships/hyperlink" Target="https://www.gowid.com" TargetMode="External"/><Relationship Id="rId288" Type="http://schemas.openxmlformats.org/officeDocument/2006/relationships/hyperlink" Target="https://desk.channel.io/gowid/user-chats/698c40dfedc8762c2601" TargetMode="External"/><Relationship Id="rId287" Type="http://schemas.openxmlformats.org/officeDocument/2006/relationships/hyperlink" Target="https://www.gowid.com" TargetMode="External"/><Relationship Id="rId282" Type="http://schemas.openxmlformats.org/officeDocument/2006/relationships/hyperlink" Target="https://desk.channel.io/gowid/user-chats/698c5fb81a382d6c1a71" TargetMode="External"/><Relationship Id="rId281" Type="http://schemas.openxmlformats.org/officeDocument/2006/relationships/hyperlink" Target="https://www.gowid.com" TargetMode="External"/><Relationship Id="rId280" Type="http://schemas.openxmlformats.org/officeDocument/2006/relationships/hyperlink" Target="https://desk.channel.io/gowid/user-chats/698c753c1509a7887c19" TargetMode="External"/><Relationship Id="rId275" Type="http://schemas.openxmlformats.org/officeDocument/2006/relationships/hyperlink" Target="https://www.gowid.com" TargetMode="External"/><Relationship Id="rId274" Type="http://schemas.openxmlformats.org/officeDocument/2006/relationships/hyperlink" Target="https://desk.channel.io/gowid/user-chats/698d2cd2e226528bd98a" TargetMode="External"/><Relationship Id="rId273" Type="http://schemas.openxmlformats.org/officeDocument/2006/relationships/hyperlink" Target="https://www.gowid.com" TargetMode="External"/><Relationship Id="rId272" Type="http://schemas.openxmlformats.org/officeDocument/2006/relationships/hyperlink" Target="https://desk.channel.io/gowid/user-chats/698d2d78c7ed61694483" TargetMode="External"/><Relationship Id="rId279" Type="http://schemas.openxmlformats.org/officeDocument/2006/relationships/hyperlink" Target="https://www.gowid.com" TargetMode="External"/><Relationship Id="rId278" Type="http://schemas.openxmlformats.org/officeDocument/2006/relationships/hyperlink" Target="https://desk.channel.io/gowid/user-chats/698c9a123c2051dd2e45" TargetMode="External"/><Relationship Id="rId277" Type="http://schemas.openxmlformats.org/officeDocument/2006/relationships/hyperlink" Target="https://www.gowid.com" TargetMode="External"/><Relationship Id="rId276" Type="http://schemas.openxmlformats.org/officeDocument/2006/relationships/hyperlink" Target="https://desk.channel.io/gowid/user-chats/698cb26d7c4de896ede0" TargetMode="External"/><Relationship Id="rId907" Type="http://schemas.openxmlformats.org/officeDocument/2006/relationships/hyperlink" Target="https://desk.channel.io/gowid/user-chats/69771b7989733f3365ef" TargetMode="External"/><Relationship Id="rId906" Type="http://schemas.openxmlformats.org/officeDocument/2006/relationships/hyperlink" Target="https://www.gowid.com" TargetMode="External"/><Relationship Id="rId905" Type="http://schemas.openxmlformats.org/officeDocument/2006/relationships/hyperlink" Target="https://desk.channel.io/gowid/user-chats/69771c237033962db881" TargetMode="External"/><Relationship Id="rId904" Type="http://schemas.openxmlformats.org/officeDocument/2006/relationships/hyperlink" Target="https://www.gowid.com" TargetMode="External"/><Relationship Id="rId909" Type="http://schemas.openxmlformats.org/officeDocument/2006/relationships/hyperlink" Target="https://desk.channel.io/gowid/user-chats/6976f5b2f0c2193e6b16" TargetMode="External"/><Relationship Id="rId908" Type="http://schemas.openxmlformats.org/officeDocument/2006/relationships/hyperlink" Target="https://gowid.channel.io" TargetMode="External"/><Relationship Id="rId903" Type="http://schemas.openxmlformats.org/officeDocument/2006/relationships/hyperlink" Target="https://desk.channel.io/gowid/user-chats/69772138407430ebcff1" TargetMode="External"/><Relationship Id="rId902" Type="http://schemas.openxmlformats.org/officeDocument/2006/relationships/hyperlink" Target="https://www.gowid.com" TargetMode="External"/><Relationship Id="rId901" Type="http://schemas.openxmlformats.org/officeDocument/2006/relationships/hyperlink" Target="https://desk.channel.io/gowid/user-chats/697723557f8e8b6fc4e5" TargetMode="External"/><Relationship Id="rId900" Type="http://schemas.openxmlformats.org/officeDocument/2006/relationships/hyperlink" Target="https://www.gowid.com" TargetMode="External"/><Relationship Id="rId929" Type="http://schemas.openxmlformats.org/officeDocument/2006/relationships/hyperlink" Target="https://desk.channel.io/gowid/user-chats/6976d18fd1ad3fad2ac6" TargetMode="External"/><Relationship Id="rId928" Type="http://schemas.openxmlformats.org/officeDocument/2006/relationships/hyperlink" Target="https://www.gowid.com" TargetMode="External"/><Relationship Id="rId927" Type="http://schemas.openxmlformats.org/officeDocument/2006/relationships/hyperlink" Target="https://desk.channel.io/gowid/user-chats/6976d61d254e45e36801" TargetMode="External"/><Relationship Id="rId926" Type="http://schemas.openxmlformats.org/officeDocument/2006/relationships/hyperlink" Target="https://www.gowid.com" TargetMode="External"/><Relationship Id="rId921" Type="http://schemas.openxmlformats.org/officeDocument/2006/relationships/hyperlink" Target="https://desk.channel.io/gowid/user-chats/6976dfd682fad6291852" TargetMode="External"/><Relationship Id="rId920" Type="http://schemas.openxmlformats.org/officeDocument/2006/relationships/hyperlink" Target="https://www.gowid.com" TargetMode="External"/><Relationship Id="rId925" Type="http://schemas.openxmlformats.org/officeDocument/2006/relationships/hyperlink" Target="https://desk.channel.io/gowid/user-chats/6976de550cc59754f118" TargetMode="External"/><Relationship Id="rId924" Type="http://schemas.openxmlformats.org/officeDocument/2006/relationships/hyperlink" Target="https://www.gowid.com" TargetMode="External"/><Relationship Id="rId923" Type="http://schemas.openxmlformats.org/officeDocument/2006/relationships/hyperlink" Target="https://desk.channel.io/gowid/user-chats/6976df5a0f37416de16a" TargetMode="External"/><Relationship Id="rId922" Type="http://schemas.openxmlformats.org/officeDocument/2006/relationships/hyperlink" Target="https://www.gowid.com" TargetMode="External"/><Relationship Id="rId918" Type="http://schemas.openxmlformats.org/officeDocument/2006/relationships/hyperlink" Target="https://www.gowid.com" TargetMode="External"/><Relationship Id="rId917" Type="http://schemas.openxmlformats.org/officeDocument/2006/relationships/hyperlink" Target="https://desk.channel.io/gowid/user-chats/6976e56a2dc3b1d463ba" TargetMode="External"/><Relationship Id="rId916" Type="http://schemas.openxmlformats.org/officeDocument/2006/relationships/hyperlink" Target="https://www.gowid.com" TargetMode="External"/><Relationship Id="rId915" Type="http://schemas.openxmlformats.org/officeDocument/2006/relationships/hyperlink" Target="https://desk.channel.io/gowid/user-chats/6976cc6bc562a95cafde" TargetMode="External"/><Relationship Id="rId919" Type="http://schemas.openxmlformats.org/officeDocument/2006/relationships/hyperlink" Target="https://desk.channel.io/gowid/user-chats/6976e00899068c09f125" TargetMode="External"/><Relationship Id="rId910" Type="http://schemas.openxmlformats.org/officeDocument/2006/relationships/hyperlink" Target="https://www.gowid.com" TargetMode="External"/><Relationship Id="rId914" Type="http://schemas.openxmlformats.org/officeDocument/2006/relationships/hyperlink" Target="https://www.gowid.com" TargetMode="External"/><Relationship Id="rId913" Type="http://schemas.openxmlformats.org/officeDocument/2006/relationships/hyperlink" Target="https://desk.channel.io/gowid/user-chats/6976f1d6915115dcda9b" TargetMode="External"/><Relationship Id="rId912" Type="http://schemas.openxmlformats.org/officeDocument/2006/relationships/hyperlink" Target="https://www.gowid.com" TargetMode="External"/><Relationship Id="rId911" Type="http://schemas.openxmlformats.org/officeDocument/2006/relationships/hyperlink" Target="https://desk.channel.io/gowid/user-chats/6976f2782ff10ed7f373" TargetMode="External"/><Relationship Id="rId629" Type="http://schemas.openxmlformats.org/officeDocument/2006/relationships/hyperlink" Target="https://www.gowid.com" TargetMode="External"/><Relationship Id="rId624" Type="http://schemas.openxmlformats.org/officeDocument/2006/relationships/hyperlink" Target="https://desk.channel.io/gowid/user-chats/698520d2efada2f508cc" TargetMode="External"/><Relationship Id="rId866" Type="http://schemas.openxmlformats.org/officeDocument/2006/relationships/hyperlink" Target="https://desk.channel.io/gowid/user-chats/69780dd904fbd55d7b30" TargetMode="External"/><Relationship Id="rId623" Type="http://schemas.openxmlformats.org/officeDocument/2006/relationships/hyperlink" Target="https://www.gowid.com" TargetMode="External"/><Relationship Id="rId865" Type="http://schemas.openxmlformats.org/officeDocument/2006/relationships/hyperlink" Target="https://www.gowid.com" TargetMode="External"/><Relationship Id="rId622" Type="http://schemas.openxmlformats.org/officeDocument/2006/relationships/hyperlink" Target="https://desk.channel.io/gowid/user-chats/698522892c1681206c53" TargetMode="External"/><Relationship Id="rId864" Type="http://schemas.openxmlformats.org/officeDocument/2006/relationships/hyperlink" Target="https://desk.channel.io/gowid/user-chats/69786d0595609f74c2e0" TargetMode="External"/><Relationship Id="rId621" Type="http://schemas.openxmlformats.org/officeDocument/2006/relationships/hyperlink" Target="https://www.gowid.com" TargetMode="External"/><Relationship Id="rId863" Type="http://schemas.openxmlformats.org/officeDocument/2006/relationships/hyperlink" Target="https://www.gowid.com" TargetMode="External"/><Relationship Id="rId628" Type="http://schemas.openxmlformats.org/officeDocument/2006/relationships/hyperlink" Target="https://desk.channel.io/gowid/user-chats/69845ea47031139f2143" TargetMode="External"/><Relationship Id="rId627" Type="http://schemas.openxmlformats.org/officeDocument/2006/relationships/hyperlink" Target="https://www.gowid.com" TargetMode="External"/><Relationship Id="rId869" Type="http://schemas.openxmlformats.org/officeDocument/2006/relationships/hyperlink" Target="https://desk.channel.io/gowid/user-chats/697861f5ec04d4d43fee" TargetMode="External"/><Relationship Id="rId626" Type="http://schemas.openxmlformats.org/officeDocument/2006/relationships/hyperlink" Target="https://desk.channel.io/gowid/user-chats/69851a6d061b543f7806" TargetMode="External"/><Relationship Id="rId868" Type="http://schemas.openxmlformats.org/officeDocument/2006/relationships/hyperlink" Target="https://desk.channel.io/gowid/user-chats/6978664eb3c5625f4fdb" TargetMode="External"/><Relationship Id="rId625" Type="http://schemas.openxmlformats.org/officeDocument/2006/relationships/hyperlink" Target="https://www.gowid.com" TargetMode="External"/><Relationship Id="rId867" Type="http://schemas.openxmlformats.org/officeDocument/2006/relationships/hyperlink" Target="https://www.gowid.com" TargetMode="External"/><Relationship Id="rId620" Type="http://schemas.openxmlformats.org/officeDocument/2006/relationships/hyperlink" Target="https://desk.channel.io/gowid/user-chats/698526fc2d5ef56e8b81" TargetMode="External"/><Relationship Id="rId862" Type="http://schemas.openxmlformats.org/officeDocument/2006/relationships/hyperlink" Target="https://desk.channel.io/gowid/user-chats/697874262043a5663cd0" TargetMode="External"/><Relationship Id="rId861" Type="http://schemas.openxmlformats.org/officeDocument/2006/relationships/hyperlink" Target="https://www.gowid.com" TargetMode="External"/><Relationship Id="rId860" Type="http://schemas.openxmlformats.org/officeDocument/2006/relationships/hyperlink" Target="https://desk.channel.io/gowid/user-chats/69795d5cf2e7adaa9592" TargetMode="External"/><Relationship Id="rId619" Type="http://schemas.openxmlformats.org/officeDocument/2006/relationships/hyperlink" Target="https://www.gowid.com" TargetMode="External"/><Relationship Id="rId618" Type="http://schemas.openxmlformats.org/officeDocument/2006/relationships/hyperlink" Target="https://desk.channel.io/gowid/user-chats/69852fb7015340b4c1cf" TargetMode="External"/><Relationship Id="rId613" Type="http://schemas.openxmlformats.org/officeDocument/2006/relationships/hyperlink" Target="https://www.gowid.com" TargetMode="External"/><Relationship Id="rId855" Type="http://schemas.openxmlformats.org/officeDocument/2006/relationships/hyperlink" Target="https://www.gowid.com" TargetMode="External"/><Relationship Id="rId612" Type="http://schemas.openxmlformats.org/officeDocument/2006/relationships/hyperlink" Target="https://desk.channel.io/gowid/user-chats/6985411ec55ea75ef37e" TargetMode="External"/><Relationship Id="rId854" Type="http://schemas.openxmlformats.org/officeDocument/2006/relationships/hyperlink" Target="https://desk.channel.io/gowid/user-chats/69796e2029dc7c8b2ae0" TargetMode="External"/><Relationship Id="rId611" Type="http://schemas.openxmlformats.org/officeDocument/2006/relationships/hyperlink" Target="https://www.gowid.com" TargetMode="External"/><Relationship Id="rId853" Type="http://schemas.openxmlformats.org/officeDocument/2006/relationships/hyperlink" Target="https://www.gowid.com" TargetMode="External"/><Relationship Id="rId610" Type="http://schemas.openxmlformats.org/officeDocument/2006/relationships/hyperlink" Target="https://desk.channel.io/gowid/user-chats/698541259e70f13d2f02" TargetMode="External"/><Relationship Id="rId852" Type="http://schemas.openxmlformats.org/officeDocument/2006/relationships/hyperlink" Target="https://desk.channel.io/gowid/user-chats/69796fdd43f469906e62" TargetMode="External"/><Relationship Id="rId617" Type="http://schemas.openxmlformats.org/officeDocument/2006/relationships/hyperlink" Target="https://www.gowid.com" TargetMode="External"/><Relationship Id="rId859" Type="http://schemas.openxmlformats.org/officeDocument/2006/relationships/hyperlink" Target="https://www.gowid.com" TargetMode="External"/><Relationship Id="rId616" Type="http://schemas.openxmlformats.org/officeDocument/2006/relationships/hyperlink" Target="https://desk.channel.io/gowid/user-chats/6985314b44fcceee8e72" TargetMode="External"/><Relationship Id="rId858" Type="http://schemas.openxmlformats.org/officeDocument/2006/relationships/hyperlink" Target="https://desk.channel.io/gowid/user-chats/69796566bfd45bc55f33" TargetMode="External"/><Relationship Id="rId615" Type="http://schemas.openxmlformats.org/officeDocument/2006/relationships/hyperlink" Target="https://www.gowid.com" TargetMode="External"/><Relationship Id="rId857" Type="http://schemas.openxmlformats.org/officeDocument/2006/relationships/hyperlink" Target="https://desk.channel.io/gowid/user-chats/697965fb4b063937871b" TargetMode="External"/><Relationship Id="rId614" Type="http://schemas.openxmlformats.org/officeDocument/2006/relationships/hyperlink" Target="https://desk.channel.io/gowid/user-chats/6985345e6fccd0cb44e7" TargetMode="External"/><Relationship Id="rId856" Type="http://schemas.openxmlformats.org/officeDocument/2006/relationships/hyperlink" Target="https://desk.channel.io/gowid/user-chats/6979669bc56f0f5247ff" TargetMode="External"/><Relationship Id="rId851" Type="http://schemas.openxmlformats.org/officeDocument/2006/relationships/hyperlink" Target="https://www.gowid.com" TargetMode="External"/><Relationship Id="rId850" Type="http://schemas.openxmlformats.org/officeDocument/2006/relationships/hyperlink" Target="https://desk.channel.io/gowid/user-chats/697978ac8097e6d340a3" TargetMode="External"/><Relationship Id="rId409" Type="http://schemas.openxmlformats.org/officeDocument/2006/relationships/hyperlink" Target="https://www.gowid.com" TargetMode="External"/><Relationship Id="rId404" Type="http://schemas.openxmlformats.org/officeDocument/2006/relationships/hyperlink" Target="https://desk.channel.io/gowid/user-chats/698ac48e4894f2695b02" TargetMode="External"/><Relationship Id="rId646" Type="http://schemas.openxmlformats.org/officeDocument/2006/relationships/hyperlink" Target="https://desk.channel.io/gowid/user-chats/698429afc6f537aad131" TargetMode="External"/><Relationship Id="rId888" Type="http://schemas.openxmlformats.org/officeDocument/2006/relationships/hyperlink" Target="https://www.gowid.com" TargetMode="External"/><Relationship Id="rId403" Type="http://schemas.openxmlformats.org/officeDocument/2006/relationships/hyperlink" Target="https://www.gowid.com" TargetMode="External"/><Relationship Id="rId645" Type="http://schemas.openxmlformats.org/officeDocument/2006/relationships/hyperlink" Target="https://www.gowid.com" TargetMode="External"/><Relationship Id="rId887" Type="http://schemas.openxmlformats.org/officeDocument/2006/relationships/hyperlink" Target="https://desk.channel.io/gowid/user-chats/697813681b4c743ac27f" TargetMode="External"/><Relationship Id="rId402" Type="http://schemas.openxmlformats.org/officeDocument/2006/relationships/hyperlink" Target="https://desk.channel.io/gowid/user-chats/698ac1e5d55fd19df206" TargetMode="External"/><Relationship Id="rId644" Type="http://schemas.openxmlformats.org/officeDocument/2006/relationships/hyperlink" Target="https://desk.channel.io/gowid/user-chats/69842d28dbf595ab449f" TargetMode="External"/><Relationship Id="rId886" Type="http://schemas.openxmlformats.org/officeDocument/2006/relationships/hyperlink" Target="https://www.gowid.com" TargetMode="External"/><Relationship Id="rId401" Type="http://schemas.openxmlformats.org/officeDocument/2006/relationships/hyperlink" Target="https://www.gowid.com" TargetMode="External"/><Relationship Id="rId643" Type="http://schemas.openxmlformats.org/officeDocument/2006/relationships/hyperlink" Target="https://www.gowid.com" TargetMode="External"/><Relationship Id="rId885" Type="http://schemas.openxmlformats.org/officeDocument/2006/relationships/hyperlink" Target="https://desk.channel.io/gowid/user-chats/69781c8926b18b5f1be8" TargetMode="External"/><Relationship Id="rId408" Type="http://schemas.openxmlformats.org/officeDocument/2006/relationships/hyperlink" Target="https://desk.channel.io/gowid/user-chats/698ac2380939fae85082" TargetMode="External"/><Relationship Id="rId407" Type="http://schemas.openxmlformats.org/officeDocument/2006/relationships/hyperlink" Target="https://www.gowid.com" TargetMode="External"/><Relationship Id="rId649" Type="http://schemas.openxmlformats.org/officeDocument/2006/relationships/hyperlink" Target="https://www.gowid.com" TargetMode="External"/><Relationship Id="rId406" Type="http://schemas.openxmlformats.org/officeDocument/2006/relationships/hyperlink" Target="https://desk.channel.io/gowid/user-chats/698ac26b0a06a089006a" TargetMode="External"/><Relationship Id="rId648" Type="http://schemas.openxmlformats.org/officeDocument/2006/relationships/hyperlink" Target="https://desk.channel.io/gowid/user-chats/698421f05c52ed7f8789" TargetMode="External"/><Relationship Id="rId405" Type="http://schemas.openxmlformats.org/officeDocument/2006/relationships/hyperlink" Target="https://www.gowid.com" TargetMode="External"/><Relationship Id="rId647" Type="http://schemas.openxmlformats.org/officeDocument/2006/relationships/hyperlink" Target="https://www.gowid.com" TargetMode="External"/><Relationship Id="rId889" Type="http://schemas.openxmlformats.org/officeDocument/2006/relationships/hyperlink" Target="https://desk.channel.io/gowid/user-chats/69780a540eafbffc4810" TargetMode="External"/><Relationship Id="rId880" Type="http://schemas.openxmlformats.org/officeDocument/2006/relationships/hyperlink" Target="https://www.gowid.com" TargetMode="External"/><Relationship Id="rId400" Type="http://schemas.openxmlformats.org/officeDocument/2006/relationships/hyperlink" Target="https://desk.channel.io/gowid/user-chats/698ad1b915681df6ba6b" TargetMode="External"/><Relationship Id="rId642" Type="http://schemas.openxmlformats.org/officeDocument/2006/relationships/hyperlink" Target="https://desk.channel.io/gowid/user-chats/698431221c9768573445" TargetMode="External"/><Relationship Id="rId884" Type="http://schemas.openxmlformats.org/officeDocument/2006/relationships/hyperlink" Target="https://www.gowid.com" TargetMode="External"/><Relationship Id="rId641" Type="http://schemas.openxmlformats.org/officeDocument/2006/relationships/hyperlink" Target="https://desk.channel.io/gowid/user-chats/6980291d667fe8e0c52d" TargetMode="External"/><Relationship Id="rId883" Type="http://schemas.openxmlformats.org/officeDocument/2006/relationships/hyperlink" Target="https://desk.channel.io/gowid/user-chats/69782cec31cf20317801" TargetMode="External"/><Relationship Id="rId640" Type="http://schemas.openxmlformats.org/officeDocument/2006/relationships/hyperlink" Target="https://www.gowid.com" TargetMode="External"/><Relationship Id="rId882" Type="http://schemas.openxmlformats.org/officeDocument/2006/relationships/hyperlink" Target="https://www.gowid.com" TargetMode="External"/><Relationship Id="rId881" Type="http://schemas.openxmlformats.org/officeDocument/2006/relationships/hyperlink" Target="https://desk.channel.io/gowid/user-chats/69782cf263d403b5a328" TargetMode="External"/><Relationship Id="rId635" Type="http://schemas.openxmlformats.org/officeDocument/2006/relationships/hyperlink" Target="https://www.gowid.com" TargetMode="External"/><Relationship Id="rId877" Type="http://schemas.openxmlformats.org/officeDocument/2006/relationships/hyperlink" Target="https://desk.channel.io/gowid/user-chats/697837329527ec30f42a" TargetMode="External"/><Relationship Id="rId634" Type="http://schemas.openxmlformats.org/officeDocument/2006/relationships/hyperlink" Target="https://desk.channel.io/gowid/user-chats/698445cf7e6a85e8d1ee" TargetMode="External"/><Relationship Id="rId876" Type="http://schemas.openxmlformats.org/officeDocument/2006/relationships/hyperlink" Target="https://desk.channel.io/gowid/user-chats/697839f0f1d15ef36549" TargetMode="External"/><Relationship Id="rId633" Type="http://schemas.openxmlformats.org/officeDocument/2006/relationships/hyperlink" Target="https://www.gowid.com" TargetMode="External"/><Relationship Id="rId875" Type="http://schemas.openxmlformats.org/officeDocument/2006/relationships/hyperlink" Target="https://www.gowid.com" TargetMode="External"/><Relationship Id="rId632" Type="http://schemas.openxmlformats.org/officeDocument/2006/relationships/hyperlink" Target="https://desk.channel.io/gowid/user-chats/698450bd5cebee71a5c4" TargetMode="External"/><Relationship Id="rId874" Type="http://schemas.openxmlformats.org/officeDocument/2006/relationships/hyperlink" Target="https://desk.channel.io/gowid/user-chats/697844b96119f991bcb3" TargetMode="External"/><Relationship Id="rId639" Type="http://schemas.openxmlformats.org/officeDocument/2006/relationships/hyperlink" Target="https://desk.channel.io/gowid/user-chats/698433a199bcb25bfaa5" TargetMode="External"/><Relationship Id="rId638" Type="http://schemas.openxmlformats.org/officeDocument/2006/relationships/hyperlink" Target="https://desk.channel.io/gowid/user-chats/69843c3273cb1866cdba" TargetMode="External"/><Relationship Id="rId637" Type="http://schemas.openxmlformats.org/officeDocument/2006/relationships/hyperlink" Target="https://www.gowid.com" TargetMode="External"/><Relationship Id="rId879" Type="http://schemas.openxmlformats.org/officeDocument/2006/relationships/hyperlink" Target="https://desk.channel.io/gowid/user-chats/69782ee1a02499dd8958" TargetMode="External"/><Relationship Id="rId636" Type="http://schemas.openxmlformats.org/officeDocument/2006/relationships/hyperlink" Target="https://desk.channel.io/gowid/user-chats/698441bd0ba376912b2e" TargetMode="External"/><Relationship Id="rId878" Type="http://schemas.openxmlformats.org/officeDocument/2006/relationships/hyperlink" Target="https://www.gowid.com" TargetMode="External"/><Relationship Id="rId631" Type="http://schemas.openxmlformats.org/officeDocument/2006/relationships/hyperlink" Target="https://www.gowid.com" TargetMode="External"/><Relationship Id="rId873" Type="http://schemas.openxmlformats.org/officeDocument/2006/relationships/hyperlink" Target="https://www.gowid.com" TargetMode="External"/><Relationship Id="rId630" Type="http://schemas.openxmlformats.org/officeDocument/2006/relationships/hyperlink" Target="https://desk.channel.io/gowid/user-chats/69845b10713f079622df" TargetMode="External"/><Relationship Id="rId872" Type="http://schemas.openxmlformats.org/officeDocument/2006/relationships/hyperlink" Target="https://desk.channel.io/gowid/user-chats/6978572643a3418cbcc7" TargetMode="External"/><Relationship Id="rId871" Type="http://schemas.openxmlformats.org/officeDocument/2006/relationships/hyperlink" Target="https://www.gowid.com" TargetMode="External"/><Relationship Id="rId870" Type="http://schemas.openxmlformats.org/officeDocument/2006/relationships/hyperlink" Target="https://desk.channel.io/gowid/user-chats/6977163ca0c7d3dd0c98" TargetMode="External"/><Relationship Id="rId829" Type="http://schemas.openxmlformats.org/officeDocument/2006/relationships/hyperlink" Target="https://desk.channel.io/gowid/user-chats/6979affd0b1edb434c0a" TargetMode="External"/><Relationship Id="rId828" Type="http://schemas.openxmlformats.org/officeDocument/2006/relationships/hyperlink" Target="https://www.gowid.com" TargetMode="External"/><Relationship Id="rId827" Type="http://schemas.openxmlformats.org/officeDocument/2006/relationships/hyperlink" Target="https://desk.channel.io/gowid/user-chats/6979b9d1b93fdc26530c" TargetMode="External"/><Relationship Id="rId822" Type="http://schemas.openxmlformats.org/officeDocument/2006/relationships/hyperlink" Target="https://www.gowid.com" TargetMode="External"/><Relationship Id="rId821" Type="http://schemas.openxmlformats.org/officeDocument/2006/relationships/hyperlink" Target="https://desk.channel.io/gowid/user-chats/6979d56f2c57c0027a33" TargetMode="External"/><Relationship Id="rId820" Type="http://schemas.openxmlformats.org/officeDocument/2006/relationships/hyperlink" Target="https://www.gowid.com" TargetMode="External"/><Relationship Id="rId826" Type="http://schemas.openxmlformats.org/officeDocument/2006/relationships/hyperlink" Target="https://www.gowid.com" TargetMode="External"/><Relationship Id="rId825" Type="http://schemas.openxmlformats.org/officeDocument/2006/relationships/hyperlink" Target="https://desk.channel.io/gowid/user-chats/6979bc9c0f845358cb59" TargetMode="External"/><Relationship Id="rId824" Type="http://schemas.openxmlformats.org/officeDocument/2006/relationships/hyperlink" Target="https://www.gowid.com" TargetMode="External"/><Relationship Id="rId823" Type="http://schemas.openxmlformats.org/officeDocument/2006/relationships/hyperlink" Target="https://desk.channel.io/gowid/user-chats/6979c4bc907a52353a68" TargetMode="External"/><Relationship Id="rId819" Type="http://schemas.openxmlformats.org/officeDocument/2006/relationships/hyperlink" Target="https://desk.channel.io/gowid/user-chats/6979f4809d9fc95edca0" TargetMode="External"/><Relationship Id="rId818" Type="http://schemas.openxmlformats.org/officeDocument/2006/relationships/hyperlink" Target="https://www.gowid.com" TargetMode="External"/><Relationship Id="rId817" Type="http://schemas.openxmlformats.org/officeDocument/2006/relationships/hyperlink" Target="https://desk.channel.io/gowid/user-chats/69707792ccb5efbface7" TargetMode="External"/><Relationship Id="rId816" Type="http://schemas.openxmlformats.org/officeDocument/2006/relationships/hyperlink" Target="https://www.gowid.com" TargetMode="External"/><Relationship Id="rId811" Type="http://schemas.openxmlformats.org/officeDocument/2006/relationships/hyperlink" Target="https://desk.channel.io/gowid/user-chats/697ab691189ac7726828" TargetMode="External"/><Relationship Id="rId810" Type="http://schemas.openxmlformats.org/officeDocument/2006/relationships/hyperlink" Target="https://desk.channel.io/gowid/user-chats/697abdf2218ae60c817d" TargetMode="External"/><Relationship Id="rId815" Type="http://schemas.openxmlformats.org/officeDocument/2006/relationships/hyperlink" Target="https://desk.channel.io/gowid/user-chats/697ab1fd04f71ebce249" TargetMode="External"/><Relationship Id="rId814" Type="http://schemas.openxmlformats.org/officeDocument/2006/relationships/hyperlink" Target="https://www.gowid.com" TargetMode="External"/><Relationship Id="rId813" Type="http://schemas.openxmlformats.org/officeDocument/2006/relationships/hyperlink" Target="https://desk.channel.io/gowid/user-chats/697ab391d78e947150c3" TargetMode="External"/><Relationship Id="rId812" Type="http://schemas.openxmlformats.org/officeDocument/2006/relationships/hyperlink" Target="https://www.gowid.com" TargetMode="External"/><Relationship Id="rId609" Type="http://schemas.openxmlformats.org/officeDocument/2006/relationships/hyperlink" Target="https://www.gowid.com" TargetMode="External"/><Relationship Id="rId608" Type="http://schemas.openxmlformats.org/officeDocument/2006/relationships/hyperlink" Target="https://desk.channel.io/gowid/user-chats/6985420ef3658791491b" TargetMode="External"/><Relationship Id="rId607" Type="http://schemas.openxmlformats.org/officeDocument/2006/relationships/hyperlink" Target="https://www.gowid.com" TargetMode="External"/><Relationship Id="rId849" Type="http://schemas.openxmlformats.org/officeDocument/2006/relationships/hyperlink" Target="https://www.gowid.com" TargetMode="External"/><Relationship Id="rId602" Type="http://schemas.openxmlformats.org/officeDocument/2006/relationships/hyperlink" Target="https://desk.channel.io/gowid/user-chats/6985484b85c4e3216b9f" TargetMode="External"/><Relationship Id="rId844" Type="http://schemas.openxmlformats.org/officeDocument/2006/relationships/hyperlink" Target="https://desk.channel.io/gowid/user-chats/697995a82b2f4b23de1d" TargetMode="External"/><Relationship Id="rId601" Type="http://schemas.openxmlformats.org/officeDocument/2006/relationships/hyperlink" Target="https://www.gowid.com" TargetMode="External"/><Relationship Id="rId843" Type="http://schemas.openxmlformats.org/officeDocument/2006/relationships/hyperlink" Target="https://www.gowid.com" TargetMode="External"/><Relationship Id="rId600" Type="http://schemas.openxmlformats.org/officeDocument/2006/relationships/hyperlink" Target="https://desk.channel.io/gowid/user-chats/69854a42a14d5a214ea5" TargetMode="External"/><Relationship Id="rId842" Type="http://schemas.openxmlformats.org/officeDocument/2006/relationships/hyperlink" Target="https://desk.channel.io/gowid/user-chats/6979989ee02f25cb2c53" TargetMode="External"/><Relationship Id="rId841" Type="http://schemas.openxmlformats.org/officeDocument/2006/relationships/hyperlink" Target="https://www.gowid.com" TargetMode="External"/><Relationship Id="rId606" Type="http://schemas.openxmlformats.org/officeDocument/2006/relationships/hyperlink" Target="https://desk.channel.io/gowid/user-chats/6985428a8065ef1bab3d" TargetMode="External"/><Relationship Id="rId848" Type="http://schemas.openxmlformats.org/officeDocument/2006/relationships/hyperlink" Target="https://desk.channel.io/gowid/user-chats/697979b76b191221633b" TargetMode="External"/><Relationship Id="rId605" Type="http://schemas.openxmlformats.org/officeDocument/2006/relationships/hyperlink" Target="https://www.gowid.com" TargetMode="External"/><Relationship Id="rId847" Type="http://schemas.openxmlformats.org/officeDocument/2006/relationships/hyperlink" Target="https://www.gowid.com" TargetMode="External"/><Relationship Id="rId604" Type="http://schemas.openxmlformats.org/officeDocument/2006/relationships/hyperlink" Target="https://desk.channel.io/gowid/user-chats/698542ca56cd4f03c0dd" TargetMode="External"/><Relationship Id="rId846" Type="http://schemas.openxmlformats.org/officeDocument/2006/relationships/hyperlink" Target="https://desk.channel.io/gowid/user-chats/6979831fa818bd5c3b95" TargetMode="External"/><Relationship Id="rId603" Type="http://schemas.openxmlformats.org/officeDocument/2006/relationships/hyperlink" Target="https://www.gowid.com" TargetMode="External"/><Relationship Id="rId845" Type="http://schemas.openxmlformats.org/officeDocument/2006/relationships/hyperlink" Target="https://desk.channel.io/gowid/user-chats/697986a192c4250d536f" TargetMode="External"/><Relationship Id="rId840" Type="http://schemas.openxmlformats.org/officeDocument/2006/relationships/hyperlink" Target="https://desk.channel.io/gowid/user-chats/69799d07d927293b43f4" TargetMode="External"/><Relationship Id="rId839" Type="http://schemas.openxmlformats.org/officeDocument/2006/relationships/hyperlink" Target="https://www.gowid.com" TargetMode="External"/><Relationship Id="rId838" Type="http://schemas.openxmlformats.org/officeDocument/2006/relationships/hyperlink" Target="https://desk.channel.io/gowid/user-chats/69799f6fc382624537e9" TargetMode="External"/><Relationship Id="rId833" Type="http://schemas.openxmlformats.org/officeDocument/2006/relationships/hyperlink" Target="https://gowid.channel.io" TargetMode="External"/><Relationship Id="rId832" Type="http://schemas.openxmlformats.org/officeDocument/2006/relationships/hyperlink" Target="https://desk.channel.io/gowid/user-chats/6979a42628cd7016b82f" TargetMode="External"/><Relationship Id="rId831" Type="http://schemas.openxmlformats.org/officeDocument/2006/relationships/hyperlink" Target="https://desk.channel.io/gowid/user-chats/6979aa3608a965a6da82" TargetMode="External"/><Relationship Id="rId830" Type="http://schemas.openxmlformats.org/officeDocument/2006/relationships/hyperlink" Target="https://www.gowid.com" TargetMode="External"/><Relationship Id="rId837" Type="http://schemas.openxmlformats.org/officeDocument/2006/relationships/hyperlink" Target="https://www.gowid.com" TargetMode="External"/><Relationship Id="rId836" Type="http://schemas.openxmlformats.org/officeDocument/2006/relationships/hyperlink" Target="https://desk.channel.io/gowid/user-chats/6979a0e134dcb1b6e459" TargetMode="External"/><Relationship Id="rId835" Type="http://schemas.openxmlformats.org/officeDocument/2006/relationships/hyperlink" Target="https://www.gowid.com" TargetMode="External"/><Relationship Id="rId834" Type="http://schemas.openxmlformats.org/officeDocument/2006/relationships/hyperlink" Target="https://desk.channel.io/gowid/user-chats/6979a37475cd2eba2678" TargetMode="External"/><Relationship Id="rId228" Type="http://schemas.openxmlformats.org/officeDocument/2006/relationships/hyperlink" Target="https://www.gowid.com" TargetMode="External"/><Relationship Id="rId227" Type="http://schemas.openxmlformats.org/officeDocument/2006/relationships/hyperlink" Target="https://desk.channel.io/gowid/user-chats/698d8f6a12f30d4c1d21" TargetMode="External"/><Relationship Id="rId469" Type="http://schemas.openxmlformats.org/officeDocument/2006/relationships/hyperlink" Target="https://www.gowid.com" TargetMode="External"/><Relationship Id="rId226" Type="http://schemas.openxmlformats.org/officeDocument/2006/relationships/hyperlink" Target="https://desk.channel.io/gowid/user-chats/698d99d1b730d5d0e4be" TargetMode="External"/><Relationship Id="rId468" Type="http://schemas.openxmlformats.org/officeDocument/2006/relationships/hyperlink" Target="https://desk.channel.io/gowid/user-chats/698993802bc6122bed70" TargetMode="External"/><Relationship Id="rId225" Type="http://schemas.openxmlformats.org/officeDocument/2006/relationships/hyperlink" Target="https://www.gowid.com" TargetMode="External"/><Relationship Id="rId467" Type="http://schemas.openxmlformats.org/officeDocument/2006/relationships/hyperlink" Target="https://www.gowid.com" TargetMode="External"/><Relationship Id="rId229" Type="http://schemas.openxmlformats.org/officeDocument/2006/relationships/hyperlink" Target="https://desk.channel.io/gowid/user-chats/698d8cd18c43e0ec9e50" TargetMode="External"/><Relationship Id="rId220" Type="http://schemas.openxmlformats.org/officeDocument/2006/relationships/hyperlink" Target="https://desk.channel.io/gowid/user-chats/698e6a2772e0bc0e3d76" TargetMode="External"/><Relationship Id="rId462" Type="http://schemas.openxmlformats.org/officeDocument/2006/relationships/hyperlink" Target="https://desk.channel.io/gowid/user-chats/6989acc564dbe8015740" TargetMode="External"/><Relationship Id="rId461" Type="http://schemas.openxmlformats.org/officeDocument/2006/relationships/hyperlink" Target="https://gowid.channel.io" TargetMode="External"/><Relationship Id="rId460" Type="http://schemas.openxmlformats.org/officeDocument/2006/relationships/hyperlink" Target="https://desk.channel.io/gowid/user-chats/6989b1dc4109a700cdcf" TargetMode="External"/><Relationship Id="rId224" Type="http://schemas.openxmlformats.org/officeDocument/2006/relationships/hyperlink" Target="https://desk.channel.io/gowid/user-chats/698da53927fe09b35856" TargetMode="External"/><Relationship Id="rId466" Type="http://schemas.openxmlformats.org/officeDocument/2006/relationships/hyperlink" Target="https://desk.channel.io/gowid/user-chats/6989955b1233c2e81f71" TargetMode="External"/><Relationship Id="rId223" Type="http://schemas.openxmlformats.org/officeDocument/2006/relationships/hyperlink" Target="https://www.gowid.com" TargetMode="External"/><Relationship Id="rId465" Type="http://schemas.openxmlformats.org/officeDocument/2006/relationships/hyperlink" Target="https://www.gowid.com" TargetMode="External"/><Relationship Id="rId222" Type="http://schemas.openxmlformats.org/officeDocument/2006/relationships/hyperlink" Target="https://desk.channel.io/gowid/user-chats/698e5ef9166e4e950f0d" TargetMode="External"/><Relationship Id="rId464" Type="http://schemas.openxmlformats.org/officeDocument/2006/relationships/hyperlink" Target="https://desk.channel.io/gowid/user-chats/69899997abd7e0ef4565" TargetMode="External"/><Relationship Id="rId221" Type="http://schemas.openxmlformats.org/officeDocument/2006/relationships/hyperlink" Target="https://www.gowid.com" TargetMode="External"/><Relationship Id="rId463" Type="http://schemas.openxmlformats.org/officeDocument/2006/relationships/hyperlink" Target="https://www.gowid.com" TargetMode="External"/><Relationship Id="rId217" Type="http://schemas.openxmlformats.org/officeDocument/2006/relationships/hyperlink" Target="https://docs.channel.io/gowid-guide/ko" TargetMode="External"/><Relationship Id="rId459" Type="http://schemas.openxmlformats.org/officeDocument/2006/relationships/hyperlink" Target="https://www.gowid.com" TargetMode="External"/><Relationship Id="rId216" Type="http://schemas.openxmlformats.org/officeDocument/2006/relationships/hyperlink" Target="https://desk.channel.io/gowid/user-chats/698e75cd6fcaea0e8a45" TargetMode="External"/><Relationship Id="rId458" Type="http://schemas.openxmlformats.org/officeDocument/2006/relationships/hyperlink" Target="https://desk.channel.io/gowid/user-chats/6989b21bf351359affb9" TargetMode="External"/><Relationship Id="rId215" Type="http://schemas.openxmlformats.org/officeDocument/2006/relationships/hyperlink" Target="https://www.gowid.com" TargetMode="External"/><Relationship Id="rId457" Type="http://schemas.openxmlformats.org/officeDocument/2006/relationships/hyperlink" Target="https://www.gowid.com" TargetMode="External"/><Relationship Id="rId699" Type="http://schemas.openxmlformats.org/officeDocument/2006/relationships/hyperlink" Target="https://desk.channel.io/gowid/user-chats/6981ba0fc228e7a3ba50" TargetMode="External"/><Relationship Id="rId214" Type="http://schemas.openxmlformats.org/officeDocument/2006/relationships/hyperlink" Target="https://desk.channel.io/gowid/user-chats/698e7ce08bba387b5b14" TargetMode="External"/><Relationship Id="rId456" Type="http://schemas.openxmlformats.org/officeDocument/2006/relationships/hyperlink" Target="https://desk.channel.io/gowid/user-chats/6989b23f4ed4212b9b3b" TargetMode="External"/><Relationship Id="rId698" Type="http://schemas.openxmlformats.org/officeDocument/2006/relationships/hyperlink" Target="https://www.gowid.com" TargetMode="External"/><Relationship Id="rId219" Type="http://schemas.openxmlformats.org/officeDocument/2006/relationships/hyperlink" Target="https://www.gowid.com" TargetMode="External"/><Relationship Id="rId218" Type="http://schemas.openxmlformats.org/officeDocument/2006/relationships/hyperlink" Target="https://desk.channel.io/gowid/user-chats/698e6a51df4789be1fb8" TargetMode="External"/><Relationship Id="rId451" Type="http://schemas.openxmlformats.org/officeDocument/2006/relationships/hyperlink" Target="https://www.gowid.com" TargetMode="External"/><Relationship Id="rId693" Type="http://schemas.openxmlformats.org/officeDocument/2006/relationships/hyperlink" Target="https://desk.channel.io/gowid/user-chats/698295bf79d5f942794d" TargetMode="External"/><Relationship Id="rId450" Type="http://schemas.openxmlformats.org/officeDocument/2006/relationships/hyperlink" Target="https://desk.channel.io/gowid/user-chats/698a84c81b0f16b1260c" TargetMode="External"/><Relationship Id="rId692" Type="http://schemas.openxmlformats.org/officeDocument/2006/relationships/hyperlink" Target="https://www.gowid.com" TargetMode="External"/><Relationship Id="rId691" Type="http://schemas.openxmlformats.org/officeDocument/2006/relationships/hyperlink" Target="https://desk.channel.io/gowid/user-chats/698296fd2516ade73db9" TargetMode="External"/><Relationship Id="rId690" Type="http://schemas.openxmlformats.org/officeDocument/2006/relationships/hyperlink" Target="https://www.gowid.com" TargetMode="External"/><Relationship Id="rId213" Type="http://schemas.openxmlformats.org/officeDocument/2006/relationships/hyperlink" Target="https://www.gowid.com" TargetMode="External"/><Relationship Id="rId455" Type="http://schemas.openxmlformats.org/officeDocument/2006/relationships/hyperlink" Target="https://www.gowid.com" TargetMode="External"/><Relationship Id="rId697" Type="http://schemas.openxmlformats.org/officeDocument/2006/relationships/hyperlink" Target="https://desk.channel.io/gowid/user-chats/6981c414ce87eb62f6e0" TargetMode="External"/><Relationship Id="rId212" Type="http://schemas.openxmlformats.org/officeDocument/2006/relationships/hyperlink" Target="https://desk.channel.io/gowid/user-chats/698e8108bb8305e0104c" TargetMode="External"/><Relationship Id="rId454" Type="http://schemas.openxmlformats.org/officeDocument/2006/relationships/hyperlink" Target="https://desk.channel.io/gowid/user-chats/6989b770f0af1942a2e9" TargetMode="External"/><Relationship Id="rId696" Type="http://schemas.openxmlformats.org/officeDocument/2006/relationships/hyperlink" Target="https://www.gowid.com" TargetMode="External"/><Relationship Id="rId211" Type="http://schemas.openxmlformats.org/officeDocument/2006/relationships/hyperlink" Target="https://www.gowid.com" TargetMode="External"/><Relationship Id="rId453" Type="http://schemas.openxmlformats.org/officeDocument/2006/relationships/hyperlink" Target="https://www.gowid.com" TargetMode="External"/><Relationship Id="rId695" Type="http://schemas.openxmlformats.org/officeDocument/2006/relationships/hyperlink" Target="https://desk.channel.io/gowid/user-chats/6981d7424f31ae1b40fb" TargetMode="External"/><Relationship Id="rId210" Type="http://schemas.openxmlformats.org/officeDocument/2006/relationships/hyperlink" Target="https://desk.channel.io/gowid/user-chats/698e8124219a0d6dc8e5" TargetMode="External"/><Relationship Id="rId452" Type="http://schemas.openxmlformats.org/officeDocument/2006/relationships/hyperlink" Target="https://desk.channel.io/gowid/user-chats/698a834f2047b3132708" TargetMode="External"/><Relationship Id="rId694" Type="http://schemas.openxmlformats.org/officeDocument/2006/relationships/hyperlink" Target="https://www.gowid.com" TargetMode="External"/><Relationship Id="rId491" Type="http://schemas.openxmlformats.org/officeDocument/2006/relationships/hyperlink" Target="https://www.gowid.com" TargetMode="External"/><Relationship Id="rId490" Type="http://schemas.openxmlformats.org/officeDocument/2006/relationships/hyperlink" Target="https://desk.channel.io/gowid/user-chats/69896c082cfd43944645" TargetMode="External"/><Relationship Id="rId249" Type="http://schemas.openxmlformats.org/officeDocument/2006/relationships/hyperlink" Target="https://desk.channel.io/gowid/user-chats/698d6ad1b11b9cddf8d4" TargetMode="External"/><Relationship Id="rId248" Type="http://schemas.openxmlformats.org/officeDocument/2006/relationships/hyperlink" Target="https://www.gowid.com" TargetMode="External"/><Relationship Id="rId247" Type="http://schemas.openxmlformats.org/officeDocument/2006/relationships/hyperlink" Target="https://desk.channel.io/gowid/user-chats/698d6f326d6f18e547ea" TargetMode="External"/><Relationship Id="rId489" Type="http://schemas.openxmlformats.org/officeDocument/2006/relationships/hyperlink" Target="https://gowid.channel.io" TargetMode="External"/><Relationship Id="rId242" Type="http://schemas.openxmlformats.org/officeDocument/2006/relationships/hyperlink" Target="https://www.gowid.com" TargetMode="External"/><Relationship Id="rId484" Type="http://schemas.openxmlformats.org/officeDocument/2006/relationships/hyperlink" Target="https://desk.channel.io/gowid/user-chats/698971f0f357cb9284b9" TargetMode="External"/><Relationship Id="rId241" Type="http://schemas.openxmlformats.org/officeDocument/2006/relationships/hyperlink" Target="https://desk.channel.io/gowid/user-chats/698d81f71b7c12401dcf" TargetMode="External"/><Relationship Id="rId483" Type="http://schemas.openxmlformats.org/officeDocument/2006/relationships/hyperlink" Target="https://www.gowid.com" TargetMode="External"/><Relationship Id="rId240" Type="http://schemas.openxmlformats.org/officeDocument/2006/relationships/hyperlink" Target="https://www.gowid.com" TargetMode="External"/><Relationship Id="rId482" Type="http://schemas.openxmlformats.org/officeDocument/2006/relationships/hyperlink" Target="https://desk.channel.io/gowid/user-chats/6989761e4c1dc370ba54" TargetMode="External"/><Relationship Id="rId481" Type="http://schemas.openxmlformats.org/officeDocument/2006/relationships/hyperlink" Target="https://www.gowid.com" TargetMode="External"/><Relationship Id="rId246" Type="http://schemas.openxmlformats.org/officeDocument/2006/relationships/hyperlink" Target="https://www.gowid.com" TargetMode="External"/><Relationship Id="rId488" Type="http://schemas.openxmlformats.org/officeDocument/2006/relationships/hyperlink" Target="https://desk.channel.io/gowid/user-chats/69896d9e1d23ade47167" TargetMode="External"/><Relationship Id="rId245" Type="http://schemas.openxmlformats.org/officeDocument/2006/relationships/hyperlink" Target="https://desk.channel.io/gowid/user-chats/698d6f8111196cdf6c6d" TargetMode="External"/><Relationship Id="rId487" Type="http://schemas.openxmlformats.org/officeDocument/2006/relationships/hyperlink" Target="https://www.gowid.com" TargetMode="External"/><Relationship Id="rId244" Type="http://schemas.openxmlformats.org/officeDocument/2006/relationships/hyperlink" Target="https://www.gowid.com" TargetMode="External"/><Relationship Id="rId486" Type="http://schemas.openxmlformats.org/officeDocument/2006/relationships/hyperlink" Target="https://desk.channel.io/gowid/user-chats/6989716d445f3bd2798c" TargetMode="External"/><Relationship Id="rId243" Type="http://schemas.openxmlformats.org/officeDocument/2006/relationships/hyperlink" Target="https://desk.channel.io/gowid/user-chats/698d78e1c0751c26c2fc" TargetMode="External"/><Relationship Id="rId485" Type="http://schemas.openxmlformats.org/officeDocument/2006/relationships/hyperlink" Target="https://www.gowid.com" TargetMode="External"/><Relationship Id="rId480" Type="http://schemas.openxmlformats.org/officeDocument/2006/relationships/hyperlink" Target="https://desk.channel.io/gowid/user-chats/69842346e26ef6c70da0" TargetMode="External"/><Relationship Id="rId239" Type="http://schemas.openxmlformats.org/officeDocument/2006/relationships/hyperlink" Target="https://desk.channel.io/gowid/user-chats/698d84132769dc49b862" TargetMode="External"/><Relationship Id="rId238" Type="http://schemas.openxmlformats.org/officeDocument/2006/relationships/hyperlink" Target="https://www.gowid.com" TargetMode="External"/><Relationship Id="rId237" Type="http://schemas.openxmlformats.org/officeDocument/2006/relationships/hyperlink" Target="https://desk.channel.io/gowid/user-chats/698d86b94f7738c54e88" TargetMode="External"/><Relationship Id="rId479" Type="http://schemas.openxmlformats.org/officeDocument/2006/relationships/hyperlink" Target="https://www.gowid.com" TargetMode="External"/><Relationship Id="rId236" Type="http://schemas.openxmlformats.org/officeDocument/2006/relationships/hyperlink" Target="https://www.gowid.com" TargetMode="External"/><Relationship Id="rId478" Type="http://schemas.openxmlformats.org/officeDocument/2006/relationships/hyperlink" Target="https://desk.channel.io/gowid/user-chats/69844ef7503a60c32bea" TargetMode="External"/><Relationship Id="rId231" Type="http://schemas.openxmlformats.org/officeDocument/2006/relationships/hyperlink" Target="https://desk.channel.io/gowid/user-chats/698d8aa8aae60544b3c6" TargetMode="External"/><Relationship Id="rId473" Type="http://schemas.openxmlformats.org/officeDocument/2006/relationships/hyperlink" Target="https://www.gowid.com" TargetMode="External"/><Relationship Id="rId230" Type="http://schemas.openxmlformats.org/officeDocument/2006/relationships/hyperlink" Target="https://www.gowid.com" TargetMode="External"/><Relationship Id="rId472" Type="http://schemas.openxmlformats.org/officeDocument/2006/relationships/hyperlink" Target="https://desk.channel.io/gowid/user-chats/698986514b1e68694239" TargetMode="External"/><Relationship Id="rId471" Type="http://schemas.openxmlformats.org/officeDocument/2006/relationships/hyperlink" Target="https://www.gowid.com" TargetMode="External"/><Relationship Id="rId470" Type="http://schemas.openxmlformats.org/officeDocument/2006/relationships/hyperlink" Target="https://desk.channel.io/gowid/user-chats/698986bae29abbd7d206" TargetMode="External"/><Relationship Id="rId235" Type="http://schemas.openxmlformats.org/officeDocument/2006/relationships/hyperlink" Target="https://desk.channel.io/gowid/user-chats/698d875a559ad256cbb6" TargetMode="External"/><Relationship Id="rId477" Type="http://schemas.openxmlformats.org/officeDocument/2006/relationships/hyperlink" Target="https://www.gowid.com" TargetMode="External"/><Relationship Id="rId234" Type="http://schemas.openxmlformats.org/officeDocument/2006/relationships/hyperlink" Target="https://www.gowid.com" TargetMode="External"/><Relationship Id="rId476" Type="http://schemas.openxmlformats.org/officeDocument/2006/relationships/hyperlink" Target="https://desk.channel.io/gowid/user-chats/6989800d290e82d1b7ee" TargetMode="External"/><Relationship Id="rId233" Type="http://schemas.openxmlformats.org/officeDocument/2006/relationships/hyperlink" Target="https://desk.channel.io/gowid/user-chats/698d8a894c3e8194b163" TargetMode="External"/><Relationship Id="rId475" Type="http://schemas.openxmlformats.org/officeDocument/2006/relationships/hyperlink" Target="https://www.gowid.com" TargetMode="External"/><Relationship Id="rId232" Type="http://schemas.openxmlformats.org/officeDocument/2006/relationships/hyperlink" Target="https://www.gowid.com" TargetMode="External"/><Relationship Id="rId474" Type="http://schemas.openxmlformats.org/officeDocument/2006/relationships/hyperlink" Target="https://desk.channel.io/gowid/user-chats/698985f1a2048ace8a40" TargetMode="External"/><Relationship Id="rId426" Type="http://schemas.openxmlformats.org/officeDocument/2006/relationships/hyperlink" Target="https://desk.channel.io/gowid/user-chats/698ab1ba398ec6c34648" TargetMode="External"/><Relationship Id="rId668" Type="http://schemas.openxmlformats.org/officeDocument/2006/relationships/hyperlink" Target="https://desk.channel.io/gowid/user-chats/6983d6d46fad4e77a224" TargetMode="External"/><Relationship Id="rId425" Type="http://schemas.openxmlformats.org/officeDocument/2006/relationships/hyperlink" Target="https://www.gowid.com" TargetMode="External"/><Relationship Id="rId667" Type="http://schemas.openxmlformats.org/officeDocument/2006/relationships/hyperlink" Target="https://www.gowid.com" TargetMode="External"/><Relationship Id="rId424" Type="http://schemas.openxmlformats.org/officeDocument/2006/relationships/hyperlink" Target="https://desk.channel.io/gowid/user-chats/698ab6abeda278e706de" TargetMode="External"/><Relationship Id="rId666" Type="http://schemas.openxmlformats.org/officeDocument/2006/relationships/hyperlink" Target="https://desk.channel.io/gowid/user-chats/6983df75bf9c2ebda536" TargetMode="External"/><Relationship Id="rId423" Type="http://schemas.openxmlformats.org/officeDocument/2006/relationships/hyperlink" Target="https://www.gowid.com" TargetMode="External"/><Relationship Id="rId665" Type="http://schemas.openxmlformats.org/officeDocument/2006/relationships/hyperlink" Target="https://www.gowid.com" TargetMode="External"/><Relationship Id="rId429" Type="http://schemas.openxmlformats.org/officeDocument/2006/relationships/hyperlink" Target="https://www.gowid.com" TargetMode="External"/><Relationship Id="rId428" Type="http://schemas.openxmlformats.org/officeDocument/2006/relationships/hyperlink" Target="https://desk.channel.io/gowid/user-chats/698aaea914ccb5712c58" TargetMode="External"/><Relationship Id="rId427" Type="http://schemas.openxmlformats.org/officeDocument/2006/relationships/hyperlink" Target="https://www.gowid.com" TargetMode="External"/><Relationship Id="rId669" Type="http://schemas.openxmlformats.org/officeDocument/2006/relationships/hyperlink" Target="https://www.gowid.com" TargetMode="External"/><Relationship Id="rId660" Type="http://schemas.openxmlformats.org/officeDocument/2006/relationships/hyperlink" Target="https://desk.channel.io/gowid/user-chats/6983f4869a6a088b52d8" TargetMode="External"/><Relationship Id="rId422" Type="http://schemas.openxmlformats.org/officeDocument/2006/relationships/hyperlink" Target="https://desk.channel.io/gowid/user-chats/698ab91d5d6b44e2a981" TargetMode="External"/><Relationship Id="rId664" Type="http://schemas.openxmlformats.org/officeDocument/2006/relationships/hyperlink" Target="https://desk.channel.io/gowid/user-chats/6983ec4255bff84eac40" TargetMode="External"/><Relationship Id="rId421" Type="http://schemas.openxmlformats.org/officeDocument/2006/relationships/hyperlink" Target="https://www.gowid.com" TargetMode="External"/><Relationship Id="rId663" Type="http://schemas.openxmlformats.org/officeDocument/2006/relationships/hyperlink" Target="https://www.gowid.com" TargetMode="External"/><Relationship Id="rId420" Type="http://schemas.openxmlformats.org/officeDocument/2006/relationships/hyperlink" Target="https://desk.channel.io/gowid/user-chats/698ab9c8a83a578e85d5" TargetMode="External"/><Relationship Id="rId662" Type="http://schemas.openxmlformats.org/officeDocument/2006/relationships/hyperlink" Target="https://desk.channel.io/gowid/user-chats/6983ec3d32807c1c9508" TargetMode="External"/><Relationship Id="rId661" Type="http://schemas.openxmlformats.org/officeDocument/2006/relationships/hyperlink" Target="https://www.gowid.com" TargetMode="External"/><Relationship Id="rId415" Type="http://schemas.openxmlformats.org/officeDocument/2006/relationships/hyperlink" Target="https://www.gowid.com" TargetMode="External"/><Relationship Id="rId657" Type="http://schemas.openxmlformats.org/officeDocument/2006/relationships/hyperlink" Target="https://www.gowid.com" TargetMode="External"/><Relationship Id="rId899" Type="http://schemas.openxmlformats.org/officeDocument/2006/relationships/hyperlink" Target="https://desk.channel.io/gowid/user-chats/6977248dbaa61a1b3ab0" TargetMode="External"/><Relationship Id="rId414" Type="http://schemas.openxmlformats.org/officeDocument/2006/relationships/hyperlink" Target="https://desk.channel.io/gowid/user-chats/698ac03d5cbf7386404a" TargetMode="External"/><Relationship Id="rId656" Type="http://schemas.openxmlformats.org/officeDocument/2006/relationships/hyperlink" Target="https://desk.channel.io/gowid/user-chats/69840151eafc63498ab7" TargetMode="External"/><Relationship Id="rId898" Type="http://schemas.openxmlformats.org/officeDocument/2006/relationships/hyperlink" Target="https://www.gowid.com" TargetMode="External"/><Relationship Id="rId413" Type="http://schemas.openxmlformats.org/officeDocument/2006/relationships/hyperlink" Target="https://www.gowid.com" TargetMode="External"/><Relationship Id="rId655" Type="http://schemas.openxmlformats.org/officeDocument/2006/relationships/hyperlink" Target="https://www.gowid.com" TargetMode="External"/><Relationship Id="rId897" Type="http://schemas.openxmlformats.org/officeDocument/2006/relationships/hyperlink" Target="https://desk.channel.io/gowid/user-chats/697737c7ca2b82c045c4" TargetMode="External"/><Relationship Id="rId412" Type="http://schemas.openxmlformats.org/officeDocument/2006/relationships/hyperlink" Target="https://desk.channel.io/gowid/user-chats/698ac0f54890bc707706" TargetMode="External"/><Relationship Id="rId654" Type="http://schemas.openxmlformats.org/officeDocument/2006/relationships/hyperlink" Target="https://desk.channel.io/gowid/user-chats/69840bebc0cac4bdab84" TargetMode="External"/><Relationship Id="rId896" Type="http://schemas.openxmlformats.org/officeDocument/2006/relationships/hyperlink" Target="https://www.gowid.com" TargetMode="External"/><Relationship Id="rId419" Type="http://schemas.openxmlformats.org/officeDocument/2006/relationships/hyperlink" Target="https://www.gowid.com" TargetMode="External"/><Relationship Id="rId418" Type="http://schemas.openxmlformats.org/officeDocument/2006/relationships/hyperlink" Target="https://desk.channel.io/gowid/user-chats/698aba1b15a5f60396f7" TargetMode="External"/><Relationship Id="rId417" Type="http://schemas.openxmlformats.org/officeDocument/2006/relationships/hyperlink" Target="https://www.gowid.com" TargetMode="External"/><Relationship Id="rId659" Type="http://schemas.openxmlformats.org/officeDocument/2006/relationships/hyperlink" Target="https://www.gowid.com" TargetMode="External"/><Relationship Id="rId416" Type="http://schemas.openxmlformats.org/officeDocument/2006/relationships/hyperlink" Target="https://desk.channel.io/gowid/user-chats/698aba6ba7bfa69dfd34" TargetMode="External"/><Relationship Id="rId658" Type="http://schemas.openxmlformats.org/officeDocument/2006/relationships/hyperlink" Target="https://desk.channel.io/gowid/user-chats/6983fbd644765a32c59c" TargetMode="External"/><Relationship Id="rId891" Type="http://schemas.openxmlformats.org/officeDocument/2006/relationships/hyperlink" Target="https://desk.channel.io/gowid/user-chats/6977eb2bbec190cb63ec" TargetMode="External"/><Relationship Id="rId890" Type="http://schemas.openxmlformats.org/officeDocument/2006/relationships/hyperlink" Target="https://www.gowid.com" TargetMode="External"/><Relationship Id="rId411" Type="http://schemas.openxmlformats.org/officeDocument/2006/relationships/hyperlink" Target="https://www.gowid.com" TargetMode="External"/><Relationship Id="rId653" Type="http://schemas.openxmlformats.org/officeDocument/2006/relationships/hyperlink" Target="https://www.gowid.com" TargetMode="External"/><Relationship Id="rId895" Type="http://schemas.openxmlformats.org/officeDocument/2006/relationships/hyperlink" Target="https://desk.channel.io/gowid/user-chats/697737a7a612042dd2ab" TargetMode="External"/><Relationship Id="rId410" Type="http://schemas.openxmlformats.org/officeDocument/2006/relationships/hyperlink" Target="https://desk.channel.io/gowid/user-chats/698ac1ddeae17688bb30" TargetMode="External"/><Relationship Id="rId652" Type="http://schemas.openxmlformats.org/officeDocument/2006/relationships/hyperlink" Target="https://desk.channel.io/gowid/user-chats/69841d1be333cd98e771" TargetMode="External"/><Relationship Id="rId894" Type="http://schemas.openxmlformats.org/officeDocument/2006/relationships/hyperlink" Target="https://desk.channel.io/gowid/user-chats/6977412207c06755ac82" TargetMode="External"/><Relationship Id="rId651" Type="http://schemas.openxmlformats.org/officeDocument/2006/relationships/hyperlink" Target="https://www.gowid.com" TargetMode="External"/><Relationship Id="rId893" Type="http://schemas.openxmlformats.org/officeDocument/2006/relationships/hyperlink" Target="https://www.gowid.com" TargetMode="External"/><Relationship Id="rId650" Type="http://schemas.openxmlformats.org/officeDocument/2006/relationships/hyperlink" Target="https://desk.channel.io/gowid/user-chats/69842141ea5dfb94142c" TargetMode="External"/><Relationship Id="rId892" Type="http://schemas.openxmlformats.org/officeDocument/2006/relationships/hyperlink" Target="https://desk.channel.io/gowid/user-chats/6977509f0f559b5880d3" TargetMode="External"/><Relationship Id="rId206" Type="http://schemas.openxmlformats.org/officeDocument/2006/relationships/hyperlink" Target="https://desk.channel.io/gowid/user-chats/698e86448891294cc9c5" TargetMode="External"/><Relationship Id="rId448" Type="http://schemas.openxmlformats.org/officeDocument/2006/relationships/hyperlink" Target="https://desk.channel.io/gowid/user-chats/698a8787d9011de18e0d" TargetMode="External"/><Relationship Id="rId205" Type="http://schemas.openxmlformats.org/officeDocument/2006/relationships/hyperlink" Target="https://www.gowid.com" TargetMode="External"/><Relationship Id="rId447" Type="http://schemas.openxmlformats.org/officeDocument/2006/relationships/hyperlink" Target="https://www.gowid.com" TargetMode="External"/><Relationship Id="rId689" Type="http://schemas.openxmlformats.org/officeDocument/2006/relationships/hyperlink" Target="https://desk.channel.io/gowid/user-chats/698166bc980ded1408cc" TargetMode="External"/><Relationship Id="rId204" Type="http://schemas.openxmlformats.org/officeDocument/2006/relationships/hyperlink" Target="https://desk.channel.io/gowid/user-chats/698e88755865529660a6" TargetMode="External"/><Relationship Id="rId446" Type="http://schemas.openxmlformats.org/officeDocument/2006/relationships/hyperlink" Target="https://desk.channel.io/gowid/user-chats/698a8d6f7dc9dea909a6" TargetMode="External"/><Relationship Id="rId688" Type="http://schemas.openxmlformats.org/officeDocument/2006/relationships/hyperlink" Target="https://www.gowid.com" TargetMode="External"/><Relationship Id="rId203" Type="http://schemas.openxmlformats.org/officeDocument/2006/relationships/hyperlink" Target="https://www.gowid.com" TargetMode="External"/><Relationship Id="rId445" Type="http://schemas.openxmlformats.org/officeDocument/2006/relationships/hyperlink" Target="https://www.gowid.com" TargetMode="External"/><Relationship Id="rId687" Type="http://schemas.openxmlformats.org/officeDocument/2006/relationships/hyperlink" Target="https://desk.channel.io/gowid/user-chats/6982a59862d33cb3773a" TargetMode="External"/><Relationship Id="rId209" Type="http://schemas.openxmlformats.org/officeDocument/2006/relationships/hyperlink" Target="https://www.gowid.com" TargetMode="External"/><Relationship Id="rId208" Type="http://schemas.openxmlformats.org/officeDocument/2006/relationships/hyperlink" Target="https://desk.channel.io/gowid/user-chats/698e82251914167cf121" TargetMode="External"/><Relationship Id="rId207" Type="http://schemas.openxmlformats.org/officeDocument/2006/relationships/hyperlink" Target="https://www.gowid.com" TargetMode="External"/><Relationship Id="rId449" Type="http://schemas.openxmlformats.org/officeDocument/2006/relationships/hyperlink" Target="https://www.gowid.com" TargetMode="External"/><Relationship Id="rId440" Type="http://schemas.openxmlformats.org/officeDocument/2006/relationships/hyperlink" Target="https://desk.channel.io/gowid/user-chats/698a96dec5e34d7c85d4" TargetMode="External"/><Relationship Id="rId682" Type="http://schemas.openxmlformats.org/officeDocument/2006/relationships/hyperlink" Target="https://desk.channel.io/gowid/user-chats/6979a23a87403a5dccc3" TargetMode="External"/><Relationship Id="rId681" Type="http://schemas.openxmlformats.org/officeDocument/2006/relationships/hyperlink" Target="https://desk.channel.io/gowid/user-chats/6982d16b5ee337155abf" TargetMode="External"/><Relationship Id="rId680" Type="http://schemas.openxmlformats.org/officeDocument/2006/relationships/hyperlink" Target="https://desk.channel.io/gowid/user-chats/6982eaed61297cd27192" TargetMode="External"/><Relationship Id="rId202" Type="http://schemas.openxmlformats.org/officeDocument/2006/relationships/hyperlink" Target="https://desk.channel.io/gowid/user-chats/698e89f639b32e20c888" TargetMode="External"/><Relationship Id="rId444" Type="http://schemas.openxmlformats.org/officeDocument/2006/relationships/hyperlink" Target="https://desk.channel.io/gowid/user-chats/698a915da2c813421afb" TargetMode="External"/><Relationship Id="rId686" Type="http://schemas.openxmlformats.org/officeDocument/2006/relationships/hyperlink" Target="https://www.gowid.com" TargetMode="External"/><Relationship Id="rId201" Type="http://schemas.openxmlformats.org/officeDocument/2006/relationships/hyperlink" Target="https://www.gowid.com" TargetMode="External"/><Relationship Id="rId443" Type="http://schemas.openxmlformats.org/officeDocument/2006/relationships/hyperlink" Target="https://www.gowid.com" TargetMode="External"/><Relationship Id="rId685" Type="http://schemas.openxmlformats.org/officeDocument/2006/relationships/hyperlink" Target="https://desk.channel.io/gowid/user-chats/69829a289f118b75c29e" TargetMode="External"/><Relationship Id="rId200" Type="http://schemas.openxmlformats.org/officeDocument/2006/relationships/hyperlink" Target="https://desk.channel.io/gowid/user-chats/698e8d9a1576c3b66f85" TargetMode="External"/><Relationship Id="rId442" Type="http://schemas.openxmlformats.org/officeDocument/2006/relationships/hyperlink" Target="https://desk.channel.io/gowid/user-chats/698a91d15116eed12489" TargetMode="External"/><Relationship Id="rId684" Type="http://schemas.openxmlformats.org/officeDocument/2006/relationships/hyperlink" Target="https://desk.channel.io/gowid/user-chats/6982c470bc4ae79bc742" TargetMode="External"/><Relationship Id="rId441" Type="http://schemas.openxmlformats.org/officeDocument/2006/relationships/hyperlink" Target="https://www.gowid.com" TargetMode="External"/><Relationship Id="rId683" Type="http://schemas.openxmlformats.org/officeDocument/2006/relationships/hyperlink" Target="https://www.gowid.com" TargetMode="External"/><Relationship Id="rId437" Type="http://schemas.openxmlformats.org/officeDocument/2006/relationships/hyperlink" Target="https://www.gowid.com" TargetMode="External"/><Relationship Id="rId679" Type="http://schemas.openxmlformats.org/officeDocument/2006/relationships/hyperlink" Target="https://www.gowid.com" TargetMode="External"/><Relationship Id="rId436" Type="http://schemas.openxmlformats.org/officeDocument/2006/relationships/hyperlink" Target="https://desk.channel.io/gowid/user-chats/698a9b1eaba8a5692e86" TargetMode="External"/><Relationship Id="rId678" Type="http://schemas.openxmlformats.org/officeDocument/2006/relationships/hyperlink" Target="https://desk.channel.io/gowid/user-chats/6982eb8c213a7107269e" TargetMode="External"/><Relationship Id="rId435" Type="http://schemas.openxmlformats.org/officeDocument/2006/relationships/hyperlink" Target="https://www.gowid.com" TargetMode="External"/><Relationship Id="rId677" Type="http://schemas.openxmlformats.org/officeDocument/2006/relationships/hyperlink" Target="https://www.gowid.com" TargetMode="External"/><Relationship Id="rId434" Type="http://schemas.openxmlformats.org/officeDocument/2006/relationships/hyperlink" Target="https://desk.channel.io/gowid/user-chats/698aa2c53b5b1410fc3b" TargetMode="External"/><Relationship Id="rId676" Type="http://schemas.openxmlformats.org/officeDocument/2006/relationships/hyperlink" Target="https://desk.channel.io/gowid/user-chats/6982ee58507f1082cfe7" TargetMode="External"/><Relationship Id="rId439" Type="http://schemas.openxmlformats.org/officeDocument/2006/relationships/hyperlink" Target="https://www.gowid.com" TargetMode="External"/><Relationship Id="rId438" Type="http://schemas.openxmlformats.org/officeDocument/2006/relationships/hyperlink" Target="https://desk.channel.io/gowid/user-chats/698035a0a3782dd64ff7" TargetMode="External"/><Relationship Id="rId671" Type="http://schemas.openxmlformats.org/officeDocument/2006/relationships/hyperlink" Target="https://www.gowid.com" TargetMode="External"/><Relationship Id="rId670" Type="http://schemas.openxmlformats.org/officeDocument/2006/relationships/hyperlink" Target="https://desk.channel.io/gowid/user-chats/69830642dfd276bc3866" TargetMode="External"/><Relationship Id="rId433" Type="http://schemas.openxmlformats.org/officeDocument/2006/relationships/hyperlink" Target="https://www.gowid.com" TargetMode="External"/><Relationship Id="rId675" Type="http://schemas.openxmlformats.org/officeDocument/2006/relationships/hyperlink" Target="https://www.gowid.com" TargetMode="External"/><Relationship Id="rId432" Type="http://schemas.openxmlformats.org/officeDocument/2006/relationships/hyperlink" Target="https://desk.channel.io/gowid/user-chats/697328b8bdcaadf08f62" TargetMode="External"/><Relationship Id="rId674" Type="http://schemas.openxmlformats.org/officeDocument/2006/relationships/hyperlink" Target="https://desk.channel.io/gowid/user-chats/6982f022241cd892e618" TargetMode="External"/><Relationship Id="rId431" Type="http://schemas.openxmlformats.org/officeDocument/2006/relationships/hyperlink" Target="https://www.gowid.com" TargetMode="External"/><Relationship Id="rId673" Type="http://schemas.openxmlformats.org/officeDocument/2006/relationships/hyperlink" Target="https://www.gowid.com" TargetMode="External"/><Relationship Id="rId430" Type="http://schemas.openxmlformats.org/officeDocument/2006/relationships/hyperlink" Target="https://desk.channel.io/gowid/user-chats/698aabe6144ed5872fcf" TargetMode="External"/><Relationship Id="rId672" Type="http://schemas.openxmlformats.org/officeDocument/2006/relationships/hyperlink" Target="https://desk.channel.io/gowid/user-chats/6982f79cf2925b461d1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channel.io/gowid-guide/ko/articles/%EC%8B%A0%ED%95%9C-%EC%82%AC%EC%97%85%EC%9E%A5%EB%B6%80%EC%84%9C%ED%95%9C%EB%8F%84-%EB%B0%8F-%EC%B9%B4%EB%93%9C%ED%95%9C%EB%8F%84-%EC%84%A4%EC%A0%95-a4600307" TargetMode="External"/><Relationship Id="rId2" Type="http://schemas.openxmlformats.org/officeDocument/2006/relationships/hyperlink" Target="https://www.shinhancard.com/cconts/html/main.html" TargetMode="External"/><Relationship Id="rId3" Type="http://schemas.openxmlformats.org/officeDocument/2006/relationships/hyperlink" Target="https://docs.channel.io/gowid-guide/ko/articles/%EC%B9%B4%EB%93%9C-%EB%B9%84%EB%B0%80%EB%B2%88%ED%98%B8-%EB%B3%80%EA%B2%BD-%EB%B0%A9%EB%B2%95-1bc42d7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oogle.com/" TargetMode="External"/><Relationship Id="rId194" Type="http://schemas.openxmlformats.org/officeDocument/2006/relationships/hyperlink" Target="https://www.google.com/" TargetMode="External"/><Relationship Id="rId193" Type="http://schemas.openxmlformats.org/officeDocument/2006/relationships/hyperlink" Target="https://www.google.com/" TargetMode="External"/><Relationship Id="rId192" Type="http://schemas.openxmlformats.org/officeDocument/2006/relationships/hyperlink" Target="https://www.google.com/" TargetMode="External"/><Relationship Id="rId191" Type="http://schemas.openxmlformats.org/officeDocument/2006/relationships/hyperlink" Target="https://www.google.com/" TargetMode="External"/><Relationship Id="rId187" Type="http://schemas.openxmlformats.org/officeDocument/2006/relationships/hyperlink" Target="https://m.search.naver.com/search.naver?sm=mtp_hty.top&amp;where=m&amp;query=%EA%B3%A0%EC%9C%84%EB%93%9C" TargetMode="External"/><Relationship Id="rId186" Type="http://schemas.openxmlformats.org/officeDocument/2006/relationships/hyperlink" Target="https://www.google.com/" TargetMode="External"/><Relationship Id="rId185" Type="http://schemas.openxmlformats.org/officeDocument/2006/relationships/hyperlink" Target="https://www.google.com/" TargetMode="External"/><Relationship Id="rId184" Type="http://schemas.openxmlformats.org/officeDocument/2006/relationships/hyperlink" Target="https://payment-gateway.tosspayments.com/" TargetMode="External"/><Relationship Id="rId189" Type="http://schemas.openxmlformats.org/officeDocument/2006/relationships/hyperlink" Target="https://www.google.com/" TargetMode="External"/><Relationship Id="rId188" Type="http://schemas.openxmlformats.org/officeDocument/2006/relationships/hyperlink" Target="https://www.google.com/" TargetMode="External"/><Relationship Id="rId183" Type="http://schemas.openxmlformats.org/officeDocument/2006/relationships/hyperlink" Target="https://seteuk.gowid.com/" TargetMode="External"/><Relationship Id="rId182" Type="http://schemas.openxmlformats.org/officeDocument/2006/relationships/hyperlink" Target="https://www.google.com/" TargetMode="External"/><Relationship Id="rId181" Type="http://schemas.openxmlformats.org/officeDocument/2006/relationships/hyperlink" Target="https://www.google.com/" TargetMode="External"/><Relationship Id="rId180" Type="http://schemas.openxmlformats.org/officeDocument/2006/relationships/hyperlink" Target="https://www.google.com/" TargetMode="External"/><Relationship Id="rId176" Type="http://schemas.openxmlformats.org/officeDocument/2006/relationships/hyperlink" Target="https://docs.channel.io/" TargetMode="External"/><Relationship Id="rId175" Type="http://schemas.openxmlformats.org/officeDocument/2006/relationships/hyperlink" Target="https://docs.channel.io/" TargetMode="External"/><Relationship Id="rId174" Type="http://schemas.openxmlformats.org/officeDocument/2006/relationships/hyperlink" Target="https://www.google.com/" TargetMode="External"/><Relationship Id="rId173" Type="http://schemas.openxmlformats.org/officeDocument/2006/relationships/hyperlink" Target="https://search.naver.com/search.naver?sm=tab_hty.top&amp;where=nexearch&amp;ssc=tab.nx.all&amp;query=%EA%B3%A0%EC%9C%84%EB%93%9C&amp;oquery=%EC%8A%A4%ED%83%80%ED%8A%B8%EC%97%85+%EB%8C%80%EC%B6%9C+%EC%84%9C%EB%B9%84%EC%8A%A4&amp;tqi=iPSDuspzLi0ssiGefjKssssss50-203789" TargetMode="External"/><Relationship Id="rId179" Type="http://schemas.openxmlformats.org/officeDocument/2006/relationships/hyperlink" Target="https://www.google.com/" TargetMode="External"/><Relationship Id="rId178" Type="http://schemas.openxmlformats.org/officeDocument/2006/relationships/hyperlink" Target="https://www.google.com/" TargetMode="External"/><Relationship Id="rId177" Type="http://schemas.openxmlformats.org/officeDocument/2006/relationships/hyperlink" Target="https://www.google.com/" TargetMode="External"/><Relationship Id="rId198" Type="http://schemas.openxmlformats.org/officeDocument/2006/relationships/hyperlink" Target="https://www.google.com/" TargetMode="External"/><Relationship Id="rId197" Type="http://schemas.openxmlformats.org/officeDocument/2006/relationships/hyperlink" Target="https://www.google.com/" TargetMode="External"/><Relationship Id="rId196" Type="http://schemas.openxmlformats.org/officeDocument/2006/relationships/hyperlink" Target="https://www.google.com/" TargetMode="External"/><Relationship Id="rId195" Type="http://schemas.openxmlformats.org/officeDocument/2006/relationships/hyperlink" Target="https://webmail.mail.us-east-1.awsapps.com/" TargetMode="External"/><Relationship Id="rId199" Type="http://schemas.openxmlformats.org/officeDocument/2006/relationships/hyperlink" Target="https://www.google.com/" TargetMode="External"/><Relationship Id="rId150" Type="http://schemas.openxmlformats.org/officeDocument/2006/relationships/hyperlink" Target="https://www.google.com/" TargetMode="External"/><Relationship Id="rId392" Type="http://schemas.openxmlformats.org/officeDocument/2006/relationships/hyperlink" Target="https://search.naver.com/" TargetMode="External"/><Relationship Id="rId391" Type="http://schemas.openxmlformats.org/officeDocument/2006/relationships/hyperlink" Target="https://www.google.com/" TargetMode="External"/><Relationship Id="rId390" Type="http://schemas.openxmlformats.org/officeDocument/2006/relationships/hyperlink" Target="https://www.google.com/" TargetMode="External"/><Relationship Id="rId1" Type="http://schemas.openxmlformats.org/officeDocument/2006/relationships/hyperlink" Target="http://profile.name" TargetMode="External"/><Relationship Id="rId2" Type="http://schemas.openxmlformats.org/officeDocument/2006/relationships/hyperlink" Target="https://gowidsub.imweb.me/" TargetMode="External"/><Relationship Id="rId3" Type="http://schemas.openxmlformats.org/officeDocument/2006/relationships/hyperlink" Target="https://www.google.com/" TargetMode="External"/><Relationship Id="rId149" Type="http://schemas.openxmlformats.org/officeDocument/2006/relationships/hyperlink" Target="https://www.google.com/" TargetMode="External"/><Relationship Id="rId4" Type="http://schemas.openxmlformats.org/officeDocument/2006/relationships/hyperlink" Target="https://payment-gateway.tosspayments.com/" TargetMode="External"/><Relationship Id="rId148" Type="http://schemas.openxmlformats.org/officeDocument/2006/relationships/hyperlink" Target="https://www.google.com/" TargetMode="External"/><Relationship Id="rId9" Type="http://schemas.openxmlformats.org/officeDocument/2006/relationships/hyperlink" Target="https://www.google.com/" TargetMode="External"/><Relationship Id="rId143" Type="http://schemas.openxmlformats.org/officeDocument/2006/relationships/hyperlink" Target="https://corp.lottecard.co.kr/" TargetMode="External"/><Relationship Id="rId385" Type="http://schemas.openxmlformats.org/officeDocument/2006/relationships/hyperlink" Target="https://www.google.com/" TargetMode="External"/><Relationship Id="rId142" Type="http://schemas.openxmlformats.org/officeDocument/2006/relationships/hyperlink" Target="https://search.naver.com/search.naver?where=nexearch&amp;sm=top_sug.pre&amp;fbm=0&amp;acr=1&amp;acq=%EA%B3%A0%EC%9C%84%EB%93%9C&amp;qdt=0&amp;ie=utf8&amp;query=%EA%B3%A0%EC%9C%84%EB%93%9C&amp;ackey=z0pbdupz" TargetMode="External"/><Relationship Id="rId384" Type="http://schemas.openxmlformats.org/officeDocument/2006/relationships/hyperlink" Target="https://www.google.com/" TargetMode="External"/><Relationship Id="rId141" Type="http://schemas.openxmlformats.org/officeDocument/2006/relationships/hyperlink" Target="https://blog.gowid.com/" TargetMode="External"/><Relationship Id="rId383" Type="http://schemas.openxmlformats.org/officeDocument/2006/relationships/hyperlink" Target="https://www.google.com/" TargetMode="External"/><Relationship Id="rId140" Type="http://schemas.openxmlformats.org/officeDocument/2006/relationships/hyperlink" Target="https://www.google.com/" TargetMode="External"/><Relationship Id="rId382" Type="http://schemas.openxmlformats.org/officeDocument/2006/relationships/hyperlink" Target="https://www.google.com/" TargetMode="External"/><Relationship Id="rId5" Type="http://schemas.openxmlformats.org/officeDocument/2006/relationships/hyperlink" Target="https://payment-gateway.tosspayments.com/" TargetMode="External"/><Relationship Id="rId147" Type="http://schemas.openxmlformats.org/officeDocument/2006/relationships/hyperlink" Target="https://outline.teamcandid.kr/" TargetMode="External"/><Relationship Id="rId389" Type="http://schemas.openxmlformats.org/officeDocument/2006/relationships/hyperlink" Target="https://gowid.com/" TargetMode="External"/><Relationship Id="rId6" Type="http://schemas.openxmlformats.org/officeDocument/2006/relationships/hyperlink" Target="https://www.google.com/" TargetMode="External"/><Relationship Id="rId146" Type="http://schemas.openxmlformats.org/officeDocument/2006/relationships/hyperlink" Target="https://flow.team/" TargetMode="External"/><Relationship Id="rId388" Type="http://schemas.openxmlformats.org/officeDocument/2006/relationships/hyperlink" Target="https://gowid.com/" TargetMode="External"/><Relationship Id="rId7" Type="http://schemas.openxmlformats.org/officeDocument/2006/relationships/hyperlink" Target="https://www.google.com/" TargetMode="External"/><Relationship Id="rId145" Type="http://schemas.openxmlformats.org/officeDocument/2006/relationships/hyperlink" Target="https://www.google.com/" TargetMode="External"/><Relationship Id="rId387" Type="http://schemas.openxmlformats.org/officeDocument/2006/relationships/hyperlink" Target="https://search.naver.com/" TargetMode="External"/><Relationship Id="rId8" Type="http://schemas.openxmlformats.org/officeDocument/2006/relationships/hyperlink" Target="https://www.google.com/" TargetMode="External"/><Relationship Id="rId144" Type="http://schemas.openxmlformats.org/officeDocument/2006/relationships/hyperlink" Target="https://payment-gateway.tosspayments.com/" TargetMode="External"/><Relationship Id="rId386" Type="http://schemas.openxmlformats.org/officeDocument/2006/relationships/hyperlink" Target="https://admin.stepbaas.com/" TargetMode="External"/><Relationship Id="rId381" Type="http://schemas.openxmlformats.org/officeDocument/2006/relationships/hyperlink" Target="https://www.google.com/" TargetMode="External"/><Relationship Id="rId380" Type="http://schemas.openxmlformats.org/officeDocument/2006/relationships/hyperlink" Target="https://www.google.com/" TargetMode="External"/><Relationship Id="rId139" Type="http://schemas.openxmlformats.org/officeDocument/2006/relationships/hyperlink" Target="https://search.naver.com/" TargetMode="External"/><Relationship Id="rId138" Type="http://schemas.openxmlformats.org/officeDocument/2006/relationships/hyperlink" Target="https://www.google.com/" TargetMode="External"/><Relationship Id="rId137" Type="http://schemas.openxmlformats.org/officeDocument/2006/relationships/hyperlink" Target="https://www.google.com/" TargetMode="External"/><Relationship Id="rId379" Type="http://schemas.openxmlformats.org/officeDocument/2006/relationships/hyperlink" Target="https://docs.channel.io/" TargetMode="External"/><Relationship Id="rId132" Type="http://schemas.openxmlformats.org/officeDocument/2006/relationships/hyperlink" Target="https://search.naver.com/" TargetMode="External"/><Relationship Id="rId374" Type="http://schemas.openxmlformats.org/officeDocument/2006/relationships/hyperlink" Target="https://search.naver.com/search.naver?ie=UTF-8&amp;sm=whl_hty&amp;query=%EA%B3%A0%EC%9C%84%EB%93%9C" TargetMode="External"/><Relationship Id="rId131" Type="http://schemas.openxmlformats.org/officeDocument/2006/relationships/hyperlink" Target="https://search.naver.com/" TargetMode="External"/><Relationship Id="rId373" Type="http://schemas.openxmlformats.org/officeDocument/2006/relationships/hyperlink" Target="https://www.google.com/" TargetMode="External"/><Relationship Id="rId130" Type="http://schemas.openxmlformats.org/officeDocument/2006/relationships/hyperlink" Target="https://search.naver.com/" TargetMode="External"/><Relationship Id="rId372" Type="http://schemas.openxmlformats.org/officeDocument/2006/relationships/hyperlink" Target="https://www.google.com/" TargetMode="External"/><Relationship Id="rId371" Type="http://schemas.openxmlformats.org/officeDocument/2006/relationships/hyperlink" Target="https://support.cloud.google.com/" TargetMode="External"/><Relationship Id="rId136" Type="http://schemas.openxmlformats.org/officeDocument/2006/relationships/hyperlink" Target="https://payment-gateway.tosspayments.com/" TargetMode="External"/><Relationship Id="rId378" Type="http://schemas.openxmlformats.org/officeDocument/2006/relationships/hyperlink" Target="https://search.naver.com/search.naver?where=nexearch&amp;sm=top_hty&amp;fbm=0&amp;ie=utf8&amp;query=%EA%B3%A0%EC%9C%84%EB%93%9C&amp;ackey=e06wppk3" TargetMode="External"/><Relationship Id="rId135" Type="http://schemas.openxmlformats.org/officeDocument/2006/relationships/hyperlink" Target="https://search.yahoo.com/" TargetMode="External"/><Relationship Id="rId377" Type="http://schemas.openxmlformats.org/officeDocument/2006/relationships/hyperlink" Target="https://docs.channel.io/" TargetMode="External"/><Relationship Id="rId134" Type="http://schemas.openxmlformats.org/officeDocument/2006/relationships/hyperlink" Target="http://instagram.com/" TargetMode="External"/><Relationship Id="rId376" Type="http://schemas.openxmlformats.org/officeDocument/2006/relationships/hyperlink" Target="https://docs.channel.io/" TargetMode="External"/><Relationship Id="rId133" Type="http://schemas.openxmlformats.org/officeDocument/2006/relationships/hyperlink" Target="http://instagram.com/" TargetMode="External"/><Relationship Id="rId375" Type="http://schemas.openxmlformats.org/officeDocument/2006/relationships/hyperlink" Target="https://payment-gateway.tosspayments.com/" TargetMode="External"/><Relationship Id="rId172" Type="http://schemas.openxmlformats.org/officeDocument/2006/relationships/hyperlink" Target="https://search.naver.com/" TargetMode="External"/><Relationship Id="rId171" Type="http://schemas.openxmlformats.org/officeDocument/2006/relationships/hyperlink" Target="https://search.naver.com/" TargetMode="External"/><Relationship Id="rId170" Type="http://schemas.openxmlformats.org/officeDocument/2006/relationships/hyperlink" Target="https://www.google.com/" TargetMode="External"/><Relationship Id="rId165" Type="http://schemas.openxmlformats.org/officeDocument/2006/relationships/hyperlink" Target="https://search.naver.com/search.naver?where=nexearch&amp;sm=top_hty&amp;fbm=0&amp;ie=utf8&amp;query=%EA%B3%A0%EC%9C%84%EB%93%9C" TargetMode="External"/><Relationship Id="rId164" Type="http://schemas.openxmlformats.org/officeDocument/2006/relationships/hyperlink" Target="https://payment-gateway.tosspayments.com/" TargetMode="External"/><Relationship Id="rId163" Type="http://schemas.openxmlformats.org/officeDocument/2006/relationships/hyperlink" Target="https://www.google.com/" TargetMode="External"/><Relationship Id="rId162" Type="http://schemas.openxmlformats.org/officeDocument/2006/relationships/hyperlink" Target="https://docs.channel.io/" TargetMode="External"/><Relationship Id="rId169" Type="http://schemas.openxmlformats.org/officeDocument/2006/relationships/hyperlink" Target="https://www.google.com/" TargetMode="External"/><Relationship Id="rId168" Type="http://schemas.openxmlformats.org/officeDocument/2006/relationships/hyperlink" Target="https://www.google.com/" TargetMode="External"/><Relationship Id="rId167" Type="http://schemas.openxmlformats.org/officeDocument/2006/relationships/hyperlink" Target="https://www.google.com/" TargetMode="External"/><Relationship Id="rId166" Type="http://schemas.openxmlformats.org/officeDocument/2006/relationships/hyperlink" Target="https://payment-gateway.tosspayments.com/" TargetMode="External"/><Relationship Id="rId161" Type="http://schemas.openxmlformats.org/officeDocument/2006/relationships/hyperlink" Target="https://www.bing.com/" TargetMode="External"/><Relationship Id="rId160" Type="http://schemas.openxmlformats.org/officeDocument/2006/relationships/hyperlink" Target="https://www.google.com/" TargetMode="External"/><Relationship Id="rId159" Type="http://schemas.openxmlformats.org/officeDocument/2006/relationships/hyperlink" Target="https://www.google.com/" TargetMode="External"/><Relationship Id="rId154" Type="http://schemas.openxmlformats.org/officeDocument/2006/relationships/hyperlink" Target="https://www.google.com/" TargetMode="External"/><Relationship Id="rId396" Type="http://schemas.openxmlformats.org/officeDocument/2006/relationships/hyperlink" Target="https://search.naver.com/search.naver?sm=tab_hty.top&amp;where=nexearch&amp;ssc=tab.nx.all&amp;query=%EA%B3%A0%EC%9C%84%EB%93%9C&amp;oquery=%EC%9D%B8%EC%88%98%EC%9D%B8%EA%B3%84&amp;tqi=i%2ByOWdqps8wss4ZGwANsssssse0-522930" TargetMode="External"/><Relationship Id="rId153" Type="http://schemas.openxmlformats.org/officeDocument/2006/relationships/hyperlink" Target="https://www.google.com/" TargetMode="External"/><Relationship Id="rId395" Type="http://schemas.openxmlformats.org/officeDocument/2006/relationships/hyperlink" Target="https://www.google.com/" TargetMode="External"/><Relationship Id="rId152" Type="http://schemas.openxmlformats.org/officeDocument/2006/relationships/hyperlink" Target="https://www.google.com/" TargetMode="External"/><Relationship Id="rId394" Type="http://schemas.openxmlformats.org/officeDocument/2006/relationships/hyperlink" Target="https://www.google.com/" TargetMode="External"/><Relationship Id="rId151" Type="http://schemas.openxmlformats.org/officeDocument/2006/relationships/hyperlink" Target="https://www.google.com/" TargetMode="External"/><Relationship Id="rId393" Type="http://schemas.openxmlformats.org/officeDocument/2006/relationships/hyperlink" Target="https://search.naver.com/" TargetMode="External"/><Relationship Id="rId158" Type="http://schemas.openxmlformats.org/officeDocument/2006/relationships/hyperlink" Target="https://www.google.com/" TargetMode="External"/><Relationship Id="rId157" Type="http://schemas.openxmlformats.org/officeDocument/2006/relationships/hyperlink" Target="https://corp.lottecard.co.kr/" TargetMode="External"/><Relationship Id="rId399" Type="http://schemas.openxmlformats.org/officeDocument/2006/relationships/hyperlink" Target="https://www.gowid.com/" TargetMode="External"/><Relationship Id="rId156" Type="http://schemas.openxmlformats.org/officeDocument/2006/relationships/hyperlink" Target="https://search.naver.com/" TargetMode="External"/><Relationship Id="rId398" Type="http://schemas.openxmlformats.org/officeDocument/2006/relationships/hyperlink" Target="https://www.google.com/" TargetMode="External"/><Relationship Id="rId155" Type="http://schemas.openxmlformats.org/officeDocument/2006/relationships/hyperlink" Target="https://wmail.ecount.com/" TargetMode="External"/><Relationship Id="rId397" Type="http://schemas.openxmlformats.org/officeDocument/2006/relationships/hyperlink" Target="https://www.bing.com/" TargetMode="External"/><Relationship Id="rId40" Type="http://schemas.openxmlformats.org/officeDocument/2006/relationships/hyperlink" Target="https://www.google.com/" TargetMode="External"/><Relationship Id="rId42" Type="http://schemas.openxmlformats.org/officeDocument/2006/relationships/hyperlink" Target="https://search.naver.com/search.naver?where=nexearch&amp;sm=top_sug.pre&amp;fbm=0&amp;acr=2&amp;acq=%EA%B3%A0%EC%9C%84%EB%93%9C&amp;qdt=0&amp;ie=utf8&amp;query=%EA%B3%A0%EC%9C%84%EB%93%9C" TargetMode="External"/><Relationship Id="rId41" Type="http://schemas.openxmlformats.org/officeDocument/2006/relationships/hyperlink" Target="https://www.google.com/" TargetMode="External"/><Relationship Id="rId44" Type="http://schemas.openxmlformats.org/officeDocument/2006/relationships/hyperlink" Target="https://www.google.com/" TargetMode="External"/><Relationship Id="rId43" Type="http://schemas.openxmlformats.org/officeDocument/2006/relationships/hyperlink" Target="https://www.google.com/" TargetMode="External"/><Relationship Id="rId46" Type="http://schemas.openxmlformats.org/officeDocument/2006/relationships/hyperlink" Target="https://search.naver.com/" TargetMode="External"/><Relationship Id="rId45" Type="http://schemas.openxmlformats.org/officeDocument/2006/relationships/hyperlink" Target="https://www.google.com/" TargetMode="External"/><Relationship Id="rId509" Type="http://schemas.openxmlformats.org/officeDocument/2006/relationships/hyperlink" Target="https://docs.channel.io/" TargetMode="External"/><Relationship Id="rId508" Type="http://schemas.openxmlformats.org/officeDocument/2006/relationships/hyperlink" Target="https://gowid.com/" TargetMode="External"/><Relationship Id="rId503" Type="http://schemas.openxmlformats.org/officeDocument/2006/relationships/hyperlink" Target="https://www.google.com/" TargetMode="External"/><Relationship Id="rId502" Type="http://schemas.openxmlformats.org/officeDocument/2006/relationships/hyperlink" Target="https://www.google.com/" TargetMode="External"/><Relationship Id="rId501" Type="http://schemas.openxmlformats.org/officeDocument/2006/relationships/hyperlink" Target="https://gowid.com/" TargetMode="External"/><Relationship Id="rId500" Type="http://schemas.openxmlformats.org/officeDocument/2006/relationships/hyperlink" Target="https://gowid.com/" TargetMode="External"/><Relationship Id="rId507" Type="http://schemas.openxmlformats.org/officeDocument/2006/relationships/hyperlink" Target="https://m.search.naver.com/" TargetMode="External"/><Relationship Id="rId506" Type="http://schemas.openxmlformats.org/officeDocument/2006/relationships/hyperlink" Target="https://m.search.naver.com/" TargetMode="External"/><Relationship Id="rId505" Type="http://schemas.openxmlformats.org/officeDocument/2006/relationships/hyperlink" Target="https://l.facebook.com/" TargetMode="External"/><Relationship Id="rId504" Type="http://schemas.openxmlformats.org/officeDocument/2006/relationships/hyperlink" Target="https://www.google.com/" TargetMode="External"/><Relationship Id="rId48" Type="http://schemas.openxmlformats.org/officeDocument/2006/relationships/hyperlink" Target="https://blog.gowid.com/" TargetMode="External"/><Relationship Id="rId47" Type="http://schemas.openxmlformats.org/officeDocument/2006/relationships/hyperlink" Target="https://search.naver.com/" TargetMode="External"/><Relationship Id="rId49" Type="http://schemas.openxmlformats.org/officeDocument/2006/relationships/hyperlink" Target="https://www.google.com/" TargetMode="External"/><Relationship Id="rId31" Type="http://schemas.openxmlformats.org/officeDocument/2006/relationships/hyperlink" Target="https://search.naver.com/search.naver?where=nexearch&amp;sm=top_hty&amp;fbm=0&amp;ie=utf8&amp;query=%EA%B3%A0%EC%9C%84%EB%93%9C&amp;ackey=ol7i18k7" TargetMode="External"/><Relationship Id="rId30" Type="http://schemas.openxmlformats.org/officeDocument/2006/relationships/hyperlink" Target="https://search.naver.com/search.naver?where=nexearch&amp;sm=top_hty&amp;fbm=0&amp;ie=utf8&amp;query=%EA%B3%A0%EC%9C%84%EB%93%9C" TargetMode="External"/><Relationship Id="rId33" Type="http://schemas.openxmlformats.org/officeDocument/2006/relationships/hyperlink" Target="https://www.google.com/" TargetMode="External"/><Relationship Id="rId32" Type="http://schemas.openxmlformats.org/officeDocument/2006/relationships/hyperlink" Target="https://www.google.com/" TargetMode="External"/><Relationship Id="rId35" Type="http://schemas.openxmlformats.org/officeDocument/2006/relationships/hyperlink" Target="https://www.bing.com/" TargetMode="External"/><Relationship Id="rId34" Type="http://schemas.openxmlformats.org/officeDocument/2006/relationships/hyperlink" Target="https://corp.lottecard.co.kr/" TargetMode="External"/><Relationship Id="rId37" Type="http://schemas.openxmlformats.org/officeDocument/2006/relationships/hyperlink" Target="https://gowidsub.imweb.me/" TargetMode="External"/><Relationship Id="rId36" Type="http://schemas.openxmlformats.org/officeDocument/2006/relationships/hyperlink" Target="https://payment-gateway.tosspayments.com/" TargetMode="External"/><Relationship Id="rId39" Type="http://schemas.openxmlformats.org/officeDocument/2006/relationships/hyperlink" Target="https://www.google.com/" TargetMode="External"/><Relationship Id="rId38" Type="http://schemas.openxmlformats.org/officeDocument/2006/relationships/hyperlink" Target="https://www.google.com/" TargetMode="External"/><Relationship Id="rId20" Type="http://schemas.openxmlformats.org/officeDocument/2006/relationships/hyperlink" Target="https://www.google.com/" TargetMode="External"/><Relationship Id="rId22" Type="http://schemas.openxmlformats.org/officeDocument/2006/relationships/hyperlink" Target="https://www.google.com/" TargetMode="External"/><Relationship Id="rId21" Type="http://schemas.openxmlformats.org/officeDocument/2006/relationships/hyperlink" Target="https://www.google.com/" TargetMode="External"/><Relationship Id="rId24" Type="http://schemas.openxmlformats.org/officeDocument/2006/relationships/hyperlink" Target="https://www.google.com/" TargetMode="External"/><Relationship Id="rId23" Type="http://schemas.openxmlformats.org/officeDocument/2006/relationships/hyperlink" Target="https://www.google.com/" TargetMode="External"/><Relationship Id="rId525" Type="http://schemas.openxmlformats.org/officeDocument/2006/relationships/hyperlink" Target="https://www.bing.com/" TargetMode="External"/><Relationship Id="rId524" Type="http://schemas.openxmlformats.org/officeDocument/2006/relationships/hyperlink" Target="https://www.bing.com/" TargetMode="External"/><Relationship Id="rId523" Type="http://schemas.openxmlformats.org/officeDocument/2006/relationships/hyperlink" Target="https://docs.channel.io/" TargetMode="External"/><Relationship Id="rId522" Type="http://schemas.openxmlformats.org/officeDocument/2006/relationships/hyperlink" Target="https://docs.channel.io/" TargetMode="External"/><Relationship Id="rId529" Type="http://schemas.openxmlformats.org/officeDocument/2006/relationships/hyperlink" Target="https://m.search.naver.com/" TargetMode="External"/><Relationship Id="rId528" Type="http://schemas.openxmlformats.org/officeDocument/2006/relationships/hyperlink" Target="https://m.search.naver.com/" TargetMode="External"/><Relationship Id="rId527" Type="http://schemas.openxmlformats.org/officeDocument/2006/relationships/hyperlink" Target="https://m.search.naver.com/" TargetMode="External"/><Relationship Id="rId526" Type="http://schemas.openxmlformats.org/officeDocument/2006/relationships/hyperlink" Target="https://m.search.naver.com/" TargetMode="External"/><Relationship Id="rId26" Type="http://schemas.openxmlformats.org/officeDocument/2006/relationships/hyperlink" Target="https://www.google.com/" TargetMode="External"/><Relationship Id="rId25" Type="http://schemas.openxmlformats.org/officeDocument/2006/relationships/hyperlink" Target="https://www.google.com/" TargetMode="External"/><Relationship Id="rId28" Type="http://schemas.openxmlformats.org/officeDocument/2006/relationships/hyperlink" Target="https://www.google.com/" TargetMode="External"/><Relationship Id="rId27" Type="http://schemas.openxmlformats.org/officeDocument/2006/relationships/hyperlink" Target="https://www.google.com/" TargetMode="External"/><Relationship Id="rId521" Type="http://schemas.openxmlformats.org/officeDocument/2006/relationships/hyperlink" Target="https://www.google.com/" TargetMode="External"/><Relationship Id="rId29" Type="http://schemas.openxmlformats.org/officeDocument/2006/relationships/hyperlink" Target="https://www.google.com/" TargetMode="External"/><Relationship Id="rId520" Type="http://schemas.openxmlformats.org/officeDocument/2006/relationships/hyperlink" Target="https://www.google.com/" TargetMode="External"/><Relationship Id="rId11" Type="http://schemas.openxmlformats.org/officeDocument/2006/relationships/hyperlink" Target="https://www.google.com/" TargetMode="External"/><Relationship Id="rId10" Type="http://schemas.openxmlformats.org/officeDocument/2006/relationships/hyperlink" Target="https://www.google.com/" TargetMode="External"/><Relationship Id="rId13" Type="http://schemas.openxmlformats.org/officeDocument/2006/relationships/hyperlink" Target="https://gowidsub.imweb.me/" TargetMode="External"/><Relationship Id="rId12" Type="http://schemas.openxmlformats.org/officeDocument/2006/relationships/hyperlink" Target="https://search.naver.com/search.naver?sm=tab_hty.top&amp;where=nexearch&amp;ssc=tab.nx.all&amp;query=%EA%B3%A0%EC%9C%84%EB%93%9C&amp;oquery=%EA%B0%9C%EC%9D%B8%EB%B2%95%EC%9D%B8%EC%B9%B4%EB%93%9C&amp;tqi=iwg5VsqVOsVssS1mLswssssssLV-064300" TargetMode="External"/><Relationship Id="rId519" Type="http://schemas.openxmlformats.org/officeDocument/2006/relationships/hyperlink" Target="https://www.google.com/" TargetMode="External"/><Relationship Id="rId514" Type="http://schemas.openxmlformats.org/officeDocument/2006/relationships/hyperlink" Target="https://www.google.com/" TargetMode="External"/><Relationship Id="rId513" Type="http://schemas.openxmlformats.org/officeDocument/2006/relationships/hyperlink" Target="https://search.naver.com/" TargetMode="External"/><Relationship Id="rId512" Type="http://schemas.openxmlformats.org/officeDocument/2006/relationships/hyperlink" Target="https://search.naver.com/search.naver?where=nexearch&amp;sm=top_sug.pre&amp;fbm=0&amp;acr=1&amp;acq=%EA%B3%A0%EC%9C%84%EB%93%9C&amp;qdt=0&amp;ie=utf8&amp;query=%EA%B3%A0%EC%9C%84%EB%93%9C" TargetMode="External"/><Relationship Id="rId511" Type="http://schemas.openxmlformats.org/officeDocument/2006/relationships/hyperlink" Target="https://payment-gateway.tosspayments.com/" TargetMode="External"/><Relationship Id="rId518" Type="http://schemas.openxmlformats.org/officeDocument/2006/relationships/hyperlink" Target="https://www.google.com/" TargetMode="External"/><Relationship Id="rId517" Type="http://schemas.openxmlformats.org/officeDocument/2006/relationships/hyperlink" Target="https://www.google.com/" TargetMode="External"/><Relationship Id="rId516" Type="http://schemas.openxmlformats.org/officeDocument/2006/relationships/hyperlink" Target="https://search.naver.com/search.naver?sm=tab_hty.top&amp;where=nexearch&amp;ssc=tab.nx.all&amp;query=%EA%B3%A0%EC%9C%84%EB%93%9C+%EC%B9%B4%EB%93%9C&amp;oquery=%EA%B3%A0%EC%9C%84%EB%93%9C&amp;tqi=i013Jwqo1awss7IgcVdsssssttN-330395" TargetMode="External"/><Relationship Id="rId515" Type="http://schemas.openxmlformats.org/officeDocument/2006/relationships/hyperlink" Target="https://admin.stepbaas.com/" TargetMode="External"/><Relationship Id="rId15" Type="http://schemas.openxmlformats.org/officeDocument/2006/relationships/hyperlink" Target="https://docs.channel.io/" TargetMode="External"/><Relationship Id="rId14" Type="http://schemas.openxmlformats.org/officeDocument/2006/relationships/hyperlink" Target="https://timbel.hanbiro.net/" TargetMode="External"/><Relationship Id="rId17" Type="http://schemas.openxmlformats.org/officeDocument/2006/relationships/hyperlink" Target="https://search.naver.com/" TargetMode="External"/><Relationship Id="rId16" Type="http://schemas.openxmlformats.org/officeDocument/2006/relationships/hyperlink" Target="https://www.google.com/" TargetMode="External"/><Relationship Id="rId19" Type="http://schemas.openxmlformats.org/officeDocument/2006/relationships/hyperlink" Target="https://search.naver.com/" TargetMode="External"/><Relationship Id="rId510" Type="http://schemas.openxmlformats.org/officeDocument/2006/relationships/hyperlink" Target="https://docs.channel.io/" TargetMode="External"/><Relationship Id="rId18" Type="http://schemas.openxmlformats.org/officeDocument/2006/relationships/hyperlink" Target="https://search.naver.com/search.naver?ie=UTF-8&amp;query=%EA%B3%A0%EC%9C%84%EB%93%9C&amp;sm=chr_hty" TargetMode="External"/><Relationship Id="rId84" Type="http://schemas.openxmlformats.org/officeDocument/2006/relationships/hyperlink" Target="https://www.google.com/" TargetMode="External"/><Relationship Id="rId83" Type="http://schemas.openxmlformats.org/officeDocument/2006/relationships/hyperlink" Target="https://payment-gateway.tosspayments.com/" TargetMode="External"/><Relationship Id="rId86" Type="http://schemas.openxmlformats.org/officeDocument/2006/relationships/hyperlink" Target="https://www.google.com/" TargetMode="External"/><Relationship Id="rId85" Type="http://schemas.openxmlformats.org/officeDocument/2006/relationships/hyperlink" Target="https://www.google.com/" TargetMode="External"/><Relationship Id="rId88" Type="http://schemas.openxmlformats.org/officeDocument/2006/relationships/hyperlink" Target="https://www.google.com/" TargetMode="External"/><Relationship Id="rId87" Type="http://schemas.openxmlformats.org/officeDocument/2006/relationships/hyperlink" Target="https://search.naver.com/" TargetMode="External"/><Relationship Id="rId89" Type="http://schemas.openxmlformats.org/officeDocument/2006/relationships/hyperlink" Target="https://www.google.com/" TargetMode="External"/><Relationship Id="rId80" Type="http://schemas.openxmlformats.org/officeDocument/2006/relationships/hyperlink" Target="https://www.google.com/" TargetMode="External"/><Relationship Id="rId82" Type="http://schemas.openxmlformats.org/officeDocument/2006/relationships/hyperlink" Target="https://www.google.com/" TargetMode="External"/><Relationship Id="rId81" Type="http://schemas.openxmlformats.org/officeDocument/2006/relationships/hyperlink" Target="https://search.naver.com/" TargetMode="External"/><Relationship Id="rId73" Type="http://schemas.openxmlformats.org/officeDocument/2006/relationships/hyperlink" Target="https://payment-gateway.tosspayments.com/" TargetMode="External"/><Relationship Id="rId72" Type="http://schemas.openxmlformats.org/officeDocument/2006/relationships/hyperlink" Target="https://payment-gateway.tosspayments.com/" TargetMode="External"/><Relationship Id="rId75" Type="http://schemas.openxmlformats.org/officeDocument/2006/relationships/hyperlink" Target="https://www.gowid.com/" TargetMode="External"/><Relationship Id="rId74" Type="http://schemas.openxmlformats.org/officeDocument/2006/relationships/hyperlink" Target="https://search.naver.com/search.naver?where=nexearch&amp;sm=top_hty&amp;fbm=0&amp;ie=utf8&amp;query=%EA%B3%A0%EC%9C%84%EB%93%9C" TargetMode="External"/><Relationship Id="rId77" Type="http://schemas.openxmlformats.org/officeDocument/2006/relationships/hyperlink" Target="https://search.naver.com/" TargetMode="External"/><Relationship Id="rId76" Type="http://schemas.openxmlformats.org/officeDocument/2006/relationships/hyperlink" Target="https://search.naver.com/" TargetMode="External"/><Relationship Id="rId79" Type="http://schemas.openxmlformats.org/officeDocument/2006/relationships/hyperlink" Target="https://gowid.com/" TargetMode="External"/><Relationship Id="rId78" Type="http://schemas.openxmlformats.org/officeDocument/2006/relationships/hyperlink" Target="https://gowid.com/" TargetMode="External"/><Relationship Id="rId71" Type="http://schemas.openxmlformats.org/officeDocument/2006/relationships/hyperlink" Target="https://corp.lottecard.co.kr/" TargetMode="External"/><Relationship Id="rId70" Type="http://schemas.openxmlformats.org/officeDocument/2006/relationships/hyperlink" Target="https://www.google.com/" TargetMode="External"/><Relationship Id="rId62" Type="http://schemas.openxmlformats.org/officeDocument/2006/relationships/hyperlink" Target="https://search.naver.com/" TargetMode="External"/><Relationship Id="rId61" Type="http://schemas.openxmlformats.org/officeDocument/2006/relationships/hyperlink" Target="https://www.google.com/" TargetMode="External"/><Relationship Id="rId64" Type="http://schemas.openxmlformats.org/officeDocument/2006/relationships/hyperlink" Target="https://www.google.com/" TargetMode="External"/><Relationship Id="rId63" Type="http://schemas.openxmlformats.org/officeDocument/2006/relationships/hyperlink" Target="https://search.naver.com/" TargetMode="External"/><Relationship Id="rId66" Type="http://schemas.openxmlformats.org/officeDocument/2006/relationships/hyperlink" Target="https://gowid.com/" TargetMode="External"/><Relationship Id="rId65" Type="http://schemas.openxmlformats.org/officeDocument/2006/relationships/hyperlink" Target="https://docs.channel.io/" TargetMode="External"/><Relationship Id="rId68" Type="http://schemas.openxmlformats.org/officeDocument/2006/relationships/hyperlink" Target="https://docs.channel.io/" TargetMode="External"/><Relationship Id="rId67" Type="http://schemas.openxmlformats.org/officeDocument/2006/relationships/hyperlink" Target="https://search.naver.com/" TargetMode="External"/><Relationship Id="rId60" Type="http://schemas.openxmlformats.org/officeDocument/2006/relationships/hyperlink" Target="https://www.google.com/" TargetMode="External"/><Relationship Id="rId69" Type="http://schemas.openxmlformats.org/officeDocument/2006/relationships/hyperlink" Target="https://www.google.com/" TargetMode="External"/><Relationship Id="rId51" Type="http://schemas.openxmlformats.org/officeDocument/2006/relationships/hyperlink" Target="https://www.google.com/" TargetMode="External"/><Relationship Id="rId50" Type="http://schemas.openxmlformats.org/officeDocument/2006/relationships/hyperlink" Target="https://www.google.com/" TargetMode="External"/><Relationship Id="rId53" Type="http://schemas.openxmlformats.org/officeDocument/2006/relationships/hyperlink" Target="https://gowidsub.imweb.me/" TargetMode="External"/><Relationship Id="rId52" Type="http://schemas.openxmlformats.org/officeDocument/2006/relationships/hyperlink" Target="https://www.google.com/" TargetMode="External"/><Relationship Id="rId55" Type="http://schemas.openxmlformats.org/officeDocument/2006/relationships/hyperlink" Target="https://www.google.com/" TargetMode="External"/><Relationship Id="rId54" Type="http://schemas.openxmlformats.org/officeDocument/2006/relationships/hyperlink" Target="https://www.google.com/" TargetMode="External"/><Relationship Id="rId57" Type="http://schemas.openxmlformats.org/officeDocument/2006/relationships/hyperlink" Target="https://m.search.naver.com/" TargetMode="External"/><Relationship Id="rId56" Type="http://schemas.openxmlformats.org/officeDocument/2006/relationships/hyperlink" Target="https://m.search.naver.com/" TargetMode="External"/><Relationship Id="rId59" Type="http://schemas.openxmlformats.org/officeDocument/2006/relationships/hyperlink" Target="https://stibee.com/" TargetMode="External"/><Relationship Id="rId58" Type="http://schemas.openxmlformats.org/officeDocument/2006/relationships/hyperlink" Target="https://stibee.com/" TargetMode="External"/><Relationship Id="rId590" Type="http://schemas.openxmlformats.org/officeDocument/2006/relationships/hyperlink" Target="https://m.search.naver.com/" TargetMode="External"/><Relationship Id="rId107" Type="http://schemas.openxmlformats.org/officeDocument/2006/relationships/hyperlink" Target="https://payment-gateway.tosspayments.com/" TargetMode="External"/><Relationship Id="rId349" Type="http://schemas.openxmlformats.org/officeDocument/2006/relationships/hyperlink" Target="https://www.google.com/" TargetMode="External"/><Relationship Id="rId106" Type="http://schemas.openxmlformats.org/officeDocument/2006/relationships/hyperlink" Target="https://www.google.com/" TargetMode="External"/><Relationship Id="rId348" Type="http://schemas.openxmlformats.org/officeDocument/2006/relationships/hyperlink" Target="https://www.google.com/" TargetMode="External"/><Relationship Id="rId105" Type="http://schemas.openxmlformats.org/officeDocument/2006/relationships/hyperlink" Target="https://www.bing.com/" TargetMode="External"/><Relationship Id="rId347" Type="http://schemas.openxmlformats.org/officeDocument/2006/relationships/hyperlink" Target="https://www.google.com/" TargetMode="External"/><Relationship Id="rId589" Type="http://schemas.openxmlformats.org/officeDocument/2006/relationships/hyperlink" Target="https://gowid.com/" TargetMode="External"/><Relationship Id="rId104" Type="http://schemas.openxmlformats.org/officeDocument/2006/relationships/hyperlink" Target="https://www.bing.com/" TargetMode="External"/><Relationship Id="rId346" Type="http://schemas.openxmlformats.org/officeDocument/2006/relationships/hyperlink" Target="https://www.google.com/" TargetMode="External"/><Relationship Id="rId588" Type="http://schemas.openxmlformats.org/officeDocument/2006/relationships/hyperlink" Target="https://gowid.com/" TargetMode="External"/><Relationship Id="rId109" Type="http://schemas.openxmlformats.org/officeDocument/2006/relationships/hyperlink" Target="https://www.google.com/" TargetMode="External"/><Relationship Id="rId108" Type="http://schemas.openxmlformats.org/officeDocument/2006/relationships/hyperlink" Target="https://www.google.com/" TargetMode="External"/><Relationship Id="rId341" Type="http://schemas.openxmlformats.org/officeDocument/2006/relationships/hyperlink" Target="https://www.google.com/" TargetMode="External"/><Relationship Id="rId583" Type="http://schemas.openxmlformats.org/officeDocument/2006/relationships/hyperlink" Target="https://search.naver.com/" TargetMode="External"/><Relationship Id="rId340" Type="http://schemas.openxmlformats.org/officeDocument/2006/relationships/hyperlink" Target="https://www.google.com/" TargetMode="External"/><Relationship Id="rId582" Type="http://schemas.openxmlformats.org/officeDocument/2006/relationships/hyperlink" Target="https://search.naver.com/" TargetMode="External"/><Relationship Id="rId581" Type="http://schemas.openxmlformats.org/officeDocument/2006/relationships/hyperlink" Target="https://search.naver.com/" TargetMode="External"/><Relationship Id="rId580" Type="http://schemas.openxmlformats.org/officeDocument/2006/relationships/hyperlink" Target="https://webmail.oncha.co.kr/" TargetMode="External"/><Relationship Id="rId103" Type="http://schemas.openxmlformats.org/officeDocument/2006/relationships/hyperlink" Target="https://docs.channel.io/" TargetMode="External"/><Relationship Id="rId345" Type="http://schemas.openxmlformats.org/officeDocument/2006/relationships/hyperlink" Target="https://www.google.com/" TargetMode="External"/><Relationship Id="rId587" Type="http://schemas.openxmlformats.org/officeDocument/2006/relationships/hyperlink" Target="https://www.google.com/" TargetMode="External"/><Relationship Id="rId102" Type="http://schemas.openxmlformats.org/officeDocument/2006/relationships/hyperlink" Target="https://search.naver.com/search.naver?where=nexearch&amp;sm=top_hty&amp;fbm=0&amp;ie=utf8&amp;query=%EA%B3%A0%EC%9C%84%EB%93%9C" TargetMode="External"/><Relationship Id="rId344" Type="http://schemas.openxmlformats.org/officeDocument/2006/relationships/hyperlink" Target="https://www.google.com/" TargetMode="External"/><Relationship Id="rId586" Type="http://schemas.openxmlformats.org/officeDocument/2006/relationships/hyperlink" Target="https://www.google.com/" TargetMode="External"/><Relationship Id="rId101" Type="http://schemas.openxmlformats.org/officeDocument/2006/relationships/hyperlink" Target="https://www.google.com/" TargetMode="External"/><Relationship Id="rId343" Type="http://schemas.openxmlformats.org/officeDocument/2006/relationships/hyperlink" Target="https://www.google.com/" TargetMode="External"/><Relationship Id="rId585" Type="http://schemas.openxmlformats.org/officeDocument/2006/relationships/hyperlink" Target="https://paybycard.figma.site/" TargetMode="External"/><Relationship Id="rId100" Type="http://schemas.openxmlformats.org/officeDocument/2006/relationships/hyperlink" Target="https://www.google.com/" TargetMode="External"/><Relationship Id="rId342" Type="http://schemas.openxmlformats.org/officeDocument/2006/relationships/hyperlink" Target="https://www.google.com/" TargetMode="External"/><Relationship Id="rId584" Type="http://schemas.openxmlformats.org/officeDocument/2006/relationships/hyperlink" Target="https://www.google.com/" TargetMode="External"/><Relationship Id="rId338" Type="http://schemas.openxmlformats.org/officeDocument/2006/relationships/hyperlink" Target="https://search.naver.com/" TargetMode="External"/><Relationship Id="rId337" Type="http://schemas.openxmlformats.org/officeDocument/2006/relationships/hyperlink" Target="https://www.google.com/" TargetMode="External"/><Relationship Id="rId579" Type="http://schemas.openxmlformats.org/officeDocument/2006/relationships/hyperlink" Target="https://www.google.com/" TargetMode="External"/><Relationship Id="rId336" Type="http://schemas.openxmlformats.org/officeDocument/2006/relationships/hyperlink" Target="https://www.google.com/" TargetMode="External"/><Relationship Id="rId578" Type="http://schemas.openxmlformats.org/officeDocument/2006/relationships/hyperlink" Target="https://www.google.com/" TargetMode="External"/><Relationship Id="rId335" Type="http://schemas.openxmlformats.org/officeDocument/2006/relationships/hyperlink" Target="https://www.google.com/" TargetMode="External"/><Relationship Id="rId577" Type="http://schemas.openxmlformats.org/officeDocument/2006/relationships/hyperlink" Target="https://search.naver.com/" TargetMode="External"/><Relationship Id="rId339" Type="http://schemas.openxmlformats.org/officeDocument/2006/relationships/hyperlink" Target="https://search.naver.com/" TargetMode="External"/><Relationship Id="rId330" Type="http://schemas.openxmlformats.org/officeDocument/2006/relationships/hyperlink" Target="https://payment-gateway.tosspayments.com/" TargetMode="External"/><Relationship Id="rId572" Type="http://schemas.openxmlformats.org/officeDocument/2006/relationships/hyperlink" Target="https://www.google.com/" TargetMode="External"/><Relationship Id="rId571" Type="http://schemas.openxmlformats.org/officeDocument/2006/relationships/hyperlink" Target="https://search.naver.com/" TargetMode="External"/><Relationship Id="rId570" Type="http://schemas.openxmlformats.org/officeDocument/2006/relationships/hyperlink" Target="https://search.naver.com/" TargetMode="External"/><Relationship Id="rId334" Type="http://schemas.openxmlformats.org/officeDocument/2006/relationships/hyperlink" Target="https://www.google.com/" TargetMode="External"/><Relationship Id="rId576" Type="http://schemas.openxmlformats.org/officeDocument/2006/relationships/hyperlink" Target="https://search.naver.com/" TargetMode="External"/><Relationship Id="rId333" Type="http://schemas.openxmlformats.org/officeDocument/2006/relationships/hyperlink" Target="https://search.naver.com/search.naver?where=nexearch&amp;sm=top_hty&amp;fbm=0&amp;ie=utf8&amp;query=%EA%B3%A0%EC%9C%84%EB%93%9C" TargetMode="External"/><Relationship Id="rId575" Type="http://schemas.openxmlformats.org/officeDocument/2006/relationships/hyperlink" Target="https://search.naver.com/" TargetMode="External"/><Relationship Id="rId332" Type="http://schemas.openxmlformats.org/officeDocument/2006/relationships/hyperlink" Target="https://search.naver.com/" TargetMode="External"/><Relationship Id="rId574" Type="http://schemas.openxmlformats.org/officeDocument/2006/relationships/hyperlink" Target="https://search.naver.com/" TargetMode="External"/><Relationship Id="rId331" Type="http://schemas.openxmlformats.org/officeDocument/2006/relationships/hyperlink" Target="https://search.naver.com/" TargetMode="External"/><Relationship Id="rId573" Type="http://schemas.openxmlformats.org/officeDocument/2006/relationships/hyperlink" Target="https://www.google.com/" TargetMode="External"/><Relationship Id="rId370" Type="http://schemas.openxmlformats.org/officeDocument/2006/relationships/hyperlink" Target="https://www.google.com/" TargetMode="External"/><Relationship Id="rId129" Type="http://schemas.openxmlformats.org/officeDocument/2006/relationships/hyperlink" Target="https://ntp.msn.com/" TargetMode="External"/><Relationship Id="rId128" Type="http://schemas.openxmlformats.org/officeDocument/2006/relationships/hyperlink" Target="https://www.google.com/" TargetMode="External"/><Relationship Id="rId127" Type="http://schemas.openxmlformats.org/officeDocument/2006/relationships/hyperlink" Target="https://www.google.com/" TargetMode="External"/><Relationship Id="rId369" Type="http://schemas.openxmlformats.org/officeDocument/2006/relationships/hyperlink" Target="https://www.google.com/" TargetMode="External"/><Relationship Id="rId126" Type="http://schemas.openxmlformats.org/officeDocument/2006/relationships/hyperlink" Target="https://www.google.com/" TargetMode="External"/><Relationship Id="rId368" Type="http://schemas.openxmlformats.org/officeDocument/2006/relationships/hyperlink" Target="https://www.google.com/" TargetMode="External"/><Relationship Id="rId121" Type="http://schemas.openxmlformats.org/officeDocument/2006/relationships/hyperlink" Target="https://www.google.com/" TargetMode="External"/><Relationship Id="rId363" Type="http://schemas.openxmlformats.org/officeDocument/2006/relationships/hyperlink" Target="https://search.naver.com/" TargetMode="External"/><Relationship Id="rId120" Type="http://schemas.openxmlformats.org/officeDocument/2006/relationships/hyperlink" Target="https://www.google.com/" TargetMode="External"/><Relationship Id="rId362" Type="http://schemas.openxmlformats.org/officeDocument/2006/relationships/hyperlink" Target="https://search.naver.com/" TargetMode="External"/><Relationship Id="rId361" Type="http://schemas.openxmlformats.org/officeDocument/2006/relationships/hyperlink" Target="https://search.naver.com/" TargetMode="External"/><Relationship Id="rId360" Type="http://schemas.openxmlformats.org/officeDocument/2006/relationships/hyperlink" Target="https://search.naver.com/" TargetMode="External"/><Relationship Id="rId125" Type="http://schemas.openxmlformats.org/officeDocument/2006/relationships/hyperlink" Target="https://www.google.com/" TargetMode="External"/><Relationship Id="rId367" Type="http://schemas.openxmlformats.org/officeDocument/2006/relationships/hyperlink" Target="https://www.google.com/" TargetMode="External"/><Relationship Id="rId124" Type="http://schemas.openxmlformats.org/officeDocument/2006/relationships/hyperlink" Target="https://www.riupack.com/" TargetMode="External"/><Relationship Id="rId366" Type="http://schemas.openxmlformats.org/officeDocument/2006/relationships/hyperlink" Target="https://www.google.com/" TargetMode="External"/><Relationship Id="rId123" Type="http://schemas.openxmlformats.org/officeDocument/2006/relationships/hyperlink" Target="https://www.google.com/" TargetMode="External"/><Relationship Id="rId365" Type="http://schemas.openxmlformats.org/officeDocument/2006/relationships/hyperlink" Target="http://instagram.com/" TargetMode="External"/><Relationship Id="rId122" Type="http://schemas.openxmlformats.org/officeDocument/2006/relationships/hyperlink" Target="https://www.google.com/" TargetMode="External"/><Relationship Id="rId364" Type="http://schemas.openxmlformats.org/officeDocument/2006/relationships/hyperlink" Target="http://instagram.com/" TargetMode="External"/><Relationship Id="rId95" Type="http://schemas.openxmlformats.org/officeDocument/2006/relationships/hyperlink" Target="https://search.naver.com/" TargetMode="External"/><Relationship Id="rId94" Type="http://schemas.openxmlformats.org/officeDocument/2006/relationships/hyperlink" Target="https://search.naver.com/" TargetMode="External"/><Relationship Id="rId97" Type="http://schemas.openxmlformats.org/officeDocument/2006/relationships/hyperlink" Target="https://www.google.com/" TargetMode="External"/><Relationship Id="rId96" Type="http://schemas.openxmlformats.org/officeDocument/2006/relationships/hyperlink" Target="https://www.google.com/" TargetMode="External"/><Relationship Id="rId99" Type="http://schemas.openxmlformats.org/officeDocument/2006/relationships/hyperlink" Target="https://docs.channel.io/" TargetMode="External"/><Relationship Id="rId98" Type="http://schemas.openxmlformats.org/officeDocument/2006/relationships/hyperlink" Target="https://docs.channel.io/" TargetMode="External"/><Relationship Id="rId91" Type="http://schemas.openxmlformats.org/officeDocument/2006/relationships/hyperlink" Target="https://www.google.com/" TargetMode="External"/><Relationship Id="rId90" Type="http://schemas.openxmlformats.org/officeDocument/2006/relationships/hyperlink" Target="https://www.google.com/" TargetMode="External"/><Relationship Id="rId93" Type="http://schemas.openxmlformats.org/officeDocument/2006/relationships/hyperlink" Target="https://www.google.com/" TargetMode="External"/><Relationship Id="rId92" Type="http://schemas.openxmlformats.org/officeDocument/2006/relationships/hyperlink" Target="https://www.google.com/" TargetMode="External"/><Relationship Id="rId118" Type="http://schemas.openxmlformats.org/officeDocument/2006/relationships/hyperlink" Target="https://www.google.com/" TargetMode="External"/><Relationship Id="rId117" Type="http://schemas.openxmlformats.org/officeDocument/2006/relationships/hyperlink" Target="https://www.google.com/" TargetMode="External"/><Relationship Id="rId359" Type="http://schemas.openxmlformats.org/officeDocument/2006/relationships/hyperlink" Target="https://chatgpt.com/" TargetMode="External"/><Relationship Id="rId116" Type="http://schemas.openxmlformats.org/officeDocument/2006/relationships/hyperlink" Target="https://search.naver.com/search.naver?sm=tab_hty.top&amp;where=nexearch&amp;ssc=tab.nx.all&amp;query=%EA%B3%A0%EC%9C%84%EB%93%9C&amp;oquery=%EC%98%A4%EB%A0%8C%EC%A7%80%ED%94%8C%EB%9E%98%EB%8B%9B&amp;tqi=iH8h3sqVN8CssD%2B%2Fit4ssssstVo-232041" TargetMode="External"/><Relationship Id="rId358" Type="http://schemas.openxmlformats.org/officeDocument/2006/relationships/hyperlink" Target="http://chatgpt.com" TargetMode="External"/><Relationship Id="rId115" Type="http://schemas.openxmlformats.org/officeDocument/2006/relationships/hyperlink" Target="https://search.naver.com/" TargetMode="External"/><Relationship Id="rId357" Type="http://schemas.openxmlformats.org/officeDocument/2006/relationships/hyperlink" Target="http://chatgpt.com" TargetMode="External"/><Relationship Id="rId599" Type="http://schemas.openxmlformats.org/officeDocument/2006/relationships/hyperlink" Target="https://m.search.naver.com/" TargetMode="External"/><Relationship Id="rId119" Type="http://schemas.openxmlformats.org/officeDocument/2006/relationships/hyperlink" Target="https://www.google.com/" TargetMode="External"/><Relationship Id="rId110" Type="http://schemas.openxmlformats.org/officeDocument/2006/relationships/hyperlink" Target="https://blog.gowid.com/" TargetMode="External"/><Relationship Id="rId352" Type="http://schemas.openxmlformats.org/officeDocument/2006/relationships/hyperlink" Target="https://search.naver.com/" TargetMode="External"/><Relationship Id="rId594" Type="http://schemas.openxmlformats.org/officeDocument/2006/relationships/hyperlink" Target="https://search.naver.com/search.naver?where=nexearch&amp;sm=top_hty&amp;fbm=0&amp;ie=utf8&amp;query=%EA%B3%A0%EC%9C%84%EB%93%9C" TargetMode="External"/><Relationship Id="rId351" Type="http://schemas.openxmlformats.org/officeDocument/2006/relationships/hyperlink" Target="https://docs.channel.io/" TargetMode="External"/><Relationship Id="rId593" Type="http://schemas.openxmlformats.org/officeDocument/2006/relationships/hyperlink" Target="https://payment-gateway.tosspayments.com/" TargetMode="External"/><Relationship Id="rId350" Type="http://schemas.openxmlformats.org/officeDocument/2006/relationships/hyperlink" Target="https://www.google.com/" TargetMode="External"/><Relationship Id="rId592" Type="http://schemas.openxmlformats.org/officeDocument/2006/relationships/hyperlink" Target="https://payment-gateway.tosspayments.com/" TargetMode="External"/><Relationship Id="rId591" Type="http://schemas.openxmlformats.org/officeDocument/2006/relationships/hyperlink" Target="https://m.search.naver.com/" TargetMode="External"/><Relationship Id="rId114" Type="http://schemas.openxmlformats.org/officeDocument/2006/relationships/hyperlink" Target="https://www.google.com/" TargetMode="External"/><Relationship Id="rId356" Type="http://schemas.openxmlformats.org/officeDocument/2006/relationships/hyperlink" Target="https://search.naver.com/search.naver?sm=tab_hty.top&amp;where=nexearch&amp;ssc=tab.nx.all&amp;query=%EA%B3%A0%EC%9C%84%EB%93%9C&amp;oquery=%EB%A1%AF%EB%8D%B0%EC%B9%B4%EB%93%9C+%EA%B3%A0%EC%9C%84%EB%93%9C&amp;tqi=iqxbedqo1e8ssSJEfMRssssstcV-463151" TargetMode="External"/><Relationship Id="rId598" Type="http://schemas.openxmlformats.org/officeDocument/2006/relationships/hyperlink" Target="https://m.search.naver.com/" TargetMode="External"/><Relationship Id="rId113" Type="http://schemas.openxmlformats.org/officeDocument/2006/relationships/hyperlink" Target="https://search.naver.com/" TargetMode="External"/><Relationship Id="rId355" Type="http://schemas.openxmlformats.org/officeDocument/2006/relationships/hyperlink" Target="https://search.naver.com/" TargetMode="External"/><Relationship Id="rId597" Type="http://schemas.openxmlformats.org/officeDocument/2006/relationships/hyperlink" Target="https://www.google.com/" TargetMode="External"/><Relationship Id="rId112" Type="http://schemas.openxmlformats.org/officeDocument/2006/relationships/hyperlink" Target="https://search.naver.com/" TargetMode="External"/><Relationship Id="rId354" Type="http://schemas.openxmlformats.org/officeDocument/2006/relationships/hyperlink" Target="https://www.google.com/" TargetMode="External"/><Relationship Id="rId596" Type="http://schemas.openxmlformats.org/officeDocument/2006/relationships/hyperlink" Target="https://mail.google.com/" TargetMode="External"/><Relationship Id="rId111" Type="http://schemas.openxmlformats.org/officeDocument/2006/relationships/hyperlink" Target="https://www.google.com/" TargetMode="External"/><Relationship Id="rId353" Type="http://schemas.openxmlformats.org/officeDocument/2006/relationships/hyperlink" Target="https://search.naver.com/" TargetMode="External"/><Relationship Id="rId595" Type="http://schemas.openxmlformats.org/officeDocument/2006/relationships/hyperlink" Target="https://www.google.com/" TargetMode="External"/><Relationship Id="rId305" Type="http://schemas.openxmlformats.org/officeDocument/2006/relationships/hyperlink" Target="https://search.naver.com/" TargetMode="External"/><Relationship Id="rId547" Type="http://schemas.openxmlformats.org/officeDocument/2006/relationships/hyperlink" Target="https://www.google.com/" TargetMode="External"/><Relationship Id="rId304" Type="http://schemas.openxmlformats.org/officeDocument/2006/relationships/hyperlink" Target="https://payment-gateway.tosspayments.com/" TargetMode="External"/><Relationship Id="rId546" Type="http://schemas.openxmlformats.org/officeDocument/2006/relationships/hyperlink" Target="https://www.google.com/" TargetMode="External"/><Relationship Id="rId303" Type="http://schemas.openxmlformats.org/officeDocument/2006/relationships/hyperlink" Target="https://www.google.com/" TargetMode="External"/><Relationship Id="rId545" Type="http://schemas.openxmlformats.org/officeDocument/2006/relationships/hyperlink" Target="https://www.google.com/" TargetMode="External"/><Relationship Id="rId302" Type="http://schemas.openxmlformats.org/officeDocument/2006/relationships/hyperlink" Target="https://docs.channel.io/" TargetMode="External"/><Relationship Id="rId544" Type="http://schemas.openxmlformats.org/officeDocument/2006/relationships/hyperlink" Target="https://www.google.com/" TargetMode="External"/><Relationship Id="rId309" Type="http://schemas.openxmlformats.org/officeDocument/2006/relationships/hyperlink" Target="https://www.google.com/" TargetMode="External"/><Relationship Id="rId308" Type="http://schemas.openxmlformats.org/officeDocument/2006/relationships/hyperlink" Target="https://www.google.com/" TargetMode="External"/><Relationship Id="rId307" Type="http://schemas.openxmlformats.org/officeDocument/2006/relationships/hyperlink" Target="https://www.google.com/" TargetMode="External"/><Relationship Id="rId549" Type="http://schemas.openxmlformats.org/officeDocument/2006/relationships/hyperlink" Target="https://gowidsub.imweb.me/" TargetMode="External"/><Relationship Id="rId306" Type="http://schemas.openxmlformats.org/officeDocument/2006/relationships/hyperlink" Target="https://search.naver.com/" TargetMode="External"/><Relationship Id="rId548" Type="http://schemas.openxmlformats.org/officeDocument/2006/relationships/hyperlink" Target="https://gowidsub.imweb.me/" TargetMode="External"/><Relationship Id="rId301" Type="http://schemas.openxmlformats.org/officeDocument/2006/relationships/hyperlink" Target="https://docs.channel.io/" TargetMode="External"/><Relationship Id="rId543" Type="http://schemas.openxmlformats.org/officeDocument/2006/relationships/hyperlink" Target="https://m.search.naver.com/" TargetMode="External"/><Relationship Id="rId300" Type="http://schemas.openxmlformats.org/officeDocument/2006/relationships/hyperlink" Target="https://www.google.com/" TargetMode="External"/><Relationship Id="rId542" Type="http://schemas.openxmlformats.org/officeDocument/2006/relationships/hyperlink" Target="https://m.search.naver.com/" TargetMode="External"/><Relationship Id="rId541" Type="http://schemas.openxmlformats.org/officeDocument/2006/relationships/hyperlink" Target="https://www.bing.com/" TargetMode="External"/><Relationship Id="rId540" Type="http://schemas.openxmlformats.org/officeDocument/2006/relationships/hyperlink" Target="https://www.google.com/" TargetMode="External"/><Relationship Id="rId536" Type="http://schemas.openxmlformats.org/officeDocument/2006/relationships/hyperlink" Target="https://search.naver.com/search.naver?where=nexearch&amp;sm=top_hty&amp;fbm=0&amp;ie=utf8&amp;query=%EA%B3%A0%EC%9C%84%EB%93%9C" TargetMode="External"/><Relationship Id="rId535" Type="http://schemas.openxmlformats.org/officeDocument/2006/relationships/hyperlink" Target="https://gowid.channel.io/" TargetMode="External"/><Relationship Id="rId534" Type="http://schemas.openxmlformats.org/officeDocument/2006/relationships/hyperlink" Target="https://search.naver.com/search.naver?where=nexearch&amp;sm=top_hty&amp;fbm=0&amp;ie=utf8&amp;query=%EA%B3%A0%EC%9C%84%EB%93%9C" TargetMode="External"/><Relationship Id="rId533" Type="http://schemas.openxmlformats.org/officeDocument/2006/relationships/hyperlink" Target="https://mail.google.com/" TargetMode="External"/><Relationship Id="rId539" Type="http://schemas.openxmlformats.org/officeDocument/2006/relationships/hyperlink" Target="https://www.google.com/" TargetMode="External"/><Relationship Id="rId538" Type="http://schemas.openxmlformats.org/officeDocument/2006/relationships/hyperlink" Target="https://www.google.com/" TargetMode="External"/><Relationship Id="rId537" Type="http://schemas.openxmlformats.org/officeDocument/2006/relationships/hyperlink" Target="https://search.naver.com/" TargetMode="External"/><Relationship Id="rId532" Type="http://schemas.openxmlformats.org/officeDocument/2006/relationships/hyperlink" Target="https://www.google.com/" TargetMode="External"/><Relationship Id="rId531" Type="http://schemas.openxmlformats.org/officeDocument/2006/relationships/hyperlink" Target="https://www.google.com/" TargetMode="External"/><Relationship Id="rId530" Type="http://schemas.openxmlformats.org/officeDocument/2006/relationships/hyperlink" Target="https://www.google.com/" TargetMode="External"/><Relationship Id="rId327" Type="http://schemas.openxmlformats.org/officeDocument/2006/relationships/hyperlink" Target="https://www.google.com/" TargetMode="External"/><Relationship Id="rId569" Type="http://schemas.openxmlformats.org/officeDocument/2006/relationships/hyperlink" Target="https://www.google.com/" TargetMode="External"/><Relationship Id="rId326" Type="http://schemas.openxmlformats.org/officeDocument/2006/relationships/hyperlink" Target="https://docs.channel.io/" TargetMode="External"/><Relationship Id="rId568" Type="http://schemas.openxmlformats.org/officeDocument/2006/relationships/hyperlink" Target="https://www.google.com/" TargetMode="External"/><Relationship Id="rId325" Type="http://schemas.openxmlformats.org/officeDocument/2006/relationships/hyperlink" Target="https://www.google.com/" TargetMode="External"/><Relationship Id="rId567" Type="http://schemas.openxmlformats.org/officeDocument/2006/relationships/hyperlink" Target="https://www.bing.com/" TargetMode="External"/><Relationship Id="rId324" Type="http://schemas.openxmlformats.org/officeDocument/2006/relationships/hyperlink" Target="https://search.naver.com/search.naver?sm=tab_sug.top&amp;where=nexearch&amp;ssc=tab.nx.all&amp;query=%EA%B3%A0%EC%9C%84%EB%93%9C&amp;oquery=%EC%9A%B0%EB%A6%AC%EC%9D%80%ED%96%89+%EA%B8%B0%EC%97%85&amp;tqi=iGReddqo1aVssuSXOIhssssss9w-277170&amp;acq=rhdnlem&amp;acr=2&amp;qdt=0" TargetMode="External"/><Relationship Id="rId566" Type="http://schemas.openxmlformats.org/officeDocument/2006/relationships/hyperlink" Target="https://docs.channel.io/" TargetMode="External"/><Relationship Id="rId329" Type="http://schemas.openxmlformats.org/officeDocument/2006/relationships/hyperlink" Target="https://www.bing.com/" TargetMode="External"/><Relationship Id="rId328" Type="http://schemas.openxmlformats.org/officeDocument/2006/relationships/hyperlink" Target="https://www.google.com/" TargetMode="External"/><Relationship Id="rId561" Type="http://schemas.openxmlformats.org/officeDocument/2006/relationships/hyperlink" Target="https://www.google.com/" TargetMode="External"/><Relationship Id="rId560" Type="http://schemas.openxmlformats.org/officeDocument/2006/relationships/hyperlink" Target="https://search.naver.com/" TargetMode="External"/><Relationship Id="rId323" Type="http://schemas.openxmlformats.org/officeDocument/2006/relationships/hyperlink" Target="https://search.naver.com/search.naver?sm=whl_nht&amp;query=%EA%B3%A0%EC%9C%84%EB%93%9C" TargetMode="External"/><Relationship Id="rId565" Type="http://schemas.openxmlformats.org/officeDocument/2006/relationships/hyperlink" Target="https://www.google.com/" TargetMode="External"/><Relationship Id="rId322" Type="http://schemas.openxmlformats.org/officeDocument/2006/relationships/hyperlink" Target="https://search.naver.com/" TargetMode="External"/><Relationship Id="rId564" Type="http://schemas.openxmlformats.org/officeDocument/2006/relationships/hyperlink" Target="https://www.google.com/" TargetMode="External"/><Relationship Id="rId321" Type="http://schemas.openxmlformats.org/officeDocument/2006/relationships/hyperlink" Target="https://blog.gowid.com/" TargetMode="External"/><Relationship Id="rId563" Type="http://schemas.openxmlformats.org/officeDocument/2006/relationships/hyperlink" Target="https://www.google.com/" TargetMode="External"/><Relationship Id="rId320" Type="http://schemas.openxmlformats.org/officeDocument/2006/relationships/hyperlink" Target="https://www.google.com/" TargetMode="External"/><Relationship Id="rId562" Type="http://schemas.openxmlformats.org/officeDocument/2006/relationships/hyperlink" Target="https://www.google.com/" TargetMode="External"/><Relationship Id="rId316" Type="http://schemas.openxmlformats.org/officeDocument/2006/relationships/hyperlink" Target="https://www.google.com/" TargetMode="External"/><Relationship Id="rId558" Type="http://schemas.openxmlformats.org/officeDocument/2006/relationships/hyperlink" Target="https://www.google.com/" TargetMode="External"/><Relationship Id="rId315" Type="http://schemas.openxmlformats.org/officeDocument/2006/relationships/hyperlink" Target="https://www.google.com/" TargetMode="External"/><Relationship Id="rId557" Type="http://schemas.openxmlformats.org/officeDocument/2006/relationships/hyperlink" Target="https://www.google.com/" TargetMode="External"/><Relationship Id="rId314" Type="http://schemas.openxmlformats.org/officeDocument/2006/relationships/hyperlink" Target="https://search.naver.com/" TargetMode="External"/><Relationship Id="rId556" Type="http://schemas.openxmlformats.org/officeDocument/2006/relationships/hyperlink" Target="https://gemini.google.com/" TargetMode="External"/><Relationship Id="rId313" Type="http://schemas.openxmlformats.org/officeDocument/2006/relationships/hyperlink" Target="https://search.naver.com/" TargetMode="External"/><Relationship Id="rId555" Type="http://schemas.openxmlformats.org/officeDocument/2006/relationships/hyperlink" Target="https://www.bing.com/" TargetMode="External"/><Relationship Id="rId319" Type="http://schemas.openxmlformats.org/officeDocument/2006/relationships/hyperlink" Target="https://www.google.com/" TargetMode="External"/><Relationship Id="rId318" Type="http://schemas.openxmlformats.org/officeDocument/2006/relationships/hyperlink" Target="https://search.naver.com/" TargetMode="External"/><Relationship Id="rId317" Type="http://schemas.openxmlformats.org/officeDocument/2006/relationships/hyperlink" Target="https://www.bing.com/" TargetMode="External"/><Relationship Id="rId559" Type="http://schemas.openxmlformats.org/officeDocument/2006/relationships/hyperlink" Target="https://www.google.com/" TargetMode="External"/><Relationship Id="rId550" Type="http://schemas.openxmlformats.org/officeDocument/2006/relationships/hyperlink" Target="https://search.naver.com/" TargetMode="External"/><Relationship Id="rId312" Type="http://schemas.openxmlformats.org/officeDocument/2006/relationships/hyperlink" Target="https://www.google.com/" TargetMode="External"/><Relationship Id="rId554" Type="http://schemas.openxmlformats.org/officeDocument/2006/relationships/hyperlink" Target="https://www.bing.com/" TargetMode="External"/><Relationship Id="rId311" Type="http://schemas.openxmlformats.org/officeDocument/2006/relationships/hyperlink" Target="https://www.google.com/" TargetMode="External"/><Relationship Id="rId553" Type="http://schemas.openxmlformats.org/officeDocument/2006/relationships/hyperlink" Target="https://www.google.com/" TargetMode="External"/><Relationship Id="rId310" Type="http://schemas.openxmlformats.org/officeDocument/2006/relationships/hyperlink" Target="https://www.google.com/" TargetMode="External"/><Relationship Id="rId552" Type="http://schemas.openxmlformats.org/officeDocument/2006/relationships/hyperlink" Target="https://search.naver.com/search.naver?where=nexearch&amp;sm=top_hty&amp;fbm=0&amp;ie=utf8&amp;query=%EA%B3%A0%EC%9C%84%EB%93%9C" TargetMode="External"/><Relationship Id="rId551" Type="http://schemas.openxmlformats.org/officeDocument/2006/relationships/hyperlink" Target="https://docs.channel.io/" TargetMode="External"/><Relationship Id="rId297" Type="http://schemas.openxmlformats.org/officeDocument/2006/relationships/hyperlink" Target="https://corp.lottecard.co.kr/" TargetMode="External"/><Relationship Id="rId296" Type="http://schemas.openxmlformats.org/officeDocument/2006/relationships/hyperlink" Target="https://payment-gateway.tosspayments.com/" TargetMode="External"/><Relationship Id="rId295" Type="http://schemas.openxmlformats.org/officeDocument/2006/relationships/hyperlink" Target="https://payment-gateway.tosspayments.com/" TargetMode="External"/><Relationship Id="rId294" Type="http://schemas.openxmlformats.org/officeDocument/2006/relationships/hyperlink" Target="https://search.naver.com/" TargetMode="External"/><Relationship Id="rId299" Type="http://schemas.openxmlformats.org/officeDocument/2006/relationships/hyperlink" Target="https://search.naver.com/" TargetMode="External"/><Relationship Id="rId298" Type="http://schemas.openxmlformats.org/officeDocument/2006/relationships/hyperlink" Target="https://corp.lottecard.co.kr/" TargetMode="External"/><Relationship Id="rId271" Type="http://schemas.openxmlformats.org/officeDocument/2006/relationships/hyperlink" Target="https://search.naver.com/" TargetMode="External"/><Relationship Id="rId270" Type="http://schemas.openxmlformats.org/officeDocument/2006/relationships/hyperlink" Target="https://search.naver.com/" TargetMode="External"/><Relationship Id="rId269" Type="http://schemas.openxmlformats.org/officeDocument/2006/relationships/hyperlink" Target="https://www.google.com/" TargetMode="External"/><Relationship Id="rId264" Type="http://schemas.openxmlformats.org/officeDocument/2006/relationships/hyperlink" Target="https://www.google.com/" TargetMode="External"/><Relationship Id="rId263" Type="http://schemas.openxmlformats.org/officeDocument/2006/relationships/hyperlink" Target="https://blog.gowid.com/" TargetMode="External"/><Relationship Id="rId262" Type="http://schemas.openxmlformats.org/officeDocument/2006/relationships/hyperlink" Target="https://www.google.com/" TargetMode="External"/><Relationship Id="rId261" Type="http://schemas.openxmlformats.org/officeDocument/2006/relationships/hyperlink" Target="https://www.google.com/" TargetMode="External"/><Relationship Id="rId268" Type="http://schemas.openxmlformats.org/officeDocument/2006/relationships/hyperlink" Target="https://ntp.msn.com/" TargetMode="External"/><Relationship Id="rId267" Type="http://schemas.openxmlformats.org/officeDocument/2006/relationships/hyperlink" Target="https://search.naver.com/search.naver?where=nexearch&amp;sm=top_hty&amp;fbm=0&amp;ie=utf8&amp;query=%EA%B3%A0%EC%9C%84%EB%93%9C&amp;ackey=uemjwxnz" TargetMode="External"/><Relationship Id="rId266" Type="http://schemas.openxmlformats.org/officeDocument/2006/relationships/hyperlink" Target="https://search.naver.com/" TargetMode="External"/><Relationship Id="rId265" Type="http://schemas.openxmlformats.org/officeDocument/2006/relationships/hyperlink" Target="https://search.naver.com/search.naver?sm=tab_hty.top&amp;where=nexearch&amp;ssc=tab.nx.all&amp;query=gowid+%EA%B3%A0%EA%B0%9D%EC%84%BC%ED%84%B0&amp;oquery=%EA%B3%A0%EC%9C%84%EB%93%9C+%EA%B3%A0%EA%B0%9D%EC%84%BC%ED%84%B0&amp;tqi=juTM2lqVN8CssSmpLhhssssssdh-425998&amp;ackey=jyo2g5xo" TargetMode="External"/><Relationship Id="rId260" Type="http://schemas.openxmlformats.org/officeDocument/2006/relationships/hyperlink" Target="https://search.naver.com/" TargetMode="External"/><Relationship Id="rId259" Type="http://schemas.openxmlformats.org/officeDocument/2006/relationships/hyperlink" Target="https://search.naver.com/" TargetMode="External"/><Relationship Id="rId258" Type="http://schemas.openxmlformats.org/officeDocument/2006/relationships/hyperlink" Target="https://carang.daouoffice.com/" TargetMode="External"/><Relationship Id="rId253" Type="http://schemas.openxmlformats.org/officeDocument/2006/relationships/hyperlink" Target="https://www.google.com/" TargetMode="External"/><Relationship Id="rId495" Type="http://schemas.openxmlformats.org/officeDocument/2006/relationships/hyperlink" Target="https://www.google.com/" TargetMode="External"/><Relationship Id="rId252" Type="http://schemas.openxmlformats.org/officeDocument/2006/relationships/hyperlink" Target="https://ntp.msn.com/" TargetMode="External"/><Relationship Id="rId494" Type="http://schemas.openxmlformats.org/officeDocument/2006/relationships/hyperlink" Target="https://gowid.channel.io/" TargetMode="External"/><Relationship Id="rId251" Type="http://schemas.openxmlformats.org/officeDocument/2006/relationships/hyperlink" Target="https://search.naver.com/search.naver?sm=tab_hty.top&amp;where=nexearch&amp;ssc=tab.nx.all&amp;query=%EA%B3%A0%EC%9C%84%EB%93%9C+%EC%B9%B4%EB%93%9C&amp;oquery=%EA%B3%A0%EC%9C%84%EB%93%9C&amp;tqi=i9nUKlqVOsCssjdX9UlssssstyV-087188" TargetMode="External"/><Relationship Id="rId493" Type="http://schemas.openxmlformats.org/officeDocument/2006/relationships/hyperlink" Target="https://www.google.com/" TargetMode="External"/><Relationship Id="rId250" Type="http://schemas.openxmlformats.org/officeDocument/2006/relationships/hyperlink" Target="https://mail.google.com/" TargetMode="External"/><Relationship Id="rId492" Type="http://schemas.openxmlformats.org/officeDocument/2006/relationships/hyperlink" Target="https://www.google.com/" TargetMode="External"/><Relationship Id="rId257" Type="http://schemas.openxmlformats.org/officeDocument/2006/relationships/hyperlink" Target="https://www.bing.com/" TargetMode="External"/><Relationship Id="rId499" Type="http://schemas.openxmlformats.org/officeDocument/2006/relationships/hyperlink" Target="https://www.google.com/" TargetMode="External"/><Relationship Id="rId256" Type="http://schemas.openxmlformats.org/officeDocument/2006/relationships/hyperlink" Target="https://search.naver.com/" TargetMode="External"/><Relationship Id="rId498" Type="http://schemas.openxmlformats.org/officeDocument/2006/relationships/hyperlink" Target="https://www.google.com/" TargetMode="External"/><Relationship Id="rId255" Type="http://schemas.openxmlformats.org/officeDocument/2006/relationships/hyperlink" Target="https://www.google.com/" TargetMode="External"/><Relationship Id="rId497" Type="http://schemas.openxmlformats.org/officeDocument/2006/relationships/hyperlink" Target="https://blog.gowid.com/" TargetMode="External"/><Relationship Id="rId254" Type="http://schemas.openxmlformats.org/officeDocument/2006/relationships/hyperlink" Target="https://www.google.com/" TargetMode="External"/><Relationship Id="rId496" Type="http://schemas.openxmlformats.org/officeDocument/2006/relationships/hyperlink" Target="https://brunch.co.kr/" TargetMode="External"/><Relationship Id="rId293" Type="http://schemas.openxmlformats.org/officeDocument/2006/relationships/hyperlink" Target="https://www.google.com/" TargetMode="External"/><Relationship Id="rId292" Type="http://schemas.openxmlformats.org/officeDocument/2006/relationships/hyperlink" Target="https://search.naver.com/" TargetMode="External"/><Relationship Id="rId291" Type="http://schemas.openxmlformats.org/officeDocument/2006/relationships/hyperlink" Target="https://www.google.com/" TargetMode="External"/><Relationship Id="rId290" Type="http://schemas.openxmlformats.org/officeDocument/2006/relationships/hyperlink" Target="https://www.google.com/" TargetMode="External"/><Relationship Id="rId286" Type="http://schemas.openxmlformats.org/officeDocument/2006/relationships/hyperlink" Target="https://payment-gateway.tosspayments.com/" TargetMode="External"/><Relationship Id="rId285" Type="http://schemas.openxmlformats.org/officeDocument/2006/relationships/hyperlink" Target="https://payment-gateway.tosspayments.com/" TargetMode="External"/><Relationship Id="rId284" Type="http://schemas.openxmlformats.org/officeDocument/2006/relationships/hyperlink" Target="https://www.google.com/" TargetMode="External"/><Relationship Id="rId283" Type="http://schemas.openxmlformats.org/officeDocument/2006/relationships/hyperlink" Target="https://www.google.com/" TargetMode="External"/><Relationship Id="rId289" Type="http://schemas.openxmlformats.org/officeDocument/2006/relationships/hyperlink" Target="https://www.google.com/" TargetMode="External"/><Relationship Id="rId288" Type="http://schemas.openxmlformats.org/officeDocument/2006/relationships/hyperlink" Target="https://l.facebook.com/" TargetMode="External"/><Relationship Id="rId287" Type="http://schemas.openxmlformats.org/officeDocument/2006/relationships/hyperlink" Target="http://instagram.com/" TargetMode="External"/><Relationship Id="rId282" Type="http://schemas.openxmlformats.org/officeDocument/2006/relationships/hyperlink" Target="https://search.naver.com/" TargetMode="External"/><Relationship Id="rId281" Type="http://schemas.openxmlformats.org/officeDocument/2006/relationships/hyperlink" Target="https://search.naver.com/" TargetMode="External"/><Relationship Id="rId280" Type="http://schemas.openxmlformats.org/officeDocument/2006/relationships/hyperlink" Target="https://www.google.com/" TargetMode="External"/><Relationship Id="rId275" Type="http://schemas.openxmlformats.org/officeDocument/2006/relationships/hyperlink" Target="https://blog.gowid.com/" TargetMode="External"/><Relationship Id="rId274" Type="http://schemas.openxmlformats.org/officeDocument/2006/relationships/hyperlink" Target="https://www.google.com/" TargetMode="External"/><Relationship Id="rId273" Type="http://schemas.openxmlformats.org/officeDocument/2006/relationships/hyperlink" Target="https://www.google.com/" TargetMode="External"/><Relationship Id="rId272" Type="http://schemas.openxmlformats.org/officeDocument/2006/relationships/hyperlink" Target="https://search.naver.com/" TargetMode="External"/><Relationship Id="rId279" Type="http://schemas.openxmlformats.org/officeDocument/2006/relationships/hyperlink" Target="https://www.google.com/" TargetMode="External"/><Relationship Id="rId278" Type="http://schemas.openxmlformats.org/officeDocument/2006/relationships/hyperlink" Target="https://search.naver.com/" TargetMode="External"/><Relationship Id="rId277" Type="http://schemas.openxmlformats.org/officeDocument/2006/relationships/hyperlink" Target="https://search.naver.com/search.naver?sm=tab_hty.top&amp;where=nexearch&amp;ssc=tab.nx.all&amp;query=%EA%B3%A0%EC%9C%84%EB%93%9C&amp;oquery=%ED%98%91%EC%97%85%ED%95%9C+%EB%8F%99%EB%A3%8C+%ED%8F%89%EA%B0%80&amp;tqi=iVe4tdqVN8ossaS3FkhssssssaV-305305" TargetMode="External"/><Relationship Id="rId276" Type="http://schemas.openxmlformats.org/officeDocument/2006/relationships/hyperlink" Target="https://www.google.com/" TargetMode="External"/><Relationship Id="rId629" Type="http://schemas.openxmlformats.org/officeDocument/2006/relationships/hyperlink" Target="https://www.google.com/" TargetMode="External"/><Relationship Id="rId624" Type="http://schemas.openxmlformats.org/officeDocument/2006/relationships/hyperlink" Target="https://www.google.com/" TargetMode="External"/><Relationship Id="rId623" Type="http://schemas.openxmlformats.org/officeDocument/2006/relationships/hyperlink" Target="https://search.naver.com/" TargetMode="External"/><Relationship Id="rId622" Type="http://schemas.openxmlformats.org/officeDocument/2006/relationships/hyperlink" Target="https://search.naver.com/" TargetMode="External"/><Relationship Id="rId621" Type="http://schemas.openxmlformats.org/officeDocument/2006/relationships/hyperlink" Target="https://www.google.com/" TargetMode="External"/><Relationship Id="rId628" Type="http://schemas.openxmlformats.org/officeDocument/2006/relationships/hyperlink" Target="https://www.bing.com/" TargetMode="External"/><Relationship Id="rId627" Type="http://schemas.openxmlformats.org/officeDocument/2006/relationships/hyperlink" Target="https://docs.channel.io/" TargetMode="External"/><Relationship Id="rId626" Type="http://schemas.openxmlformats.org/officeDocument/2006/relationships/hyperlink" Target="https://www.google.com/" TargetMode="External"/><Relationship Id="rId625" Type="http://schemas.openxmlformats.org/officeDocument/2006/relationships/hyperlink" Target="https://www.google.com/" TargetMode="External"/><Relationship Id="rId620" Type="http://schemas.openxmlformats.org/officeDocument/2006/relationships/hyperlink" Target="https://www.google.com/" TargetMode="External"/><Relationship Id="rId619" Type="http://schemas.openxmlformats.org/officeDocument/2006/relationships/hyperlink" Target="https://www.google.com/" TargetMode="External"/><Relationship Id="rId618" Type="http://schemas.openxmlformats.org/officeDocument/2006/relationships/hyperlink" Target="https://www.google.com/" TargetMode="External"/><Relationship Id="rId613" Type="http://schemas.openxmlformats.org/officeDocument/2006/relationships/hyperlink" Target="https://www.google.com/" TargetMode="External"/><Relationship Id="rId612" Type="http://schemas.openxmlformats.org/officeDocument/2006/relationships/hyperlink" Target="https://www.google.com/" TargetMode="External"/><Relationship Id="rId611" Type="http://schemas.openxmlformats.org/officeDocument/2006/relationships/hyperlink" Target="https://m.search.naver.com/" TargetMode="External"/><Relationship Id="rId610" Type="http://schemas.openxmlformats.org/officeDocument/2006/relationships/hyperlink" Target="https://search.naver.com/" TargetMode="External"/><Relationship Id="rId617" Type="http://schemas.openxmlformats.org/officeDocument/2006/relationships/hyperlink" Target="https://www.google.com/" TargetMode="External"/><Relationship Id="rId616" Type="http://schemas.openxmlformats.org/officeDocument/2006/relationships/hyperlink" Target="https://www.google.com/" TargetMode="External"/><Relationship Id="rId615" Type="http://schemas.openxmlformats.org/officeDocument/2006/relationships/hyperlink" Target="https://www.google.com/" TargetMode="External"/><Relationship Id="rId614" Type="http://schemas.openxmlformats.org/officeDocument/2006/relationships/hyperlink" Target="https://www.google.com/" TargetMode="External"/><Relationship Id="rId409" Type="http://schemas.openxmlformats.org/officeDocument/2006/relationships/hyperlink" Target="https://www.google.com/" TargetMode="External"/><Relationship Id="rId404" Type="http://schemas.openxmlformats.org/officeDocument/2006/relationships/hyperlink" Target="https://www.google.com/" TargetMode="External"/><Relationship Id="rId646" Type="http://schemas.openxmlformats.org/officeDocument/2006/relationships/hyperlink" Target="https://www.bing.com/" TargetMode="External"/><Relationship Id="rId403" Type="http://schemas.openxmlformats.org/officeDocument/2006/relationships/hyperlink" Target="https://www.bing.com/" TargetMode="External"/><Relationship Id="rId645" Type="http://schemas.openxmlformats.org/officeDocument/2006/relationships/hyperlink" Target="https://www.google.com/" TargetMode="External"/><Relationship Id="rId402" Type="http://schemas.openxmlformats.org/officeDocument/2006/relationships/hyperlink" Target="https://search.naver.com/search.naver?sm=tab_hty.top&amp;where=nexearch&amp;ssc=tab.nx.all&amp;query=%EA%B3%A0%EC%9C%84%EB%93%9C&amp;oquery=4%EB%8C%80%EB%B3%B4%ED%97%98+%ED%86%B5%ED%95%A9%EC%A7%95%EC%88%98%ED%8F%AC%ED%84%B8&amp;tqi=jvS8Ksqo15wssl5KNyhssssst3w-074680&amp;ackey=pwsbg68u" TargetMode="External"/><Relationship Id="rId644" Type="http://schemas.openxmlformats.org/officeDocument/2006/relationships/hyperlink" Target="https://www.google.com/" TargetMode="External"/><Relationship Id="rId401" Type="http://schemas.openxmlformats.org/officeDocument/2006/relationships/hyperlink" Target="https://docs.channel.io/" TargetMode="External"/><Relationship Id="rId643" Type="http://schemas.openxmlformats.org/officeDocument/2006/relationships/hyperlink" Target="https://gowidsub.imweb.me/" TargetMode="External"/><Relationship Id="rId408" Type="http://schemas.openxmlformats.org/officeDocument/2006/relationships/hyperlink" Target="https://search.naver.com/" TargetMode="External"/><Relationship Id="rId407" Type="http://schemas.openxmlformats.org/officeDocument/2006/relationships/hyperlink" Target="https://l.instagram.com/" TargetMode="External"/><Relationship Id="rId649" Type="http://schemas.openxmlformats.org/officeDocument/2006/relationships/hyperlink" Target="https://www.google.com/" TargetMode="External"/><Relationship Id="rId406" Type="http://schemas.openxmlformats.org/officeDocument/2006/relationships/hyperlink" Target="https://l.instagram.com/" TargetMode="External"/><Relationship Id="rId648" Type="http://schemas.openxmlformats.org/officeDocument/2006/relationships/hyperlink" Target="https://www.google.com/" TargetMode="External"/><Relationship Id="rId405" Type="http://schemas.openxmlformats.org/officeDocument/2006/relationships/hyperlink" Target="https://www.google.com/" TargetMode="External"/><Relationship Id="rId647" Type="http://schemas.openxmlformats.org/officeDocument/2006/relationships/hyperlink" Target="https://corp.lottecard.co.kr/" TargetMode="External"/><Relationship Id="rId400" Type="http://schemas.openxmlformats.org/officeDocument/2006/relationships/hyperlink" Target="https://search.naver.com/" TargetMode="External"/><Relationship Id="rId642" Type="http://schemas.openxmlformats.org/officeDocument/2006/relationships/hyperlink" Target="https://payment-gateway.tosspayments.com/" TargetMode="External"/><Relationship Id="rId641" Type="http://schemas.openxmlformats.org/officeDocument/2006/relationships/hyperlink" Target="http://instagram.com/" TargetMode="External"/><Relationship Id="rId640" Type="http://schemas.openxmlformats.org/officeDocument/2006/relationships/hyperlink" Target="http://instagram.com/" TargetMode="External"/><Relationship Id="rId635" Type="http://schemas.openxmlformats.org/officeDocument/2006/relationships/hyperlink" Target="https://www.google.com/" TargetMode="External"/><Relationship Id="rId634" Type="http://schemas.openxmlformats.org/officeDocument/2006/relationships/hyperlink" Target="https://www.google.com/" TargetMode="External"/><Relationship Id="rId633" Type="http://schemas.openxmlformats.org/officeDocument/2006/relationships/hyperlink" Target="https://business.kakao.com/" TargetMode="External"/><Relationship Id="rId632" Type="http://schemas.openxmlformats.org/officeDocument/2006/relationships/hyperlink" Target="https://business.kakao.com/" TargetMode="External"/><Relationship Id="rId639" Type="http://schemas.openxmlformats.org/officeDocument/2006/relationships/hyperlink" Target="https://www.google.com/" TargetMode="External"/><Relationship Id="rId638" Type="http://schemas.openxmlformats.org/officeDocument/2006/relationships/hyperlink" Target="https://www.google.com/" TargetMode="External"/><Relationship Id="rId637" Type="http://schemas.openxmlformats.org/officeDocument/2006/relationships/hyperlink" Target="https://www.google.com/" TargetMode="External"/><Relationship Id="rId636" Type="http://schemas.openxmlformats.org/officeDocument/2006/relationships/hyperlink" Target="https://search.naver.com/search.naver?where=nexearch&amp;sm=top_hty&amp;fbm=0&amp;ie=utf8&amp;query=%EA%B3%A0%EC%9C%84%EB%93%9C" TargetMode="External"/><Relationship Id="rId631" Type="http://schemas.openxmlformats.org/officeDocument/2006/relationships/hyperlink" Target="https://www.google.com/" TargetMode="External"/><Relationship Id="rId630" Type="http://schemas.openxmlformats.org/officeDocument/2006/relationships/hyperlink" Target="https://search.naver.com/search.naver?sm=tab_hty.top&amp;where=nexearch&amp;ssc=tab.nx.all&amp;query=%EA%B3%A0%EC%9C%84%EB%93%9C&amp;oquery=%EC%9C%84%ED%95%98%EA%B3%A0&amp;tqi=iWq8%2BwqpsECssaTaczVssssstoG-419185" TargetMode="External"/><Relationship Id="rId609" Type="http://schemas.openxmlformats.org/officeDocument/2006/relationships/hyperlink" Target="https://www.google.com/" TargetMode="External"/><Relationship Id="rId608" Type="http://schemas.openxmlformats.org/officeDocument/2006/relationships/hyperlink" Target="https://www.google.com/" TargetMode="External"/><Relationship Id="rId607" Type="http://schemas.openxmlformats.org/officeDocument/2006/relationships/hyperlink" Target="https://www.google.com/" TargetMode="External"/><Relationship Id="rId602" Type="http://schemas.openxmlformats.org/officeDocument/2006/relationships/hyperlink" Target="https://www.google.com/" TargetMode="External"/><Relationship Id="rId601" Type="http://schemas.openxmlformats.org/officeDocument/2006/relationships/hyperlink" Target="https://www.google.com/" TargetMode="External"/><Relationship Id="rId600" Type="http://schemas.openxmlformats.org/officeDocument/2006/relationships/hyperlink" Target="https://www.google.com/" TargetMode="External"/><Relationship Id="rId606" Type="http://schemas.openxmlformats.org/officeDocument/2006/relationships/hyperlink" Target="https://www.google.com/" TargetMode="External"/><Relationship Id="rId605" Type="http://schemas.openxmlformats.org/officeDocument/2006/relationships/hyperlink" Target="https://docs.channel.io/" TargetMode="External"/><Relationship Id="rId604" Type="http://schemas.openxmlformats.org/officeDocument/2006/relationships/hyperlink" Target="https://docs.channel.io/" TargetMode="External"/><Relationship Id="rId603" Type="http://schemas.openxmlformats.org/officeDocument/2006/relationships/hyperlink" Target="https://www.google.com/" TargetMode="External"/><Relationship Id="rId228" Type="http://schemas.openxmlformats.org/officeDocument/2006/relationships/hyperlink" Target="https://www.google.com/" TargetMode="External"/><Relationship Id="rId227" Type="http://schemas.openxmlformats.org/officeDocument/2006/relationships/hyperlink" Target="https://www.google.com/" TargetMode="External"/><Relationship Id="rId469" Type="http://schemas.openxmlformats.org/officeDocument/2006/relationships/hyperlink" Target="https://www.google.com/" TargetMode="External"/><Relationship Id="rId226" Type="http://schemas.openxmlformats.org/officeDocument/2006/relationships/hyperlink" Target="https://search.naver.com/" TargetMode="External"/><Relationship Id="rId468" Type="http://schemas.openxmlformats.org/officeDocument/2006/relationships/hyperlink" Target="https://www.google.com/" TargetMode="External"/><Relationship Id="rId225" Type="http://schemas.openxmlformats.org/officeDocument/2006/relationships/hyperlink" Target="https://search.naver.com/" TargetMode="External"/><Relationship Id="rId467" Type="http://schemas.openxmlformats.org/officeDocument/2006/relationships/hyperlink" Target="https://www.google.com/" TargetMode="External"/><Relationship Id="rId229" Type="http://schemas.openxmlformats.org/officeDocument/2006/relationships/hyperlink" Target="https://search.naver.com/" TargetMode="External"/><Relationship Id="rId220" Type="http://schemas.openxmlformats.org/officeDocument/2006/relationships/hyperlink" Target="https://www.google.com/" TargetMode="External"/><Relationship Id="rId462" Type="http://schemas.openxmlformats.org/officeDocument/2006/relationships/hyperlink" Target="https://gowid.com/" TargetMode="External"/><Relationship Id="rId461" Type="http://schemas.openxmlformats.org/officeDocument/2006/relationships/hyperlink" Target="https://www.google.com/" TargetMode="External"/><Relationship Id="rId460" Type="http://schemas.openxmlformats.org/officeDocument/2006/relationships/hyperlink" Target="https://www.google.com/" TargetMode="External"/><Relationship Id="rId224" Type="http://schemas.openxmlformats.org/officeDocument/2006/relationships/hyperlink" Target="https://www.google.com/" TargetMode="External"/><Relationship Id="rId466" Type="http://schemas.openxmlformats.org/officeDocument/2006/relationships/hyperlink" Target="https://www.google.com/" TargetMode="External"/><Relationship Id="rId223" Type="http://schemas.openxmlformats.org/officeDocument/2006/relationships/hyperlink" Target="https://www.google.com/" TargetMode="External"/><Relationship Id="rId465" Type="http://schemas.openxmlformats.org/officeDocument/2006/relationships/hyperlink" Target="https://payment-gateway.tosspayments.com/" TargetMode="External"/><Relationship Id="rId222" Type="http://schemas.openxmlformats.org/officeDocument/2006/relationships/hyperlink" Target="https://www.google.com/" TargetMode="External"/><Relationship Id="rId464" Type="http://schemas.openxmlformats.org/officeDocument/2006/relationships/hyperlink" Target="https://www.google.com/" TargetMode="External"/><Relationship Id="rId221" Type="http://schemas.openxmlformats.org/officeDocument/2006/relationships/hyperlink" Target="https://www.google.com/" TargetMode="External"/><Relationship Id="rId463" Type="http://schemas.openxmlformats.org/officeDocument/2006/relationships/hyperlink" Target="https://www.google.com/" TargetMode="External"/><Relationship Id="rId217" Type="http://schemas.openxmlformats.org/officeDocument/2006/relationships/hyperlink" Target="https://search.naver.com/" TargetMode="External"/><Relationship Id="rId459" Type="http://schemas.openxmlformats.org/officeDocument/2006/relationships/hyperlink" Target="https://search.naver.com/" TargetMode="External"/><Relationship Id="rId216" Type="http://schemas.openxmlformats.org/officeDocument/2006/relationships/hyperlink" Target="https://www.bing.com/" TargetMode="External"/><Relationship Id="rId458" Type="http://schemas.openxmlformats.org/officeDocument/2006/relationships/hyperlink" Target="https://search.naver.com/" TargetMode="External"/><Relationship Id="rId215" Type="http://schemas.openxmlformats.org/officeDocument/2006/relationships/hyperlink" Target="https://www.google.com/" TargetMode="External"/><Relationship Id="rId457" Type="http://schemas.openxmlformats.org/officeDocument/2006/relationships/hyperlink" Target="https://www.google.com/" TargetMode="External"/><Relationship Id="rId214" Type="http://schemas.openxmlformats.org/officeDocument/2006/relationships/hyperlink" Target="https://www.google.com/" TargetMode="External"/><Relationship Id="rId456" Type="http://schemas.openxmlformats.org/officeDocument/2006/relationships/hyperlink" Target="https://www.google.com/" TargetMode="External"/><Relationship Id="rId219" Type="http://schemas.openxmlformats.org/officeDocument/2006/relationships/hyperlink" Target="https://www.google.com/" TargetMode="External"/><Relationship Id="rId218" Type="http://schemas.openxmlformats.org/officeDocument/2006/relationships/hyperlink" Target="https://search.naver.com/" TargetMode="External"/><Relationship Id="rId451" Type="http://schemas.openxmlformats.org/officeDocument/2006/relationships/hyperlink" Target="https://www.bing.com/" TargetMode="External"/><Relationship Id="rId450" Type="http://schemas.openxmlformats.org/officeDocument/2006/relationships/hyperlink" Target="https://www.google.com/" TargetMode="External"/><Relationship Id="rId213" Type="http://schemas.openxmlformats.org/officeDocument/2006/relationships/hyperlink" Target="https://www.google.com/" TargetMode="External"/><Relationship Id="rId455" Type="http://schemas.openxmlformats.org/officeDocument/2006/relationships/hyperlink" Target="https://lenseyemedical.daouoffice.com/" TargetMode="External"/><Relationship Id="rId212" Type="http://schemas.openxmlformats.org/officeDocument/2006/relationships/hyperlink" Target="https://www.google.com/" TargetMode="External"/><Relationship Id="rId454" Type="http://schemas.openxmlformats.org/officeDocument/2006/relationships/hyperlink" Target="https://lenseyemedical.daouoffice.com/" TargetMode="External"/><Relationship Id="rId211" Type="http://schemas.openxmlformats.org/officeDocument/2006/relationships/hyperlink" Target="https://search.naver.com/search.naver?sm=tab_hty.top&amp;where=nexearch&amp;ssc=tab.nx.all&amp;query=%EA%B3%A0%EC%9C%84%EB%93%9C&amp;oquery=%EC%9A%B0%EC%B2%B4%EA%B5%AD&amp;tqi=i1jNvdqVN8VssnbAKOCssssssH8-435738" TargetMode="External"/><Relationship Id="rId453" Type="http://schemas.openxmlformats.org/officeDocument/2006/relationships/hyperlink" Target="https://www.google.com/" TargetMode="External"/><Relationship Id="rId210" Type="http://schemas.openxmlformats.org/officeDocument/2006/relationships/hyperlink" Target="https://search.naver.com/" TargetMode="External"/><Relationship Id="rId452" Type="http://schemas.openxmlformats.org/officeDocument/2006/relationships/hyperlink" Target="https://www.google.com/" TargetMode="External"/><Relationship Id="rId491" Type="http://schemas.openxmlformats.org/officeDocument/2006/relationships/hyperlink" Target="https://www.google.com/" TargetMode="External"/><Relationship Id="rId490" Type="http://schemas.openxmlformats.org/officeDocument/2006/relationships/hyperlink" Target="https://www.google.com/" TargetMode="External"/><Relationship Id="rId249" Type="http://schemas.openxmlformats.org/officeDocument/2006/relationships/hyperlink" Target="https://www.google.com/" TargetMode="External"/><Relationship Id="rId248" Type="http://schemas.openxmlformats.org/officeDocument/2006/relationships/hyperlink" Target="https://www.bing.com/" TargetMode="External"/><Relationship Id="rId247" Type="http://schemas.openxmlformats.org/officeDocument/2006/relationships/hyperlink" Target="https://www.bing.com/" TargetMode="External"/><Relationship Id="rId489" Type="http://schemas.openxmlformats.org/officeDocument/2006/relationships/hyperlink" Target="https://www.google.com/" TargetMode="External"/><Relationship Id="rId242" Type="http://schemas.openxmlformats.org/officeDocument/2006/relationships/hyperlink" Target="https://search.naver.com/search.naver?where=nexearch&amp;sm=top_hty&amp;fbm=0&amp;ie=utf8&amp;query=%EA%B3%A0%EC%9C%84%EB%93%9C" TargetMode="External"/><Relationship Id="rId484" Type="http://schemas.openxmlformats.org/officeDocument/2006/relationships/hyperlink" Target="https://blog.gowid.com/" TargetMode="External"/><Relationship Id="rId241" Type="http://schemas.openxmlformats.org/officeDocument/2006/relationships/hyperlink" Target="https://search.naver.com/search.naver?where=nexearch&amp;sm=top_hty&amp;fbm=0&amp;ie=utf8&amp;query=%EA%B3%A0%EC%9C%84%EB%93%9C" TargetMode="External"/><Relationship Id="rId483" Type="http://schemas.openxmlformats.org/officeDocument/2006/relationships/hyperlink" Target="https://www.google.com/" TargetMode="External"/><Relationship Id="rId240" Type="http://schemas.openxmlformats.org/officeDocument/2006/relationships/hyperlink" Target="https://gowid.channel.io/" TargetMode="External"/><Relationship Id="rId482" Type="http://schemas.openxmlformats.org/officeDocument/2006/relationships/hyperlink" Target="https://www.google.com/" TargetMode="External"/><Relationship Id="rId481" Type="http://schemas.openxmlformats.org/officeDocument/2006/relationships/hyperlink" Target="https://search.naver.com/" TargetMode="External"/><Relationship Id="rId246" Type="http://schemas.openxmlformats.org/officeDocument/2006/relationships/hyperlink" Target="https://www.google.com/" TargetMode="External"/><Relationship Id="rId488" Type="http://schemas.openxmlformats.org/officeDocument/2006/relationships/hyperlink" Target="https://tebahsoft.daouoffice.com/" TargetMode="External"/><Relationship Id="rId245" Type="http://schemas.openxmlformats.org/officeDocument/2006/relationships/hyperlink" Target="https://www.google.com/" TargetMode="External"/><Relationship Id="rId487" Type="http://schemas.openxmlformats.org/officeDocument/2006/relationships/hyperlink" Target="https://www.google.com/" TargetMode="External"/><Relationship Id="rId244" Type="http://schemas.openxmlformats.org/officeDocument/2006/relationships/hyperlink" Target="https://www.google.com/" TargetMode="External"/><Relationship Id="rId486" Type="http://schemas.openxmlformats.org/officeDocument/2006/relationships/hyperlink" Target="https://www.google.com/" TargetMode="External"/><Relationship Id="rId243" Type="http://schemas.openxmlformats.org/officeDocument/2006/relationships/hyperlink" Target="https://wmail.ecount.com/" TargetMode="External"/><Relationship Id="rId485" Type="http://schemas.openxmlformats.org/officeDocument/2006/relationships/hyperlink" Target="https://blog.gowid.com/" TargetMode="External"/><Relationship Id="rId480" Type="http://schemas.openxmlformats.org/officeDocument/2006/relationships/hyperlink" Target="https://search.naver.com/" TargetMode="External"/><Relationship Id="rId239" Type="http://schemas.openxmlformats.org/officeDocument/2006/relationships/hyperlink" Target="https://gowid.channel.io/" TargetMode="External"/><Relationship Id="rId238" Type="http://schemas.openxmlformats.org/officeDocument/2006/relationships/hyperlink" Target="https://www.google.com/" TargetMode="External"/><Relationship Id="rId237" Type="http://schemas.openxmlformats.org/officeDocument/2006/relationships/hyperlink" Target="https://www.google.com/" TargetMode="External"/><Relationship Id="rId479" Type="http://schemas.openxmlformats.org/officeDocument/2006/relationships/hyperlink" Target="https://payment-gateway.tosspayments.com/" TargetMode="External"/><Relationship Id="rId236" Type="http://schemas.openxmlformats.org/officeDocument/2006/relationships/hyperlink" Target="https://payment-gateway.tosspayments.com/" TargetMode="External"/><Relationship Id="rId478" Type="http://schemas.openxmlformats.org/officeDocument/2006/relationships/hyperlink" Target="https://gowid.channel.io/" TargetMode="External"/><Relationship Id="rId231" Type="http://schemas.openxmlformats.org/officeDocument/2006/relationships/hyperlink" Target="https://search.naver.com/search.naver?where=nexearch&amp;sm=top_hty&amp;fbm=0&amp;ie=utf8&amp;query=%EA%B3%A0%EC%9C%84%EB%93%9C" TargetMode="External"/><Relationship Id="rId473" Type="http://schemas.openxmlformats.org/officeDocument/2006/relationships/hyperlink" Target="https://m.search.naver.com/" TargetMode="External"/><Relationship Id="rId230" Type="http://schemas.openxmlformats.org/officeDocument/2006/relationships/hyperlink" Target="https://search.naver.com/" TargetMode="External"/><Relationship Id="rId472" Type="http://schemas.openxmlformats.org/officeDocument/2006/relationships/hyperlink" Target="https://m.search.naver.com/" TargetMode="External"/><Relationship Id="rId471" Type="http://schemas.openxmlformats.org/officeDocument/2006/relationships/hyperlink" Target="https://www.bing.com/" TargetMode="External"/><Relationship Id="rId470" Type="http://schemas.openxmlformats.org/officeDocument/2006/relationships/hyperlink" Target="https://search.naver.com/search.naver?where=nexearch&amp;sm=top_hty&amp;fbm=0&amp;ie=utf8&amp;query=%EA%B3%A0%EC%9C%84%EB%93%9C+%EB%B2%95%EC%9D%B8%EC%B9%B4%EB%93%9C" TargetMode="External"/><Relationship Id="rId235" Type="http://schemas.openxmlformats.org/officeDocument/2006/relationships/hyperlink" Target="https://www.shinhancard.com/" TargetMode="External"/><Relationship Id="rId477" Type="http://schemas.openxmlformats.org/officeDocument/2006/relationships/hyperlink" Target="https://www.google.com/" TargetMode="External"/><Relationship Id="rId234" Type="http://schemas.openxmlformats.org/officeDocument/2006/relationships/hyperlink" Target="https://www.google.com/" TargetMode="External"/><Relationship Id="rId476" Type="http://schemas.openxmlformats.org/officeDocument/2006/relationships/hyperlink" Target="https://www.google.com/" TargetMode="External"/><Relationship Id="rId233" Type="http://schemas.openxmlformats.org/officeDocument/2006/relationships/hyperlink" Target="https://www.google.com/" TargetMode="External"/><Relationship Id="rId475" Type="http://schemas.openxmlformats.org/officeDocument/2006/relationships/hyperlink" Target="https://docs.channel.io/" TargetMode="External"/><Relationship Id="rId232" Type="http://schemas.openxmlformats.org/officeDocument/2006/relationships/hyperlink" Target="https://www.google.com/" TargetMode="External"/><Relationship Id="rId474" Type="http://schemas.openxmlformats.org/officeDocument/2006/relationships/hyperlink" Target="https://gowid.com/" TargetMode="External"/><Relationship Id="rId426" Type="http://schemas.openxmlformats.org/officeDocument/2006/relationships/hyperlink" Target="https://gemini.google.com/" TargetMode="External"/><Relationship Id="rId425" Type="http://schemas.openxmlformats.org/officeDocument/2006/relationships/hyperlink" Target="https://search.naver.com/" TargetMode="External"/><Relationship Id="rId424" Type="http://schemas.openxmlformats.org/officeDocument/2006/relationships/hyperlink" Target="https://docs.channel.io/" TargetMode="External"/><Relationship Id="rId423" Type="http://schemas.openxmlformats.org/officeDocument/2006/relationships/hyperlink" Target="https://search.naver.com/" TargetMode="External"/><Relationship Id="rId429" Type="http://schemas.openxmlformats.org/officeDocument/2006/relationships/hyperlink" Target="https://payment-gateway.tosspayments.com/" TargetMode="External"/><Relationship Id="rId428" Type="http://schemas.openxmlformats.org/officeDocument/2006/relationships/hyperlink" Target="https://gowid.com/" TargetMode="External"/><Relationship Id="rId427" Type="http://schemas.openxmlformats.org/officeDocument/2006/relationships/hyperlink" Target="https://www.bing.com/" TargetMode="External"/><Relationship Id="rId660" Type="http://schemas.openxmlformats.org/officeDocument/2006/relationships/hyperlink" Target="https://search.naver.com/" TargetMode="External"/><Relationship Id="rId422" Type="http://schemas.openxmlformats.org/officeDocument/2006/relationships/hyperlink" Target="https://search.naver.com/" TargetMode="External"/><Relationship Id="rId421" Type="http://schemas.openxmlformats.org/officeDocument/2006/relationships/hyperlink" Target="https://www.google.com/" TargetMode="External"/><Relationship Id="rId420" Type="http://schemas.openxmlformats.org/officeDocument/2006/relationships/hyperlink" Target="https://www.google.com/" TargetMode="External"/><Relationship Id="rId662" Type="http://schemas.openxmlformats.org/officeDocument/2006/relationships/drawing" Target="../drawings/drawing3.xml"/><Relationship Id="rId661" Type="http://schemas.openxmlformats.org/officeDocument/2006/relationships/hyperlink" Target="https://search.naver.com/" TargetMode="External"/><Relationship Id="rId415" Type="http://schemas.openxmlformats.org/officeDocument/2006/relationships/hyperlink" Target="https://www.google.com/" TargetMode="External"/><Relationship Id="rId657" Type="http://schemas.openxmlformats.org/officeDocument/2006/relationships/hyperlink" Target="https://payment-gateway.tosspayments.com/" TargetMode="External"/><Relationship Id="rId414" Type="http://schemas.openxmlformats.org/officeDocument/2006/relationships/hyperlink" Target="https://www.google.com/" TargetMode="External"/><Relationship Id="rId656" Type="http://schemas.openxmlformats.org/officeDocument/2006/relationships/hyperlink" Target="https://blog.gowid.com/" TargetMode="External"/><Relationship Id="rId413" Type="http://schemas.openxmlformats.org/officeDocument/2006/relationships/hyperlink" Target="https://www.google.com/" TargetMode="External"/><Relationship Id="rId655" Type="http://schemas.openxmlformats.org/officeDocument/2006/relationships/hyperlink" Target="https://payment-gateway.tosspayments.com/" TargetMode="External"/><Relationship Id="rId412" Type="http://schemas.openxmlformats.org/officeDocument/2006/relationships/hyperlink" Target="https://www.google.com/" TargetMode="External"/><Relationship Id="rId654" Type="http://schemas.openxmlformats.org/officeDocument/2006/relationships/hyperlink" Target="https://www.google.com/" TargetMode="External"/><Relationship Id="rId419" Type="http://schemas.openxmlformats.org/officeDocument/2006/relationships/hyperlink" Target="https://www.google.com/" TargetMode="External"/><Relationship Id="rId418" Type="http://schemas.openxmlformats.org/officeDocument/2006/relationships/hyperlink" Target="https://search.naver.com/search.naver?where=nexearch&amp;sm=top_hty&amp;fbm=0&amp;ie=utf8&amp;query=%EA%B3%A0%EC%9C%84%EB%93%9C" TargetMode="External"/><Relationship Id="rId417" Type="http://schemas.openxmlformats.org/officeDocument/2006/relationships/hyperlink" Target="https://www.bing.com/" TargetMode="External"/><Relationship Id="rId659" Type="http://schemas.openxmlformats.org/officeDocument/2006/relationships/hyperlink" Target="https://www.google.com/" TargetMode="External"/><Relationship Id="rId416" Type="http://schemas.openxmlformats.org/officeDocument/2006/relationships/hyperlink" Target="https://www.google.com/" TargetMode="External"/><Relationship Id="rId658" Type="http://schemas.openxmlformats.org/officeDocument/2006/relationships/hyperlink" Target="https://www.google.com/" TargetMode="External"/><Relationship Id="rId411" Type="http://schemas.openxmlformats.org/officeDocument/2006/relationships/hyperlink" Target="https://docs.channel.io/" TargetMode="External"/><Relationship Id="rId653" Type="http://schemas.openxmlformats.org/officeDocument/2006/relationships/hyperlink" Target="https://www.google.com/" TargetMode="External"/><Relationship Id="rId410" Type="http://schemas.openxmlformats.org/officeDocument/2006/relationships/hyperlink" Target="https://www.google.com/" TargetMode="External"/><Relationship Id="rId652" Type="http://schemas.openxmlformats.org/officeDocument/2006/relationships/hyperlink" Target="https://www.shinhancard.com/" TargetMode="External"/><Relationship Id="rId651" Type="http://schemas.openxmlformats.org/officeDocument/2006/relationships/hyperlink" Target="https://search.naver.com/" TargetMode="External"/><Relationship Id="rId650" Type="http://schemas.openxmlformats.org/officeDocument/2006/relationships/hyperlink" Target="https://www.google.com/" TargetMode="External"/><Relationship Id="rId206" Type="http://schemas.openxmlformats.org/officeDocument/2006/relationships/hyperlink" Target="https://www.google.com/" TargetMode="External"/><Relationship Id="rId448" Type="http://schemas.openxmlformats.org/officeDocument/2006/relationships/hyperlink" Target="https://www.google.com/" TargetMode="External"/><Relationship Id="rId205" Type="http://schemas.openxmlformats.org/officeDocument/2006/relationships/hyperlink" Target="https://www.google.com/" TargetMode="External"/><Relationship Id="rId447" Type="http://schemas.openxmlformats.org/officeDocument/2006/relationships/hyperlink" Target="https://docs.channel.io/" TargetMode="External"/><Relationship Id="rId204" Type="http://schemas.openxmlformats.org/officeDocument/2006/relationships/hyperlink" Target="https://www.google.com/" TargetMode="External"/><Relationship Id="rId446" Type="http://schemas.openxmlformats.org/officeDocument/2006/relationships/hyperlink" Target="https://search.naver.com/" TargetMode="External"/><Relationship Id="rId203" Type="http://schemas.openxmlformats.org/officeDocument/2006/relationships/hyperlink" Target="https://www.google.com/" TargetMode="External"/><Relationship Id="rId445" Type="http://schemas.openxmlformats.org/officeDocument/2006/relationships/hyperlink" Target="https://docs.channel.io/" TargetMode="External"/><Relationship Id="rId209" Type="http://schemas.openxmlformats.org/officeDocument/2006/relationships/hyperlink" Target="https://search.naver.com/search.naver?where=nexearch&amp;sm=top_hty&amp;fbm=0&amp;ie=utf8&amp;query=%EA%B3%A0%EC%9C%84%EB%93%9C" TargetMode="External"/><Relationship Id="rId208" Type="http://schemas.openxmlformats.org/officeDocument/2006/relationships/hyperlink" Target="https://www.google.com/" TargetMode="External"/><Relationship Id="rId207" Type="http://schemas.openxmlformats.org/officeDocument/2006/relationships/hyperlink" Target="https://www.google.com/" TargetMode="External"/><Relationship Id="rId449" Type="http://schemas.openxmlformats.org/officeDocument/2006/relationships/hyperlink" Target="https://www.google.com/" TargetMode="External"/><Relationship Id="rId440" Type="http://schemas.openxmlformats.org/officeDocument/2006/relationships/hyperlink" Target="https://www.google.com/" TargetMode="External"/><Relationship Id="rId202" Type="http://schemas.openxmlformats.org/officeDocument/2006/relationships/hyperlink" Target="https://www.google.com/" TargetMode="External"/><Relationship Id="rId444" Type="http://schemas.openxmlformats.org/officeDocument/2006/relationships/hyperlink" Target="https://docs.channel.io/" TargetMode="External"/><Relationship Id="rId201" Type="http://schemas.openxmlformats.org/officeDocument/2006/relationships/hyperlink" Target="https://www.google.com/" TargetMode="External"/><Relationship Id="rId443" Type="http://schemas.openxmlformats.org/officeDocument/2006/relationships/hyperlink" Target="https://payment-gateway.tosspayments.com/" TargetMode="External"/><Relationship Id="rId200" Type="http://schemas.openxmlformats.org/officeDocument/2006/relationships/hyperlink" Target="https://www.google.com/" TargetMode="External"/><Relationship Id="rId442" Type="http://schemas.openxmlformats.org/officeDocument/2006/relationships/hyperlink" Target="https://payment-gateway.tosspayments.com/" TargetMode="External"/><Relationship Id="rId441" Type="http://schemas.openxmlformats.org/officeDocument/2006/relationships/hyperlink" Target="https://www.google.com/" TargetMode="External"/><Relationship Id="rId437" Type="http://schemas.openxmlformats.org/officeDocument/2006/relationships/hyperlink" Target="https://www.google.com/" TargetMode="External"/><Relationship Id="rId436" Type="http://schemas.openxmlformats.org/officeDocument/2006/relationships/hyperlink" Target="https://www.google.com/" TargetMode="External"/><Relationship Id="rId435" Type="http://schemas.openxmlformats.org/officeDocument/2006/relationships/hyperlink" Target="https://www.google.com/" TargetMode="External"/><Relationship Id="rId434" Type="http://schemas.openxmlformats.org/officeDocument/2006/relationships/hyperlink" Target="https://search.naver.com/" TargetMode="External"/><Relationship Id="rId439" Type="http://schemas.openxmlformats.org/officeDocument/2006/relationships/hyperlink" Target="https://www.google.com/" TargetMode="External"/><Relationship Id="rId438" Type="http://schemas.openxmlformats.org/officeDocument/2006/relationships/hyperlink" Target="https://www.google.com/" TargetMode="External"/><Relationship Id="rId433" Type="http://schemas.openxmlformats.org/officeDocument/2006/relationships/hyperlink" Target="https://www.bing.com/" TargetMode="External"/><Relationship Id="rId432" Type="http://schemas.openxmlformats.org/officeDocument/2006/relationships/hyperlink" Target="https://www.bing.com/" TargetMode="External"/><Relationship Id="rId431" Type="http://schemas.openxmlformats.org/officeDocument/2006/relationships/hyperlink" Target="https://m.search.naver.com/" TargetMode="External"/><Relationship Id="rId430" Type="http://schemas.openxmlformats.org/officeDocument/2006/relationships/hyperlink" Target="https://m.search.nav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c r="A2" s="1" t="s">
        <v>98</v>
      </c>
      <c r="B2" s="2">
        <v>46072.85943287037</v>
      </c>
      <c r="C2" s="1" t="str">
        <f t="array" ref="C2">INDEX('User data'!E:E, MATCH(E2, 'User data'!B:B, 0))</f>
        <v>주식회사 나우고 (NOWGO)</v>
      </c>
      <c r="D2" s="1" t="str">
        <f t="array" ref="D2">INDEX('User data'!F:F, MATCH(C2, 'User data'!E:E, 0))</f>
        <v>753-87-03437</v>
      </c>
      <c r="E2" s="1" t="s">
        <v>99</v>
      </c>
      <c r="F2" s="3"/>
      <c r="G2" s="3"/>
      <c r="H2" s="3"/>
      <c r="I2" s="3"/>
      <c r="J2" s="1" t="s">
        <v>100</v>
      </c>
      <c r="K2" s="1" t="s">
        <v>101</v>
      </c>
      <c r="L2" s="1" t="b">
        <v>0</v>
      </c>
      <c r="M2" s="4" t="s">
        <v>102</v>
      </c>
      <c r="N2" s="1" t="s">
        <v>103</v>
      </c>
      <c r="P2" s="3"/>
      <c r="Q2" s="3"/>
      <c r="R2" s="3"/>
      <c r="S2" s="3"/>
      <c r="T2" s="1" t="s">
        <v>104</v>
      </c>
      <c r="U2" s="3"/>
      <c r="V2" s="3"/>
      <c r="W2" s="1" t="s">
        <v>105</v>
      </c>
      <c r="X2" s="3"/>
      <c r="Y2" s="1" t="s">
        <v>106</v>
      </c>
      <c r="Z2" s="3"/>
      <c r="AA2" s="1" t="b">
        <v>0</v>
      </c>
      <c r="AB2" s="1" t="b">
        <v>0</v>
      </c>
      <c r="AC2" s="1" t="b">
        <v>0</v>
      </c>
      <c r="AD2" s="1" t="b">
        <v>0</v>
      </c>
      <c r="AE2" s="1" t="b">
        <v>1</v>
      </c>
      <c r="AF2" s="3"/>
      <c r="AG2" s="3"/>
      <c r="AH2" s="3"/>
      <c r="AI2" s="3"/>
      <c r="AJ2" s="2">
        <v>46072.8593287037</v>
      </c>
      <c r="AK2" s="2">
        <v>46072.860243055555</v>
      </c>
      <c r="AM2" s="2">
        <v>46072.85943287037</v>
      </c>
      <c r="AN2" s="2">
        <v>46072.85943287037</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4" t="s">
        <v>107</v>
      </c>
    </row>
    <row r="3">
      <c r="A3" s="1" t="s">
        <v>108</v>
      </c>
      <c r="B3" s="2">
        <v>46072.79877314815</v>
      </c>
      <c r="C3" s="1" t="str">
        <f t="array" ref="C3">INDEX('User data'!E:E, MATCH(E3, 'User data'!B:B, 0))</f>
        <v/>
      </c>
      <c r="D3" s="1" t="str">
        <f t="array" ref="D3">INDEX('User data'!F:F, MATCH(C3, 'User data'!E:E, 0))</f>
        <v>#N/A</v>
      </c>
      <c r="E3" s="1" t="s">
        <v>109</v>
      </c>
      <c r="F3" s="3"/>
      <c r="G3" s="3"/>
      <c r="H3" s="3"/>
      <c r="I3" s="3"/>
      <c r="J3" s="1" t="s">
        <v>100</v>
      </c>
      <c r="K3" s="1" t="s">
        <v>101</v>
      </c>
      <c r="L3" s="1" t="b">
        <v>0</v>
      </c>
      <c r="M3" s="4" t="s">
        <v>102</v>
      </c>
      <c r="N3" s="1" t="s">
        <v>110</v>
      </c>
      <c r="P3" s="3"/>
      <c r="Q3" s="3"/>
      <c r="R3" s="3"/>
      <c r="S3" s="3"/>
      <c r="T3" s="1" t="s">
        <v>104</v>
      </c>
      <c r="U3" s="3"/>
      <c r="V3" s="3"/>
      <c r="W3" s="1" t="s">
        <v>105</v>
      </c>
      <c r="X3" s="3"/>
      <c r="Y3" s="1" t="s">
        <v>106</v>
      </c>
      <c r="Z3" s="3"/>
      <c r="AA3" s="1" t="b">
        <v>0</v>
      </c>
      <c r="AB3" s="1" t="b">
        <v>0</v>
      </c>
      <c r="AC3" s="1" t="b">
        <v>0</v>
      </c>
      <c r="AD3" s="1" t="b">
        <v>0</v>
      </c>
      <c r="AE3" s="1" t="b">
        <v>1</v>
      </c>
      <c r="AF3" s="3"/>
      <c r="AG3" s="3"/>
      <c r="AH3" s="3"/>
      <c r="AI3" s="3"/>
      <c r="AJ3" s="2">
        <v>46072.7987037037</v>
      </c>
      <c r="AK3" s="2">
        <v>46072.79896990741</v>
      </c>
      <c r="AM3" s="2">
        <v>46072.79877314815</v>
      </c>
      <c r="AN3" s="2">
        <v>46072.798784722225</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4" t="s">
        <v>111</v>
      </c>
    </row>
    <row r="4">
      <c r="A4" s="1" t="s">
        <v>112</v>
      </c>
      <c r="B4" s="2">
        <v>46072.79740740741</v>
      </c>
      <c r="C4" s="1" t="str">
        <f t="array" ref="C4">INDEX('User data'!E:E, MATCH(E4, 'User data'!B:B, 0))</f>
        <v>주식회사 제이엔케이글로벌 (JNK GLOBAL Inc)</v>
      </c>
      <c r="D4" s="1" t="str">
        <f t="array" ref="D4">INDEX('User data'!F:F, MATCH(C4, 'User data'!E:E, 0))</f>
        <v>393-87-02181</v>
      </c>
      <c r="E4" s="1" t="s">
        <v>113</v>
      </c>
      <c r="F4" s="3"/>
      <c r="G4" s="3"/>
      <c r="H4" s="1" t="s">
        <v>114</v>
      </c>
      <c r="I4" s="1" t="s">
        <v>115</v>
      </c>
      <c r="J4" s="1" t="s">
        <v>100</v>
      </c>
      <c r="K4" s="1" t="s">
        <v>101</v>
      </c>
      <c r="L4" s="1" t="b">
        <v>0</v>
      </c>
      <c r="M4" s="4" t="s">
        <v>102</v>
      </c>
      <c r="N4" s="1" t="s">
        <v>116</v>
      </c>
      <c r="O4" s="1">
        <v>607950.0</v>
      </c>
      <c r="P4" s="1">
        <v>607950.0</v>
      </c>
      <c r="Q4" s="1">
        <v>607950.0</v>
      </c>
      <c r="R4" s="1" t="s">
        <v>117</v>
      </c>
      <c r="S4" s="3"/>
      <c r="T4" s="1" t="s">
        <v>104</v>
      </c>
      <c r="U4" s="3"/>
      <c r="V4" s="3"/>
      <c r="W4" s="1" t="s">
        <v>118</v>
      </c>
      <c r="X4" s="3"/>
      <c r="Y4" s="1" t="s">
        <v>119</v>
      </c>
      <c r="Z4" s="3"/>
      <c r="AA4" s="1" t="b">
        <v>1</v>
      </c>
      <c r="AB4" s="1" t="b">
        <v>0</v>
      </c>
      <c r="AC4" s="1" t="b">
        <v>0</v>
      </c>
      <c r="AD4" s="1" t="b">
        <v>1</v>
      </c>
      <c r="AE4" s="1" t="b">
        <v>1</v>
      </c>
      <c r="AF4" s="5">
        <v>6.0</v>
      </c>
      <c r="AG4" s="5">
        <v>5.0</v>
      </c>
      <c r="AH4" s="3"/>
      <c r="AI4" s="3"/>
      <c r="AJ4" s="2">
        <v>46072.79728009259</v>
      </c>
      <c r="AK4" s="2">
        <v>46073.57591435185</v>
      </c>
      <c r="AL4" s="2">
        <v>46072.79744212963</v>
      </c>
      <c r="AM4" s="2">
        <v>46072.79740740741</v>
      </c>
      <c r="AN4" s="2">
        <v>46072.79740740741</v>
      </c>
      <c r="AO4" s="2">
        <v>46072.79744212963</v>
      </c>
      <c r="AP4" s="2">
        <v>46072.79746527778</v>
      </c>
      <c r="AR4" s="3"/>
      <c r="AS4" s="3"/>
      <c r="AT4" s="2">
        <v>46072.79744212963</v>
      </c>
      <c r="AU4" s="2">
        <v>46072.79744212963</v>
      </c>
      <c r="AW4" s="3"/>
      <c r="AX4" s="2">
        <v>46073.41951388889</v>
      </c>
      <c r="AY4" s="2">
        <v>46072.79744212963</v>
      </c>
      <c r="AZ4" s="2">
        <v>46073.41957175926</v>
      </c>
      <c r="BA4" s="2">
        <v>46073.472766203704</v>
      </c>
      <c r="BC4" s="2">
        <v>46073.57587962963</v>
      </c>
      <c r="BD4" s="2">
        <v>46073.57587962963</v>
      </c>
      <c r="BE4" s="5">
        <v>56782.0</v>
      </c>
      <c r="BF4" s="5">
        <v>3043.0</v>
      </c>
      <c r="BG4" s="5">
        <v>9463.0</v>
      </c>
      <c r="BH4" s="5">
        <v>608.0</v>
      </c>
      <c r="BI4" s="3"/>
      <c r="BJ4" s="3"/>
      <c r="BK4" s="3"/>
      <c r="BL4" s="3"/>
      <c r="BM4" s="5">
        <v>53750.0</v>
      </c>
      <c r="BN4" s="5">
        <v>246.0</v>
      </c>
      <c r="BO4" s="5">
        <v>53754.0</v>
      </c>
      <c r="BP4" s="5">
        <v>251.0</v>
      </c>
      <c r="BQ4" s="5">
        <v>53755.0</v>
      </c>
      <c r="BR4" s="5">
        <v>251.0</v>
      </c>
      <c r="BS4" s="5">
        <v>4.0</v>
      </c>
      <c r="BT4" s="5">
        <v>4.0</v>
      </c>
      <c r="BU4" s="5">
        <v>53752.0</v>
      </c>
      <c r="BV4" s="5">
        <v>251.0</v>
      </c>
      <c r="BW4" s="5">
        <v>53752.0</v>
      </c>
      <c r="BX4" s="5">
        <v>251.0</v>
      </c>
      <c r="BY4" s="5">
        <v>67259.0</v>
      </c>
      <c r="BZ4" s="5">
        <v>10156.0</v>
      </c>
      <c r="CA4" s="5">
        <v>67259.0</v>
      </c>
      <c r="CB4" s="5">
        <v>10156.0</v>
      </c>
      <c r="CC4" s="5">
        <v>67259.0</v>
      </c>
      <c r="CD4" s="5">
        <v>10156.0</v>
      </c>
      <c r="CE4" s="5">
        <v>13509.0</v>
      </c>
      <c r="CF4" s="5">
        <v>9909.0</v>
      </c>
      <c r="CG4" s="5">
        <v>67256.0</v>
      </c>
      <c r="CH4" s="5">
        <v>10156.0</v>
      </c>
      <c r="CI4" s="5">
        <v>67256.0</v>
      </c>
      <c r="CJ4" s="5">
        <v>10156.0</v>
      </c>
      <c r="CK4" s="5">
        <v>67256.0</v>
      </c>
      <c r="CL4" s="5">
        <v>10156.0</v>
      </c>
      <c r="CM4" s="5">
        <v>67256.0</v>
      </c>
      <c r="CN4" s="5">
        <v>10156.0</v>
      </c>
      <c r="CO4" s="5">
        <v>2.0</v>
      </c>
      <c r="CP4" s="5">
        <v>2.0</v>
      </c>
      <c r="CQ4" s="3"/>
      <c r="CR4" s="4" t="s">
        <v>120</v>
      </c>
    </row>
    <row r="5">
      <c r="A5" s="1" t="s">
        <v>121</v>
      </c>
      <c r="B5" s="2">
        <v>46072.78872685185</v>
      </c>
      <c r="C5" s="1" t="str">
        <f t="array" ref="C5">INDEX('User data'!E:E, MATCH(E5, 'User data'!B:B, 0))</f>
        <v>주식회사 로이드케이</v>
      </c>
      <c r="D5" s="1" t="str">
        <f t="array" ref="D5">INDEX('User data'!F:F, MATCH(C5, 'User data'!E:E, 0))</f>
        <v>120-87-67951</v>
      </c>
      <c r="E5" s="1" t="s">
        <v>122</v>
      </c>
      <c r="F5" s="3"/>
      <c r="G5" s="3"/>
      <c r="H5" s="3"/>
      <c r="I5" s="3"/>
      <c r="J5" s="1" t="s">
        <v>100</v>
      </c>
      <c r="K5" s="1" t="s">
        <v>101</v>
      </c>
      <c r="L5" s="1" t="b">
        <v>0</v>
      </c>
      <c r="M5" s="4" t="s">
        <v>102</v>
      </c>
      <c r="N5" s="1" t="s">
        <v>123</v>
      </c>
      <c r="P5" s="3"/>
      <c r="Q5" s="3"/>
      <c r="R5" s="3"/>
      <c r="S5" s="3"/>
      <c r="T5" s="1" t="s">
        <v>104</v>
      </c>
      <c r="U5" s="3"/>
      <c r="V5" s="3"/>
      <c r="W5" s="1" t="s">
        <v>105</v>
      </c>
      <c r="X5" s="3"/>
      <c r="Y5" s="1" t="s">
        <v>106</v>
      </c>
      <c r="Z5" s="3"/>
      <c r="AA5" s="1" t="b">
        <v>0</v>
      </c>
      <c r="AB5" s="1" t="b">
        <v>0</v>
      </c>
      <c r="AC5" s="1" t="b">
        <v>0</v>
      </c>
      <c r="AD5" s="1" t="b">
        <v>0</v>
      </c>
      <c r="AE5" s="1" t="b">
        <v>1</v>
      </c>
      <c r="AF5" s="3"/>
      <c r="AG5" s="3"/>
      <c r="AH5" s="3"/>
      <c r="AI5" s="3"/>
      <c r="AJ5" s="2">
        <v>46072.788564814815</v>
      </c>
      <c r="AK5" s="2">
        <v>46072.78890046296</v>
      </c>
      <c r="AM5" s="2">
        <v>46072.78872685185</v>
      </c>
      <c r="AN5" s="2">
        <v>46072.78872685185</v>
      </c>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4" t="s">
        <v>124</v>
      </c>
    </row>
    <row r="6">
      <c r="A6" s="1" t="s">
        <v>125</v>
      </c>
      <c r="B6" s="2">
        <v>46072.763287037036</v>
      </c>
      <c r="C6" s="1" t="str">
        <f t="array" ref="C6">INDEX('User data'!E:E, MATCH(E6, 'User data'!B:B, 0))</f>
        <v>주식회사 보살핌</v>
      </c>
      <c r="D6" s="1" t="str">
        <f t="array" ref="D6">INDEX('User data'!F:F, MATCH(C6, 'User data'!E:E, 0))</f>
        <v>440-88-02179</v>
      </c>
      <c r="E6" s="1" t="s">
        <v>126</v>
      </c>
      <c r="F6" s="3"/>
      <c r="G6" s="3"/>
      <c r="H6" s="1" t="s">
        <v>127</v>
      </c>
      <c r="I6" s="1" t="s">
        <v>128</v>
      </c>
      <c r="J6" s="1" t="s">
        <v>100</v>
      </c>
      <c r="K6" s="1" t="s">
        <v>101</v>
      </c>
      <c r="L6" s="1" t="b">
        <v>0</v>
      </c>
      <c r="M6" s="4" t="s">
        <v>102</v>
      </c>
      <c r="N6" s="1" t="s">
        <v>129</v>
      </c>
      <c r="O6" s="1">
        <v>574085.0</v>
      </c>
      <c r="P6" s="1">
        <v>574085.0</v>
      </c>
      <c r="Q6" s="1">
        <v>574085.0</v>
      </c>
      <c r="R6" s="1" t="s">
        <v>130</v>
      </c>
      <c r="S6" s="1">
        <v>13285.0</v>
      </c>
      <c r="T6" s="1" t="s">
        <v>104</v>
      </c>
      <c r="U6" s="3"/>
      <c r="V6" s="3"/>
      <c r="W6" s="1" t="s">
        <v>118</v>
      </c>
      <c r="X6" s="3"/>
      <c r="Y6" s="1" t="s">
        <v>119</v>
      </c>
      <c r="Z6" s="3"/>
      <c r="AA6" s="1" t="b">
        <v>1</v>
      </c>
      <c r="AB6" s="1" t="b">
        <v>0</v>
      </c>
      <c r="AC6" s="1" t="b">
        <v>0</v>
      </c>
      <c r="AD6" s="1" t="b">
        <v>1</v>
      </c>
      <c r="AE6" s="1" t="b">
        <v>1</v>
      </c>
      <c r="AF6" s="5">
        <v>1.0</v>
      </c>
      <c r="AG6" s="3"/>
      <c r="AH6" s="3"/>
      <c r="AI6" s="3"/>
      <c r="AJ6" s="2">
        <v>46072.763090277775</v>
      </c>
      <c r="AK6" s="2">
        <v>46073.492002314815</v>
      </c>
      <c r="AL6" s="2">
        <v>46072.763703703706</v>
      </c>
      <c r="AM6" s="2">
        <v>46072.763287037036</v>
      </c>
      <c r="AN6" s="2">
        <v>46072.763287037036</v>
      </c>
      <c r="AO6" s="2">
        <v>46072.763703703706</v>
      </c>
      <c r="AP6" s="2">
        <v>46072.76375</v>
      </c>
      <c r="AQ6" s="2">
        <v>46072.763715277775</v>
      </c>
      <c r="AS6" s="2">
        <v>46072.76372685185</v>
      </c>
      <c r="AT6" s="2">
        <v>46072.763715277775</v>
      </c>
      <c r="AU6" s="2">
        <v>46072.76372685185</v>
      </c>
      <c r="AW6" s="3"/>
      <c r="AX6" s="2">
        <v>46072.76372685185</v>
      </c>
      <c r="AY6" s="2">
        <v>46072.76372685185</v>
      </c>
      <c r="AZ6" s="2">
        <v>46072.826840277776</v>
      </c>
      <c r="BA6" s="2">
        <v>46072.826840277776</v>
      </c>
      <c r="BC6" s="2">
        <v>46073.450324074074</v>
      </c>
      <c r="BD6" s="2">
        <v>46073.450324074074</v>
      </c>
      <c r="BE6" s="5">
        <v>5454.0</v>
      </c>
      <c r="BF6" s="3"/>
      <c r="BG6" s="5">
        <v>5454.0</v>
      </c>
      <c r="BH6" s="3"/>
      <c r="BI6" s="3"/>
      <c r="BJ6" s="3"/>
      <c r="BK6" s="5">
        <v>1.0</v>
      </c>
      <c r="BL6" s="5">
        <v>0.0</v>
      </c>
      <c r="BM6" s="5">
        <v>37.0</v>
      </c>
      <c r="BN6" s="5">
        <v>0.0</v>
      </c>
      <c r="BO6" s="5">
        <v>5490.0</v>
      </c>
      <c r="BP6" s="5">
        <v>0.0</v>
      </c>
      <c r="BQ6" s="5">
        <v>5490.0</v>
      </c>
      <c r="BR6" s="5">
        <v>0.0</v>
      </c>
      <c r="BS6" s="5">
        <v>5453.0</v>
      </c>
      <c r="BT6" s="5">
        <v>0.0</v>
      </c>
      <c r="BU6" s="5">
        <v>5453.0</v>
      </c>
      <c r="BV6" s="5">
        <v>0.0</v>
      </c>
      <c r="BW6" s="5">
        <v>5454.0</v>
      </c>
      <c r="BX6" s="5">
        <v>0.0</v>
      </c>
      <c r="BY6" s="5">
        <v>59359.0</v>
      </c>
      <c r="BZ6" s="5">
        <v>2908.0</v>
      </c>
      <c r="CA6" s="5">
        <v>59359.0</v>
      </c>
      <c r="CB6" s="5">
        <v>2908.0</v>
      </c>
      <c r="CC6" s="5">
        <v>59359.0</v>
      </c>
      <c r="CD6" s="5">
        <v>2908.0</v>
      </c>
      <c r="CE6" s="5">
        <v>59321.0</v>
      </c>
      <c r="CF6" s="5">
        <v>2908.0</v>
      </c>
      <c r="CG6" s="5">
        <v>59321.0</v>
      </c>
      <c r="CH6" s="5">
        <v>2908.0</v>
      </c>
      <c r="CI6" s="5">
        <v>59322.0</v>
      </c>
      <c r="CJ6" s="5">
        <v>2908.0</v>
      </c>
      <c r="CK6" s="5">
        <v>59321.0</v>
      </c>
      <c r="CL6" s="5">
        <v>2908.0</v>
      </c>
      <c r="CM6" s="5">
        <v>59321.0</v>
      </c>
      <c r="CN6" s="5">
        <v>2908.0</v>
      </c>
      <c r="CO6" s="5">
        <v>3.0</v>
      </c>
      <c r="CP6" s="5">
        <v>35.0</v>
      </c>
      <c r="CQ6" s="3"/>
      <c r="CR6" s="4" t="s">
        <v>131</v>
      </c>
    </row>
    <row r="7">
      <c r="A7" s="1" t="s">
        <v>132</v>
      </c>
      <c r="B7" s="2">
        <v>46072.74228009259</v>
      </c>
      <c r="C7" s="1" t="str">
        <f t="array" ref="C7">INDEX('User data'!E:E, MATCH(E7, 'User data'!B:B, 0))</f>
        <v>주식회사 스티커스코퍼레이션</v>
      </c>
      <c r="D7" s="1" t="str">
        <f t="array" ref="D7">INDEX('User data'!F:F, MATCH(C7, 'User data'!E:E, 0))</f>
        <v>737-81-01527</v>
      </c>
      <c r="E7" s="1" t="s">
        <v>133</v>
      </c>
      <c r="F7" s="3"/>
      <c r="G7" s="3"/>
      <c r="H7" s="3"/>
      <c r="I7" s="3"/>
      <c r="J7" s="1" t="s">
        <v>100</v>
      </c>
      <c r="K7" s="1" t="s">
        <v>101</v>
      </c>
      <c r="L7" s="1" t="b">
        <v>0</v>
      </c>
      <c r="M7" s="4" t="s">
        <v>102</v>
      </c>
      <c r="N7" s="1" t="s">
        <v>134</v>
      </c>
      <c r="P7" s="3"/>
      <c r="Q7" s="3"/>
      <c r="R7" s="3"/>
      <c r="S7" s="3"/>
      <c r="T7" s="1" t="s">
        <v>104</v>
      </c>
      <c r="U7" s="3"/>
      <c r="V7" s="3"/>
      <c r="W7" s="1" t="s">
        <v>105</v>
      </c>
      <c r="X7" s="3"/>
      <c r="Y7" s="1" t="s">
        <v>106</v>
      </c>
      <c r="Z7" s="3"/>
      <c r="AA7" s="1" t="b">
        <v>0</v>
      </c>
      <c r="AB7" s="1" t="b">
        <v>0</v>
      </c>
      <c r="AC7" s="1" t="b">
        <v>0</v>
      </c>
      <c r="AD7" s="1" t="b">
        <v>0</v>
      </c>
      <c r="AE7" s="1" t="b">
        <v>1</v>
      </c>
      <c r="AF7" s="3"/>
      <c r="AG7" s="3"/>
      <c r="AH7" s="3"/>
      <c r="AI7" s="3"/>
      <c r="AJ7" s="2">
        <v>46072.74222222222</v>
      </c>
      <c r="AK7" s="2">
        <v>46072.742418981485</v>
      </c>
      <c r="AM7" s="2">
        <v>46072.74228009259</v>
      </c>
      <c r="AN7" s="2">
        <v>46072.74228009259</v>
      </c>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4" t="s">
        <v>135</v>
      </c>
    </row>
    <row r="8">
      <c r="A8" s="1" t="s">
        <v>136</v>
      </c>
      <c r="B8" s="2">
        <v>46072.73866898148</v>
      </c>
      <c r="C8" s="1" t="str">
        <f t="array" ref="C8">INDEX('User data'!E:E, MATCH(E8, 'User data'!B:B, 0))</f>
        <v>주식회사 파인우드리빙</v>
      </c>
      <c r="D8" s="1" t="str">
        <f t="array" ref="D8">INDEX('User data'!F:F, MATCH(C8, 'User data'!E:E, 0))</f>
        <v>819-86-01256</v>
      </c>
      <c r="E8" s="1" t="s">
        <v>137</v>
      </c>
      <c r="F8" s="3"/>
      <c r="G8" s="3"/>
      <c r="H8" s="3"/>
      <c r="I8" s="3"/>
      <c r="J8" s="1" t="s">
        <v>100</v>
      </c>
      <c r="K8" s="1" t="s">
        <v>101</v>
      </c>
      <c r="L8" s="1" t="b">
        <v>0</v>
      </c>
      <c r="M8" s="4" t="s">
        <v>102</v>
      </c>
      <c r="N8" s="1" t="s">
        <v>138</v>
      </c>
      <c r="P8" s="3"/>
      <c r="Q8" s="3"/>
      <c r="R8" s="3"/>
      <c r="S8" s="3"/>
      <c r="T8" s="1" t="s">
        <v>104</v>
      </c>
      <c r="U8" s="3"/>
      <c r="V8" s="3"/>
      <c r="W8" s="1" t="s">
        <v>105</v>
      </c>
      <c r="X8" s="3"/>
      <c r="Y8" s="1" t="s">
        <v>106</v>
      </c>
      <c r="Z8" s="3"/>
      <c r="AA8" s="1" t="b">
        <v>0</v>
      </c>
      <c r="AB8" s="1" t="b">
        <v>0</v>
      </c>
      <c r="AC8" s="1" t="b">
        <v>0</v>
      </c>
      <c r="AD8" s="1" t="b">
        <v>0</v>
      </c>
      <c r="AE8" s="1" t="b">
        <v>1</v>
      </c>
      <c r="AF8" s="3"/>
      <c r="AG8" s="3"/>
      <c r="AH8" s="3"/>
      <c r="AI8" s="3"/>
      <c r="AJ8" s="2">
        <v>46072.73855324074</v>
      </c>
      <c r="AK8" s="2">
        <v>46072.738854166666</v>
      </c>
      <c r="AM8" s="2">
        <v>46072.73866898148</v>
      </c>
      <c r="AN8" s="2">
        <v>46072.73866898148</v>
      </c>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4" t="s">
        <v>139</v>
      </c>
    </row>
    <row r="9">
      <c r="A9" s="1" t="s">
        <v>140</v>
      </c>
      <c r="B9" s="2">
        <v>46072.7328587963</v>
      </c>
      <c r="C9" s="1" t="str">
        <f t="array" ref="C9">INDEX('User data'!E:E, MATCH(E9, 'User data'!B:B, 0))</f>
        <v>주식회사 커들리스튜디오</v>
      </c>
      <c r="D9" s="1" t="str">
        <f t="array" ref="D9">INDEX('User data'!F:F, MATCH(C9, 'User data'!E:E, 0))</f>
        <v>636-88-02713</v>
      </c>
      <c r="E9" s="1" t="s">
        <v>141</v>
      </c>
      <c r="F9" s="3"/>
      <c r="G9" s="3"/>
      <c r="H9" s="1" t="s">
        <v>142</v>
      </c>
      <c r="I9" s="1" t="s">
        <v>143</v>
      </c>
      <c r="J9" s="1" t="s">
        <v>100</v>
      </c>
      <c r="K9" s="1" t="s">
        <v>101</v>
      </c>
      <c r="L9" s="1" t="b">
        <v>0</v>
      </c>
      <c r="M9" s="4" t="s">
        <v>102</v>
      </c>
      <c r="N9" s="1" t="s">
        <v>144</v>
      </c>
      <c r="O9" s="1">
        <v>574085.0</v>
      </c>
      <c r="P9" s="1">
        <v>574085.0</v>
      </c>
      <c r="Q9" s="1">
        <v>574085.0</v>
      </c>
      <c r="R9" s="1" t="s">
        <v>145</v>
      </c>
      <c r="S9" s="1">
        <v>13285.0</v>
      </c>
      <c r="T9" s="1" t="s">
        <v>104</v>
      </c>
      <c r="U9" s="3"/>
      <c r="V9" s="3"/>
      <c r="W9" s="1" t="s">
        <v>118</v>
      </c>
      <c r="X9" s="3"/>
      <c r="Y9" s="1" t="s">
        <v>119</v>
      </c>
      <c r="Z9" s="3"/>
      <c r="AA9" s="1" t="b">
        <v>1</v>
      </c>
      <c r="AB9" s="1" t="b">
        <v>0</v>
      </c>
      <c r="AC9" s="1" t="b">
        <v>0</v>
      </c>
      <c r="AD9" s="1" t="b">
        <v>1</v>
      </c>
      <c r="AE9" s="1" t="b">
        <v>1</v>
      </c>
      <c r="AF9" s="5">
        <v>1.0</v>
      </c>
      <c r="AG9" s="3"/>
      <c r="AH9" s="3"/>
      <c r="AI9" s="3"/>
      <c r="AJ9" s="2">
        <v>46052.71475694444</v>
      </c>
      <c r="AK9" s="2">
        <v>46073.499236111114</v>
      </c>
      <c r="AL9" s="2">
        <v>46052.71475694444</v>
      </c>
      <c r="AM9" s="2">
        <v>46052.714780092596</v>
      </c>
      <c r="AN9" s="2">
        <v>46072.7328587963</v>
      </c>
      <c r="AO9" s="2">
        <v>46072.734189814815</v>
      </c>
      <c r="AP9" s="2">
        <v>46072.734189814815</v>
      </c>
      <c r="AQ9" s="2">
        <v>46072.734189814815</v>
      </c>
      <c r="AS9" s="2">
        <v>46072.73420138889</v>
      </c>
      <c r="AT9" s="2">
        <v>46072.734189814815</v>
      </c>
      <c r="AU9" s="2">
        <v>46072.73420138889</v>
      </c>
      <c r="AW9" s="3"/>
      <c r="AX9" s="2">
        <v>46072.73420138889</v>
      </c>
      <c r="AY9" s="2">
        <v>46072.73420138889</v>
      </c>
      <c r="AZ9" s="2">
        <v>46073.421122685184</v>
      </c>
      <c r="BA9" s="2">
        <v>46073.421122685184</v>
      </c>
      <c r="BC9" s="2">
        <v>46073.45755787037</v>
      </c>
      <c r="BD9" s="2">
        <v>46073.45755787037</v>
      </c>
      <c r="BE9" s="5">
        <v>59351.0</v>
      </c>
      <c r="BF9" s="3"/>
      <c r="BG9" s="5">
        <v>59351.0</v>
      </c>
      <c r="BH9" s="3"/>
      <c r="BI9" s="3"/>
      <c r="BJ9" s="3"/>
      <c r="BK9" s="5">
        <v>0.0</v>
      </c>
      <c r="BL9" s="5">
        <v>0.0</v>
      </c>
      <c r="BM9" s="5">
        <v>115.0</v>
      </c>
      <c r="BN9" s="5">
        <v>0.0</v>
      </c>
      <c r="BO9" s="5">
        <v>59466.0</v>
      </c>
      <c r="BP9" s="5">
        <v>385.0</v>
      </c>
      <c r="BQ9" s="5">
        <v>1789028.0</v>
      </c>
      <c r="BR9" s="5">
        <v>302785.0</v>
      </c>
      <c r="BS9" s="5">
        <v>59350.0</v>
      </c>
      <c r="BT9" s="5">
        <v>385.0</v>
      </c>
      <c r="BU9" s="5">
        <v>59350.0</v>
      </c>
      <c r="BV9" s="5">
        <v>385.0</v>
      </c>
      <c r="BW9" s="5">
        <v>59351.0</v>
      </c>
      <c r="BX9" s="5">
        <v>385.0</v>
      </c>
      <c r="BY9" s="5">
        <v>62613.0</v>
      </c>
      <c r="BZ9" s="5">
        <v>3533.0</v>
      </c>
      <c r="CA9" s="5">
        <v>62613.0</v>
      </c>
      <c r="CB9" s="5">
        <v>3533.0</v>
      </c>
      <c r="CC9" s="5">
        <v>1792176.0</v>
      </c>
      <c r="CD9" s="5">
        <v>305933.0</v>
      </c>
      <c r="CE9" s="5">
        <v>62497.0</v>
      </c>
      <c r="CF9" s="5">
        <v>3533.0</v>
      </c>
      <c r="CG9" s="5">
        <v>62497.0</v>
      </c>
      <c r="CH9" s="5">
        <v>3533.0</v>
      </c>
      <c r="CI9" s="5">
        <v>62498.0</v>
      </c>
      <c r="CJ9" s="5">
        <v>3533.0</v>
      </c>
      <c r="CK9" s="5">
        <v>62497.0</v>
      </c>
      <c r="CL9" s="5">
        <v>3533.0</v>
      </c>
      <c r="CM9" s="5">
        <v>62497.0</v>
      </c>
      <c r="CN9" s="5">
        <v>3533.0</v>
      </c>
      <c r="CO9" s="5">
        <v>1729678.0</v>
      </c>
      <c r="CP9" s="5">
        <v>114.0</v>
      </c>
      <c r="CQ9" s="3"/>
      <c r="CR9" s="4" t="s">
        <v>146</v>
      </c>
    </row>
    <row r="10">
      <c r="A10" s="1" t="s">
        <v>147</v>
      </c>
      <c r="B10" s="2">
        <v>46072.73234953704</v>
      </c>
      <c r="C10" s="1" t="str">
        <f t="array" ref="C10">INDEX('User data'!E:E, MATCH(E10, 'User data'!B:B, 0))</f>
        <v/>
      </c>
      <c r="D10" s="1" t="str">
        <f t="array" ref="D10">INDEX('User data'!F:F, MATCH(C10, 'User data'!E:E, 0))</f>
        <v>#N/A</v>
      </c>
      <c r="E10" s="1" t="s">
        <v>148</v>
      </c>
      <c r="F10" s="3"/>
      <c r="G10" s="3"/>
      <c r="H10" s="3"/>
      <c r="I10" s="1" t="s">
        <v>149</v>
      </c>
      <c r="J10" s="1" t="s">
        <v>100</v>
      </c>
      <c r="K10" s="1" t="s">
        <v>101</v>
      </c>
      <c r="L10" s="1" t="b">
        <v>0</v>
      </c>
      <c r="M10" s="4" t="s">
        <v>102</v>
      </c>
      <c r="N10" s="1" t="s">
        <v>150</v>
      </c>
      <c r="O10" s="1">
        <v>607950.0</v>
      </c>
      <c r="P10" s="1">
        <v>607950.0</v>
      </c>
      <c r="Q10" s="3"/>
      <c r="R10" s="1">
        <v>607950.0</v>
      </c>
      <c r="S10" s="3"/>
      <c r="T10" s="1" t="s">
        <v>104</v>
      </c>
      <c r="U10" s="3"/>
      <c r="V10" s="3"/>
      <c r="W10" s="1" t="s">
        <v>151</v>
      </c>
      <c r="X10" s="3"/>
      <c r="Y10" s="1" t="s">
        <v>119</v>
      </c>
      <c r="Z10" s="3"/>
      <c r="AA10" s="1" t="b">
        <v>1</v>
      </c>
      <c r="AB10" s="1" t="b">
        <v>0</v>
      </c>
      <c r="AC10" s="1" t="b">
        <v>0</v>
      </c>
      <c r="AD10" s="1" t="b">
        <v>0</v>
      </c>
      <c r="AE10" s="1" t="b">
        <v>1</v>
      </c>
      <c r="AF10" s="5">
        <v>1.0</v>
      </c>
      <c r="AG10" s="3"/>
      <c r="AH10" s="3"/>
      <c r="AI10" s="3"/>
      <c r="AJ10" s="2">
        <v>46072.73216435185</v>
      </c>
      <c r="AK10" s="2">
        <v>46073.57146990741</v>
      </c>
      <c r="AM10" s="2">
        <v>46072.73234953704</v>
      </c>
      <c r="AN10" s="2">
        <v>46072.73234953704</v>
      </c>
      <c r="AO10" s="2">
        <v>46072.73255787037</v>
      </c>
      <c r="AQ10" s="3"/>
      <c r="AR10" s="3"/>
      <c r="AS10" s="3"/>
      <c r="AT10" s="2">
        <v>46072.73255787037</v>
      </c>
      <c r="AU10" s="2">
        <v>46072.73255787037</v>
      </c>
      <c r="AW10" s="3"/>
      <c r="AX10" s="2">
        <v>46072.73243055555</v>
      </c>
      <c r="AY10" s="2">
        <v>46072.73255787037</v>
      </c>
      <c r="AZ10" s="2">
        <v>46072.73255787037</v>
      </c>
      <c r="BA10" s="2">
        <v>46073.421006944445</v>
      </c>
      <c r="BC10" s="3"/>
      <c r="BD10" s="3"/>
      <c r="BE10" s="5">
        <v>59458.0</v>
      </c>
      <c r="BF10" s="3"/>
      <c r="BG10" s="5">
        <v>59458.0</v>
      </c>
      <c r="BH10" s="3"/>
      <c r="BI10" s="3"/>
      <c r="BJ10" s="3"/>
      <c r="BK10" s="3"/>
      <c r="BL10" s="3"/>
      <c r="BM10" s="5">
        <v>7.0</v>
      </c>
      <c r="BN10" s="5">
        <v>0.0</v>
      </c>
      <c r="BO10" s="5">
        <v>17.0</v>
      </c>
      <c r="BP10" s="5">
        <v>0.0</v>
      </c>
      <c r="BQ10" s="5">
        <v>17.0</v>
      </c>
      <c r="BR10" s="5">
        <v>0.0</v>
      </c>
      <c r="BS10" s="5">
        <v>10.0</v>
      </c>
      <c r="BT10" s="5">
        <v>0.0</v>
      </c>
      <c r="BU10" s="3"/>
      <c r="BV10" s="3"/>
      <c r="BW10" s="5">
        <v>0.0</v>
      </c>
      <c r="BX10" s="3"/>
      <c r="BY10" s="3"/>
      <c r="BZ10" s="3"/>
      <c r="CA10" s="3"/>
      <c r="CB10" s="3"/>
      <c r="CC10" s="3"/>
      <c r="CD10" s="3"/>
      <c r="CE10" s="3"/>
      <c r="CF10" s="3"/>
      <c r="CG10" s="3"/>
      <c r="CH10" s="3"/>
      <c r="CI10" s="3"/>
      <c r="CJ10" s="3"/>
      <c r="CK10" s="3"/>
      <c r="CL10" s="3"/>
      <c r="CM10" s="3"/>
      <c r="CN10" s="3"/>
      <c r="CO10" s="3"/>
      <c r="CP10" s="5">
        <v>17.0</v>
      </c>
      <c r="CQ10" s="3"/>
      <c r="CR10" s="4" t="s">
        <v>152</v>
      </c>
    </row>
    <row r="11">
      <c r="A11" s="1" t="s">
        <v>153</v>
      </c>
      <c r="B11" s="2">
        <v>46072.710277777776</v>
      </c>
      <c r="C11" s="1" t="str">
        <f t="array" ref="C11">INDEX('User data'!E:E, MATCH(E11, 'User data'!B:B, 0))</f>
        <v/>
      </c>
      <c r="D11" s="1" t="str">
        <f t="array" ref="D11">INDEX('User data'!F:F, MATCH(C11, 'User data'!E:E, 0))</f>
        <v>#N/A</v>
      </c>
      <c r="E11" s="1" t="s">
        <v>154</v>
      </c>
      <c r="F11" s="3"/>
      <c r="G11" s="3"/>
      <c r="H11" s="3"/>
      <c r="I11" s="3"/>
      <c r="J11" s="1" t="s">
        <v>100</v>
      </c>
      <c r="K11" s="1" t="s">
        <v>101</v>
      </c>
      <c r="L11" s="1" t="b">
        <v>0</v>
      </c>
      <c r="M11" s="4" t="s">
        <v>102</v>
      </c>
      <c r="N11" s="1" t="s">
        <v>155</v>
      </c>
      <c r="P11" s="3"/>
      <c r="Q11" s="3"/>
      <c r="R11" s="3"/>
      <c r="S11" s="3"/>
      <c r="T11" s="1" t="s">
        <v>104</v>
      </c>
      <c r="U11" s="3"/>
      <c r="V11" s="3"/>
      <c r="W11" s="1" t="s">
        <v>105</v>
      </c>
      <c r="X11" s="3"/>
      <c r="Y11" s="1" t="s">
        <v>106</v>
      </c>
      <c r="Z11" s="3"/>
      <c r="AA11" s="1" t="b">
        <v>0</v>
      </c>
      <c r="AB11" s="1" t="b">
        <v>0</v>
      </c>
      <c r="AC11" s="1" t="b">
        <v>0</v>
      </c>
      <c r="AD11" s="1" t="b">
        <v>0</v>
      </c>
      <c r="AE11" s="1" t="b">
        <v>1</v>
      </c>
      <c r="AF11" s="3"/>
      <c r="AG11" s="3"/>
      <c r="AH11" s="3"/>
      <c r="AI11" s="3"/>
      <c r="AJ11" s="2">
        <v>46072.70984953704</v>
      </c>
      <c r="AK11" s="2">
        <v>46072.71212962963</v>
      </c>
      <c r="AM11" s="2">
        <v>46072.710277777776</v>
      </c>
      <c r="AN11" s="2">
        <v>46072.710277777776</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4" t="s">
        <v>156</v>
      </c>
    </row>
    <row r="12">
      <c r="A12" s="1" t="s">
        <v>157</v>
      </c>
      <c r="B12" s="2">
        <v>46072.68172453704</v>
      </c>
      <c r="C12" s="1" t="str">
        <f t="array" ref="C12">INDEX('User data'!E:E, MATCH(E12, 'User data'!B:B, 0))</f>
        <v>주식회사 앳홈</v>
      </c>
      <c r="D12" s="1" t="str">
        <f t="array" ref="D12">INDEX('User data'!F:F, MATCH(C12, 'User data'!E:E, 0))</f>
        <v>136-81-34676</v>
      </c>
      <c r="E12" s="1" t="s">
        <v>158</v>
      </c>
      <c r="F12" s="3"/>
      <c r="G12" s="3"/>
      <c r="H12" s="1" t="s">
        <v>159</v>
      </c>
      <c r="J12" s="1" t="s">
        <v>100</v>
      </c>
      <c r="K12" s="1" t="s">
        <v>101</v>
      </c>
      <c r="L12" s="1" t="b">
        <v>0</v>
      </c>
      <c r="M12" s="4" t="s">
        <v>102</v>
      </c>
      <c r="N12" s="1" t="s">
        <v>160</v>
      </c>
      <c r="P12" s="3"/>
      <c r="Q12" s="3"/>
      <c r="R12" s="3"/>
      <c r="S12" s="3"/>
      <c r="T12" s="1" t="s">
        <v>104</v>
      </c>
      <c r="U12" s="3"/>
      <c r="V12" s="3"/>
      <c r="W12" s="1" t="s">
        <v>118</v>
      </c>
      <c r="X12" s="3"/>
      <c r="Y12" s="1" t="s">
        <v>106</v>
      </c>
      <c r="Z12" s="3"/>
      <c r="AA12" s="1" t="b">
        <v>0</v>
      </c>
      <c r="AB12" s="1" t="b">
        <v>0</v>
      </c>
      <c r="AC12" s="1" t="b">
        <v>0</v>
      </c>
      <c r="AD12" s="1" t="b">
        <v>0</v>
      </c>
      <c r="AE12" s="1" t="b">
        <v>1</v>
      </c>
      <c r="AF12" s="3"/>
      <c r="AG12" s="3"/>
      <c r="AH12" s="3"/>
      <c r="AI12" s="3"/>
      <c r="AJ12" s="2">
        <v>46072.681608796294</v>
      </c>
      <c r="AK12" s="2">
        <v>46072.68208333333</v>
      </c>
      <c r="AM12" s="2">
        <v>46072.68172453704</v>
      </c>
      <c r="AN12" s="2">
        <v>46072.68172453704</v>
      </c>
      <c r="AP12" s="3"/>
      <c r="AQ12" s="3"/>
      <c r="AR12" s="3"/>
      <c r="AS12" s="3"/>
      <c r="AT12" s="3"/>
      <c r="AU12" s="3"/>
      <c r="AV12" s="3"/>
      <c r="AW12" s="3"/>
      <c r="AX12" s="3"/>
      <c r="AY12" s="3"/>
      <c r="AZ12" s="3"/>
      <c r="BA12" s="3"/>
      <c r="BB12" s="3"/>
      <c r="BC12" s="2">
        <v>46072.68206018519</v>
      </c>
      <c r="BD12" s="2">
        <v>46072.68206018519</v>
      </c>
      <c r="BF12" s="3"/>
      <c r="BG12" s="3"/>
      <c r="BH12" s="3"/>
      <c r="BI12" s="3"/>
      <c r="BJ12" s="3"/>
      <c r="BK12" s="3"/>
      <c r="BL12" s="3"/>
      <c r="BM12" s="3"/>
      <c r="BN12" s="3"/>
      <c r="BO12" s="3"/>
      <c r="BP12" s="3"/>
      <c r="BQ12" s="3"/>
      <c r="BR12" s="3"/>
      <c r="BS12" s="3"/>
      <c r="BT12" s="3"/>
      <c r="BU12" s="3"/>
      <c r="BV12" s="3"/>
      <c r="BW12" s="3"/>
      <c r="BX12" s="3"/>
      <c r="BY12" s="5">
        <v>29.0</v>
      </c>
      <c r="BZ12" s="5">
        <v>29.0</v>
      </c>
      <c r="CA12" s="5">
        <v>29.0</v>
      </c>
      <c r="CB12" s="5">
        <v>29.0</v>
      </c>
      <c r="CC12" s="5">
        <v>29.0</v>
      </c>
      <c r="CD12" s="5">
        <v>29.0</v>
      </c>
      <c r="CE12" s="3"/>
      <c r="CF12" s="3"/>
      <c r="CG12" s="3"/>
      <c r="CH12" s="3"/>
      <c r="CI12" s="3"/>
      <c r="CJ12" s="3"/>
      <c r="CK12" s="3"/>
      <c r="CL12" s="3"/>
      <c r="CM12" s="3"/>
      <c r="CN12" s="3"/>
      <c r="CO12" s="3"/>
      <c r="CP12" s="3"/>
      <c r="CQ12" s="3"/>
      <c r="CR12" s="4" t="s">
        <v>161</v>
      </c>
    </row>
    <row r="13">
      <c r="A13" s="1" t="s">
        <v>162</v>
      </c>
      <c r="B13" s="2">
        <v>46072.67895833333</v>
      </c>
      <c r="C13" s="1" t="str">
        <f t="array" ref="C13">INDEX('User data'!E:E, MATCH(E13, 'User data'!B:B, 0))</f>
        <v>(주)쿨스쿨</v>
      </c>
      <c r="D13" s="1" t="str">
        <f t="array" ref="D13">INDEX('User data'!F:F, MATCH(C13, 'User data'!E:E, 0))</f>
        <v>314-86-66749</v>
      </c>
      <c r="E13" s="1" t="s">
        <v>163</v>
      </c>
      <c r="F13" s="3"/>
      <c r="G13" s="3"/>
      <c r="H13" s="3"/>
      <c r="I13" s="3"/>
      <c r="J13" s="1" t="s">
        <v>100</v>
      </c>
      <c r="K13" s="1" t="s">
        <v>101</v>
      </c>
      <c r="L13" s="1" t="b">
        <v>0</v>
      </c>
      <c r="M13" s="4" t="s">
        <v>102</v>
      </c>
      <c r="N13" s="1" t="s">
        <v>164</v>
      </c>
      <c r="P13" s="3"/>
      <c r="Q13" s="3"/>
      <c r="R13" s="3"/>
      <c r="S13" s="3"/>
      <c r="T13" s="1" t="s">
        <v>104</v>
      </c>
      <c r="U13" s="3"/>
      <c r="V13" s="3"/>
      <c r="W13" s="1" t="s">
        <v>105</v>
      </c>
      <c r="X13" s="3"/>
      <c r="Y13" s="1" t="s">
        <v>106</v>
      </c>
      <c r="Z13" s="3"/>
      <c r="AA13" s="1" t="b">
        <v>0</v>
      </c>
      <c r="AB13" s="1" t="b">
        <v>0</v>
      </c>
      <c r="AC13" s="1" t="b">
        <v>0</v>
      </c>
      <c r="AD13" s="1" t="b">
        <v>0</v>
      </c>
      <c r="AE13" s="1" t="b">
        <v>1</v>
      </c>
      <c r="AF13" s="3"/>
      <c r="AG13" s="3"/>
      <c r="AH13" s="3"/>
      <c r="AI13" s="3"/>
      <c r="AJ13" s="2">
        <v>46072.67869212963</v>
      </c>
      <c r="AK13" s="2">
        <v>46072.68702546296</v>
      </c>
      <c r="AM13" s="2">
        <v>46072.67895833333</v>
      </c>
      <c r="AN13" s="2">
        <v>46072.67895833333</v>
      </c>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4" t="s">
        <v>165</v>
      </c>
    </row>
    <row r="14">
      <c r="A14" s="1" t="s">
        <v>166</v>
      </c>
      <c r="B14" s="2">
        <v>46072.65974537037</v>
      </c>
      <c r="C14" s="1" t="str">
        <f t="array" ref="C14">INDEX('User data'!E:E, MATCH(E14, 'User data'!B:B, 0))</f>
        <v/>
      </c>
      <c r="D14" s="1" t="str">
        <f t="array" ref="D14">INDEX('User data'!F:F, MATCH(C14, 'User data'!E:E, 0))</f>
        <v>#N/A</v>
      </c>
      <c r="E14" s="1" t="s">
        <v>167</v>
      </c>
      <c r="F14" s="3"/>
      <c r="G14" s="3"/>
      <c r="H14" s="3"/>
      <c r="I14" s="3"/>
      <c r="J14" s="1" t="s">
        <v>100</v>
      </c>
      <c r="K14" s="1" t="s">
        <v>101</v>
      </c>
      <c r="L14" s="1" t="b">
        <v>0</v>
      </c>
      <c r="M14" s="4" t="s">
        <v>102</v>
      </c>
      <c r="N14" s="1" t="s">
        <v>168</v>
      </c>
      <c r="P14" s="3"/>
      <c r="Q14" s="3"/>
      <c r="R14" s="3"/>
      <c r="S14" s="3"/>
      <c r="T14" s="1" t="s">
        <v>104</v>
      </c>
      <c r="U14" s="3"/>
      <c r="V14" s="3"/>
      <c r="W14" s="1" t="s">
        <v>105</v>
      </c>
      <c r="X14" s="3"/>
      <c r="Y14" s="1" t="s">
        <v>106</v>
      </c>
      <c r="Z14" s="3"/>
      <c r="AA14" s="1" t="b">
        <v>0</v>
      </c>
      <c r="AB14" s="1" t="b">
        <v>0</v>
      </c>
      <c r="AC14" s="1" t="b">
        <v>0</v>
      </c>
      <c r="AD14" s="1" t="b">
        <v>0</v>
      </c>
      <c r="AE14" s="1" t="b">
        <v>1</v>
      </c>
      <c r="AF14" s="3"/>
      <c r="AG14" s="3"/>
      <c r="AH14" s="3"/>
      <c r="AI14" s="3"/>
      <c r="AJ14" s="2">
        <v>46072.65969907407</v>
      </c>
      <c r="AK14" s="2">
        <v>46072.661041666666</v>
      </c>
      <c r="AM14" s="2">
        <v>46072.65974537037</v>
      </c>
      <c r="AN14" s="2">
        <v>46072.65974537037</v>
      </c>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4" t="s">
        <v>169</v>
      </c>
    </row>
    <row r="15">
      <c r="A15" s="1" t="s">
        <v>170</v>
      </c>
      <c r="B15" s="2">
        <v>46072.65625</v>
      </c>
      <c r="C15" s="1" t="str">
        <f t="array" ref="C15">INDEX('User data'!E:E, MATCH(E15, 'User data'!B:B, 0))</f>
        <v>주식회사 트위넬</v>
      </c>
      <c r="D15" s="1">
        <f t="array" ref="D15">INDEX('User data'!F:F, MATCH(C15, 'User data'!E:E, 0))</f>
        <v>8388103911</v>
      </c>
      <c r="E15" s="1" t="s">
        <v>171</v>
      </c>
      <c r="F15" s="3"/>
      <c r="G15" s="3"/>
      <c r="H15" s="1" t="s">
        <v>172</v>
      </c>
      <c r="J15" s="1" t="s">
        <v>100</v>
      </c>
      <c r="K15" s="1" t="s">
        <v>173</v>
      </c>
      <c r="L15" s="1" t="b">
        <v>0</v>
      </c>
      <c r="M15" s="3"/>
      <c r="N15" s="1" t="s">
        <v>174</v>
      </c>
      <c r="O15" s="1">
        <v>607950.0</v>
      </c>
      <c r="P15" s="1">
        <v>607950.0</v>
      </c>
      <c r="Q15" s="3"/>
      <c r="R15" s="1">
        <v>607950.0</v>
      </c>
      <c r="S15" s="3"/>
      <c r="T15" s="1" t="s">
        <v>175</v>
      </c>
      <c r="U15" s="1" t="s">
        <v>175</v>
      </c>
      <c r="V15" s="3"/>
      <c r="W15" s="1" t="s">
        <v>176</v>
      </c>
      <c r="X15" s="3"/>
      <c r="Y15" s="1" t="s">
        <v>106</v>
      </c>
      <c r="Z15" s="3"/>
      <c r="AA15" s="1" t="b">
        <v>1</v>
      </c>
      <c r="AB15" s="1" t="b">
        <v>0</v>
      </c>
      <c r="AC15" s="1" t="b">
        <v>0</v>
      </c>
      <c r="AD15" s="1" t="b">
        <v>1</v>
      </c>
      <c r="AE15" s="1" t="b">
        <v>0</v>
      </c>
      <c r="AF15" s="5">
        <v>1.0</v>
      </c>
      <c r="AG15" s="5">
        <v>1.0</v>
      </c>
      <c r="AH15" s="3"/>
      <c r="AI15" s="3"/>
      <c r="AJ15" s="2">
        <v>46072.6528587963</v>
      </c>
      <c r="AK15" s="2">
        <v>46073.52119212963</v>
      </c>
      <c r="AL15" s="2">
        <v>46072.656956018516</v>
      </c>
      <c r="AM15" s="2">
        <v>46072.65625</v>
      </c>
      <c r="AO15" s="3"/>
      <c r="AP15" s="2">
        <v>46072.65699074074</v>
      </c>
      <c r="AR15" s="3"/>
      <c r="AS15" s="3"/>
      <c r="AT15" s="2">
        <v>46072.65625</v>
      </c>
      <c r="AU15" s="2">
        <v>46073.51755787037</v>
      </c>
      <c r="AW15" s="3"/>
      <c r="AX15" s="2">
        <v>46072.6528587963</v>
      </c>
      <c r="AY15" s="2">
        <v>46072.65625</v>
      </c>
      <c r="AZ15" s="2">
        <v>46072.660625</v>
      </c>
      <c r="BA15" s="2">
        <v>46072.660625</v>
      </c>
      <c r="BB15" s="2">
        <v>46073.52119212963</v>
      </c>
      <c r="BD15" s="3"/>
      <c r="BE15" s="5">
        <v>377.0</v>
      </c>
      <c r="BF15" s="5">
        <v>377.0</v>
      </c>
      <c r="BG15" s="5">
        <v>377.0</v>
      </c>
      <c r="BH15" s="5">
        <v>377.0</v>
      </c>
      <c r="BI15" s="5">
        <v>14400.0</v>
      </c>
      <c r="BJ15" s="5">
        <v>8717.0</v>
      </c>
      <c r="BK15" s="3"/>
      <c r="BL15" s="3"/>
      <c r="BM15" s="3"/>
      <c r="BN15" s="3"/>
      <c r="BO15" s="5">
        <v>377.0</v>
      </c>
      <c r="BP15" s="5">
        <v>377.0</v>
      </c>
      <c r="BQ15" s="5">
        <v>377.0</v>
      </c>
      <c r="BR15" s="5">
        <v>377.0</v>
      </c>
      <c r="BS15" s="5">
        <v>670.0</v>
      </c>
      <c r="BT15" s="5">
        <v>670.0</v>
      </c>
      <c r="BU15" s="5">
        <v>377.0</v>
      </c>
      <c r="BV15" s="5">
        <v>377.0</v>
      </c>
      <c r="BW15" s="5">
        <v>377.0</v>
      </c>
      <c r="BX15" s="5">
        <v>377.0</v>
      </c>
      <c r="BY15" s="3"/>
      <c r="BZ15" s="3"/>
      <c r="CA15" s="3"/>
      <c r="CB15" s="3"/>
      <c r="CC15" s="3"/>
      <c r="CD15" s="3"/>
      <c r="CE15" s="3"/>
      <c r="CF15" s="3"/>
      <c r="CG15" s="3"/>
      <c r="CH15" s="3"/>
      <c r="CI15" s="3"/>
      <c r="CJ15" s="3"/>
      <c r="CK15" s="3"/>
      <c r="CL15" s="3"/>
      <c r="CM15" s="3"/>
      <c r="CN15" s="3"/>
      <c r="CO15" s="5">
        <v>3.0</v>
      </c>
      <c r="CP15" s="3"/>
      <c r="CQ15" s="3"/>
      <c r="CR15" s="4" t="s">
        <v>177</v>
      </c>
    </row>
    <row r="16">
      <c r="A16" s="1" t="s">
        <v>178</v>
      </c>
      <c r="B16" s="2">
        <v>46072.65059027778</v>
      </c>
      <c r="C16" s="1" t="str">
        <f t="array" ref="C16">INDEX('User data'!E:E, MATCH(E16, 'User data'!B:B, 0))</f>
        <v>주식회사 트위넬</v>
      </c>
      <c r="D16" s="1">
        <f t="array" ref="D16">INDEX('User data'!F:F, MATCH(C16, 'User data'!E:E, 0))</f>
        <v>8388103911</v>
      </c>
      <c r="E16" s="1" t="s">
        <v>171</v>
      </c>
      <c r="F16" s="3"/>
      <c r="G16" s="3"/>
      <c r="H16" s="1" t="s">
        <v>179</v>
      </c>
      <c r="J16" s="1" t="s">
        <v>100</v>
      </c>
      <c r="K16" s="1" t="s">
        <v>101</v>
      </c>
      <c r="L16" s="1" t="b">
        <v>0</v>
      </c>
      <c r="M16" s="4" t="s">
        <v>180</v>
      </c>
      <c r="N16" s="1" t="s">
        <v>174</v>
      </c>
      <c r="O16" s="1">
        <v>607950.0</v>
      </c>
      <c r="P16" s="1">
        <v>607950.0</v>
      </c>
      <c r="Q16" s="3"/>
      <c r="R16" s="1">
        <v>607950.0</v>
      </c>
      <c r="S16" s="3"/>
      <c r="T16" s="1" t="s">
        <v>104</v>
      </c>
      <c r="U16" s="3"/>
      <c r="V16" s="3"/>
      <c r="W16" s="1" t="s">
        <v>176</v>
      </c>
      <c r="X16" s="3"/>
      <c r="Y16" s="1" t="s">
        <v>106</v>
      </c>
      <c r="Z16" s="3"/>
      <c r="AA16" s="1" t="b">
        <v>1</v>
      </c>
      <c r="AB16" s="1" t="b">
        <v>0</v>
      </c>
      <c r="AC16" s="1" t="b">
        <v>0</v>
      </c>
      <c r="AD16" s="1" t="b">
        <v>1</v>
      </c>
      <c r="AE16" s="1" t="b">
        <v>1</v>
      </c>
      <c r="AF16" s="5">
        <v>1.0</v>
      </c>
      <c r="AG16" s="5">
        <v>1.0</v>
      </c>
      <c r="AH16" s="3"/>
      <c r="AI16" s="3"/>
      <c r="AJ16" s="2">
        <v>46072.650509259256</v>
      </c>
      <c r="AK16" s="2">
        <v>46073.52119212963</v>
      </c>
      <c r="AL16" s="2">
        <v>46072.65184027778</v>
      </c>
      <c r="AM16" s="2">
        <v>46072.65059027778</v>
      </c>
      <c r="AN16" s="2">
        <v>46072.65059027778</v>
      </c>
      <c r="AO16" s="2">
        <v>46072.650625</v>
      </c>
      <c r="AP16" s="2">
        <v>46072.651875</v>
      </c>
      <c r="AR16" s="3"/>
      <c r="AS16" s="3"/>
      <c r="AT16" s="2">
        <v>46072.65112268519</v>
      </c>
      <c r="AU16" s="2">
        <v>46073.517546296294</v>
      </c>
      <c r="AW16" s="3"/>
      <c r="AX16" s="2">
        <v>46072.65190972222</v>
      </c>
      <c r="AY16" s="2">
        <v>46072.65112268519</v>
      </c>
      <c r="AZ16" s="2">
        <v>46072.65193287037</v>
      </c>
      <c r="BA16" s="2">
        <v>46072.65193287037</v>
      </c>
      <c r="BB16" s="2">
        <v>46073.52119212963</v>
      </c>
      <c r="BD16" s="3"/>
      <c r="BE16" s="5">
        <v>69.0</v>
      </c>
      <c r="BF16" s="5">
        <v>69.0</v>
      </c>
      <c r="BG16" s="5">
        <v>69.0</v>
      </c>
      <c r="BH16" s="5">
        <v>69.0</v>
      </c>
      <c r="BI16" s="5">
        <v>14399.0</v>
      </c>
      <c r="BJ16" s="5">
        <v>8716.0</v>
      </c>
      <c r="BK16" s="3"/>
      <c r="BL16" s="3"/>
      <c r="BM16" s="5">
        <v>113.0</v>
      </c>
      <c r="BN16" s="5">
        <v>113.0</v>
      </c>
      <c r="BO16" s="5">
        <v>115.0</v>
      </c>
      <c r="BP16" s="5">
        <v>115.0</v>
      </c>
      <c r="BQ16" s="5">
        <v>115.0</v>
      </c>
      <c r="BR16" s="5">
        <v>115.0</v>
      </c>
      <c r="BS16" s="5">
        <v>1.0</v>
      </c>
      <c r="BT16" s="5">
        <v>1.0</v>
      </c>
      <c r="BU16" s="5">
        <v>69.0</v>
      </c>
      <c r="BV16" s="5">
        <v>69.0</v>
      </c>
      <c r="BW16" s="5">
        <v>69.0</v>
      </c>
      <c r="BX16" s="5">
        <v>69.0</v>
      </c>
      <c r="BY16" s="3"/>
      <c r="BZ16" s="3"/>
      <c r="CA16" s="3"/>
      <c r="CB16" s="3"/>
      <c r="CC16" s="3"/>
      <c r="CD16" s="3"/>
      <c r="CE16" s="3"/>
      <c r="CF16" s="3"/>
      <c r="CG16" s="3"/>
      <c r="CH16" s="3"/>
      <c r="CI16" s="3"/>
      <c r="CJ16" s="3"/>
      <c r="CK16" s="3"/>
      <c r="CL16" s="3"/>
      <c r="CM16" s="3"/>
      <c r="CN16" s="3"/>
      <c r="CO16" s="5">
        <v>3.0</v>
      </c>
      <c r="CP16" s="5">
        <v>2.0</v>
      </c>
      <c r="CQ16" s="3"/>
      <c r="CR16" s="4" t="s">
        <v>181</v>
      </c>
    </row>
    <row r="17">
      <c r="A17" s="1" t="s">
        <v>182</v>
      </c>
      <c r="B17" s="2">
        <v>46072.641909722224</v>
      </c>
      <c r="C17" s="1" t="str">
        <f t="array" ref="C17">INDEX('User data'!E:E, MATCH(E17, 'User data'!B:B, 0))</f>
        <v>주식회사 오픈아이오티</v>
      </c>
      <c r="D17" s="1" t="str">
        <f t="array" ref="D17">INDEX('User data'!F:F, MATCH(C17, 'User data'!E:E, 0))</f>
        <v>175-88-03861</v>
      </c>
      <c r="E17" s="1" t="s">
        <v>183</v>
      </c>
      <c r="F17" s="3"/>
      <c r="G17" s="3"/>
      <c r="H17" s="3"/>
      <c r="I17" s="3"/>
      <c r="J17" s="1" t="s">
        <v>100</v>
      </c>
      <c r="K17" s="1" t="s">
        <v>101</v>
      </c>
      <c r="L17" s="1" t="b">
        <v>0</v>
      </c>
      <c r="M17" s="4" t="s">
        <v>102</v>
      </c>
      <c r="N17" s="1" t="s">
        <v>184</v>
      </c>
      <c r="P17" s="3"/>
      <c r="Q17" s="3"/>
      <c r="R17" s="3"/>
      <c r="S17" s="3"/>
      <c r="T17" s="1" t="s">
        <v>104</v>
      </c>
      <c r="U17" s="3"/>
      <c r="V17" s="3"/>
      <c r="W17" s="1" t="s">
        <v>105</v>
      </c>
      <c r="X17" s="3"/>
      <c r="Y17" s="1" t="s">
        <v>106</v>
      </c>
      <c r="Z17" s="3"/>
      <c r="AA17" s="1" t="b">
        <v>0</v>
      </c>
      <c r="AB17" s="1" t="b">
        <v>0</v>
      </c>
      <c r="AC17" s="1" t="b">
        <v>0</v>
      </c>
      <c r="AD17" s="1" t="b">
        <v>0</v>
      </c>
      <c r="AE17" s="1" t="b">
        <v>1</v>
      </c>
      <c r="AF17" s="3"/>
      <c r="AG17" s="3"/>
      <c r="AH17" s="3"/>
      <c r="AI17" s="3"/>
      <c r="AJ17" s="2">
        <v>46072.641493055555</v>
      </c>
      <c r="AK17" s="2">
        <v>46072.642060185186</v>
      </c>
      <c r="AM17" s="2">
        <v>46072.641909722224</v>
      </c>
      <c r="AN17" s="2">
        <v>46072.641909722224</v>
      </c>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4" t="s">
        <v>185</v>
      </c>
    </row>
    <row r="18">
      <c r="A18" s="1" t="s">
        <v>186</v>
      </c>
      <c r="B18" s="2">
        <v>46072.64109953704</v>
      </c>
      <c r="C18" s="1" t="str">
        <f t="array" ref="C18">INDEX('User data'!E:E, MATCH(E18, 'User data'!B:B, 0))</f>
        <v>주식회사 아토즈소프트</v>
      </c>
      <c r="D18" s="1" t="str">
        <f t="array" ref="D18">INDEX('User data'!F:F, MATCH(C18, 'User data'!E:E, 0))</f>
        <v>117-81-81687</v>
      </c>
      <c r="E18" s="1" t="s">
        <v>187</v>
      </c>
      <c r="F18" s="3"/>
      <c r="G18" s="3"/>
      <c r="H18" s="3"/>
      <c r="I18" s="3"/>
      <c r="J18" s="1" t="s">
        <v>100</v>
      </c>
      <c r="K18" s="1" t="s">
        <v>101</v>
      </c>
      <c r="L18" s="1" t="b">
        <v>0</v>
      </c>
      <c r="M18" s="4" t="s">
        <v>102</v>
      </c>
      <c r="N18" s="1" t="s">
        <v>188</v>
      </c>
      <c r="P18" s="3"/>
      <c r="Q18" s="3"/>
      <c r="R18" s="3"/>
      <c r="S18" s="3"/>
      <c r="T18" s="1" t="s">
        <v>104</v>
      </c>
      <c r="U18" s="3"/>
      <c r="V18" s="3"/>
      <c r="W18" s="1" t="s">
        <v>105</v>
      </c>
      <c r="X18" s="3"/>
      <c r="Y18" s="1" t="s">
        <v>106</v>
      </c>
      <c r="Z18" s="3"/>
      <c r="AA18" s="1" t="b">
        <v>0</v>
      </c>
      <c r="AB18" s="1" t="b">
        <v>0</v>
      </c>
      <c r="AC18" s="1" t="b">
        <v>0</v>
      </c>
      <c r="AD18" s="1" t="b">
        <v>0</v>
      </c>
      <c r="AE18" s="1" t="b">
        <v>1</v>
      </c>
      <c r="AF18" s="3"/>
      <c r="AG18" s="3"/>
      <c r="AH18" s="3"/>
      <c r="AI18" s="3"/>
      <c r="AJ18" s="2">
        <v>46072.64082175926</v>
      </c>
      <c r="AK18" s="2">
        <v>46072.64420138889</v>
      </c>
      <c r="AM18" s="2">
        <v>46072.64109953704</v>
      </c>
      <c r="AN18" s="2">
        <v>46072.64109953704</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4" t="s">
        <v>189</v>
      </c>
    </row>
    <row r="19">
      <c r="A19" s="1" t="s">
        <v>190</v>
      </c>
      <c r="B19" s="2">
        <v>46072.62914351852</v>
      </c>
      <c r="C19" s="1" t="str">
        <f t="array" ref="C19">INDEX('User data'!E:E, MATCH(E19, 'User data'!B:B, 0))</f>
        <v>주식회사 아일로</v>
      </c>
      <c r="D19" s="1" t="str">
        <f t="array" ref="D19">INDEX('User data'!F:F, MATCH(C19, 'User data'!E:E, 0))</f>
        <v>322-88-02342</v>
      </c>
      <c r="E19" s="1" t="s">
        <v>191</v>
      </c>
      <c r="F19" s="3"/>
      <c r="G19" s="3"/>
      <c r="H19" s="3"/>
      <c r="I19" s="3"/>
      <c r="J19" s="1" t="s">
        <v>100</v>
      </c>
      <c r="K19" s="1" t="s">
        <v>101</v>
      </c>
      <c r="L19" s="1" t="b">
        <v>0</v>
      </c>
      <c r="M19" s="4" t="s">
        <v>102</v>
      </c>
      <c r="N19" s="1" t="s">
        <v>192</v>
      </c>
      <c r="P19" s="3"/>
      <c r="Q19" s="3"/>
      <c r="R19" s="3"/>
      <c r="S19" s="3"/>
      <c r="T19" s="1" t="s">
        <v>104</v>
      </c>
      <c r="U19" s="3"/>
      <c r="V19" s="3"/>
      <c r="W19" s="1" t="s">
        <v>105</v>
      </c>
      <c r="X19" s="3"/>
      <c r="Y19" s="1" t="s">
        <v>106</v>
      </c>
      <c r="Z19" s="3"/>
      <c r="AA19" s="1" t="b">
        <v>0</v>
      </c>
      <c r="AB19" s="1" t="b">
        <v>0</v>
      </c>
      <c r="AC19" s="1" t="b">
        <v>0</v>
      </c>
      <c r="AD19" s="1" t="b">
        <v>0</v>
      </c>
      <c r="AE19" s="1" t="b">
        <v>1</v>
      </c>
      <c r="AF19" s="3"/>
      <c r="AG19" s="3"/>
      <c r="AH19" s="3"/>
      <c r="AI19" s="3"/>
      <c r="AJ19" s="2">
        <v>46072.629108796296</v>
      </c>
      <c r="AK19" s="2">
        <v>46072.62934027778</v>
      </c>
      <c r="AM19" s="2">
        <v>46072.62914351852</v>
      </c>
      <c r="AN19" s="2">
        <v>46072.62914351852</v>
      </c>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4" t="s">
        <v>193</v>
      </c>
    </row>
    <row r="20">
      <c r="A20" s="1" t="s">
        <v>194</v>
      </c>
      <c r="B20" s="2">
        <v>46072.62200231481</v>
      </c>
      <c r="C20" s="1" t="str">
        <f t="array" ref="C20">INDEX('User data'!E:E, MATCH(E20, 'User data'!B:B, 0))</f>
        <v>(주)튜링</v>
      </c>
      <c r="D20" s="1" t="str">
        <f t="array" ref="D20">INDEX('User data'!F:F, MATCH(C20, 'User data'!E:E, 0))</f>
        <v>254-87-01382</v>
      </c>
      <c r="E20" s="1" t="s">
        <v>195</v>
      </c>
      <c r="F20" s="3"/>
      <c r="G20" s="3"/>
      <c r="H20" s="3"/>
      <c r="I20" s="3"/>
      <c r="J20" s="1" t="s">
        <v>100</v>
      </c>
      <c r="K20" s="1" t="s">
        <v>101</v>
      </c>
      <c r="L20" s="1" t="b">
        <v>0</v>
      </c>
      <c r="M20" s="4" t="s">
        <v>180</v>
      </c>
      <c r="N20" s="1" t="s">
        <v>196</v>
      </c>
      <c r="P20" s="3"/>
      <c r="Q20" s="3"/>
      <c r="R20" s="3"/>
      <c r="S20" s="3"/>
      <c r="T20" s="1" t="s">
        <v>104</v>
      </c>
      <c r="U20" s="3"/>
      <c r="V20" s="3"/>
      <c r="W20" s="1" t="s">
        <v>105</v>
      </c>
      <c r="X20" s="3"/>
      <c r="Y20" s="1" t="s">
        <v>106</v>
      </c>
      <c r="Z20" s="3"/>
      <c r="AA20" s="1" t="b">
        <v>0</v>
      </c>
      <c r="AB20" s="1" t="b">
        <v>0</v>
      </c>
      <c r="AC20" s="1" t="b">
        <v>0</v>
      </c>
      <c r="AD20" s="1" t="b">
        <v>0</v>
      </c>
      <c r="AE20" s="1" t="b">
        <v>1</v>
      </c>
      <c r="AF20" s="3"/>
      <c r="AG20" s="3"/>
      <c r="AH20" s="3"/>
      <c r="AI20" s="3"/>
      <c r="AJ20" s="2">
        <v>46072.62195601852</v>
      </c>
      <c r="AK20" s="2">
        <v>46072.622199074074</v>
      </c>
      <c r="AM20" s="2">
        <v>46072.62200231481</v>
      </c>
      <c r="AN20" s="2">
        <v>46072.62200231481</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4" t="s">
        <v>197</v>
      </c>
    </row>
    <row r="21">
      <c r="A21" s="1" t="s">
        <v>198</v>
      </c>
      <c r="B21" s="2">
        <v>46072.62185185185</v>
      </c>
      <c r="C21" s="1" t="str">
        <f t="array" ref="C21">INDEX('User data'!E:E, MATCH(E21, 'User data'!B:B, 0))</f>
        <v>주식회사 플루토 (PLUTO)</v>
      </c>
      <c r="D21" s="1" t="str">
        <f t="array" ref="D21">INDEX('User data'!F:F, MATCH(C21, 'User data'!E:E, 0))</f>
        <v>444-87-02140</v>
      </c>
      <c r="E21" s="1" t="s">
        <v>199</v>
      </c>
      <c r="F21" s="3"/>
      <c r="G21" s="3"/>
      <c r="H21" s="3"/>
      <c r="I21" s="3"/>
      <c r="J21" s="1" t="s">
        <v>100</v>
      </c>
      <c r="K21" s="1" t="s">
        <v>101</v>
      </c>
      <c r="L21" s="1" t="b">
        <v>0</v>
      </c>
      <c r="M21" s="4" t="s">
        <v>102</v>
      </c>
      <c r="N21" s="1" t="s">
        <v>200</v>
      </c>
      <c r="P21" s="3"/>
      <c r="Q21" s="3"/>
      <c r="R21" s="3"/>
      <c r="S21" s="3"/>
      <c r="T21" s="1" t="s">
        <v>104</v>
      </c>
      <c r="U21" s="3"/>
      <c r="V21" s="3"/>
      <c r="W21" s="1" t="s">
        <v>105</v>
      </c>
      <c r="X21" s="3"/>
      <c r="Y21" s="1" t="s">
        <v>106</v>
      </c>
      <c r="Z21" s="3"/>
      <c r="AA21" s="1" t="b">
        <v>0</v>
      </c>
      <c r="AB21" s="1" t="b">
        <v>0</v>
      </c>
      <c r="AC21" s="1" t="b">
        <v>0</v>
      </c>
      <c r="AD21" s="1" t="b">
        <v>0</v>
      </c>
      <c r="AE21" s="1" t="b">
        <v>1</v>
      </c>
      <c r="AF21" s="3"/>
      <c r="AG21" s="3"/>
      <c r="AH21" s="3"/>
      <c r="AI21" s="3"/>
      <c r="AJ21" s="2">
        <v>46072.62175925926</v>
      </c>
      <c r="AK21" s="2">
        <v>46072.62199074074</v>
      </c>
      <c r="AM21" s="2">
        <v>46072.62185185185</v>
      </c>
      <c r="AN21" s="2">
        <v>46072.62185185185</v>
      </c>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4" t="s">
        <v>201</v>
      </c>
    </row>
    <row r="22">
      <c r="A22" s="1" t="s">
        <v>202</v>
      </c>
      <c r="B22" s="2">
        <v>46072.621041666665</v>
      </c>
      <c r="C22" s="1" t="str">
        <f t="array" ref="C22">INDEX('User data'!E:E, MATCH(E22, 'User data'!B:B, 0))</f>
        <v>주식회사 플루비(PLUVI Co.,Ltd)</v>
      </c>
      <c r="D22" s="1" t="str">
        <f t="array" ref="D22">INDEX('User data'!F:F, MATCH(C22, 'User data'!E:E, 0))</f>
        <v>830-86-03552</v>
      </c>
      <c r="E22" s="1" t="s">
        <v>203</v>
      </c>
      <c r="F22" s="3"/>
      <c r="G22" s="3"/>
      <c r="H22" s="3"/>
      <c r="I22" s="3"/>
      <c r="J22" s="1" t="s">
        <v>100</v>
      </c>
      <c r="K22" s="1" t="s">
        <v>101</v>
      </c>
      <c r="L22" s="1" t="b">
        <v>0</v>
      </c>
      <c r="M22" s="4" t="s">
        <v>102</v>
      </c>
      <c r="N22" s="1" t="s">
        <v>204</v>
      </c>
      <c r="P22" s="3"/>
      <c r="Q22" s="3"/>
      <c r="R22" s="3"/>
      <c r="S22" s="3"/>
      <c r="T22" s="1" t="s">
        <v>104</v>
      </c>
      <c r="U22" s="3"/>
      <c r="V22" s="3"/>
      <c r="W22" s="1" t="s">
        <v>105</v>
      </c>
      <c r="X22" s="3"/>
      <c r="Y22" s="1" t="s">
        <v>106</v>
      </c>
      <c r="Z22" s="3"/>
      <c r="AA22" s="1" t="b">
        <v>0</v>
      </c>
      <c r="AB22" s="1" t="b">
        <v>0</v>
      </c>
      <c r="AC22" s="1" t="b">
        <v>0</v>
      </c>
      <c r="AD22" s="1" t="b">
        <v>0</v>
      </c>
      <c r="AE22" s="1" t="b">
        <v>1</v>
      </c>
      <c r="AF22" s="3"/>
      <c r="AG22" s="3"/>
      <c r="AH22" s="3"/>
      <c r="AI22" s="3"/>
      <c r="AJ22" s="2">
        <v>46072.62094907407</v>
      </c>
      <c r="AK22" s="2">
        <v>46072.62167824074</v>
      </c>
      <c r="AM22" s="2">
        <v>46072.621041666665</v>
      </c>
      <c r="AN22" s="2">
        <v>46072.621041666665</v>
      </c>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4" t="s">
        <v>205</v>
      </c>
    </row>
    <row r="23">
      <c r="A23" s="1" t="s">
        <v>206</v>
      </c>
      <c r="B23" s="2">
        <v>46072.61645833333</v>
      </c>
      <c r="C23" s="1" t="str">
        <f t="array" ref="C23">INDEX('User data'!E:E, MATCH(E23, 'User data'!B:B, 0))</f>
        <v>(주)온차</v>
      </c>
      <c r="D23" s="1" t="str">
        <f t="array" ref="D23">INDEX('User data'!F:F, MATCH(C23, 'User data'!E:E, 0))</f>
        <v>799-81-02937</v>
      </c>
      <c r="E23" s="1" t="s">
        <v>207</v>
      </c>
      <c r="F23" s="3"/>
      <c r="G23" s="3"/>
      <c r="H23" s="3"/>
      <c r="I23" s="3"/>
      <c r="J23" s="1" t="s">
        <v>100</v>
      </c>
      <c r="K23" s="1" t="s">
        <v>101</v>
      </c>
      <c r="L23" s="1" t="b">
        <v>0</v>
      </c>
      <c r="M23" s="4" t="s">
        <v>102</v>
      </c>
      <c r="N23" s="1" t="s">
        <v>208</v>
      </c>
      <c r="P23" s="3"/>
      <c r="Q23" s="3"/>
      <c r="R23" s="3"/>
      <c r="S23" s="3"/>
      <c r="T23" s="1" t="s">
        <v>104</v>
      </c>
      <c r="U23" s="3"/>
      <c r="V23" s="3"/>
      <c r="W23" s="1" t="s">
        <v>105</v>
      </c>
      <c r="X23" s="3"/>
      <c r="Y23" s="1" t="s">
        <v>106</v>
      </c>
      <c r="Z23" s="3"/>
      <c r="AA23" s="1" t="b">
        <v>0</v>
      </c>
      <c r="AB23" s="1" t="b">
        <v>0</v>
      </c>
      <c r="AC23" s="1" t="b">
        <v>0</v>
      </c>
      <c r="AD23" s="1" t="b">
        <v>0</v>
      </c>
      <c r="AE23" s="1" t="b">
        <v>1</v>
      </c>
      <c r="AF23" s="3"/>
      <c r="AG23" s="3"/>
      <c r="AH23" s="3"/>
      <c r="AI23" s="3"/>
      <c r="AJ23" s="2">
        <v>46072.61636574074</v>
      </c>
      <c r="AK23" s="2">
        <v>46072.61688657408</v>
      </c>
      <c r="AM23" s="2">
        <v>46072.61645833333</v>
      </c>
      <c r="AN23" s="2">
        <v>46072.61645833333</v>
      </c>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4" t="s">
        <v>209</v>
      </c>
    </row>
    <row r="24">
      <c r="A24" s="1" t="s">
        <v>210</v>
      </c>
      <c r="B24" s="2">
        <v>46072.610451388886</v>
      </c>
      <c r="C24" s="1" t="str">
        <f t="array" ref="C24">INDEX('User data'!E:E, MATCH(E24, 'User data'!B:B, 0))</f>
        <v>주식회사 솔로몬랩스(Solomon Labs Co., Ltd.)</v>
      </c>
      <c r="D24" s="1" t="str">
        <f t="array" ref="D24">INDEX('User data'!F:F, MATCH(C24, 'User data'!E:E, 0))</f>
        <v>249-87-03675</v>
      </c>
      <c r="E24" s="1" t="s">
        <v>211</v>
      </c>
      <c r="F24" s="3"/>
      <c r="G24" s="3"/>
      <c r="H24" s="3"/>
      <c r="I24" s="3"/>
      <c r="J24" s="1" t="s">
        <v>100</v>
      </c>
      <c r="K24" s="1" t="s">
        <v>101</v>
      </c>
      <c r="L24" s="1" t="b">
        <v>0</v>
      </c>
      <c r="M24" s="4" t="s">
        <v>102</v>
      </c>
      <c r="N24" s="1" t="s">
        <v>212</v>
      </c>
      <c r="P24" s="3"/>
      <c r="Q24" s="3"/>
      <c r="R24" s="3"/>
      <c r="S24" s="3"/>
      <c r="T24" s="1" t="s">
        <v>104</v>
      </c>
      <c r="U24" s="3"/>
      <c r="V24" s="3"/>
      <c r="W24" s="1" t="s">
        <v>105</v>
      </c>
      <c r="X24" s="3"/>
      <c r="Y24" s="1" t="s">
        <v>106</v>
      </c>
      <c r="Z24" s="3"/>
      <c r="AA24" s="1" t="b">
        <v>0</v>
      </c>
      <c r="AB24" s="1" t="b">
        <v>0</v>
      </c>
      <c r="AC24" s="1" t="b">
        <v>0</v>
      </c>
      <c r="AD24" s="1" t="b">
        <v>0</v>
      </c>
      <c r="AE24" s="1" t="b">
        <v>1</v>
      </c>
      <c r="AF24" s="3"/>
      <c r="AG24" s="3"/>
      <c r="AH24" s="3"/>
      <c r="AI24" s="3"/>
      <c r="AJ24" s="2">
        <v>46072.610127314816</v>
      </c>
      <c r="AK24" s="2">
        <v>46072.77923611111</v>
      </c>
      <c r="AM24" s="2">
        <v>46072.610451388886</v>
      </c>
      <c r="AN24" s="2">
        <v>46072.610451388886</v>
      </c>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4" t="s">
        <v>213</v>
      </c>
    </row>
    <row r="25">
      <c r="A25" s="1" t="s">
        <v>214</v>
      </c>
      <c r="B25" s="2">
        <v>46072.59170138889</v>
      </c>
      <c r="C25" s="1" t="str">
        <f t="array" ref="C25">INDEX('User data'!E:E, MATCH(E25, 'User data'!B:B, 0))</f>
        <v>주식회사 이터녹스</v>
      </c>
      <c r="D25" s="1" t="str">
        <f t="array" ref="D25">INDEX('User data'!F:F, MATCH(C25, 'User data'!E:E, 0))</f>
        <v>839-86-03001</v>
      </c>
      <c r="E25" s="1" t="s">
        <v>215</v>
      </c>
      <c r="F25" s="3"/>
      <c r="G25" s="3"/>
      <c r="H25" s="3"/>
      <c r="I25" s="3"/>
      <c r="J25" s="1" t="s">
        <v>100</v>
      </c>
      <c r="K25" s="1" t="s">
        <v>101</v>
      </c>
      <c r="L25" s="1" t="b">
        <v>0</v>
      </c>
      <c r="M25" s="4" t="s">
        <v>102</v>
      </c>
      <c r="N25" s="1" t="s">
        <v>216</v>
      </c>
      <c r="P25" s="3"/>
      <c r="Q25" s="3"/>
      <c r="R25" s="3"/>
      <c r="S25" s="3"/>
      <c r="T25" s="1" t="s">
        <v>104</v>
      </c>
      <c r="U25" s="3"/>
      <c r="V25" s="3"/>
      <c r="W25" s="1" t="s">
        <v>105</v>
      </c>
      <c r="X25" s="3"/>
      <c r="Y25" s="1" t="s">
        <v>106</v>
      </c>
      <c r="Z25" s="3"/>
      <c r="AA25" s="1" t="b">
        <v>0</v>
      </c>
      <c r="AB25" s="1" t="b">
        <v>0</v>
      </c>
      <c r="AC25" s="1" t="b">
        <v>0</v>
      </c>
      <c r="AD25" s="1" t="b">
        <v>0</v>
      </c>
      <c r="AE25" s="1" t="b">
        <v>1</v>
      </c>
      <c r="AF25" s="3"/>
      <c r="AG25" s="3"/>
      <c r="AH25" s="3"/>
      <c r="AI25" s="3"/>
      <c r="AJ25" s="2">
        <v>46072.5915625</v>
      </c>
      <c r="AK25" s="2">
        <v>46072.59258101852</v>
      </c>
      <c r="AM25" s="2">
        <v>46072.59170138889</v>
      </c>
      <c r="AN25" s="2">
        <v>46072.59170138889</v>
      </c>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4" t="s">
        <v>217</v>
      </c>
    </row>
    <row r="26">
      <c r="A26" s="1" t="s">
        <v>218</v>
      </c>
      <c r="B26" s="2">
        <v>46072.58804398148</v>
      </c>
      <c r="C26" s="1" t="str">
        <f t="array" ref="C26">INDEX('User data'!E:E, MATCH(E26, 'User data'!B:B, 0))</f>
        <v>주식회사 스튜디오크립티드</v>
      </c>
      <c r="D26" s="1" t="str">
        <f t="array" ref="D26">INDEX('User data'!F:F, MATCH(C26, 'User data'!E:E, 0))</f>
        <v>329-86-02368</v>
      </c>
      <c r="E26" s="1" t="s">
        <v>219</v>
      </c>
      <c r="F26" s="3"/>
      <c r="G26" s="3"/>
      <c r="H26" s="3"/>
      <c r="I26" s="3"/>
      <c r="J26" s="1" t="s">
        <v>100</v>
      </c>
      <c r="K26" s="1" t="s">
        <v>101</v>
      </c>
      <c r="L26" s="1" t="b">
        <v>0</v>
      </c>
      <c r="M26" s="4" t="s">
        <v>102</v>
      </c>
      <c r="N26" s="1" t="s">
        <v>220</v>
      </c>
      <c r="P26" s="3"/>
      <c r="Q26" s="3"/>
      <c r="R26" s="3"/>
      <c r="S26" s="3"/>
      <c r="T26" s="1" t="s">
        <v>104</v>
      </c>
      <c r="U26" s="3"/>
      <c r="V26" s="3"/>
      <c r="W26" s="1" t="s">
        <v>105</v>
      </c>
      <c r="X26" s="3"/>
      <c r="Y26" s="1" t="s">
        <v>106</v>
      </c>
      <c r="Z26" s="3"/>
      <c r="AA26" s="1" t="b">
        <v>0</v>
      </c>
      <c r="AB26" s="1" t="b">
        <v>0</v>
      </c>
      <c r="AC26" s="1" t="b">
        <v>0</v>
      </c>
      <c r="AD26" s="1" t="b">
        <v>0</v>
      </c>
      <c r="AE26" s="1" t="b">
        <v>1</v>
      </c>
      <c r="AF26" s="3"/>
      <c r="AG26" s="3"/>
      <c r="AH26" s="3"/>
      <c r="AI26" s="3"/>
      <c r="AJ26" s="2">
        <v>46072.58795138889</v>
      </c>
      <c r="AK26" s="2">
        <v>46072.58818287037</v>
      </c>
      <c r="AM26" s="2">
        <v>46072.58804398148</v>
      </c>
      <c r="AN26" s="2">
        <v>46072.58804398148</v>
      </c>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4" t="s">
        <v>221</v>
      </c>
    </row>
    <row r="27">
      <c r="A27" s="1" t="s">
        <v>222</v>
      </c>
      <c r="B27" s="2">
        <v>46072.570439814815</v>
      </c>
      <c r="C27" s="1" t="str">
        <f t="array" ref="C27">INDEX('User data'!E:E, MATCH(E27, 'User data'!B:B, 0))</f>
        <v>주식회사 리훈 (RIHOON CO., LTD.)</v>
      </c>
      <c r="D27" s="1" t="str">
        <f t="array" ref="D27">INDEX('User data'!F:F, MATCH(C27, 'User data'!E:E, 0))</f>
        <v>489-88-01777</v>
      </c>
      <c r="E27" s="1" t="s">
        <v>223</v>
      </c>
      <c r="F27" s="3"/>
      <c r="G27" s="3"/>
      <c r="H27" s="3"/>
      <c r="I27" s="3"/>
      <c r="J27" s="1" t="s">
        <v>100</v>
      </c>
      <c r="K27" s="1" t="s">
        <v>101</v>
      </c>
      <c r="L27" s="1" t="b">
        <v>0</v>
      </c>
      <c r="M27" s="4" t="s">
        <v>102</v>
      </c>
      <c r="N27" s="1" t="s">
        <v>224</v>
      </c>
      <c r="P27" s="3"/>
      <c r="Q27" s="3"/>
      <c r="R27" s="3"/>
      <c r="S27" s="3"/>
      <c r="T27" s="1" t="s">
        <v>104</v>
      </c>
      <c r="U27" s="3"/>
      <c r="V27" s="3"/>
      <c r="W27" s="1" t="s">
        <v>105</v>
      </c>
      <c r="X27" s="3"/>
      <c r="Y27" s="1" t="s">
        <v>106</v>
      </c>
      <c r="Z27" s="3"/>
      <c r="AA27" s="1" t="b">
        <v>0</v>
      </c>
      <c r="AB27" s="1" t="b">
        <v>0</v>
      </c>
      <c r="AC27" s="1" t="b">
        <v>0</v>
      </c>
      <c r="AD27" s="1" t="b">
        <v>0</v>
      </c>
      <c r="AE27" s="1" t="b">
        <v>1</v>
      </c>
      <c r="AF27" s="3"/>
      <c r="AG27" s="3"/>
      <c r="AH27" s="3"/>
      <c r="AI27" s="3"/>
      <c r="AJ27" s="2">
        <v>46072.57001157408</v>
      </c>
      <c r="AK27" s="2">
        <v>46073.57045138889</v>
      </c>
      <c r="AM27" s="2">
        <v>46072.570439814815</v>
      </c>
      <c r="AN27" s="2">
        <v>46072.570439814815</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4" t="s">
        <v>225</v>
      </c>
    </row>
    <row r="28">
      <c r="A28" s="1" t="s">
        <v>226</v>
      </c>
      <c r="B28" s="2">
        <v>46072.557488425926</v>
      </c>
      <c r="C28" s="1" t="str">
        <f t="array" ref="C28">INDEX('User data'!E:E, MATCH(E28, 'User data'!B:B, 0))</f>
        <v>주식회사 브랜뉴에이전시 (Brand New Agency Inc.)</v>
      </c>
      <c r="D28" s="1" t="str">
        <f t="array" ref="D28">INDEX('User data'!F:F, MATCH(C28, 'User data'!E:E, 0))</f>
        <v>639-87-02302</v>
      </c>
      <c r="E28" s="1" t="s">
        <v>227</v>
      </c>
      <c r="F28" s="3"/>
      <c r="G28" s="3"/>
      <c r="H28" s="3"/>
      <c r="I28" s="3"/>
      <c r="J28" s="1" t="s">
        <v>100</v>
      </c>
      <c r="K28" s="1" t="s">
        <v>101</v>
      </c>
      <c r="L28" s="1" t="b">
        <v>0</v>
      </c>
      <c r="M28" s="4" t="s">
        <v>102</v>
      </c>
      <c r="N28" s="1" t="s">
        <v>228</v>
      </c>
      <c r="P28" s="3"/>
      <c r="Q28" s="3"/>
      <c r="R28" s="3"/>
      <c r="S28" s="3"/>
      <c r="T28" s="1" t="s">
        <v>104</v>
      </c>
      <c r="U28" s="3"/>
      <c r="V28" s="3"/>
      <c r="W28" s="1" t="s">
        <v>105</v>
      </c>
      <c r="X28" s="3"/>
      <c r="Y28" s="1" t="s">
        <v>106</v>
      </c>
      <c r="Z28" s="3"/>
      <c r="AA28" s="1" t="b">
        <v>0</v>
      </c>
      <c r="AB28" s="1" t="b">
        <v>0</v>
      </c>
      <c r="AC28" s="1" t="b">
        <v>0</v>
      </c>
      <c r="AD28" s="1" t="b">
        <v>0</v>
      </c>
      <c r="AE28" s="1" t="b">
        <v>1</v>
      </c>
      <c r="AF28" s="3"/>
      <c r="AG28" s="3"/>
      <c r="AH28" s="3"/>
      <c r="AI28" s="3"/>
      <c r="AJ28" s="2">
        <v>46072.55736111111</v>
      </c>
      <c r="AK28" s="2">
        <v>46073.557916666665</v>
      </c>
      <c r="AM28" s="2">
        <v>46072.557488425926</v>
      </c>
      <c r="AN28" s="2">
        <v>46072.557488425926</v>
      </c>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4" t="s">
        <v>229</v>
      </c>
    </row>
    <row r="29">
      <c r="A29" s="1" t="s">
        <v>230</v>
      </c>
      <c r="B29" s="2">
        <v>46072.55732638889</v>
      </c>
      <c r="C29" s="1" t="str">
        <f t="array" ref="C29">INDEX('User data'!E:E, MATCH(E29, 'User data'!B:B, 0))</f>
        <v>주식회사 브랜뉴에이전시 (Brand New Agency Inc.)</v>
      </c>
      <c r="D29" s="1" t="str">
        <f t="array" ref="D29">INDEX('User data'!F:F, MATCH(C29, 'User data'!E:E, 0))</f>
        <v>639-87-02302</v>
      </c>
      <c r="E29" s="1" t="s">
        <v>227</v>
      </c>
      <c r="F29" s="3"/>
      <c r="G29" s="3"/>
      <c r="H29" s="3"/>
      <c r="I29" s="3"/>
      <c r="J29" s="1" t="s">
        <v>100</v>
      </c>
      <c r="K29" s="1" t="s">
        <v>101</v>
      </c>
      <c r="L29" s="1" t="b">
        <v>0</v>
      </c>
      <c r="M29" s="4" t="s">
        <v>102</v>
      </c>
      <c r="N29" s="1" t="s">
        <v>228</v>
      </c>
      <c r="P29" s="3"/>
      <c r="Q29" s="3"/>
      <c r="R29" s="3"/>
      <c r="S29" s="3"/>
      <c r="T29" s="1" t="s">
        <v>104</v>
      </c>
      <c r="U29" s="3"/>
      <c r="V29" s="3"/>
      <c r="W29" s="1" t="s">
        <v>105</v>
      </c>
      <c r="X29" s="3"/>
      <c r="Y29" s="1" t="s">
        <v>106</v>
      </c>
      <c r="Z29" s="3"/>
      <c r="AA29" s="1" t="b">
        <v>0</v>
      </c>
      <c r="AB29" s="1" t="b">
        <v>0</v>
      </c>
      <c r="AC29" s="1" t="b">
        <v>0</v>
      </c>
      <c r="AD29" s="1" t="b">
        <v>0</v>
      </c>
      <c r="AE29" s="1" t="b">
        <v>1</v>
      </c>
      <c r="AF29" s="3"/>
      <c r="AG29" s="3"/>
      <c r="AH29" s="3"/>
      <c r="AI29" s="3"/>
      <c r="AJ29" s="2">
        <v>46072.557233796295</v>
      </c>
      <c r="AK29" s="2">
        <v>46073.55734953703</v>
      </c>
      <c r="AM29" s="2">
        <v>46072.55732638889</v>
      </c>
      <c r="AN29" s="2">
        <v>46072.55732638889</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4" t="s">
        <v>231</v>
      </c>
    </row>
    <row r="30">
      <c r="A30" s="1" t="s">
        <v>232</v>
      </c>
      <c r="B30" s="2">
        <v>46072.544027777774</v>
      </c>
      <c r="C30" s="1" t="str">
        <f t="array" ref="C30">INDEX('User data'!E:E, MATCH(E30, 'User data'!B:B, 0))</f>
        <v>주식회사 오가시스 (ORGASIS Corp.)</v>
      </c>
      <c r="D30" s="1" t="str">
        <f t="array" ref="D30">INDEX('User data'!F:F, MATCH(C30, 'User data'!E:E, 0))</f>
        <v>531-87-02594</v>
      </c>
      <c r="E30" s="1" t="s">
        <v>233</v>
      </c>
      <c r="F30" s="3"/>
      <c r="G30" s="3"/>
      <c r="H30" s="1" t="s">
        <v>234</v>
      </c>
      <c r="I30" s="1" t="s">
        <v>235</v>
      </c>
      <c r="J30" s="1" t="s">
        <v>100</v>
      </c>
      <c r="K30" s="1" t="s">
        <v>101</v>
      </c>
      <c r="L30" s="1" t="b">
        <v>0</v>
      </c>
      <c r="M30" s="4" t="s">
        <v>102</v>
      </c>
      <c r="N30" s="1" t="s">
        <v>236</v>
      </c>
      <c r="O30" s="1">
        <v>574085.0</v>
      </c>
      <c r="P30" s="1">
        <v>574085.0</v>
      </c>
      <c r="Q30" s="1">
        <v>574085.0</v>
      </c>
      <c r="R30" s="1" t="s">
        <v>145</v>
      </c>
      <c r="S30" s="1">
        <v>13285.0</v>
      </c>
      <c r="T30" s="1" t="s">
        <v>104</v>
      </c>
      <c r="U30" s="3"/>
      <c r="V30" s="3"/>
      <c r="W30" s="1" t="s">
        <v>118</v>
      </c>
      <c r="X30" s="3"/>
      <c r="Y30" s="1" t="s">
        <v>106</v>
      </c>
      <c r="Z30" s="3"/>
      <c r="AA30" s="1" t="b">
        <v>1</v>
      </c>
      <c r="AB30" s="1" t="b">
        <v>1</v>
      </c>
      <c r="AC30" s="1" t="b">
        <v>0</v>
      </c>
      <c r="AD30" s="1" t="b">
        <v>1</v>
      </c>
      <c r="AE30" s="1" t="b">
        <v>1</v>
      </c>
      <c r="AF30" s="5">
        <v>5.0</v>
      </c>
      <c r="AG30" s="5">
        <v>4.0</v>
      </c>
      <c r="AH30" s="5">
        <v>1.0</v>
      </c>
      <c r="AI30" s="3"/>
      <c r="AJ30" s="2">
        <v>46072.54369212963</v>
      </c>
      <c r="AK30" s="2">
        <v>46072.649722222224</v>
      </c>
      <c r="AL30" s="2">
        <v>46072.5440625</v>
      </c>
      <c r="AM30" s="2">
        <v>46072.544027777774</v>
      </c>
      <c r="AN30" s="2">
        <v>46072.544027777774</v>
      </c>
      <c r="AO30" s="2">
        <v>46072.5440625</v>
      </c>
      <c r="AP30" s="2">
        <v>46072.54409722222</v>
      </c>
      <c r="AQ30" s="2">
        <v>46072.5440625</v>
      </c>
      <c r="AS30" s="2">
        <v>46072.54409722222</v>
      </c>
      <c r="AT30" s="2">
        <v>46072.5440625</v>
      </c>
      <c r="AU30" s="2">
        <v>46072.607256944444</v>
      </c>
      <c r="AW30" s="3"/>
      <c r="AX30" s="2">
        <v>46072.54409722222</v>
      </c>
      <c r="AY30" s="2">
        <v>46072.54409722222</v>
      </c>
      <c r="AZ30" s="2">
        <v>46072.566979166666</v>
      </c>
      <c r="BA30" s="2">
        <v>46072.57974537037</v>
      </c>
      <c r="BB30" s="2">
        <v>46072.56689814815</v>
      </c>
      <c r="BC30" s="2">
        <v>46072.5990625</v>
      </c>
      <c r="BD30" s="2">
        <v>46072.60804398148</v>
      </c>
      <c r="BE30" s="5">
        <v>2462.0</v>
      </c>
      <c r="BF30" s="5">
        <v>484.0</v>
      </c>
      <c r="BG30" s="5">
        <v>492.0</v>
      </c>
      <c r="BH30" s="5">
        <v>121.0</v>
      </c>
      <c r="BI30" s="5">
        <v>7.0</v>
      </c>
      <c r="BJ30" s="5">
        <v>7.0</v>
      </c>
      <c r="BK30" s="5">
        <v>2.0</v>
      </c>
      <c r="BL30" s="5">
        <v>0.0</v>
      </c>
      <c r="BM30" s="5">
        <v>6.0</v>
      </c>
      <c r="BN30" s="5">
        <v>0.0</v>
      </c>
      <c r="BO30" s="5">
        <v>1983.0</v>
      </c>
      <c r="BP30" s="5">
        <v>387.0</v>
      </c>
      <c r="BQ30" s="5">
        <v>1983.0</v>
      </c>
      <c r="BR30" s="5">
        <v>387.0</v>
      </c>
      <c r="BS30" s="5">
        <v>1977.0</v>
      </c>
      <c r="BT30" s="5">
        <v>387.0</v>
      </c>
      <c r="BU30" s="5">
        <v>1977.0</v>
      </c>
      <c r="BV30" s="5">
        <v>387.0</v>
      </c>
      <c r="BW30" s="5">
        <v>1979.0</v>
      </c>
      <c r="BX30" s="5">
        <v>387.0</v>
      </c>
      <c r="BY30" s="5">
        <v>4755.0</v>
      </c>
      <c r="BZ30" s="5">
        <v>3159.0</v>
      </c>
      <c r="CA30" s="5">
        <v>5531.0</v>
      </c>
      <c r="CB30" s="5">
        <v>3935.0</v>
      </c>
      <c r="CC30" s="5">
        <v>4755.0</v>
      </c>
      <c r="CD30" s="5">
        <v>3159.0</v>
      </c>
      <c r="CE30" s="5">
        <v>4749.0</v>
      </c>
      <c r="CF30" s="5">
        <v>3159.0</v>
      </c>
      <c r="CG30" s="5">
        <v>4749.0</v>
      </c>
      <c r="CH30" s="5">
        <v>3159.0</v>
      </c>
      <c r="CI30" s="5">
        <v>4751.0</v>
      </c>
      <c r="CJ30" s="5">
        <v>3159.0</v>
      </c>
      <c r="CK30" s="5">
        <v>4809.0</v>
      </c>
      <c r="CL30" s="5">
        <v>3219.0</v>
      </c>
      <c r="CM30" s="5">
        <v>4741.0</v>
      </c>
      <c r="CN30" s="5">
        <v>3151.0</v>
      </c>
      <c r="CO30" s="5">
        <v>2.0</v>
      </c>
      <c r="CP30" s="5">
        <v>3.0</v>
      </c>
      <c r="CQ30" s="3"/>
      <c r="CR30" s="4" t="s">
        <v>237</v>
      </c>
      <c r="CS30" s="5">
        <v>5.0</v>
      </c>
      <c r="CT30" s="3"/>
    </row>
    <row r="31">
      <c r="A31" s="1" t="s">
        <v>238</v>
      </c>
      <c r="B31" s="2">
        <v>46072.51336805556</v>
      </c>
      <c r="C31" s="1" t="str">
        <f t="array" ref="C31">INDEX('User data'!E:E, MATCH(E31, 'User data'!B:B, 0))</f>
        <v/>
      </c>
      <c r="D31" s="1" t="str">
        <f t="array" ref="D31">INDEX('User data'!F:F, MATCH(C31, 'User data'!E:E, 0))</f>
        <v>#N/A</v>
      </c>
      <c r="E31" s="1" t="s">
        <v>239</v>
      </c>
      <c r="F31" s="3"/>
      <c r="G31" s="3"/>
      <c r="H31" s="3"/>
      <c r="I31" s="3"/>
      <c r="J31" s="1" t="s">
        <v>100</v>
      </c>
      <c r="K31" s="1" t="s">
        <v>101</v>
      </c>
      <c r="L31" s="1" t="b">
        <v>0</v>
      </c>
      <c r="M31" s="4" t="s">
        <v>102</v>
      </c>
      <c r="N31" s="1" t="s">
        <v>240</v>
      </c>
      <c r="P31" s="3"/>
      <c r="Q31" s="3"/>
      <c r="R31" s="3"/>
      <c r="S31" s="3"/>
      <c r="T31" s="1" t="s">
        <v>104</v>
      </c>
      <c r="U31" s="3"/>
      <c r="V31" s="3"/>
      <c r="W31" s="1" t="s">
        <v>105</v>
      </c>
      <c r="X31" s="3"/>
      <c r="Y31" s="1" t="s">
        <v>106</v>
      </c>
      <c r="Z31" s="3"/>
      <c r="AA31" s="1" t="b">
        <v>0</v>
      </c>
      <c r="AB31" s="1" t="b">
        <v>0</v>
      </c>
      <c r="AC31" s="1" t="b">
        <v>0</v>
      </c>
      <c r="AD31" s="1" t="b">
        <v>0</v>
      </c>
      <c r="AE31" s="1" t="b">
        <v>1</v>
      </c>
      <c r="AF31" s="3"/>
      <c r="AG31" s="3"/>
      <c r="AH31" s="3"/>
      <c r="AI31" s="3"/>
      <c r="AJ31" s="2">
        <v>46072.513287037036</v>
      </c>
      <c r="AK31" s="2">
        <v>46073.51431712963</v>
      </c>
      <c r="AM31" s="2">
        <v>46072.51336805556</v>
      </c>
      <c r="AN31" s="2">
        <v>46072.51336805556</v>
      </c>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4" t="s">
        <v>241</v>
      </c>
    </row>
    <row r="32">
      <c r="A32" s="1" t="s">
        <v>242</v>
      </c>
      <c r="B32" s="2">
        <v>46072.51025462963</v>
      </c>
      <c r="C32" s="1" t="str">
        <f t="array" ref="C32">INDEX('User data'!E:E, MATCH(E32, 'User data'!B:B, 0))</f>
        <v/>
      </c>
      <c r="D32" s="1" t="str">
        <f t="array" ref="D32">INDEX('User data'!F:F, MATCH(C32, 'User data'!E:E, 0))</f>
        <v>#N/A</v>
      </c>
      <c r="E32" s="1" t="s">
        <v>243</v>
      </c>
      <c r="F32" s="3"/>
      <c r="G32" s="3"/>
      <c r="H32" s="3"/>
      <c r="I32" s="3"/>
      <c r="J32" s="1" t="s">
        <v>100</v>
      </c>
      <c r="K32" s="1" t="s">
        <v>101</v>
      </c>
      <c r="L32" s="1" t="b">
        <v>0</v>
      </c>
      <c r="M32" s="1" t="s">
        <v>244</v>
      </c>
      <c r="N32" s="1" t="s">
        <v>245</v>
      </c>
      <c r="P32" s="3"/>
      <c r="Q32" s="3"/>
      <c r="R32" s="3"/>
      <c r="S32" s="3"/>
      <c r="T32" s="1" t="s">
        <v>104</v>
      </c>
      <c r="U32" s="3"/>
      <c r="V32" s="3"/>
      <c r="W32" s="1" t="s">
        <v>105</v>
      </c>
      <c r="X32" s="3"/>
      <c r="Y32" s="1" t="s">
        <v>106</v>
      </c>
      <c r="Z32" s="3"/>
      <c r="AA32" s="1" t="b">
        <v>0</v>
      </c>
      <c r="AB32" s="1" t="b">
        <v>0</v>
      </c>
      <c r="AC32" s="1" t="b">
        <v>0</v>
      </c>
      <c r="AD32" s="1" t="b">
        <v>0</v>
      </c>
      <c r="AE32" s="1" t="b">
        <v>1</v>
      </c>
      <c r="AF32" s="3"/>
      <c r="AG32" s="3"/>
      <c r="AH32" s="3"/>
      <c r="AI32" s="3"/>
      <c r="AJ32" s="2">
        <v>46072.510092592594</v>
      </c>
      <c r="AK32" s="2">
        <v>46072.75167824074</v>
      </c>
      <c r="AM32" s="2">
        <v>46072.51025462963</v>
      </c>
      <c r="AN32" s="2">
        <v>46072.51025462963</v>
      </c>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4" t="s">
        <v>246</v>
      </c>
    </row>
    <row r="33">
      <c r="A33" s="1" t="s">
        <v>247</v>
      </c>
      <c r="B33" s="2">
        <v>46072.49773148148</v>
      </c>
      <c r="C33" s="1" t="str">
        <f t="array" ref="C33">INDEX('User data'!E:E, MATCH(E33, 'User data'!B:B, 0))</f>
        <v>주식회사 디에프코퍼레이션</v>
      </c>
      <c r="D33" s="1" t="str">
        <f t="array" ref="D33">INDEX('User data'!F:F, MATCH(C33, 'User data'!E:E, 0))</f>
        <v>808-86-00446</v>
      </c>
      <c r="E33" s="1" t="s">
        <v>248</v>
      </c>
      <c r="F33" s="3"/>
      <c r="G33" s="3"/>
      <c r="H33" s="3"/>
      <c r="I33" s="3"/>
      <c r="J33" s="1" t="s">
        <v>100</v>
      </c>
      <c r="K33" s="1" t="s">
        <v>101</v>
      </c>
      <c r="L33" s="1" t="b">
        <v>0</v>
      </c>
      <c r="M33" s="4" t="s">
        <v>102</v>
      </c>
      <c r="N33" s="1" t="s">
        <v>249</v>
      </c>
      <c r="P33" s="3"/>
      <c r="Q33" s="3"/>
      <c r="R33" s="3"/>
      <c r="S33" s="3"/>
      <c r="T33" s="1" t="s">
        <v>104</v>
      </c>
      <c r="U33" s="3"/>
      <c r="V33" s="3"/>
      <c r="W33" s="1" t="s">
        <v>105</v>
      </c>
      <c r="X33" s="3"/>
      <c r="Y33" s="1" t="s">
        <v>106</v>
      </c>
      <c r="Z33" s="3"/>
      <c r="AA33" s="1" t="b">
        <v>0</v>
      </c>
      <c r="AB33" s="1" t="b">
        <v>0</v>
      </c>
      <c r="AC33" s="1" t="b">
        <v>0</v>
      </c>
      <c r="AD33" s="1" t="b">
        <v>0</v>
      </c>
      <c r="AE33" s="1" t="b">
        <v>1</v>
      </c>
      <c r="AF33" s="3"/>
      <c r="AG33" s="3"/>
      <c r="AH33" s="3"/>
      <c r="AI33" s="3"/>
      <c r="AJ33" s="2">
        <v>46072.497395833336</v>
      </c>
      <c r="AK33" s="2">
        <v>46073.49775462963</v>
      </c>
      <c r="AM33" s="2">
        <v>46072.49773148148</v>
      </c>
      <c r="AN33" s="2">
        <v>46072.49773148148</v>
      </c>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4" t="s">
        <v>250</v>
      </c>
    </row>
    <row r="34">
      <c r="A34" s="1" t="s">
        <v>251</v>
      </c>
      <c r="B34" s="2">
        <v>46072.49711805556</v>
      </c>
      <c r="C34" s="1" t="str">
        <f t="array" ref="C34">INDEX('User data'!E:E, MATCH(E34, 'User data'!B:B, 0))</f>
        <v>주식회사 플루토 (PLUTO)</v>
      </c>
      <c r="D34" s="1" t="str">
        <f t="array" ref="D34">INDEX('User data'!F:F, MATCH(C34, 'User data'!E:E, 0))</f>
        <v>444-87-02140</v>
      </c>
      <c r="E34" s="1" t="s">
        <v>199</v>
      </c>
      <c r="F34" s="3"/>
      <c r="G34" s="3"/>
      <c r="H34" s="1" t="s">
        <v>252</v>
      </c>
      <c r="I34" s="1" t="s">
        <v>253</v>
      </c>
      <c r="J34" s="1" t="s">
        <v>100</v>
      </c>
      <c r="K34" s="1" t="s">
        <v>173</v>
      </c>
      <c r="L34" s="1" t="b">
        <v>0</v>
      </c>
      <c r="M34" s="3"/>
      <c r="N34" s="1" t="s">
        <v>200</v>
      </c>
      <c r="O34" s="1">
        <v>574085.0</v>
      </c>
      <c r="P34" s="1">
        <v>574085.0</v>
      </c>
      <c r="Q34" s="1">
        <v>574085.0</v>
      </c>
      <c r="R34" s="1" t="s">
        <v>145</v>
      </c>
      <c r="S34" s="3"/>
      <c r="T34" s="1" t="s">
        <v>175</v>
      </c>
      <c r="U34" s="1" t="s">
        <v>175</v>
      </c>
      <c r="V34" s="3"/>
      <c r="W34" s="1" t="s">
        <v>118</v>
      </c>
      <c r="X34" s="3"/>
      <c r="Y34" s="1" t="s">
        <v>119</v>
      </c>
      <c r="Z34" s="3"/>
      <c r="AA34" s="1" t="b">
        <v>1</v>
      </c>
      <c r="AB34" s="1" t="b">
        <v>0</v>
      </c>
      <c r="AC34" s="1" t="b">
        <v>0</v>
      </c>
      <c r="AD34" s="1" t="b">
        <v>1</v>
      </c>
      <c r="AE34" s="1" t="b">
        <v>0</v>
      </c>
      <c r="AF34" s="5">
        <v>2.0</v>
      </c>
      <c r="AG34" s="5">
        <v>2.0</v>
      </c>
      <c r="AH34" s="3"/>
      <c r="AI34" s="3"/>
      <c r="AJ34" s="2">
        <v>46065.7530787037</v>
      </c>
      <c r="AK34" s="2">
        <v>46072.61584490741</v>
      </c>
      <c r="AL34" s="2">
        <v>46072.497824074075</v>
      </c>
      <c r="AM34" s="2">
        <v>46072.49711805556</v>
      </c>
      <c r="AO34" s="3"/>
      <c r="AP34" s="2">
        <v>46072.4978587963</v>
      </c>
      <c r="AR34" s="3"/>
      <c r="AS34" s="3"/>
      <c r="AT34" s="2">
        <v>46072.49711805556</v>
      </c>
      <c r="AU34" s="2">
        <v>46072.567245370374</v>
      </c>
      <c r="AW34" s="3"/>
      <c r="AX34" s="2">
        <v>46065.7530787037</v>
      </c>
      <c r="AY34" s="2">
        <v>46072.49711805556</v>
      </c>
      <c r="AZ34" s="2">
        <v>46072.50407407407</v>
      </c>
      <c r="BA34" s="2">
        <v>46072.57413194444</v>
      </c>
      <c r="BB34" s="2">
        <v>46072.50697916667</v>
      </c>
      <c r="BC34" s="2">
        <v>46072.574166666665</v>
      </c>
      <c r="BD34" s="2">
        <v>46072.574166666665</v>
      </c>
      <c r="BE34" s="5">
        <v>1196.0</v>
      </c>
      <c r="BF34" s="5">
        <v>1196.0</v>
      </c>
      <c r="BG34" s="5">
        <v>598.0</v>
      </c>
      <c r="BH34" s="5">
        <v>598.0</v>
      </c>
      <c r="BI34" s="5">
        <v>5206.0</v>
      </c>
      <c r="BJ34" s="5">
        <v>1606.0</v>
      </c>
      <c r="BK34" s="3"/>
      <c r="BL34" s="3"/>
      <c r="BM34" s="3"/>
      <c r="BN34" s="3"/>
      <c r="BO34" s="5">
        <v>600.0</v>
      </c>
      <c r="BP34" s="5">
        <v>600.0</v>
      </c>
      <c r="BQ34" s="5">
        <v>601.0</v>
      </c>
      <c r="BR34" s="5">
        <v>601.0</v>
      </c>
      <c r="BS34" s="5">
        <v>583286.0</v>
      </c>
      <c r="BT34" s="5">
        <v>93952.0</v>
      </c>
      <c r="BU34" s="5">
        <v>600.0</v>
      </c>
      <c r="BV34" s="5">
        <v>600.0</v>
      </c>
      <c r="BW34" s="5">
        <v>600.0</v>
      </c>
      <c r="BX34" s="5">
        <v>600.0</v>
      </c>
      <c r="BY34" s="5">
        <v>6657.0</v>
      </c>
      <c r="BZ34" s="5">
        <v>3057.0</v>
      </c>
      <c r="CA34" s="5">
        <v>6657.0</v>
      </c>
      <c r="CB34" s="5">
        <v>3057.0</v>
      </c>
      <c r="CC34" s="5">
        <v>6657.0</v>
      </c>
      <c r="CD34" s="5">
        <v>3057.0</v>
      </c>
      <c r="CE34" s="5">
        <v>589342.0</v>
      </c>
      <c r="CF34" s="5">
        <v>96408.0</v>
      </c>
      <c r="CG34" s="5">
        <v>6657.0</v>
      </c>
      <c r="CH34" s="5">
        <v>3057.0</v>
      </c>
      <c r="CI34" s="5">
        <v>6657.0</v>
      </c>
      <c r="CJ34" s="5">
        <v>3057.0</v>
      </c>
      <c r="CK34" s="5">
        <v>1451.0</v>
      </c>
      <c r="CL34" s="5">
        <v>1451.0</v>
      </c>
      <c r="CM34" s="5">
        <v>1451.0</v>
      </c>
      <c r="CN34" s="5">
        <v>1451.0</v>
      </c>
      <c r="CO34" s="5">
        <v>3.0</v>
      </c>
      <c r="CP34" s="3"/>
      <c r="CQ34" s="3"/>
      <c r="CR34" s="4" t="s">
        <v>254</v>
      </c>
    </row>
    <row r="35">
      <c r="A35" s="1" t="s">
        <v>255</v>
      </c>
      <c r="B35" s="2">
        <v>46072.495092592595</v>
      </c>
      <c r="C35" s="1" t="str">
        <f t="array" ref="C35">INDEX('User data'!E:E, MATCH(E35, 'User data'!B:B, 0))</f>
        <v>주식회사 스케일업스쿼드(SCALEUPSQUAD Corp.)</v>
      </c>
      <c r="D35" s="1" t="str">
        <f t="array" ref="D35">INDEX('User data'!F:F, MATCH(C35, 'User data'!E:E, 0))</f>
        <v>413-86-02907</v>
      </c>
      <c r="E35" s="1" t="s">
        <v>256</v>
      </c>
      <c r="F35" s="3"/>
      <c r="G35" s="3"/>
      <c r="H35" s="1" t="s">
        <v>257</v>
      </c>
      <c r="I35" s="1" t="s">
        <v>258</v>
      </c>
      <c r="J35" s="1" t="s">
        <v>100</v>
      </c>
      <c r="K35" s="1" t="s">
        <v>101</v>
      </c>
      <c r="L35" s="1" t="b">
        <v>0</v>
      </c>
      <c r="M35" s="4" t="s">
        <v>102</v>
      </c>
      <c r="N35" s="1" t="s">
        <v>259</v>
      </c>
      <c r="O35" s="1">
        <v>594863.0</v>
      </c>
      <c r="P35" s="1">
        <v>574085.0</v>
      </c>
      <c r="Q35" s="3"/>
      <c r="R35" s="1" t="s">
        <v>260</v>
      </c>
      <c r="S35" s="1">
        <v>13285.0</v>
      </c>
      <c r="T35" s="1" t="s">
        <v>104</v>
      </c>
      <c r="U35" s="3"/>
      <c r="V35" s="3"/>
      <c r="W35" s="1" t="s">
        <v>151</v>
      </c>
      <c r="X35" s="3"/>
      <c r="Y35" s="1" t="s">
        <v>106</v>
      </c>
      <c r="Z35" s="3"/>
      <c r="AA35" s="1" t="b">
        <v>1</v>
      </c>
      <c r="AB35" s="1" t="b">
        <v>0</v>
      </c>
      <c r="AC35" s="1" t="b">
        <v>1</v>
      </c>
      <c r="AD35" s="1" t="b">
        <v>1</v>
      </c>
      <c r="AE35" s="1" t="b">
        <v>1</v>
      </c>
      <c r="AF35" s="5">
        <v>1.0</v>
      </c>
      <c r="AG35" s="5">
        <v>1.0</v>
      </c>
      <c r="AH35" s="3"/>
      <c r="AI35" s="5">
        <v>1.0</v>
      </c>
      <c r="AJ35" s="2">
        <v>46072.49501157407</v>
      </c>
      <c r="AK35" s="2">
        <v>46073.54178240741</v>
      </c>
      <c r="AL35" s="2">
        <v>46072.49689814815</v>
      </c>
      <c r="AM35" s="2">
        <v>46072.495092592595</v>
      </c>
      <c r="AN35" s="2">
        <v>46072.495092592595</v>
      </c>
      <c r="AO35" s="2">
        <v>46072.49618055556</v>
      </c>
      <c r="AP35" s="2">
        <v>46072.496932870374</v>
      </c>
      <c r="AQ35" s="2">
        <v>46072.49618055556</v>
      </c>
      <c r="AS35" s="2">
        <v>46072.49619212963</v>
      </c>
      <c r="AT35" s="2">
        <v>46072.49618055556</v>
      </c>
      <c r="AU35" s="2">
        <v>46073.54178240741</v>
      </c>
      <c r="AW35" s="3"/>
      <c r="AX35" s="2">
        <v>46072.49619212963</v>
      </c>
      <c r="AY35" s="2">
        <v>46072.49619212963</v>
      </c>
      <c r="AZ35" s="2">
        <v>46072.50572916667</v>
      </c>
      <c r="BA35" s="2">
        <v>46072.50572916667</v>
      </c>
      <c r="BB35" s="2">
        <v>46072.56689814815</v>
      </c>
      <c r="BD35" s="3"/>
      <c r="BE35" s="5">
        <v>824.0</v>
      </c>
      <c r="BF35" s="5">
        <v>824.0</v>
      </c>
      <c r="BG35" s="5">
        <v>824.0</v>
      </c>
      <c r="BH35" s="5">
        <v>824.0</v>
      </c>
      <c r="BI35" s="5">
        <v>84229.0</v>
      </c>
      <c r="BJ35" s="5">
        <v>21219.0</v>
      </c>
      <c r="BK35" s="5">
        <v>0.0</v>
      </c>
      <c r="BL35" s="5">
        <v>0.0</v>
      </c>
      <c r="BM35" s="5">
        <v>94.0</v>
      </c>
      <c r="BN35" s="5">
        <v>94.0</v>
      </c>
      <c r="BO35" s="5">
        <v>918.0</v>
      </c>
      <c r="BP35" s="5">
        <v>918.0</v>
      </c>
      <c r="BQ35" s="5">
        <v>918.0</v>
      </c>
      <c r="BR35" s="5">
        <v>918.0</v>
      </c>
      <c r="BS35" s="5">
        <v>823.0</v>
      </c>
      <c r="BT35" s="5">
        <v>823.0</v>
      </c>
      <c r="BU35" s="5">
        <v>823.0</v>
      </c>
      <c r="BV35" s="5">
        <v>823.0</v>
      </c>
      <c r="BW35" s="5">
        <v>824.0</v>
      </c>
      <c r="BX35" s="5">
        <v>824.0</v>
      </c>
      <c r="BY35" s="3"/>
      <c r="BZ35" s="3"/>
      <c r="CA35" s="3"/>
      <c r="CB35" s="3"/>
      <c r="CC35" s="3"/>
      <c r="CD35" s="3"/>
      <c r="CE35" s="3"/>
      <c r="CF35" s="3"/>
      <c r="CG35" s="3"/>
      <c r="CH35" s="3"/>
      <c r="CI35" s="3"/>
      <c r="CJ35" s="3"/>
      <c r="CK35" s="3"/>
      <c r="CL35" s="3"/>
      <c r="CM35" s="3"/>
      <c r="CN35" s="3"/>
      <c r="CO35" s="5">
        <v>3.0</v>
      </c>
      <c r="CP35" s="5">
        <v>93.0</v>
      </c>
      <c r="CQ35" s="3"/>
      <c r="CR35" s="4" t="s">
        <v>261</v>
      </c>
    </row>
    <row r="36">
      <c r="A36" s="1" t="s">
        <v>262</v>
      </c>
      <c r="B36" s="2">
        <v>46072.49296296296</v>
      </c>
      <c r="C36" s="1" t="str">
        <f t="array" ref="C36">INDEX('User data'!E:E, MATCH(E36, 'User data'!B:B, 0))</f>
        <v>주식회사 스케일업스쿼드(SCALEUPSQUAD Corp.)</v>
      </c>
      <c r="D36" s="1" t="str">
        <f t="array" ref="D36">INDEX('User data'!F:F, MATCH(C36, 'User data'!E:E, 0))</f>
        <v>413-86-02907</v>
      </c>
      <c r="E36" s="1" t="s">
        <v>256</v>
      </c>
      <c r="F36" s="3"/>
      <c r="G36" s="3"/>
      <c r="H36" s="3"/>
      <c r="I36" s="3"/>
      <c r="J36" s="1" t="s">
        <v>100</v>
      </c>
      <c r="K36" s="1" t="s">
        <v>101</v>
      </c>
      <c r="L36" s="1" t="b">
        <v>0</v>
      </c>
      <c r="M36" s="4" t="s">
        <v>102</v>
      </c>
      <c r="N36" s="1" t="s">
        <v>259</v>
      </c>
      <c r="P36" s="3"/>
      <c r="Q36" s="3"/>
      <c r="R36" s="3"/>
      <c r="S36" s="3"/>
      <c r="T36" s="1" t="s">
        <v>104</v>
      </c>
      <c r="U36" s="3"/>
      <c r="V36" s="3"/>
      <c r="W36" s="1" t="s">
        <v>105</v>
      </c>
      <c r="X36" s="3"/>
      <c r="Y36" s="1" t="s">
        <v>106</v>
      </c>
      <c r="Z36" s="3"/>
      <c r="AA36" s="1" t="b">
        <v>0</v>
      </c>
      <c r="AB36" s="1" t="b">
        <v>0</v>
      </c>
      <c r="AC36" s="1" t="b">
        <v>0</v>
      </c>
      <c r="AD36" s="1" t="b">
        <v>0</v>
      </c>
      <c r="AE36" s="1" t="b">
        <v>1</v>
      </c>
      <c r="AF36" s="3"/>
      <c r="AG36" s="3"/>
      <c r="AH36" s="3"/>
      <c r="AI36" s="3"/>
      <c r="AJ36" s="2">
        <v>46072.49291666667</v>
      </c>
      <c r="AK36" s="2">
        <v>46073.49333333333</v>
      </c>
      <c r="AM36" s="2">
        <v>46072.49296296296</v>
      </c>
      <c r="AN36" s="2">
        <v>46072.49296296296</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4" t="s">
        <v>263</v>
      </c>
    </row>
    <row r="37">
      <c r="A37" s="1" t="s">
        <v>264</v>
      </c>
      <c r="B37" s="2">
        <v>46072.4909837963</v>
      </c>
      <c r="C37" s="1" t="str">
        <f t="array" ref="C37">INDEX('User data'!E:E, MATCH(E37, 'User data'!B:B, 0))</f>
        <v>주식회사 코네이스</v>
      </c>
      <c r="D37" s="1" t="str">
        <f t="array" ref="D37">INDEX('User data'!F:F, MATCH(C37, 'User data'!E:E, 0))</f>
        <v>857-81-02868</v>
      </c>
      <c r="E37" s="1" t="s">
        <v>265</v>
      </c>
      <c r="F37" s="3"/>
      <c r="G37" s="3"/>
      <c r="H37" s="1" t="s">
        <v>266</v>
      </c>
      <c r="I37" s="1" t="s">
        <v>253</v>
      </c>
      <c r="J37" s="1" t="s">
        <v>100</v>
      </c>
      <c r="K37" s="1" t="s">
        <v>101</v>
      </c>
      <c r="L37" s="1" t="b">
        <v>0</v>
      </c>
      <c r="M37" s="4" t="s">
        <v>102</v>
      </c>
      <c r="N37" s="1" t="s">
        <v>267</v>
      </c>
      <c r="O37" s="1">
        <v>574085.0</v>
      </c>
      <c r="P37" s="1">
        <v>574085.0</v>
      </c>
      <c r="Q37" s="1">
        <v>574085.0</v>
      </c>
      <c r="R37" s="1" t="s">
        <v>145</v>
      </c>
      <c r="S37" s="1">
        <v>13285.0</v>
      </c>
      <c r="T37" s="1" t="s">
        <v>104</v>
      </c>
      <c r="U37" s="3"/>
      <c r="V37" s="3"/>
      <c r="W37" s="1" t="s">
        <v>118</v>
      </c>
      <c r="X37" s="3"/>
      <c r="Y37" s="1" t="s">
        <v>119</v>
      </c>
      <c r="Z37" s="3"/>
      <c r="AA37" s="1" t="b">
        <v>1</v>
      </c>
      <c r="AB37" s="1" t="b">
        <v>0</v>
      </c>
      <c r="AC37" s="1" t="b">
        <v>0</v>
      </c>
      <c r="AD37" s="1" t="b">
        <v>1</v>
      </c>
      <c r="AE37" s="1" t="b">
        <v>1</v>
      </c>
      <c r="AF37" s="5">
        <v>3.0</v>
      </c>
      <c r="AG37" s="5">
        <v>3.0</v>
      </c>
      <c r="AH37" s="3"/>
      <c r="AI37" s="3"/>
      <c r="AJ37" s="2">
        <v>46072.49065972222</v>
      </c>
      <c r="AK37" s="2">
        <v>46072.54818287037</v>
      </c>
      <c r="AL37" s="2">
        <v>46072.50650462963</v>
      </c>
      <c r="AM37" s="2">
        <v>46072.4909837963</v>
      </c>
      <c r="AN37" s="2">
        <v>46072.4909837963</v>
      </c>
      <c r="AO37" s="2">
        <v>46072.50377314815</v>
      </c>
      <c r="AQ37" s="2">
        <v>46072.50377314815</v>
      </c>
      <c r="AS37" s="2">
        <v>46072.50378472222</v>
      </c>
      <c r="AT37" s="2">
        <v>46072.50377314815</v>
      </c>
      <c r="AU37" s="2">
        <v>46072.50378472222</v>
      </c>
      <c r="AW37" s="3"/>
      <c r="AX37" s="2">
        <v>46072.50378472222</v>
      </c>
      <c r="AY37" s="2">
        <v>46072.50378472222</v>
      </c>
      <c r="AZ37" s="2">
        <v>46072.504166666666</v>
      </c>
      <c r="BA37" s="2">
        <v>46072.50646990741</v>
      </c>
      <c r="BC37" s="2">
        <v>46072.50650462963</v>
      </c>
      <c r="BD37" s="2">
        <v>46072.50650462963</v>
      </c>
      <c r="BE37" s="5">
        <v>67.0</v>
      </c>
      <c r="BF37" s="5">
        <v>67.0</v>
      </c>
      <c r="BG37" s="5">
        <v>22.0</v>
      </c>
      <c r="BH37" s="5">
        <v>22.0</v>
      </c>
      <c r="BI37" s="3"/>
      <c r="BJ37" s="3"/>
      <c r="BK37" s="5">
        <v>1.0</v>
      </c>
      <c r="BL37" s="5">
        <v>1.0</v>
      </c>
      <c r="BM37" s="5">
        <v>1105.0</v>
      </c>
      <c r="BN37" s="5">
        <v>1105.0</v>
      </c>
      <c r="BO37" s="5">
        <v>1139.0</v>
      </c>
      <c r="BP37" s="5">
        <v>1139.0</v>
      </c>
      <c r="BQ37" s="5">
        <v>1139.0</v>
      </c>
      <c r="BR37" s="5">
        <v>1139.0</v>
      </c>
      <c r="BS37" s="5">
        <v>33.0</v>
      </c>
      <c r="BT37" s="5">
        <v>33.0</v>
      </c>
      <c r="BU37" s="5">
        <v>33.0</v>
      </c>
      <c r="BV37" s="5">
        <v>33.0</v>
      </c>
      <c r="BW37" s="5">
        <v>34.0</v>
      </c>
      <c r="BX37" s="5">
        <v>34.0</v>
      </c>
      <c r="BY37" s="5">
        <v>1340.0</v>
      </c>
      <c r="BZ37" s="5">
        <v>1340.0</v>
      </c>
      <c r="CA37" s="5">
        <v>1340.0</v>
      </c>
      <c r="CB37" s="5">
        <v>1340.0</v>
      </c>
      <c r="CC37" s="5">
        <v>1341.0</v>
      </c>
      <c r="CD37" s="5">
        <v>1341.0</v>
      </c>
      <c r="CE37" s="5">
        <v>235.0</v>
      </c>
      <c r="CF37" s="5">
        <v>235.0</v>
      </c>
      <c r="CG37" s="5">
        <v>235.0</v>
      </c>
      <c r="CH37" s="5">
        <v>235.0</v>
      </c>
      <c r="CI37" s="5">
        <v>236.0</v>
      </c>
      <c r="CJ37" s="5">
        <v>236.0</v>
      </c>
      <c r="CK37" s="5">
        <v>235.0</v>
      </c>
      <c r="CL37" s="5">
        <v>235.0</v>
      </c>
      <c r="CM37" s="5">
        <v>235.0</v>
      </c>
      <c r="CN37" s="5">
        <v>235.0</v>
      </c>
      <c r="CO37" s="3"/>
      <c r="CP37" s="5">
        <v>1104.0</v>
      </c>
      <c r="CQ37" s="3"/>
      <c r="CR37" s="4" t="s">
        <v>268</v>
      </c>
    </row>
    <row r="38">
      <c r="A38" s="1" t="s">
        <v>269</v>
      </c>
      <c r="B38" s="2">
        <v>46072.480150462965</v>
      </c>
      <c r="C38" s="1" t="str">
        <f t="array" ref="C38">INDEX('User data'!E:E, MATCH(E38, 'User data'!B:B, 0))</f>
        <v>가제트코리아 주식회사</v>
      </c>
      <c r="D38" s="1" t="str">
        <f t="array" ref="D38">INDEX('User data'!F:F, MATCH(C38, 'User data'!E:E, 0))</f>
        <v>786-87-01837</v>
      </c>
      <c r="E38" s="1" t="s">
        <v>270</v>
      </c>
      <c r="F38" s="3"/>
      <c r="G38" s="3"/>
      <c r="H38" s="1" t="s">
        <v>271</v>
      </c>
      <c r="I38" s="1" t="s">
        <v>258</v>
      </c>
      <c r="J38" s="1" t="s">
        <v>100</v>
      </c>
      <c r="K38" s="1" t="s">
        <v>101</v>
      </c>
      <c r="L38" s="1" t="b">
        <v>0</v>
      </c>
      <c r="M38" s="4" t="s">
        <v>102</v>
      </c>
      <c r="N38" s="1" t="s">
        <v>272</v>
      </c>
      <c r="O38" s="1">
        <v>594863.0</v>
      </c>
      <c r="P38" s="1">
        <v>607950.0</v>
      </c>
      <c r="Q38" s="1">
        <v>594863.0</v>
      </c>
      <c r="R38" s="1" t="s">
        <v>273</v>
      </c>
      <c r="S38" s="1">
        <v>13288.0</v>
      </c>
      <c r="T38" s="1" t="s">
        <v>104</v>
      </c>
      <c r="U38" s="3"/>
      <c r="V38" s="3"/>
      <c r="W38" s="1" t="s">
        <v>118</v>
      </c>
      <c r="X38" s="3"/>
      <c r="Y38" s="1" t="s">
        <v>119</v>
      </c>
      <c r="Z38" s="3"/>
      <c r="AA38" s="1" t="b">
        <v>1</v>
      </c>
      <c r="AB38" s="1" t="b">
        <v>0</v>
      </c>
      <c r="AC38" s="1" t="b">
        <v>1</v>
      </c>
      <c r="AD38" s="1" t="b">
        <v>1</v>
      </c>
      <c r="AE38" s="1" t="b">
        <v>1</v>
      </c>
      <c r="AF38" s="5">
        <v>7.0</v>
      </c>
      <c r="AG38" s="5">
        <v>6.0</v>
      </c>
      <c r="AH38" s="3"/>
      <c r="AI38" s="5">
        <v>1.0</v>
      </c>
      <c r="AJ38" s="2">
        <v>46072.4799537037</v>
      </c>
      <c r="AK38" s="2">
        <v>46072.725694444445</v>
      </c>
      <c r="AL38" s="2">
        <v>46072.57172453704</v>
      </c>
      <c r="AM38" s="2">
        <v>46072.480150462965</v>
      </c>
      <c r="AN38" s="2">
        <v>46072.480150462965</v>
      </c>
      <c r="AO38" s="2">
        <v>46072.48069444444</v>
      </c>
      <c r="AP38" s="2">
        <v>46072.57175925926</v>
      </c>
      <c r="AR38" s="3"/>
      <c r="AS38" s="3"/>
      <c r="AT38" s="2">
        <v>46072.48069444444</v>
      </c>
      <c r="AU38" s="2">
        <v>46072.571018518516</v>
      </c>
      <c r="AW38" s="3"/>
      <c r="AX38" s="2">
        <v>46072.48092592593</v>
      </c>
      <c r="AY38" s="2">
        <v>46072.48069444444</v>
      </c>
      <c r="AZ38" s="2">
        <v>46072.4809375</v>
      </c>
      <c r="BA38" s="2">
        <v>46072.68079861111</v>
      </c>
      <c r="BB38" s="2">
        <v>46072.56689814815</v>
      </c>
      <c r="BC38" s="2">
        <v>46072.684016203704</v>
      </c>
      <c r="BD38" s="2">
        <v>46072.684016203704</v>
      </c>
      <c r="BE38" s="5">
        <v>14386.0</v>
      </c>
      <c r="BF38" s="5">
        <v>7602.0</v>
      </c>
      <c r="BG38" s="5">
        <v>2055.0</v>
      </c>
      <c r="BH38" s="5">
        <v>1267.0</v>
      </c>
      <c r="BI38" s="5">
        <v>355.0</v>
      </c>
      <c r="BJ38" s="5">
        <v>355.0</v>
      </c>
      <c r="BK38" s="3"/>
      <c r="BL38" s="3"/>
      <c r="BM38" s="5">
        <v>67.0</v>
      </c>
      <c r="BN38" s="5">
        <v>67.0</v>
      </c>
      <c r="BO38" s="5">
        <v>68.0</v>
      </c>
      <c r="BP38" s="5">
        <v>68.0</v>
      </c>
      <c r="BQ38" s="5">
        <v>68.0</v>
      </c>
      <c r="BR38" s="5">
        <v>68.0</v>
      </c>
      <c r="BS38" s="5">
        <v>0.0</v>
      </c>
      <c r="BT38" s="5">
        <v>0.0</v>
      </c>
      <c r="BU38" s="5">
        <v>20.0</v>
      </c>
      <c r="BV38" s="5">
        <v>20.0</v>
      </c>
      <c r="BW38" s="5">
        <v>20.0</v>
      </c>
      <c r="BX38" s="5">
        <v>20.0</v>
      </c>
      <c r="BY38" s="5">
        <v>17614.0</v>
      </c>
      <c r="BZ38" s="5">
        <v>14014.0</v>
      </c>
      <c r="CA38" s="5">
        <v>17614.0</v>
      </c>
      <c r="CB38" s="5">
        <v>14014.0</v>
      </c>
      <c r="CC38" s="5">
        <v>17614.0</v>
      </c>
      <c r="CD38" s="5">
        <v>14014.0</v>
      </c>
      <c r="CE38" s="5">
        <v>17547.0</v>
      </c>
      <c r="CF38" s="5">
        <v>13947.0</v>
      </c>
      <c r="CG38" s="5">
        <v>17567.0</v>
      </c>
      <c r="CH38" s="5">
        <v>13967.0</v>
      </c>
      <c r="CI38" s="5">
        <v>17567.0</v>
      </c>
      <c r="CJ38" s="5">
        <v>13967.0</v>
      </c>
      <c r="CK38" s="5">
        <v>17211.0</v>
      </c>
      <c r="CL38" s="5">
        <v>13611.0</v>
      </c>
      <c r="CM38" s="5">
        <v>17211.0</v>
      </c>
      <c r="CN38" s="5">
        <v>13611.0</v>
      </c>
      <c r="CO38" s="5">
        <v>3.0</v>
      </c>
      <c r="CP38" s="5">
        <v>47.0</v>
      </c>
      <c r="CQ38" s="3"/>
      <c r="CR38" s="4" t="s">
        <v>274</v>
      </c>
    </row>
    <row r="39">
      <c r="A39" s="1" t="s">
        <v>275</v>
      </c>
      <c r="B39" s="2">
        <v>46072.48008101852</v>
      </c>
      <c r="C39" s="1" t="str">
        <f t="array" ref="C39">INDEX('User data'!E:E, MATCH(E39, 'User data'!B:B, 0))</f>
        <v>주식회사 프롬프트타운</v>
      </c>
      <c r="D39" s="1" t="str">
        <f t="array" ref="D39">INDEX('User data'!F:F, MATCH(C39, 'User data'!E:E, 0))</f>
        <v>526-81-03003</v>
      </c>
      <c r="E39" s="1" t="s">
        <v>276</v>
      </c>
      <c r="F39" s="3"/>
      <c r="G39" s="3"/>
      <c r="H39" s="3"/>
      <c r="I39" s="3"/>
      <c r="J39" s="1" t="s">
        <v>100</v>
      </c>
      <c r="K39" s="1" t="s">
        <v>101</v>
      </c>
      <c r="L39" s="1" t="b">
        <v>0</v>
      </c>
      <c r="M39" s="4" t="s">
        <v>102</v>
      </c>
      <c r="N39" s="1" t="s">
        <v>277</v>
      </c>
      <c r="P39" s="3"/>
      <c r="Q39" s="3"/>
      <c r="R39" s="3"/>
      <c r="S39" s="3"/>
      <c r="T39" s="1" t="s">
        <v>104</v>
      </c>
      <c r="U39" s="3"/>
      <c r="V39" s="3"/>
      <c r="W39" s="1" t="s">
        <v>105</v>
      </c>
      <c r="X39" s="3"/>
      <c r="Y39" s="1" t="s">
        <v>106</v>
      </c>
      <c r="Z39" s="3"/>
      <c r="AA39" s="1" t="b">
        <v>0</v>
      </c>
      <c r="AB39" s="1" t="b">
        <v>0</v>
      </c>
      <c r="AC39" s="1" t="b">
        <v>0</v>
      </c>
      <c r="AD39" s="1" t="b">
        <v>0</v>
      </c>
      <c r="AE39" s="1" t="b">
        <v>1</v>
      </c>
      <c r="AF39" s="3"/>
      <c r="AG39" s="3"/>
      <c r="AH39" s="3"/>
      <c r="AI39" s="3"/>
      <c r="AJ39" s="2">
        <v>46072.48005787037</v>
      </c>
      <c r="AK39" s="2">
        <v>46073.48048611111</v>
      </c>
      <c r="AM39" s="2">
        <v>46072.48008101852</v>
      </c>
      <c r="AN39" s="2">
        <v>46072.48008101852</v>
      </c>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4" t="s">
        <v>278</v>
      </c>
    </row>
    <row r="40">
      <c r="A40" s="1" t="s">
        <v>279</v>
      </c>
      <c r="B40" s="2">
        <v>46072.479363425926</v>
      </c>
      <c r="C40" s="1" t="str">
        <f t="array" ref="C40">INDEX('User data'!E:E, MATCH(E40, 'User data'!B:B, 0))</f>
        <v>헬로스킨 주식회사(HELLO SKIN Co.,Ltd.)</v>
      </c>
      <c r="D40" s="1" t="str">
        <f t="array" ref="D40">INDEX('User data'!F:F, MATCH(C40, 'User data'!E:E, 0))</f>
        <v>888-88-00596</v>
      </c>
      <c r="E40" s="1" t="s">
        <v>280</v>
      </c>
      <c r="F40" s="3"/>
      <c r="G40" s="3"/>
      <c r="H40" s="1" t="s">
        <v>234</v>
      </c>
      <c r="I40" s="1" t="s">
        <v>253</v>
      </c>
      <c r="J40" s="1" t="s">
        <v>100</v>
      </c>
      <c r="K40" s="1" t="s">
        <v>101</v>
      </c>
      <c r="L40" s="1" t="b">
        <v>0</v>
      </c>
      <c r="M40" s="4" t="s">
        <v>102</v>
      </c>
      <c r="N40" s="1" t="s">
        <v>281</v>
      </c>
      <c r="O40" s="1">
        <v>574085.0</v>
      </c>
      <c r="P40" s="1">
        <v>574085.0</v>
      </c>
      <c r="Q40" s="1">
        <v>574085.0</v>
      </c>
      <c r="R40" s="1" t="s">
        <v>145</v>
      </c>
      <c r="S40" s="1">
        <v>13285.0</v>
      </c>
      <c r="T40" s="1" t="s">
        <v>104</v>
      </c>
      <c r="U40" s="3"/>
      <c r="V40" s="3"/>
      <c r="W40" s="1" t="s">
        <v>118</v>
      </c>
      <c r="X40" s="3"/>
      <c r="Y40" s="1" t="s">
        <v>119</v>
      </c>
      <c r="Z40" s="3"/>
      <c r="AA40" s="1" t="b">
        <v>1</v>
      </c>
      <c r="AB40" s="1" t="b">
        <v>0</v>
      </c>
      <c r="AC40" s="1" t="b">
        <v>0</v>
      </c>
      <c r="AD40" s="1" t="b">
        <v>1</v>
      </c>
      <c r="AE40" s="1" t="b">
        <v>1</v>
      </c>
      <c r="AF40" s="5">
        <v>2.0</v>
      </c>
      <c r="AG40" s="5">
        <v>2.0</v>
      </c>
      <c r="AH40" s="3"/>
      <c r="AI40" s="3"/>
      <c r="AJ40" s="2">
        <v>46072.47930555556</v>
      </c>
      <c r="AK40" s="2">
        <v>46072.6159837963</v>
      </c>
      <c r="AL40" s="2">
        <v>46072.57430555556</v>
      </c>
      <c r="AM40" s="2">
        <v>46072.479363425926</v>
      </c>
      <c r="AN40" s="2">
        <v>46072.479363425926</v>
      </c>
      <c r="AO40" s="2">
        <v>46072.48037037037</v>
      </c>
      <c r="AQ40" s="2">
        <v>46072.48037037037</v>
      </c>
      <c r="AS40" s="2">
        <v>46072.48038194444</v>
      </c>
      <c r="AT40" s="2">
        <v>46072.48037037037</v>
      </c>
      <c r="AU40" s="2">
        <v>46072.56712962963</v>
      </c>
      <c r="AW40" s="3"/>
      <c r="AX40" s="2">
        <v>46072.48038194444</v>
      </c>
      <c r="AY40" s="2">
        <v>46072.48038194444</v>
      </c>
      <c r="AZ40" s="2">
        <v>46072.480891203704</v>
      </c>
      <c r="BA40" s="2">
        <v>46072.574212962965</v>
      </c>
      <c r="BB40" s="2">
        <v>46072.56689814815</v>
      </c>
      <c r="BC40" s="2">
        <v>46072.57430555556</v>
      </c>
      <c r="BD40" s="2">
        <v>46072.57430555556</v>
      </c>
      <c r="BE40" s="5">
        <v>656.0</v>
      </c>
      <c r="BF40" s="5">
        <v>656.0</v>
      </c>
      <c r="BG40" s="5">
        <v>328.0</v>
      </c>
      <c r="BH40" s="5">
        <v>328.0</v>
      </c>
      <c r="BI40" s="5">
        <v>20.0</v>
      </c>
      <c r="BJ40" s="5">
        <v>20.0</v>
      </c>
      <c r="BK40" s="5">
        <v>0.0</v>
      </c>
      <c r="BL40" s="5">
        <v>0.0</v>
      </c>
      <c r="BM40" s="5">
        <v>87.0</v>
      </c>
      <c r="BN40" s="5">
        <v>87.0</v>
      </c>
      <c r="BO40" s="5">
        <v>131.0</v>
      </c>
      <c r="BP40" s="5">
        <v>131.0</v>
      </c>
      <c r="BQ40" s="5">
        <v>131.0</v>
      </c>
      <c r="BR40" s="5">
        <v>131.0</v>
      </c>
      <c r="BS40" s="5">
        <v>44.0</v>
      </c>
      <c r="BT40" s="5">
        <v>44.0</v>
      </c>
      <c r="BU40" s="5">
        <v>43.0</v>
      </c>
      <c r="BV40" s="5">
        <v>43.0</v>
      </c>
      <c r="BW40" s="5">
        <v>44.0</v>
      </c>
      <c r="BX40" s="5">
        <v>44.0</v>
      </c>
      <c r="BY40" s="5">
        <v>8202.0</v>
      </c>
      <c r="BZ40" s="5">
        <v>4602.0</v>
      </c>
      <c r="CA40" s="5">
        <v>8202.0</v>
      </c>
      <c r="CB40" s="5">
        <v>4602.0</v>
      </c>
      <c r="CC40" s="5">
        <v>8202.0</v>
      </c>
      <c r="CD40" s="5">
        <v>4602.0</v>
      </c>
      <c r="CE40" s="5">
        <v>8115.0</v>
      </c>
      <c r="CF40" s="5">
        <v>4515.0</v>
      </c>
      <c r="CG40" s="5">
        <v>8115.0</v>
      </c>
      <c r="CH40" s="5">
        <v>4515.0</v>
      </c>
      <c r="CI40" s="5">
        <v>8115.0</v>
      </c>
      <c r="CJ40" s="5">
        <v>4515.0</v>
      </c>
      <c r="CK40" s="5">
        <v>8095.0</v>
      </c>
      <c r="CL40" s="5">
        <v>4495.0</v>
      </c>
      <c r="CM40" s="5">
        <v>8095.0</v>
      </c>
      <c r="CN40" s="5">
        <v>4495.0</v>
      </c>
      <c r="CO40" s="3"/>
      <c r="CP40" s="5">
        <v>87.0</v>
      </c>
      <c r="CQ40" s="3"/>
      <c r="CR40" s="4" t="s">
        <v>282</v>
      </c>
    </row>
    <row r="41">
      <c r="A41" s="1" t="s">
        <v>283</v>
      </c>
      <c r="B41" s="2">
        <v>46072.47837962963</v>
      </c>
      <c r="C41" s="1" t="str">
        <f t="array" ref="C41">INDEX('User data'!E:E, MATCH(E41, 'User data'!B:B, 0))</f>
        <v>닥터블릿헬스케어 주식회사</v>
      </c>
      <c r="D41" s="1" t="str">
        <f t="array" ref="D41">INDEX('User data'!F:F, MATCH(C41, 'User data'!E:E, 0))</f>
        <v>382-88-01869</v>
      </c>
      <c r="E41" s="1" t="s">
        <v>284</v>
      </c>
      <c r="F41" s="3"/>
      <c r="G41" s="3"/>
      <c r="H41" s="3"/>
      <c r="I41" s="3"/>
      <c r="J41" s="1" t="s">
        <v>100</v>
      </c>
      <c r="K41" s="1" t="s">
        <v>101</v>
      </c>
      <c r="L41" s="1" t="b">
        <v>0</v>
      </c>
      <c r="M41" s="4" t="s">
        <v>102</v>
      </c>
      <c r="N41" s="1" t="s">
        <v>285</v>
      </c>
      <c r="P41" s="3"/>
      <c r="Q41" s="3"/>
      <c r="R41" s="3"/>
      <c r="S41" s="3"/>
      <c r="T41" s="1" t="s">
        <v>104</v>
      </c>
      <c r="U41" s="3"/>
      <c r="V41" s="3"/>
      <c r="W41" s="1" t="s">
        <v>105</v>
      </c>
      <c r="X41" s="3"/>
      <c r="Y41" s="1" t="s">
        <v>106</v>
      </c>
      <c r="Z41" s="3"/>
      <c r="AA41" s="1" t="b">
        <v>0</v>
      </c>
      <c r="AB41" s="1" t="b">
        <v>0</v>
      </c>
      <c r="AC41" s="1" t="b">
        <v>0</v>
      </c>
      <c r="AD41" s="1" t="b">
        <v>0</v>
      </c>
      <c r="AE41" s="1" t="b">
        <v>1</v>
      </c>
      <c r="AF41" s="3"/>
      <c r="AG41" s="3"/>
      <c r="AH41" s="3"/>
      <c r="AI41" s="3"/>
      <c r="AJ41" s="2">
        <v>46072.47822916666</v>
      </c>
      <c r="AK41" s="2">
        <v>46073.52768518519</v>
      </c>
      <c r="AM41" s="2">
        <v>46072.47837962963</v>
      </c>
      <c r="AN41" s="2">
        <v>46072.47837962963</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4" t="s">
        <v>286</v>
      </c>
    </row>
    <row r="42">
      <c r="A42" s="1" t="s">
        <v>287</v>
      </c>
      <c r="B42" s="2">
        <v>46072.469722222224</v>
      </c>
      <c r="C42" s="1" t="str">
        <f t="array" ref="C42">INDEX('User data'!E:E, MATCH(E42, 'User data'!B:B, 0))</f>
        <v>주식회사 카닥</v>
      </c>
      <c r="D42" s="1" t="str">
        <f t="array" ref="D42">INDEX('User data'!F:F, MATCH(C42, 'User data'!E:E, 0))</f>
        <v>144-81-21245</v>
      </c>
      <c r="E42" s="1" t="s">
        <v>288</v>
      </c>
      <c r="F42" s="3"/>
      <c r="G42" s="3"/>
      <c r="H42" s="3"/>
      <c r="I42" s="3"/>
      <c r="J42" s="1" t="s">
        <v>100</v>
      </c>
      <c r="K42" s="1" t="s">
        <v>101</v>
      </c>
      <c r="L42" s="1" t="b">
        <v>0</v>
      </c>
      <c r="M42" s="4" t="s">
        <v>102</v>
      </c>
      <c r="N42" s="1" t="s">
        <v>289</v>
      </c>
      <c r="P42" s="3"/>
      <c r="Q42" s="3"/>
      <c r="R42" s="3"/>
      <c r="S42" s="3"/>
      <c r="T42" s="1" t="s">
        <v>104</v>
      </c>
      <c r="U42" s="3"/>
      <c r="V42" s="3"/>
      <c r="W42" s="1" t="s">
        <v>105</v>
      </c>
      <c r="X42" s="3"/>
      <c r="Y42" s="1" t="s">
        <v>106</v>
      </c>
      <c r="Z42" s="3"/>
      <c r="AA42" s="1" t="b">
        <v>0</v>
      </c>
      <c r="AB42" s="1" t="b">
        <v>0</v>
      </c>
      <c r="AC42" s="1" t="b">
        <v>0</v>
      </c>
      <c r="AD42" s="1" t="b">
        <v>0</v>
      </c>
      <c r="AE42" s="1" t="b">
        <v>1</v>
      </c>
      <c r="AF42" s="3"/>
      <c r="AG42" s="3"/>
      <c r="AH42" s="3"/>
      <c r="AI42" s="3"/>
      <c r="AJ42" s="2">
        <v>46072.469375</v>
      </c>
      <c r="AK42" s="2">
        <v>46073.472650462965</v>
      </c>
      <c r="AM42" s="2">
        <v>46072.469722222224</v>
      </c>
      <c r="AN42" s="2">
        <v>46072.469722222224</v>
      </c>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4" t="s">
        <v>290</v>
      </c>
    </row>
    <row r="43">
      <c r="A43" s="1" t="s">
        <v>291</v>
      </c>
      <c r="B43" s="2">
        <v>46072.45912037037</v>
      </c>
      <c r="C43" s="1" t="str">
        <f t="array" ref="C43">INDEX('User data'!E:E, MATCH(E43, 'User data'!B:B, 0))</f>
        <v>팀키토 주식회사</v>
      </c>
      <c r="D43" s="1" t="str">
        <f t="array" ref="D43">INDEX('User data'!F:F, MATCH(C43, 'User data'!E:E, 0))</f>
        <v>513-81-92058</v>
      </c>
      <c r="E43" s="1" t="s">
        <v>292</v>
      </c>
      <c r="F43" s="3"/>
      <c r="G43" s="3"/>
      <c r="H43" s="3"/>
      <c r="I43" s="3"/>
      <c r="J43" s="1" t="s">
        <v>100</v>
      </c>
      <c r="K43" s="1" t="s">
        <v>101</v>
      </c>
      <c r="L43" s="1" t="b">
        <v>0</v>
      </c>
      <c r="M43" s="4" t="s">
        <v>102</v>
      </c>
      <c r="N43" s="1" t="s">
        <v>293</v>
      </c>
      <c r="P43" s="3"/>
      <c r="Q43" s="3"/>
      <c r="R43" s="3"/>
      <c r="S43" s="3"/>
      <c r="T43" s="1" t="s">
        <v>104</v>
      </c>
      <c r="U43" s="3"/>
      <c r="V43" s="3"/>
      <c r="W43" s="1" t="s">
        <v>105</v>
      </c>
      <c r="X43" s="3"/>
      <c r="Y43" s="1" t="s">
        <v>106</v>
      </c>
      <c r="Z43" s="3"/>
      <c r="AA43" s="1" t="b">
        <v>0</v>
      </c>
      <c r="AB43" s="1" t="b">
        <v>0</v>
      </c>
      <c r="AC43" s="1" t="b">
        <v>0</v>
      </c>
      <c r="AD43" s="1" t="b">
        <v>0</v>
      </c>
      <c r="AE43" s="1" t="b">
        <v>1</v>
      </c>
      <c r="AF43" s="3"/>
      <c r="AG43" s="3"/>
      <c r="AH43" s="3"/>
      <c r="AI43" s="3"/>
      <c r="AJ43" s="2">
        <v>46072.45888888889</v>
      </c>
      <c r="AK43" s="2">
        <v>46073.45997685185</v>
      </c>
      <c r="AM43" s="2">
        <v>46072.45912037037</v>
      </c>
      <c r="AN43" s="2">
        <v>46072.45912037037</v>
      </c>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4" t="s">
        <v>294</v>
      </c>
    </row>
    <row r="44">
      <c r="A44" s="1" t="s">
        <v>295</v>
      </c>
      <c r="B44" s="2">
        <v>46072.455092592594</v>
      </c>
      <c r="C44" s="1" t="str">
        <f t="array" ref="C44">INDEX('User data'!E:E, MATCH(E44, 'User data'!B:B, 0))</f>
        <v>주식회사 라로제코리아</v>
      </c>
      <c r="D44" s="1" t="str">
        <f t="array" ref="D44">INDEX('User data'!F:F, MATCH(C44, 'User data'!E:E, 0))</f>
        <v>433-87-03789</v>
      </c>
      <c r="E44" s="1" t="s">
        <v>296</v>
      </c>
      <c r="F44" s="3"/>
      <c r="G44" s="3"/>
      <c r="H44" s="3"/>
      <c r="I44" s="3"/>
      <c r="J44" s="1" t="s">
        <v>100</v>
      </c>
      <c r="K44" s="1" t="s">
        <v>101</v>
      </c>
      <c r="L44" s="1" t="b">
        <v>0</v>
      </c>
      <c r="M44" s="4" t="s">
        <v>102</v>
      </c>
      <c r="N44" s="1" t="s">
        <v>297</v>
      </c>
      <c r="P44" s="3"/>
      <c r="Q44" s="3"/>
      <c r="R44" s="3"/>
      <c r="S44" s="3"/>
      <c r="T44" s="1" t="s">
        <v>104</v>
      </c>
      <c r="U44" s="3"/>
      <c r="V44" s="3"/>
      <c r="W44" s="1" t="s">
        <v>105</v>
      </c>
      <c r="X44" s="3"/>
      <c r="Y44" s="1" t="s">
        <v>106</v>
      </c>
      <c r="Z44" s="3"/>
      <c r="AA44" s="1" t="b">
        <v>0</v>
      </c>
      <c r="AB44" s="1" t="b">
        <v>0</v>
      </c>
      <c r="AC44" s="1" t="b">
        <v>0</v>
      </c>
      <c r="AD44" s="1" t="b">
        <v>0</v>
      </c>
      <c r="AE44" s="1" t="b">
        <v>1</v>
      </c>
      <c r="AF44" s="3"/>
      <c r="AG44" s="3"/>
      <c r="AH44" s="3"/>
      <c r="AI44" s="3"/>
      <c r="AJ44" s="2">
        <v>46072.4549537037</v>
      </c>
      <c r="AK44" s="2">
        <v>46073.455104166664</v>
      </c>
      <c r="AM44" s="2">
        <v>46072.455092592594</v>
      </c>
      <c r="AN44" s="2">
        <v>46072.455092592594</v>
      </c>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4" t="s">
        <v>298</v>
      </c>
    </row>
    <row r="45">
      <c r="A45" s="1" t="s">
        <v>299</v>
      </c>
      <c r="B45" s="2">
        <v>46072.44773148148</v>
      </c>
      <c r="C45" s="1" t="str">
        <f t="array" ref="C45">INDEX('User data'!E:E, MATCH(E45, 'User data'!B:B, 0))</f>
        <v>뉴타입인더스트리즈 주식회사</v>
      </c>
      <c r="D45" s="1" t="str">
        <f t="array" ref="D45">INDEX('User data'!F:F, MATCH(C45, 'User data'!E:E, 0))</f>
        <v>589-86-03426</v>
      </c>
      <c r="E45" s="1" t="s">
        <v>300</v>
      </c>
      <c r="F45" s="3"/>
      <c r="G45" s="3"/>
      <c r="H45" s="3"/>
      <c r="I45" s="3"/>
      <c r="J45" s="1" t="s">
        <v>100</v>
      </c>
      <c r="K45" s="1" t="s">
        <v>101</v>
      </c>
      <c r="L45" s="1" t="b">
        <v>0</v>
      </c>
      <c r="M45" s="4" t="s">
        <v>102</v>
      </c>
      <c r="N45" s="1" t="s">
        <v>301</v>
      </c>
      <c r="P45" s="3"/>
      <c r="Q45" s="3"/>
      <c r="R45" s="3"/>
      <c r="S45" s="3"/>
      <c r="T45" s="1" t="s">
        <v>104</v>
      </c>
      <c r="U45" s="3"/>
      <c r="V45" s="3"/>
      <c r="W45" s="1" t="s">
        <v>105</v>
      </c>
      <c r="X45" s="3"/>
      <c r="Y45" s="1" t="s">
        <v>106</v>
      </c>
      <c r="Z45" s="3"/>
      <c r="AA45" s="1" t="b">
        <v>0</v>
      </c>
      <c r="AB45" s="1" t="b">
        <v>0</v>
      </c>
      <c r="AC45" s="1" t="b">
        <v>0</v>
      </c>
      <c r="AD45" s="1" t="b">
        <v>0</v>
      </c>
      <c r="AE45" s="1" t="b">
        <v>1</v>
      </c>
      <c r="AF45" s="3"/>
      <c r="AG45" s="3"/>
      <c r="AH45" s="3"/>
      <c r="AI45" s="3"/>
      <c r="AJ45" s="2">
        <v>46072.44762731482</v>
      </c>
      <c r="AK45" s="2">
        <v>46073.44775462963</v>
      </c>
      <c r="AM45" s="2">
        <v>46072.44773148148</v>
      </c>
      <c r="AN45" s="2">
        <v>46072.44773148148</v>
      </c>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4" t="s">
        <v>302</v>
      </c>
    </row>
    <row r="46">
      <c r="A46" s="1" t="s">
        <v>303</v>
      </c>
      <c r="B46" s="2">
        <v>46072.447384259256</v>
      </c>
      <c r="C46" s="1" t="str">
        <f t="array" ref="C46">INDEX('User data'!E:E, MATCH(E46, 'User data'!B:B, 0))</f>
        <v>주식회사 힐링페이퍼</v>
      </c>
      <c r="D46" s="1" t="str">
        <f t="array" ref="D46">INDEX('User data'!F:F, MATCH(C46, 'User data'!E:E, 0))</f>
        <v>117-81-81256</v>
      </c>
      <c r="E46" s="1" t="s">
        <v>304</v>
      </c>
      <c r="F46" s="3"/>
      <c r="G46" s="3"/>
      <c r="H46" s="1" t="s">
        <v>305</v>
      </c>
      <c r="I46" s="1" t="s">
        <v>306</v>
      </c>
      <c r="J46" s="1" t="s">
        <v>100</v>
      </c>
      <c r="K46" s="1" t="s">
        <v>101</v>
      </c>
      <c r="L46" s="1" t="b">
        <v>0</v>
      </c>
      <c r="M46" s="4" t="s">
        <v>102</v>
      </c>
      <c r="N46" s="1" t="s">
        <v>307</v>
      </c>
      <c r="O46" s="1">
        <v>574085.0</v>
      </c>
      <c r="P46" s="1">
        <v>574085.0</v>
      </c>
      <c r="Q46" s="1">
        <v>574085.0</v>
      </c>
      <c r="R46" s="1" t="s">
        <v>145</v>
      </c>
      <c r="S46" s="1">
        <v>13285.0</v>
      </c>
      <c r="T46" s="1" t="s">
        <v>104</v>
      </c>
      <c r="U46" s="3"/>
      <c r="V46" s="3"/>
      <c r="W46" s="1" t="s">
        <v>118</v>
      </c>
      <c r="X46" s="3"/>
      <c r="Y46" s="1" t="s">
        <v>119</v>
      </c>
      <c r="Z46" s="3"/>
      <c r="AA46" s="1" t="b">
        <v>1</v>
      </c>
      <c r="AB46" s="1" t="b">
        <v>0</v>
      </c>
      <c r="AC46" s="1" t="b">
        <v>0</v>
      </c>
      <c r="AD46" s="1" t="b">
        <v>1</v>
      </c>
      <c r="AE46" s="1" t="b">
        <v>1</v>
      </c>
      <c r="AF46" s="5">
        <v>5.0</v>
      </c>
      <c r="AG46" s="5">
        <v>5.0</v>
      </c>
      <c r="AH46" s="3"/>
      <c r="AI46" s="3"/>
      <c r="AJ46" s="2">
        <v>46072.44703703704</v>
      </c>
      <c r="AK46" s="2">
        <v>46072.548101851855</v>
      </c>
      <c r="AL46" s="2">
        <v>46072.448599537034</v>
      </c>
      <c r="AM46" s="2">
        <v>46072.447384259256</v>
      </c>
      <c r="AN46" s="2">
        <v>46072.447384259256</v>
      </c>
      <c r="AO46" s="2">
        <v>46072.44788194444</v>
      </c>
      <c r="AP46" s="2">
        <v>46072.44863425926</v>
      </c>
      <c r="AQ46" s="2">
        <v>46072.44788194444</v>
      </c>
      <c r="AS46" s="2">
        <v>46072.44789351852</v>
      </c>
      <c r="AT46" s="2">
        <v>46072.44788194444</v>
      </c>
      <c r="AU46" s="2">
        <v>46072.44789351852</v>
      </c>
      <c r="AW46" s="3"/>
      <c r="AX46" s="2">
        <v>46072.44789351852</v>
      </c>
      <c r="AY46" s="2">
        <v>46072.44789351852</v>
      </c>
      <c r="AZ46" s="2">
        <v>46072.45133101852</v>
      </c>
      <c r="BA46" s="2">
        <v>46072.50628472222</v>
      </c>
      <c r="BC46" s="2">
        <v>46072.506423611114</v>
      </c>
      <c r="BD46" s="2">
        <v>46072.506423611114</v>
      </c>
      <c r="BE46" s="5">
        <v>4480.0</v>
      </c>
      <c r="BF46" s="5">
        <v>4480.0</v>
      </c>
      <c r="BG46" s="5">
        <v>896.0</v>
      </c>
      <c r="BH46" s="5">
        <v>896.0</v>
      </c>
      <c r="BI46" s="3"/>
      <c r="BJ46" s="3"/>
      <c r="BK46" s="5">
        <v>1.0</v>
      </c>
      <c r="BL46" s="5">
        <v>1.0</v>
      </c>
      <c r="BM46" s="5">
        <v>44.0</v>
      </c>
      <c r="BN46" s="5">
        <v>44.0</v>
      </c>
      <c r="BO46" s="5">
        <v>341.0</v>
      </c>
      <c r="BP46" s="5">
        <v>341.0</v>
      </c>
      <c r="BQ46" s="5">
        <v>341.0</v>
      </c>
      <c r="BR46" s="5">
        <v>341.0</v>
      </c>
      <c r="BS46" s="5">
        <v>297.0</v>
      </c>
      <c r="BT46" s="5">
        <v>297.0</v>
      </c>
      <c r="BU46" s="5">
        <v>297.0</v>
      </c>
      <c r="BV46" s="5">
        <v>297.0</v>
      </c>
      <c r="BW46" s="5">
        <v>298.0</v>
      </c>
      <c r="BX46" s="5">
        <v>298.0</v>
      </c>
      <c r="BY46" s="5">
        <v>5101.0</v>
      </c>
      <c r="BZ46" s="5">
        <v>5101.0</v>
      </c>
      <c r="CA46" s="5">
        <v>5101.0</v>
      </c>
      <c r="CB46" s="5">
        <v>5101.0</v>
      </c>
      <c r="CC46" s="5">
        <v>5101.0</v>
      </c>
      <c r="CD46" s="5">
        <v>5101.0</v>
      </c>
      <c r="CE46" s="5">
        <v>5057.0</v>
      </c>
      <c r="CF46" s="5">
        <v>5057.0</v>
      </c>
      <c r="CG46" s="5">
        <v>5057.0</v>
      </c>
      <c r="CH46" s="5">
        <v>5057.0</v>
      </c>
      <c r="CI46" s="5">
        <v>5058.0</v>
      </c>
      <c r="CJ46" s="5">
        <v>5058.0</v>
      </c>
      <c r="CK46" s="5">
        <v>5057.0</v>
      </c>
      <c r="CL46" s="5">
        <v>5057.0</v>
      </c>
      <c r="CM46" s="5">
        <v>5057.0</v>
      </c>
      <c r="CN46" s="5">
        <v>5057.0</v>
      </c>
      <c r="CO46" s="5">
        <v>3.0</v>
      </c>
      <c r="CP46" s="5">
        <v>42.0</v>
      </c>
      <c r="CQ46" s="3"/>
      <c r="CR46" s="4" t="s">
        <v>308</v>
      </c>
    </row>
    <row r="47">
      <c r="A47" s="1" t="s">
        <v>309</v>
      </c>
      <c r="B47" s="2">
        <v>46072.44347222222</v>
      </c>
      <c r="C47" s="1" t="str">
        <f t="array" ref="C47">INDEX('User data'!E:E, MATCH(E47, 'User data'!B:B, 0))</f>
        <v/>
      </c>
      <c r="D47" s="1" t="str">
        <f t="array" ref="D47">INDEX('User data'!F:F, MATCH(C47, 'User data'!E:E, 0))</f>
        <v>#N/A</v>
      </c>
      <c r="E47" s="1" t="s">
        <v>310</v>
      </c>
      <c r="F47" s="3"/>
      <c r="G47" s="3"/>
      <c r="H47" s="3"/>
      <c r="I47" s="3"/>
      <c r="J47" s="1" t="s">
        <v>100</v>
      </c>
      <c r="K47" s="1" t="s">
        <v>101</v>
      </c>
      <c r="L47" s="1" t="b">
        <v>0</v>
      </c>
      <c r="M47" s="4" t="s">
        <v>180</v>
      </c>
      <c r="N47" s="1" t="s">
        <v>311</v>
      </c>
      <c r="P47" s="3"/>
      <c r="Q47" s="3"/>
      <c r="R47" s="3"/>
      <c r="S47" s="3"/>
      <c r="T47" s="1" t="s">
        <v>104</v>
      </c>
      <c r="U47" s="3"/>
      <c r="V47" s="3"/>
      <c r="W47" s="1" t="s">
        <v>105</v>
      </c>
      <c r="X47" s="3"/>
      <c r="Y47" s="1" t="s">
        <v>106</v>
      </c>
      <c r="Z47" s="3"/>
      <c r="AA47" s="1" t="b">
        <v>0</v>
      </c>
      <c r="AB47" s="1" t="b">
        <v>0</v>
      </c>
      <c r="AC47" s="1" t="b">
        <v>0</v>
      </c>
      <c r="AD47" s="1" t="b">
        <v>0</v>
      </c>
      <c r="AE47" s="1" t="b">
        <v>1</v>
      </c>
      <c r="AF47" s="3"/>
      <c r="AG47" s="3"/>
      <c r="AH47" s="3"/>
      <c r="AI47" s="3"/>
      <c r="AJ47" s="2">
        <v>46072.443333333336</v>
      </c>
      <c r="AK47" s="2">
        <v>46073.4450462963</v>
      </c>
      <c r="AM47" s="2">
        <v>46072.44347222222</v>
      </c>
      <c r="AN47" s="2">
        <v>46072.44347222222</v>
      </c>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4" t="s">
        <v>312</v>
      </c>
    </row>
    <row r="48">
      <c r="A48" s="1" t="s">
        <v>313</v>
      </c>
      <c r="B48" s="2">
        <v>46072.42832175926</v>
      </c>
      <c r="C48" s="1" t="str">
        <f t="array" ref="C48">INDEX('User data'!E:E, MATCH(E48, 'User data'!B:B, 0))</f>
        <v>주식회사 스위트스팟</v>
      </c>
      <c r="D48" s="1" t="str">
        <f t="array" ref="D48">INDEX('User data'!F:F, MATCH(C48, 'User data'!E:E, 0))</f>
        <v>846-86-00225</v>
      </c>
      <c r="E48" s="1" t="s">
        <v>314</v>
      </c>
      <c r="F48" s="3"/>
      <c r="G48" s="3"/>
      <c r="H48" s="1" t="s">
        <v>315</v>
      </c>
      <c r="I48" s="1" t="s">
        <v>258</v>
      </c>
      <c r="J48" s="1" t="s">
        <v>100</v>
      </c>
      <c r="K48" s="1" t="s">
        <v>101</v>
      </c>
      <c r="L48" s="1" t="b">
        <v>0</v>
      </c>
      <c r="M48" s="4" t="s">
        <v>102</v>
      </c>
      <c r="N48" s="1" t="s">
        <v>316</v>
      </c>
      <c r="O48" s="1">
        <v>594863.0</v>
      </c>
      <c r="P48" s="1">
        <v>574085.0</v>
      </c>
      <c r="Q48" s="1">
        <v>594863.0</v>
      </c>
      <c r="R48" s="1" t="s">
        <v>317</v>
      </c>
      <c r="S48" s="1">
        <v>13288.0</v>
      </c>
      <c r="T48" s="1" t="s">
        <v>104</v>
      </c>
      <c r="U48" s="3"/>
      <c r="V48" s="3"/>
      <c r="W48" s="1" t="s">
        <v>118</v>
      </c>
      <c r="X48" s="3"/>
      <c r="Y48" s="1" t="s">
        <v>119</v>
      </c>
      <c r="Z48" s="3"/>
      <c r="AA48" s="1" t="b">
        <v>1</v>
      </c>
      <c r="AB48" s="1" t="b">
        <v>0</v>
      </c>
      <c r="AC48" s="1" t="b">
        <v>1</v>
      </c>
      <c r="AD48" s="1" t="b">
        <v>1</v>
      </c>
      <c r="AE48" s="1" t="b">
        <v>1</v>
      </c>
      <c r="AF48" s="5">
        <v>5.0</v>
      </c>
      <c r="AG48" s="5">
        <v>3.0</v>
      </c>
      <c r="AH48" s="3"/>
      <c r="AI48" s="5">
        <v>1.0</v>
      </c>
      <c r="AJ48" s="2">
        <v>46072.42820601852</v>
      </c>
      <c r="AK48" s="2">
        <v>46073.58300925926</v>
      </c>
      <c r="AL48" s="2">
        <v>46072.43201388889</v>
      </c>
      <c r="AM48" s="2">
        <v>46072.42832175926</v>
      </c>
      <c r="AN48" s="2">
        <v>46072.42832175926</v>
      </c>
      <c r="AO48" s="2">
        <v>46072.430972222224</v>
      </c>
      <c r="AP48" s="2">
        <v>46072.43204861111</v>
      </c>
      <c r="AQ48" s="2">
        <v>46072.431284722225</v>
      </c>
      <c r="AS48" s="2">
        <v>46072.43130787037</v>
      </c>
      <c r="AT48" s="2">
        <v>46072.431284722225</v>
      </c>
      <c r="AU48" s="2">
        <v>46072.61071759259</v>
      </c>
      <c r="AW48" s="3"/>
      <c r="AX48" s="2">
        <v>46072.43130787037</v>
      </c>
      <c r="AY48" s="2">
        <v>46072.43130787037</v>
      </c>
      <c r="AZ48" s="2">
        <v>46072.434270833335</v>
      </c>
      <c r="BA48" s="2">
        <v>46073.48541666667</v>
      </c>
      <c r="BB48" s="2">
        <v>46072.56689814815</v>
      </c>
      <c r="BC48" s="2">
        <v>46073.582974537036</v>
      </c>
      <c r="BD48" s="2">
        <v>46073.582974537036</v>
      </c>
      <c r="BE48" s="5">
        <v>15218.0</v>
      </c>
      <c r="BF48" s="5">
        <v>5245.0</v>
      </c>
      <c r="BG48" s="5">
        <v>3043.0</v>
      </c>
      <c r="BH48" s="5">
        <v>1748.0</v>
      </c>
      <c r="BI48" s="5">
        <v>3786.0</v>
      </c>
      <c r="BJ48" s="5">
        <v>3786.0</v>
      </c>
      <c r="BK48" s="5">
        <v>1.0</v>
      </c>
      <c r="BL48" s="5">
        <v>1.0</v>
      </c>
      <c r="BM48" s="5">
        <v>257.0</v>
      </c>
      <c r="BN48" s="5">
        <v>257.0</v>
      </c>
      <c r="BO48" s="5">
        <v>514.0</v>
      </c>
      <c r="BP48" s="5">
        <v>514.0</v>
      </c>
      <c r="BQ48" s="5">
        <v>514.0</v>
      </c>
      <c r="BR48" s="5">
        <v>514.0</v>
      </c>
      <c r="BS48" s="5">
        <v>256.0</v>
      </c>
      <c r="BT48" s="5">
        <v>256.0</v>
      </c>
      <c r="BU48" s="5">
        <v>256.0</v>
      </c>
      <c r="BV48" s="5">
        <v>256.0</v>
      </c>
      <c r="BW48" s="5">
        <v>257.0</v>
      </c>
      <c r="BX48" s="5">
        <v>257.0</v>
      </c>
      <c r="BY48" s="5">
        <v>99762.0</v>
      </c>
      <c r="BZ48" s="5">
        <v>31362.0</v>
      </c>
      <c r="CA48" s="5">
        <v>99762.0</v>
      </c>
      <c r="CB48" s="5">
        <v>31362.0</v>
      </c>
      <c r="CC48" s="5">
        <v>99762.0</v>
      </c>
      <c r="CD48" s="5">
        <v>31362.0</v>
      </c>
      <c r="CE48" s="5">
        <v>99504.0</v>
      </c>
      <c r="CF48" s="5">
        <v>31104.0</v>
      </c>
      <c r="CG48" s="5">
        <v>99504.0</v>
      </c>
      <c r="CH48" s="5">
        <v>31104.0</v>
      </c>
      <c r="CI48" s="5">
        <v>99505.0</v>
      </c>
      <c r="CJ48" s="5">
        <v>31105.0</v>
      </c>
      <c r="CK48" s="5">
        <v>95717.0</v>
      </c>
      <c r="CL48" s="5">
        <v>27317.0</v>
      </c>
      <c r="CM48" s="5">
        <v>95717.0</v>
      </c>
      <c r="CN48" s="5">
        <v>27317.0</v>
      </c>
      <c r="CO48" s="5">
        <v>3.0</v>
      </c>
      <c r="CP48" s="5">
        <v>229.0</v>
      </c>
      <c r="CQ48" s="3"/>
      <c r="CR48" s="4" t="s">
        <v>318</v>
      </c>
    </row>
    <row r="49">
      <c r="A49" s="1" t="s">
        <v>319</v>
      </c>
      <c r="B49" s="2">
        <v>46072.41511574074</v>
      </c>
      <c r="C49" s="1" t="str">
        <f t="array" ref="C49">INDEX('User data'!E:E, MATCH(E49, 'User data'!B:B, 0))</f>
        <v>주식회사 이오스튜디오</v>
      </c>
      <c r="D49" s="1" t="str">
        <f t="array" ref="D49">INDEX('User data'!F:F, MATCH(C49, 'User data'!E:E, 0))</f>
        <v>501-87-01653</v>
      </c>
      <c r="E49" s="1" t="s">
        <v>320</v>
      </c>
      <c r="F49" s="3"/>
      <c r="G49" s="3"/>
      <c r="H49" s="3"/>
      <c r="I49" s="3"/>
      <c r="J49" s="1" t="s">
        <v>100</v>
      </c>
      <c r="K49" s="1" t="s">
        <v>101</v>
      </c>
      <c r="L49" s="1" t="b">
        <v>0</v>
      </c>
      <c r="M49" s="4" t="s">
        <v>102</v>
      </c>
      <c r="N49" s="1" t="s">
        <v>321</v>
      </c>
      <c r="P49" s="3"/>
      <c r="Q49" s="3"/>
      <c r="R49" s="3"/>
      <c r="S49" s="3"/>
      <c r="T49" s="1" t="s">
        <v>104</v>
      </c>
      <c r="U49" s="3"/>
      <c r="V49" s="3"/>
      <c r="W49" s="1" t="s">
        <v>105</v>
      </c>
      <c r="X49" s="3"/>
      <c r="Y49" s="1" t="s">
        <v>106</v>
      </c>
      <c r="Z49" s="3"/>
      <c r="AA49" s="1" t="b">
        <v>0</v>
      </c>
      <c r="AB49" s="1" t="b">
        <v>0</v>
      </c>
      <c r="AC49" s="1" t="b">
        <v>0</v>
      </c>
      <c r="AD49" s="1" t="b">
        <v>0</v>
      </c>
      <c r="AE49" s="1" t="b">
        <v>1</v>
      </c>
      <c r="AF49" s="3"/>
      <c r="AG49" s="3"/>
      <c r="AH49" s="3"/>
      <c r="AI49" s="3"/>
      <c r="AJ49" s="2">
        <v>46072.41509259259</v>
      </c>
      <c r="AK49" s="2">
        <v>46073.55706018519</v>
      </c>
      <c r="AM49" s="2">
        <v>46072.41511574074</v>
      </c>
      <c r="AN49" s="2">
        <v>46072.41511574074</v>
      </c>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5">
        <v>1.8</v>
      </c>
      <c r="CR49" s="4" t="s">
        <v>322</v>
      </c>
    </row>
    <row r="50">
      <c r="A50" s="1" t="s">
        <v>323</v>
      </c>
      <c r="B50" s="2">
        <v>46072.406006944446</v>
      </c>
      <c r="C50" s="1" t="str">
        <f t="array" ref="C50">INDEX('User data'!E:E, MATCH(E50, 'User data'!B:B, 0))</f>
        <v/>
      </c>
      <c r="D50" s="1" t="str">
        <f t="array" ref="D50">INDEX('User data'!F:F, MATCH(C50, 'User data'!E:E, 0))</f>
        <v>#N/A</v>
      </c>
      <c r="E50" s="1" t="s">
        <v>324</v>
      </c>
      <c r="F50" s="3"/>
      <c r="G50" s="3"/>
      <c r="H50" s="3"/>
      <c r="I50" s="3"/>
      <c r="J50" s="1" t="s">
        <v>100</v>
      </c>
      <c r="K50" s="1" t="s">
        <v>101</v>
      </c>
      <c r="L50" s="1" t="b">
        <v>0</v>
      </c>
      <c r="M50" s="4" t="s">
        <v>325</v>
      </c>
      <c r="N50" s="1" t="s">
        <v>326</v>
      </c>
      <c r="P50" s="3"/>
      <c r="Q50" s="3"/>
      <c r="R50" s="3"/>
      <c r="S50" s="3"/>
      <c r="T50" s="1" t="s">
        <v>104</v>
      </c>
      <c r="U50" s="3"/>
      <c r="V50" s="3"/>
      <c r="W50" s="1" t="s">
        <v>105</v>
      </c>
      <c r="X50" s="3"/>
      <c r="Y50" s="1" t="s">
        <v>106</v>
      </c>
      <c r="Z50" s="3"/>
      <c r="AA50" s="1" t="b">
        <v>0</v>
      </c>
      <c r="AB50" s="1" t="b">
        <v>0</v>
      </c>
      <c r="AC50" s="1" t="b">
        <v>0</v>
      </c>
      <c r="AD50" s="1" t="b">
        <v>0</v>
      </c>
      <c r="AE50" s="1" t="b">
        <v>1</v>
      </c>
      <c r="AF50" s="3"/>
      <c r="AG50" s="3"/>
      <c r="AH50" s="3"/>
      <c r="AI50" s="3"/>
      <c r="AJ50" s="2">
        <v>46072.40524305555</v>
      </c>
      <c r="AK50" s="2">
        <v>46073.53519675926</v>
      </c>
      <c r="AM50" s="2">
        <v>46072.406006944446</v>
      </c>
      <c r="AN50" s="2">
        <v>46072.406006944446</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5">
        <v>2.0</v>
      </c>
      <c r="CR50" s="4" t="s">
        <v>327</v>
      </c>
    </row>
    <row r="51">
      <c r="A51" s="1" t="s">
        <v>328</v>
      </c>
      <c r="B51" s="2">
        <v>46072.38832175926</v>
      </c>
      <c r="C51" s="1" t="str">
        <f t="array" ref="C51">INDEX('User data'!E:E, MATCH(E51, 'User data'!B:B, 0))</f>
        <v>주식회사 마진맥스</v>
      </c>
      <c r="D51" s="1" t="str">
        <f t="array" ref="D51">INDEX('User data'!F:F, MATCH(C51, 'User data'!E:E, 0))</f>
        <v>826-86-02651</v>
      </c>
      <c r="E51" s="1" t="s">
        <v>329</v>
      </c>
      <c r="F51" s="3"/>
      <c r="G51" s="3"/>
      <c r="H51" s="1" t="s">
        <v>330</v>
      </c>
      <c r="I51" s="1" t="s">
        <v>253</v>
      </c>
      <c r="J51" s="1" t="s">
        <v>100</v>
      </c>
      <c r="K51" s="1" t="s">
        <v>101</v>
      </c>
      <c r="L51" s="1" t="b">
        <v>0</v>
      </c>
      <c r="M51" s="4" t="s">
        <v>102</v>
      </c>
      <c r="N51" s="1" t="s">
        <v>331</v>
      </c>
      <c r="O51" s="1">
        <v>574085.0</v>
      </c>
      <c r="P51" s="1">
        <v>574085.0</v>
      </c>
      <c r="Q51" s="1">
        <v>574085.0</v>
      </c>
      <c r="R51" s="1" t="s">
        <v>145</v>
      </c>
      <c r="S51" s="1">
        <v>13285.0</v>
      </c>
      <c r="T51" s="1" t="s">
        <v>104</v>
      </c>
      <c r="U51" s="3"/>
      <c r="V51" s="3"/>
      <c r="W51" s="1" t="s">
        <v>118</v>
      </c>
      <c r="X51" s="3"/>
      <c r="Y51" s="1" t="s">
        <v>119</v>
      </c>
      <c r="Z51" s="3"/>
      <c r="AA51" s="1" t="b">
        <v>1</v>
      </c>
      <c r="AB51" s="1" t="b">
        <v>0</v>
      </c>
      <c r="AC51" s="1" t="b">
        <v>0</v>
      </c>
      <c r="AD51" s="1" t="b">
        <v>1</v>
      </c>
      <c r="AE51" s="1" t="b">
        <v>1</v>
      </c>
      <c r="AF51" s="5">
        <v>4.0</v>
      </c>
      <c r="AG51" s="5">
        <v>2.0</v>
      </c>
      <c r="AH51" s="3"/>
      <c r="AI51" s="3"/>
      <c r="AJ51" s="2">
        <v>46072.388287037036</v>
      </c>
      <c r="AK51" s="2">
        <v>46072.47712962963</v>
      </c>
      <c r="AL51" s="2">
        <v>46072.38922453704</v>
      </c>
      <c r="AM51" s="2">
        <v>46072.38832175926</v>
      </c>
      <c r="AN51" s="2">
        <v>46072.38832175926</v>
      </c>
      <c r="AO51" s="2">
        <v>46072.38922453704</v>
      </c>
      <c r="AP51" s="2">
        <v>46072.38924768518</v>
      </c>
      <c r="AQ51" s="2">
        <v>46072.38922453704</v>
      </c>
      <c r="AS51" s="2">
        <v>46072.389236111114</v>
      </c>
      <c r="AT51" s="2">
        <v>46072.38922453704</v>
      </c>
      <c r="AU51" s="2">
        <v>46072.389236111114</v>
      </c>
      <c r="AW51" s="3"/>
      <c r="AX51" s="2">
        <v>46072.389236111114</v>
      </c>
      <c r="AY51" s="2">
        <v>46072.389236111114</v>
      </c>
      <c r="AZ51" s="2">
        <v>46072.40354166667</v>
      </c>
      <c r="BA51" s="2">
        <v>46072.43540509259</v>
      </c>
      <c r="BC51" s="2">
        <v>46072.43545138889</v>
      </c>
      <c r="BD51" s="2">
        <v>46072.43545138889</v>
      </c>
      <c r="BE51" s="5">
        <v>3005.0</v>
      </c>
      <c r="BF51" s="5">
        <v>90.0</v>
      </c>
      <c r="BG51" s="5">
        <v>751.0</v>
      </c>
      <c r="BH51" s="5">
        <v>45.0</v>
      </c>
      <c r="BI51" s="3"/>
      <c r="BJ51" s="3"/>
      <c r="BK51" s="5">
        <v>0.0</v>
      </c>
      <c r="BL51" s="5">
        <v>0.0</v>
      </c>
      <c r="BM51" s="5">
        <v>78.0</v>
      </c>
      <c r="BN51" s="5">
        <v>0.0</v>
      </c>
      <c r="BO51" s="5">
        <v>1314.0</v>
      </c>
      <c r="BP51" s="5">
        <v>0.0</v>
      </c>
      <c r="BQ51" s="5">
        <v>1314.0</v>
      </c>
      <c r="BR51" s="5">
        <v>0.0</v>
      </c>
      <c r="BS51" s="5">
        <v>1236.0</v>
      </c>
      <c r="BT51" s="5">
        <v>0.0</v>
      </c>
      <c r="BU51" s="5">
        <v>1236.0</v>
      </c>
      <c r="BV51" s="5">
        <v>0.0</v>
      </c>
      <c r="BW51" s="5">
        <v>1237.0</v>
      </c>
      <c r="BX51" s="5">
        <v>0.0</v>
      </c>
      <c r="BY51" s="5">
        <v>4071.0</v>
      </c>
      <c r="BZ51" s="5">
        <v>1623.0</v>
      </c>
      <c r="CA51" s="5">
        <v>4071.0</v>
      </c>
      <c r="CB51" s="5">
        <v>1623.0</v>
      </c>
      <c r="CC51" s="5">
        <v>4071.0</v>
      </c>
      <c r="CD51" s="5">
        <v>1623.0</v>
      </c>
      <c r="CE51" s="5">
        <v>3993.0</v>
      </c>
      <c r="CF51" s="5">
        <v>1623.0</v>
      </c>
      <c r="CG51" s="5">
        <v>3993.0</v>
      </c>
      <c r="CH51" s="5">
        <v>1623.0</v>
      </c>
      <c r="CI51" s="5">
        <v>3994.0</v>
      </c>
      <c r="CJ51" s="5">
        <v>1623.0</v>
      </c>
      <c r="CK51" s="5">
        <v>3993.0</v>
      </c>
      <c r="CL51" s="5">
        <v>1623.0</v>
      </c>
      <c r="CM51" s="5">
        <v>3993.0</v>
      </c>
      <c r="CN51" s="5">
        <v>1623.0</v>
      </c>
      <c r="CO51" s="5">
        <v>2.0</v>
      </c>
      <c r="CP51" s="5">
        <v>77.0</v>
      </c>
      <c r="CQ51" s="3"/>
      <c r="CR51" s="4" t="s">
        <v>332</v>
      </c>
      <c r="CS51" s="5">
        <v>5.0</v>
      </c>
      <c r="CT51" s="3"/>
    </row>
    <row r="52">
      <c r="A52" s="1" t="s">
        <v>333</v>
      </c>
      <c r="B52" s="2">
        <v>46072.37195601852</v>
      </c>
      <c r="C52" s="1" t="str">
        <f t="array" ref="C52">INDEX('User data'!E:E, MATCH(E52, 'User data'!B:B, 0))</f>
        <v>캔디드 유한회사</v>
      </c>
      <c r="D52" s="1" t="str">
        <f t="array" ref="D52">INDEX('User data'!F:F, MATCH(C52, 'User data'!E:E, 0))</f>
        <v>717-87-02844</v>
      </c>
      <c r="E52" s="1" t="s">
        <v>334</v>
      </c>
      <c r="F52" s="3"/>
      <c r="G52" s="3"/>
      <c r="H52" s="3"/>
      <c r="I52" s="3"/>
      <c r="J52" s="1" t="s">
        <v>100</v>
      </c>
      <c r="K52" s="1" t="s">
        <v>101</v>
      </c>
      <c r="L52" s="1" t="b">
        <v>0</v>
      </c>
      <c r="M52" s="4" t="s">
        <v>102</v>
      </c>
      <c r="N52" s="1" t="s">
        <v>335</v>
      </c>
      <c r="P52" s="3"/>
      <c r="Q52" s="3"/>
      <c r="R52" s="3"/>
      <c r="S52" s="3"/>
      <c r="T52" s="1" t="s">
        <v>104</v>
      </c>
      <c r="U52" s="3"/>
      <c r="V52" s="3"/>
      <c r="W52" s="1" t="s">
        <v>105</v>
      </c>
      <c r="X52" s="3"/>
      <c r="Y52" s="1" t="s">
        <v>106</v>
      </c>
      <c r="Z52" s="3"/>
      <c r="AA52" s="1" t="b">
        <v>0</v>
      </c>
      <c r="AB52" s="1" t="b">
        <v>0</v>
      </c>
      <c r="AC52" s="1" t="b">
        <v>0</v>
      </c>
      <c r="AD52" s="1" t="b">
        <v>0</v>
      </c>
      <c r="AE52" s="1" t="b">
        <v>1</v>
      </c>
      <c r="AF52" s="3"/>
      <c r="AG52" s="3"/>
      <c r="AH52" s="3"/>
      <c r="AI52" s="3"/>
      <c r="AJ52" s="2">
        <v>46072.37180555556</v>
      </c>
      <c r="AK52" s="2">
        <v>46072.68908564815</v>
      </c>
      <c r="AM52" s="2">
        <v>46072.37195601852</v>
      </c>
      <c r="AN52" s="2">
        <v>46072.37195601852</v>
      </c>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4" t="s">
        <v>336</v>
      </c>
    </row>
    <row r="53">
      <c r="A53" s="1" t="s">
        <v>337</v>
      </c>
      <c r="B53" s="2">
        <v>46072.37170138889</v>
      </c>
      <c r="C53" s="1" t="str">
        <f t="array" ref="C53">INDEX('User data'!E:E, MATCH(E53, 'User data'!B:B, 0))</f>
        <v>주식회사 마이프랜차이즈</v>
      </c>
      <c r="D53" s="1" t="str">
        <f t="array" ref="D53">INDEX('User data'!F:F, MATCH(C53, 'User data'!E:E, 0))</f>
        <v>584-87-01610</v>
      </c>
      <c r="E53" s="1" t="s">
        <v>338</v>
      </c>
      <c r="F53" s="3"/>
      <c r="G53" s="3"/>
      <c r="H53" s="1" t="s">
        <v>339</v>
      </c>
      <c r="I53" s="1" t="s">
        <v>258</v>
      </c>
      <c r="J53" s="1" t="s">
        <v>100</v>
      </c>
      <c r="K53" s="1" t="s">
        <v>101</v>
      </c>
      <c r="L53" s="1" t="b">
        <v>0</v>
      </c>
      <c r="M53" s="4" t="s">
        <v>102</v>
      </c>
      <c r="N53" s="1" t="s">
        <v>340</v>
      </c>
      <c r="O53" s="1">
        <v>594863.0</v>
      </c>
      <c r="P53" s="1">
        <v>574085.0</v>
      </c>
      <c r="Q53" s="1">
        <v>594863.0</v>
      </c>
      <c r="R53" s="1" t="s">
        <v>260</v>
      </c>
      <c r="S53" s="1">
        <v>13288.0</v>
      </c>
      <c r="T53" s="1" t="s">
        <v>104</v>
      </c>
      <c r="U53" s="3"/>
      <c r="V53" s="3"/>
      <c r="W53" s="1" t="s">
        <v>118</v>
      </c>
      <c r="X53" s="3"/>
      <c r="Y53" s="1" t="s">
        <v>106</v>
      </c>
      <c r="Z53" s="3"/>
      <c r="AA53" s="1" t="b">
        <v>1</v>
      </c>
      <c r="AB53" s="1" t="b">
        <v>0</v>
      </c>
      <c r="AC53" s="1" t="b">
        <v>1</v>
      </c>
      <c r="AD53" s="1" t="b">
        <v>1</v>
      </c>
      <c r="AE53" s="1" t="b">
        <v>1</v>
      </c>
      <c r="AF53" s="5">
        <v>1.0</v>
      </c>
      <c r="AG53" s="3"/>
      <c r="AH53" s="3"/>
      <c r="AI53" s="5">
        <v>1.0</v>
      </c>
      <c r="AJ53" s="2">
        <v>46072.371469907404</v>
      </c>
      <c r="AK53" s="2">
        <v>46072.72578703704</v>
      </c>
      <c r="AL53" s="2">
        <v>46072.37386574074</v>
      </c>
      <c r="AM53" s="2">
        <v>46072.37170138889</v>
      </c>
      <c r="AN53" s="2">
        <v>46072.37170138889</v>
      </c>
      <c r="AO53" s="2">
        <v>46072.37386574074</v>
      </c>
      <c r="AP53" s="2">
        <v>46072.37390046296</v>
      </c>
      <c r="AQ53" s="2">
        <v>46072.37386574074</v>
      </c>
      <c r="AS53" s="2">
        <v>46072.373877314814</v>
      </c>
      <c r="AT53" s="2">
        <v>46072.37386574074</v>
      </c>
      <c r="AU53" s="2">
        <v>46072.60743055555</v>
      </c>
      <c r="AW53" s="3"/>
      <c r="AX53" s="2">
        <v>46072.373877314814</v>
      </c>
      <c r="AY53" s="2">
        <v>46072.373877314814</v>
      </c>
      <c r="AZ53" s="2">
        <v>46072.54939814815</v>
      </c>
      <c r="BA53" s="2">
        <v>46072.54939814815</v>
      </c>
      <c r="BB53" s="2">
        <v>46072.56689814815</v>
      </c>
      <c r="BC53" s="2">
        <v>46072.6841087963</v>
      </c>
      <c r="BD53" s="2">
        <v>46072.6841087963</v>
      </c>
      <c r="BE53" s="5">
        <v>15166.0</v>
      </c>
      <c r="BF53" s="3"/>
      <c r="BG53" s="5">
        <v>15166.0</v>
      </c>
      <c r="BH53" s="3"/>
      <c r="BI53" s="5">
        <v>3501.0</v>
      </c>
      <c r="BJ53" s="5">
        <v>3501.0</v>
      </c>
      <c r="BK53" s="5">
        <v>0.0</v>
      </c>
      <c r="BL53" s="5">
        <v>0.0</v>
      </c>
      <c r="BM53" s="5">
        <v>188.0</v>
      </c>
      <c r="BN53" s="5">
        <v>0.0</v>
      </c>
      <c r="BO53" s="5">
        <v>15353.0</v>
      </c>
      <c r="BP53" s="5">
        <v>9000.0</v>
      </c>
      <c r="BQ53" s="5">
        <v>15353.0</v>
      </c>
      <c r="BR53" s="5">
        <v>9000.0</v>
      </c>
      <c r="BS53" s="5">
        <v>15165.0</v>
      </c>
      <c r="BT53" s="5">
        <v>9000.0</v>
      </c>
      <c r="BU53" s="5">
        <v>15165.0</v>
      </c>
      <c r="BV53" s="5">
        <v>9000.0</v>
      </c>
      <c r="BW53" s="5">
        <v>15166.0</v>
      </c>
      <c r="BX53" s="5">
        <v>9000.0</v>
      </c>
      <c r="BY53" s="5">
        <v>26992.0</v>
      </c>
      <c r="BZ53" s="5">
        <v>19507.0</v>
      </c>
      <c r="CA53" s="5">
        <v>26992.0</v>
      </c>
      <c r="CB53" s="5">
        <v>19507.0</v>
      </c>
      <c r="CC53" s="5">
        <v>26992.0</v>
      </c>
      <c r="CD53" s="5">
        <v>19507.0</v>
      </c>
      <c r="CE53" s="5">
        <v>26804.0</v>
      </c>
      <c r="CF53" s="5">
        <v>19507.0</v>
      </c>
      <c r="CG53" s="5">
        <v>26804.0</v>
      </c>
      <c r="CH53" s="5">
        <v>19507.0</v>
      </c>
      <c r="CI53" s="5">
        <v>26805.0</v>
      </c>
      <c r="CJ53" s="5">
        <v>19507.0</v>
      </c>
      <c r="CK53" s="5">
        <v>23302.0</v>
      </c>
      <c r="CL53" s="5">
        <v>16005.0</v>
      </c>
      <c r="CM53" s="5">
        <v>23302.0</v>
      </c>
      <c r="CN53" s="5">
        <v>16005.0</v>
      </c>
      <c r="CO53" s="5">
        <v>2.0</v>
      </c>
      <c r="CP53" s="5">
        <v>187.0</v>
      </c>
      <c r="CQ53" s="3"/>
      <c r="CR53" s="4" t="s">
        <v>341</v>
      </c>
    </row>
    <row r="54">
      <c r="A54" s="1" t="s">
        <v>342</v>
      </c>
      <c r="B54" s="2">
        <v>46072.34502314815</v>
      </c>
      <c r="C54" s="1" t="str">
        <f t="array" ref="C54">INDEX('User data'!E:E, MATCH(E54, 'User data'!B:B, 0))</f>
        <v>주식회사 프라이스잇(priceit. Co.,Ltd.)</v>
      </c>
      <c r="D54" s="1" t="str">
        <f t="array" ref="D54">INDEX('User data'!F:F, MATCH(C54, 'User data'!E:E, 0))</f>
        <v>431-86-03466</v>
      </c>
      <c r="E54" s="1" t="s">
        <v>343</v>
      </c>
      <c r="F54" s="3"/>
      <c r="G54" s="3"/>
      <c r="H54" s="3"/>
      <c r="I54" s="3"/>
      <c r="J54" s="1" t="s">
        <v>100</v>
      </c>
      <c r="K54" s="1" t="s">
        <v>101</v>
      </c>
      <c r="L54" s="1" t="b">
        <v>0</v>
      </c>
      <c r="M54" s="4" t="s">
        <v>102</v>
      </c>
      <c r="N54" s="1" t="s">
        <v>344</v>
      </c>
      <c r="P54" s="3"/>
      <c r="Q54" s="3"/>
      <c r="R54" s="3"/>
      <c r="S54" s="3"/>
      <c r="T54" s="1" t="s">
        <v>104</v>
      </c>
      <c r="U54" s="3"/>
      <c r="V54" s="3"/>
      <c r="W54" s="1" t="s">
        <v>105</v>
      </c>
      <c r="X54" s="3"/>
      <c r="Y54" s="1" t="s">
        <v>106</v>
      </c>
      <c r="Z54" s="3"/>
      <c r="AA54" s="1" t="b">
        <v>0</v>
      </c>
      <c r="AB54" s="1" t="b">
        <v>0</v>
      </c>
      <c r="AC54" s="1" t="b">
        <v>0</v>
      </c>
      <c r="AD54" s="1" t="b">
        <v>0</v>
      </c>
      <c r="AE54" s="1" t="b">
        <v>1</v>
      </c>
      <c r="AF54" s="3"/>
      <c r="AG54" s="3"/>
      <c r="AH54" s="3"/>
      <c r="AI54" s="3"/>
      <c r="AJ54" s="2">
        <v>46072.344930555555</v>
      </c>
      <c r="AK54" s="2">
        <v>46073.44866898148</v>
      </c>
      <c r="AM54" s="2">
        <v>46072.34502314815</v>
      </c>
      <c r="AN54" s="2">
        <v>46072.34502314815</v>
      </c>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4" t="s">
        <v>345</v>
      </c>
    </row>
    <row r="55">
      <c r="A55" s="1" t="s">
        <v>346</v>
      </c>
      <c r="B55" s="2">
        <v>46072.13482638889</v>
      </c>
      <c r="C55" s="1" t="str">
        <f t="array" ref="C55">INDEX('User data'!E:E, MATCH(E55, 'User data'!B:B, 0))</f>
        <v/>
      </c>
      <c r="D55" s="1" t="str">
        <f t="array" ref="D55">INDEX('User data'!F:F, MATCH(C55, 'User data'!E:E, 0))</f>
        <v>#N/A</v>
      </c>
      <c r="E55" s="1" t="s">
        <v>347</v>
      </c>
      <c r="F55" s="3"/>
      <c r="G55" s="3"/>
      <c r="H55" s="3"/>
      <c r="I55" s="3"/>
      <c r="J55" s="1" t="s">
        <v>100</v>
      </c>
      <c r="K55" s="1" t="s">
        <v>101</v>
      </c>
      <c r="L55" s="1" t="b">
        <v>0</v>
      </c>
      <c r="M55" s="4" t="s">
        <v>102</v>
      </c>
      <c r="N55" s="1" t="s">
        <v>348</v>
      </c>
      <c r="P55" s="3"/>
      <c r="Q55" s="3"/>
      <c r="R55" s="3"/>
      <c r="S55" s="3"/>
      <c r="T55" s="1" t="s">
        <v>104</v>
      </c>
      <c r="U55" s="3"/>
      <c r="V55" s="3"/>
      <c r="W55" s="1" t="s">
        <v>105</v>
      </c>
      <c r="X55" s="3"/>
      <c r="Y55" s="1" t="s">
        <v>106</v>
      </c>
      <c r="Z55" s="3"/>
      <c r="AA55" s="1" t="b">
        <v>0</v>
      </c>
      <c r="AB55" s="1" t="b">
        <v>0</v>
      </c>
      <c r="AC55" s="1" t="b">
        <v>0</v>
      </c>
      <c r="AD55" s="1" t="b">
        <v>0</v>
      </c>
      <c r="AE55" s="1" t="b">
        <v>1</v>
      </c>
      <c r="AF55" s="3"/>
      <c r="AG55" s="3"/>
      <c r="AH55" s="3"/>
      <c r="AI55" s="3"/>
      <c r="AJ55" s="2">
        <v>46072.13471064815</v>
      </c>
      <c r="AK55" s="2">
        <v>46073.44148148148</v>
      </c>
      <c r="AM55" s="2">
        <v>46072.13482638889</v>
      </c>
      <c r="AN55" s="2">
        <v>46072.13482638889</v>
      </c>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5">
        <v>1.6</v>
      </c>
      <c r="CR55" s="4" t="s">
        <v>349</v>
      </c>
    </row>
    <row r="56">
      <c r="A56" s="1" t="s">
        <v>350</v>
      </c>
      <c r="B56" s="2">
        <v>46072.045636574076</v>
      </c>
      <c r="C56" s="1" t="str">
        <f t="array" ref="C56">INDEX('User data'!E:E, MATCH(E56, 'User data'!B:B, 0))</f>
        <v/>
      </c>
      <c r="D56" s="1" t="str">
        <f t="array" ref="D56">INDEX('User data'!F:F, MATCH(C56, 'User data'!E:E, 0))</f>
        <v>#N/A</v>
      </c>
      <c r="E56" s="1" t="s">
        <v>351</v>
      </c>
      <c r="F56" s="3"/>
      <c r="G56" s="3"/>
      <c r="H56" s="3"/>
      <c r="I56" s="3"/>
      <c r="J56" s="1" t="s">
        <v>100</v>
      </c>
      <c r="K56" s="1" t="s">
        <v>101</v>
      </c>
      <c r="L56" s="1" t="b">
        <v>0</v>
      </c>
      <c r="M56" s="4" t="s">
        <v>102</v>
      </c>
      <c r="N56" s="1" t="s">
        <v>352</v>
      </c>
      <c r="P56" s="3"/>
      <c r="Q56" s="3"/>
      <c r="R56" s="3"/>
      <c r="S56" s="3"/>
      <c r="T56" s="1" t="s">
        <v>104</v>
      </c>
      <c r="U56" s="3"/>
      <c r="V56" s="3"/>
      <c r="W56" s="1" t="s">
        <v>105</v>
      </c>
      <c r="X56" s="3"/>
      <c r="Y56" s="1" t="s">
        <v>106</v>
      </c>
      <c r="Z56" s="3"/>
      <c r="AA56" s="1" t="b">
        <v>0</v>
      </c>
      <c r="AB56" s="1" t="b">
        <v>0</v>
      </c>
      <c r="AC56" s="1" t="b">
        <v>0</v>
      </c>
      <c r="AD56" s="1" t="b">
        <v>0</v>
      </c>
      <c r="AE56" s="1" t="b">
        <v>1</v>
      </c>
      <c r="AF56" s="3"/>
      <c r="AG56" s="3"/>
      <c r="AH56" s="3"/>
      <c r="AI56" s="3"/>
      <c r="AJ56" s="2">
        <v>46072.0453587963</v>
      </c>
      <c r="AK56" s="2">
        <v>46073.42674768518</v>
      </c>
      <c r="AM56" s="2">
        <v>46072.045636574076</v>
      </c>
      <c r="AN56" s="2">
        <v>46072.045636574076</v>
      </c>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5">
        <v>2.0</v>
      </c>
      <c r="CR56" s="4" t="s">
        <v>353</v>
      </c>
    </row>
    <row r="57">
      <c r="A57" s="1" t="s">
        <v>354</v>
      </c>
      <c r="B57" s="2">
        <v>46072.04116898148</v>
      </c>
      <c r="C57" s="1" t="str">
        <f t="array" ref="C57">INDEX('User data'!E:E, MATCH(E57, 'User data'!B:B, 0))</f>
        <v/>
      </c>
      <c r="D57" s="1" t="str">
        <f t="array" ref="D57">INDEX('User data'!F:F, MATCH(C57, 'User data'!E:E, 0))</f>
        <v>#N/A</v>
      </c>
      <c r="E57" s="1" t="s">
        <v>355</v>
      </c>
      <c r="F57" s="3"/>
      <c r="G57" s="3"/>
      <c r="H57" s="3"/>
      <c r="I57" s="3"/>
      <c r="J57" s="1" t="s">
        <v>100</v>
      </c>
      <c r="K57" s="1" t="s">
        <v>101</v>
      </c>
      <c r="L57" s="1" t="b">
        <v>0</v>
      </c>
      <c r="M57" s="4" t="s">
        <v>102</v>
      </c>
      <c r="N57" s="1" t="s">
        <v>356</v>
      </c>
      <c r="P57" s="3"/>
      <c r="Q57" s="3"/>
      <c r="R57" s="3"/>
      <c r="S57" s="3"/>
      <c r="T57" s="1" t="s">
        <v>104</v>
      </c>
      <c r="U57" s="3"/>
      <c r="V57" s="3"/>
      <c r="W57" s="1" t="s">
        <v>105</v>
      </c>
      <c r="X57" s="3"/>
      <c r="Y57" s="1" t="s">
        <v>106</v>
      </c>
      <c r="Z57" s="3"/>
      <c r="AA57" s="1" t="b">
        <v>0</v>
      </c>
      <c r="AB57" s="1" t="b">
        <v>0</v>
      </c>
      <c r="AC57" s="1" t="b">
        <v>0</v>
      </c>
      <c r="AD57" s="1" t="b">
        <v>0</v>
      </c>
      <c r="AE57" s="1" t="b">
        <v>1</v>
      </c>
      <c r="AF57" s="3"/>
      <c r="AG57" s="3"/>
      <c r="AH57" s="3"/>
      <c r="AI57" s="3"/>
      <c r="AJ57" s="2">
        <v>46072.04112268519</v>
      </c>
      <c r="AK57" s="2">
        <v>46073.428078703706</v>
      </c>
      <c r="AM57" s="2">
        <v>46072.04116898148</v>
      </c>
      <c r="AN57" s="2">
        <v>46072.04116898148</v>
      </c>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5">
        <v>3.6</v>
      </c>
      <c r="CR57" s="4" t="s">
        <v>357</v>
      </c>
    </row>
    <row r="58">
      <c r="A58" s="1" t="s">
        <v>358</v>
      </c>
      <c r="B58" s="2">
        <v>46071.96449074074</v>
      </c>
      <c r="C58" s="1" t="str">
        <f t="array" ref="C58">INDEX('User data'!E:E, MATCH(E58, 'User data'!B:B, 0))</f>
        <v>(주)리아온</v>
      </c>
      <c r="D58" s="1" t="str">
        <f t="array" ref="D58">INDEX('User data'!F:F, MATCH(C58, 'User data'!E:E, 0))</f>
        <v>425-88-02525</v>
      </c>
      <c r="E58" s="1" t="s">
        <v>359</v>
      </c>
      <c r="F58" s="3"/>
      <c r="G58" s="3"/>
      <c r="H58" s="3"/>
      <c r="I58" s="3"/>
      <c r="J58" s="1" t="s">
        <v>100</v>
      </c>
      <c r="K58" s="1" t="s">
        <v>101</v>
      </c>
      <c r="L58" s="1" t="b">
        <v>0</v>
      </c>
      <c r="M58" s="4" t="s">
        <v>102</v>
      </c>
      <c r="N58" s="1" t="s">
        <v>360</v>
      </c>
      <c r="P58" s="3"/>
      <c r="Q58" s="3"/>
      <c r="R58" s="3"/>
      <c r="S58" s="3"/>
      <c r="T58" s="1" t="s">
        <v>104</v>
      </c>
      <c r="U58" s="3"/>
      <c r="V58" s="3"/>
      <c r="W58" s="1" t="s">
        <v>105</v>
      </c>
      <c r="X58" s="3"/>
      <c r="Y58" s="1" t="s">
        <v>106</v>
      </c>
      <c r="Z58" s="3"/>
      <c r="AA58" s="1" t="b">
        <v>0</v>
      </c>
      <c r="AB58" s="1" t="b">
        <v>0</v>
      </c>
      <c r="AC58" s="1" t="b">
        <v>0</v>
      </c>
      <c r="AD58" s="1" t="b">
        <v>0</v>
      </c>
      <c r="AE58" s="1" t="b">
        <v>1</v>
      </c>
      <c r="AF58" s="3"/>
      <c r="AG58" s="3"/>
      <c r="AH58" s="3"/>
      <c r="AI58" s="3"/>
      <c r="AJ58" s="2">
        <v>46071.96436342593</v>
      </c>
      <c r="AK58" s="2">
        <v>46073.38365740741</v>
      </c>
      <c r="AM58" s="2">
        <v>46071.96449074074</v>
      </c>
      <c r="AN58" s="2">
        <v>46071.96449074074</v>
      </c>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5">
        <v>3.4</v>
      </c>
      <c r="CR58" s="4" t="s">
        <v>361</v>
      </c>
    </row>
    <row r="59">
      <c r="A59" s="1" t="s">
        <v>362</v>
      </c>
      <c r="B59" s="2">
        <v>46071.776770833334</v>
      </c>
      <c r="C59" s="1" t="str">
        <f t="array" ref="C59">INDEX('User data'!E:E, MATCH(E59, 'User data'!B:B, 0))</f>
        <v/>
      </c>
      <c r="D59" s="1" t="str">
        <f t="array" ref="D59">INDEX('User data'!F:F, MATCH(C59, 'User data'!E:E, 0))</f>
        <v>#N/A</v>
      </c>
      <c r="E59" s="1" t="s">
        <v>363</v>
      </c>
      <c r="F59" s="3"/>
      <c r="G59" s="3"/>
      <c r="H59" s="3"/>
      <c r="I59" s="3"/>
      <c r="J59" s="1" t="s">
        <v>100</v>
      </c>
      <c r="K59" s="1" t="s">
        <v>101</v>
      </c>
      <c r="L59" s="1" t="b">
        <v>0</v>
      </c>
      <c r="M59" s="4" t="s">
        <v>102</v>
      </c>
      <c r="N59" s="1" t="s">
        <v>364</v>
      </c>
      <c r="P59" s="3"/>
      <c r="Q59" s="3"/>
      <c r="R59" s="3"/>
      <c r="S59" s="3"/>
      <c r="T59" s="1" t="s">
        <v>104</v>
      </c>
      <c r="U59" s="3"/>
      <c r="V59" s="3"/>
      <c r="W59" s="1" t="s">
        <v>105</v>
      </c>
      <c r="X59" s="3"/>
      <c r="Y59" s="1" t="s">
        <v>106</v>
      </c>
      <c r="Z59" s="3"/>
      <c r="AA59" s="1" t="b">
        <v>0</v>
      </c>
      <c r="AB59" s="1" t="b">
        <v>0</v>
      </c>
      <c r="AC59" s="1" t="b">
        <v>0</v>
      </c>
      <c r="AD59" s="1" t="b">
        <v>0</v>
      </c>
      <c r="AE59" s="1" t="b">
        <v>1</v>
      </c>
      <c r="AF59" s="3"/>
      <c r="AG59" s="3"/>
      <c r="AH59" s="3"/>
      <c r="AI59" s="3"/>
      <c r="AJ59" s="2">
        <v>46071.776608796295</v>
      </c>
      <c r="AK59" s="2">
        <v>46072.85357638889</v>
      </c>
      <c r="AM59" s="2">
        <v>46071.77675925926</v>
      </c>
      <c r="AN59" s="2">
        <v>46071.776770833334</v>
      </c>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5">
        <v>4.8</v>
      </c>
      <c r="CR59" s="4" t="s">
        <v>365</v>
      </c>
    </row>
    <row r="60">
      <c r="A60" s="1" t="s">
        <v>366</v>
      </c>
      <c r="B60" s="2">
        <v>46071.71158564815</v>
      </c>
      <c r="C60" s="1" t="str">
        <f t="array" ref="C60">INDEX('User data'!E:E, MATCH(E60, 'User data'!B:B, 0))</f>
        <v>주식회사 퍼슬리</v>
      </c>
      <c r="D60" s="1" t="str">
        <f t="array" ref="D60">INDEX('User data'!F:F, MATCH(C60, 'User data'!E:E, 0))</f>
        <v>241-81-03586</v>
      </c>
      <c r="E60" s="1" t="s">
        <v>367</v>
      </c>
      <c r="F60" s="3"/>
      <c r="G60" s="3"/>
      <c r="H60" s="3"/>
      <c r="I60" s="3"/>
      <c r="J60" s="1" t="s">
        <v>100</v>
      </c>
      <c r="K60" s="1" t="s">
        <v>101</v>
      </c>
      <c r="L60" s="1" t="b">
        <v>0</v>
      </c>
      <c r="M60" s="4" t="s">
        <v>102</v>
      </c>
      <c r="N60" s="1" t="s">
        <v>368</v>
      </c>
      <c r="P60" s="3"/>
      <c r="Q60" s="3"/>
      <c r="R60" s="3"/>
      <c r="S60" s="3"/>
      <c r="T60" s="1" t="s">
        <v>104</v>
      </c>
      <c r="U60" s="3"/>
      <c r="V60" s="3"/>
      <c r="W60" s="1" t="s">
        <v>105</v>
      </c>
      <c r="X60" s="3"/>
      <c r="Y60" s="1" t="s">
        <v>106</v>
      </c>
      <c r="Z60" s="3"/>
      <c r="AA60" s="1" t="b">
        <v>0</v>
      </c>
      <c r="AB60" s="1" t="b">
        <v>0</v>
      </c>
      <c r="AC60" s="1" t="b">
        <v>0</v>
      </c>
      <c r="AD60" s="1" t="b">
        <v>0</v>
      </c>
      <c r="AE60" s="1" t="b">
        <v>1</v>
      </c>
      <c r="AF60" s="3"/>
      <c r="AG60" s="3"/>
      <c r="AH60" s="3"/>
      <c r="AI60" s="3"/>
      <c r="AJ60" s="2">
        <v>46071.7115625</v>
      </c>
      <c r="AK60" s="2">
        <v>46072.711643518516</v>
      </c>
      <c r="AM60" s="2">
        <v>46071.71158564815</v>
      </c>
      <c r="AN60" s="2">
        <v>46071.71158564815</v>
      </c>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5">
        <v>5.0</v>
      </c>
      <c r="CR60" s="4" t="s">
        <v>369</v>
      </c>
    </row>
    <row r="61">
      <c r="A61" s="1" t="s">
        <v>370</v>
      </c>
      <c r="B61" s="2">
        <v>46071.469293981485</v>
      </c>
      <c r="C61" s="1" t="str">
        <f t="array" ref="C61">INDEX('User data'!E:E, MATCH(E61, 'User data'!B:B, 0))</f>
        <v>(주)매시브다이나믹</v>
      </c>
      <c r="D61" s="1" t="str">
        <f t="array" ref="D61">INDEX('User data'!F:F, MATCH(C61, 'User data'!E:E, 0))</f>
        <v>130-86-94026</v>
      </c>
      <c r="E61" s="1" t="s">
        <v>371</v>
      </c>
      <c r="F61" s="3"/>
      <c r="G61" s="3"/>
      <c r="H61" s="3"/>
      <c r="I61" s="3"/>
      <c r="J61" s="1" t="s">
        <v>100</v>
      </c>
      <c r="K61" s="1" t="s">
        <v>101</v>
      </c>
      <c r="L61" s="1" t="b">
        <v>0</v>
      </c>
      <c r="M61" s="4" t="s">
        <v>102</v>
      </c>
      <c r="N61" s="1" t="s">
        <v>372</v>
      </c>
      <c r="P61" s="3"/>
      <c r="Q61" s="3"/>
      <c r="R61" s="3"/>
      <c r="S61" s="3"/>
      <c r="T61" s="1" t="s">
        <v>104</v>
      </c>
      <c r="U61" s="3"/>
      <c r="V61" s="3"/>
      <c r="W61" s="1" t="s">
        <v>105</v>
      </c>
      <c r="X61" s="3"/>
      <c r="Y61" s="1" t="s">
        <v>106</v>
      </c>
      <c r="Z61" s="3"/>
      <c r="AA61" s="1" t="b">
        <v>0</v>
      </c>
      <c r="AB61" s="1" t="b">
        <v>0</v>
      </c>
      <c r="AC61" s="1" t="b">
        <v>0</v>
      </c>
      <c r="AD61" s="1" t="b">
        <v>0</v>
      </c>
      <c r="AE61" s="1" t="b">
        <v>1</v>
      </c>
      <c r="AF61" s="3"/>
      <c r="AG61" s="3"/>
      <c r="AH61" s="3"/>
      <c r="AI61" s="3"/>
      <c r="AJ61" s="2">
        <v>46071.46913194445</v>
      </c>
      <c r="AK61" s="2">
        <v>46072.46934027778</v>
      </c>
      <c r="AM61" s="2">
        <v>46071.469293981485</v>
      </c>
      <c r="AN61" s="2">
        <v>46071.469293981485</v>
      </c>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5">
        <v>3.4</v>
      </c>
      <c r="CR61" s="4" t="s">
        <v>373</v>
      </c>
    </row>
    <row r="62">
      <c r="A62" s="1" t="s">
        <v>374</v>
      </c>
      <c r="B62" s="2">
        <v>46070.88752314815</v>
      </c>
      <c r="C62" s="1" t="str">
        <f t="array" ref="C62">INDEX('User data'!E:E, MATCH(E62, 'User data'!B:B, 0))</f>
        <v/>
      </c>
      <c r="D62" s="1" t="str">
        <f t="array" ref="D62">INDEX('User data'!F:F, MATCH(C62, 'User data'!E:E, 0))</f>
        <v>#N/A</v>
      </c>
      <c r="E62" s="1" t="s">
        <v>375</v>
      </c>
      <c r="F62" s="3"/>
      <c r="G62" s="3"/>
      <c r="H62" s="3"/>
      <c r="I62" s="3"/>
      <c r="J62" s="1" t="s">
        <v>100</v>
      </c>
      <c r="K62" s="1" t="s">
        <v>101</v>
      </c>
      <c r="L62" s="1" t="b">
        <v>0</v>
      </c>
      <c r="M62" s="4" t="s">
        <v>102</v>
      </c>
      <c r="N62" s="1" t="s">
        <v>376</v>
      </c>
      <c r="P62" s="3"/>
      <c r="Q62" s="3"/>
      <c r="R62" s="3"/>
      <c r="S62" s="3"/>
      <c r="T62" s="1" t="s">
        <v>104</v>
      </c>
      <c r="U62" s="3"/>
      <c r="V62" s="3"/>
      <c r="W62" s="1" t="s">
        <v>105</v>
      </c>
      <c r="X62" s="3"/>
      <c r="Y62" s="1" t="s">
        <v>106</v>
      </c>
      <c r="Z62" s="3"/>
      <c r="AA62" s="1" t="b">
        <v>0</v>
      </c>
      <c r="AB62" s="1" t="b">
        <v>0</v>
      </c>
      <c r="AC62" s="1" t="b">
        <v>0</v>
      </c>
      <c r="AD62" s="1" t="b">
        <v>0</v>
      </c>
      <c r="AE62" s="1" t="b">
        <v>1</v>
      </c>
      <c r="AF62" s="3"/>
      <c r="AG62" s="3"/>
      <c r="AH62" s="3"/>
      <c r="AI62" s="3"/>
      <c r="AJ62" s="2">
        <v>46070.887407407405</v>
      </c>
      <c r="AK62" s="2">
        <v>46071.88756944444</v>
      </c>
      <c r="AM62" s="2">
        <v>46070.88752314815</v>
      </c>
      <c r="AN62" s="2">
        <v>46070.88752314815</v>
      </c>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5">
        <v>5.0</v>
      </c>
      <c r="CR62" s="4" t="s">
        <v>377</v>
      </c>
    </row>
    <row r="63">
      <c r="A63" s="1" t="s">
        <v>378</v>
      </c>
      <c r="B63" s="2">
        <v>46070.83020833333</v>
      </c>
      <c r="C63" s="1" t="str">
        <f t="array" ref="C63">INDEX('User data'!E:E, MATCH(E63, 'User data'!B:B, 0))</f>
        <v/>
      </c>
      <c r="D63" s="1" t="str">
        <f t="array" ref="D63">INDEX('User data'!F:F, MATCH(C63, 'User data'!E:E, 0))</f>
        <v>#N/A</v>
      </c>
      <c r="E63" s="1" t="s">
        <v>379</v>
      </c>
      <c r="F63" s="3"/>
      <c r="G63" s="3"/>
      <c r="H63" s="3"/>
      <c r="I63" s="3"/>
      <c r="J63" s="1" t="s">
        <v>100</v>
      </c>
      <c r="K63" s="1" t="s">
        <v>101</v>
      </c>
      <c r="L63" s="1" t="b">
        <v>0</v>
      </c>
      <c r="M63" s="4" t="s">
        <v>102</v>
      </c>
      <c r="N63" s="1" t="s">
        <v>380</v>
      </c>
      <c r="P63" s="3"/>
      <c r="Q63" s="3"/>
      <c r="R63" s="3"/>
      <c r="S63" s="3"/>
      <c r="T63" s="1" t="s">
        <v>104</v>
      </c>
      <c r="U63" s="3"/>
      <c r="V63" s="3"/>
      <c r="W63" s="1" t="s">
        <v>105</v>
      </c>
      <c r="X63" s="3"/>
      <c r="Y63" s="1" t="s">
        <v>106</v>
      </c>
      <c r="Z63" s="3"/>
      <c r="AA63" s="1" t="b">
        <v>0</v>
      </c>
      <c r="AB63" s="1" t="b">
        <v>0</v>
      </c>
      <c r="AC63" s="1" t="b">
        <v>0</v>
      </c>
      <c r="AD63" s="1" t="b">
        <v>0</v>
      </c>
      <c r="AE63" s="1" t="b">
        <v>1</v>
      </c>
      <c r="AF63" s="3"/>
      <c r="AG63" s="3"/>
      <c r="AH63" s="3"/>
      <c r="AI63" s="3"/>
      <c r="AJ63" s="2">
        <v>46070.83017361111</v>
      </c>
      <c r="AK63" s="2">
        <v>46071.83025462963</v>
      </c>
      <c r="AM63" s="2">
        <v>46070.83020833333</v>
      </c>
      <c r="AN63" s="2">
        <v>46070.83020833333</v>
      </c>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5">
        <v>3.6</v>
      </c>
      <c r="CR63" s="4" t="s">
        <v>381</v>
      </c>
    </row>
    <row r="64">
      <c r="A64" s="1" t="s">
        <v>382</v>
      </c>
      <c r="B64" s="2">
        <v>46070.66386574074</v>
      </c>
      <c r="C64" s="1" t="str">
        <f t="array" ref="C64">INDEX('User data'!E:E, MATCH(E64, 'User data'!B:B, 0))</f>
        <v/>
      </c>
      <c r="D64" s="1" t="str">
        <f t="array" ref="D64">INDEX('User data'!F:F, MATCH(C64, 'User data'!E:E, 0))</f>
        <v>#N/A</v>
      </c>
      <c r="E64" s="1" t="s">
        <v>383</v>
      </c>
      <c r="F64" s="3"/>
      <c r="G64" s="3"/>
      <c r="H64" s="3"/>
      <c r="I64" s="3"/>
      <c r="J64" s="1" t="s">
        <v>100</v>
      </c>
      <c r="K64" s="1" t="s">
        <v>101</v>
      </c>
      <c r="L64" s="1" t="b">
        <v>0</v>
      </c>
      <c r="M64" s="4" t="s">
        <v>102</v>
      </c>
      <c r="N64" s="1" t="s">
        <v>384</v>
      </c>
      <c r="P64" s="3"/>
      <c r="Q64" s="3"/>
      <c r="R64" s="3"/>
      <c r="S64" s="3"/>
      <c r="T64" s="1" t="s">
        <v>104</v>
      </c>
      <c r="U64" s="3"/>
      <c r="V64" s="3"/>
      <c r="W64" s="1" t="s">
        <v>105</v>
      </c>
      <c r="X64" s="3"/>
      <c r="Y64" s="1" t="s">
        <v>106</v>
      </c>
      <c r="Z64" s="3"/>
      <c r="AA64" s="1" t="b">
        <v>0</v>
      </c>
      <c r="AB64" s="1" t="b">
        <v>0</v>
      </c>
      <c r="AC64" s="1" t="b">
        <v>0</v>
      </c>
      <c r="AD64" s="1" t="b">
        <v>0</v>
      </c>
      <c r="AE64" s="1" t="b">
        <v>1</v>
      </c>
      <c r="AF64" s="3"/>
      <c r="AG64" s="3"/>
      <c r="AH64" s="3"/>
      <c r="AI64" s="3"/>
      <c r="AJ64" s="2">
        <v>46070.663831018515</v>
      </c>
      <c r="AK64" s="2">
        <v>46071.66392361111</v>
      </c>
      <c r="AM64" s="2">
        <v>46070.66386574074</v>
      </c>
      <c r="AN64" s="2">
        <v>46070.66386574074</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5">
        <v>4.4</v>
      </c>
      <c r="CR64" s="4" t="s">
        <v>385</v>
      </c>
    </row>
    <row r="65">
      <c r="A65" s="1" t="s">
        <v>386</v>
      </c>
      <c r="B65" s="2">
        <v>46070.55950231481</v>
      </c>
      <c r="C65" s="1" t="str">
        <f t="array" ref="C65">INDEX('User data'!E:E, MATCH(E65, 'User data'!B:B, 0))</f>
        <v/>
      </c>
      <c r="D65" s="1" t="str">
        <f t="array" ref="D65">INDEX('User data'!F:F, MATCH(C65, 'User data'!E:E, 0))</f>
        <v>#N/A</v>
      </c>
      <c r="E65" s="1" t="s">
        <v>387</v>
      </c>
      <c r="F65" s="3"/>
      <c r="G65" s="3"/>
      <c r="H65" s="3"/>
      <c r="I65" s="3"/>
      <c r="J65" s="1" t="s">
        <v>100</v>
      </c>
      <c r="K65" s="1" t="s">
        <v>101</v>
      </c>
      <c r="L65" s="1" t="b">
        <v>0</v>
      </c>
      <c r="M65" s="4" t="s">
        <v>102</v>
      </c>
      <c r="N65" s="1" t="s">
        <v>388</v>
      </c>
      <c r="P65" s="3"/>
      <c r="Q65" s="3"/>
      <c r="R65" s="3"/>
      <c r="S65" s="3"/>
      <c r="T65" s="1" t="s">
        <v>104</v>
      </c>
      <c r="U65" s="3"/>
      <c r="V65" s="3"/>
      <c r="W65" s="1" t="s">
        <v>105</v>
      </c>
      <c r="X65" s="3"/>
      <c r="Y65" s="1" t="s">
        <v>106</v>
      </c>
      <c r="Z65" s="3"/>
      <c r="AA65" s="1" t="b">
        <v>0</v>
      </c>
      <c r="AB65" s="1" t="b">
        <v>0</v>
      </c>
      <c r="AC65" s="1" t="b">
        <v>0</v>
      </c>
      <c r="AD65" s="1" t="b">
        <v>0</v>
      </c>
      <c r="AE65" s="1" t="b">
        <v>1</v>
      </c>
      <c r="AF65" s="3"/>
      <c r="AG65" s="3"/>
      <c r="AH65" s="3"/>
      <c r="AI65" s="3"/>
      <c r="AJ65" s="2">
        <v>46070.559375</v>
      </c>
      <c r="AK65" s="2">
        <v>46071.55994212963</v>
      </c>
      <c r="AM65" s="2">
        <v>46070.55950231481</v>
      </c>
      <c r="AN65" s="2">
        <v>46070.55950231481</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5">
        <v>3.4</v>
      </c>
      <c r="CR65" s="4" t="s">
        <v>389</v>
      </c>
    </row>
    <row r="66">
      <c r="A66" s="1" t="s">
        <v>390</v>
      </c>
      <c r="B66" s="2">
        <v>46070.48064814815</v>
      </c>
      <c r="C66" s="1" t="str">
        <f t="array" ref="C66">INDEX('User data'!E:E, MATCH(E66, 'User data'!B:B, 0))</f>
        <v/>
      </c>
      <c r="D66" s="1" t="str">
        <f t="array" ref="D66">INDEX('User data'!F:F, MATCH(C66, 'User data'!E:E, 0))</f>
        <v>#N/A</v>
      </c>
      <c r="E66" s="1" t="s">
        <v>391</v>
      </c>
      <c r="F66" s="3"/>
      <c r="G66" s="3"/>
      <c r="H66" s="3"/>
      <c r="I66" s="3"/>
      <c r="J66" s="1" t="s">
        <v>100</v>
      </c>
      <c r="K66" s="1" t="s">
        <v>101</v>
      </c>
      <c r="L66" s="1" t="b">
        <v>0</v>
      </c>
      <c r="M66" s="1" t="s">
        <v>392</v>
      </c>
      <c r="N66" s="1" t="s">
        <v>393</v>
      </c>
      <c r="P66" s="3"/>
      <c r="Q66" s="3"/>
      <c r="R66" s="3"/>
      <c r="S66" s="3"/>
      <c r="T66" s="1" t="s">
        <v>104</v>
      </c>
      <c r="U66" s="3"/>
      <c r="V66" s="3"/>
      <c r="W66" s="1" t="s">
        <v>105</v>
      </c>
      <c r="X66" s="3"/>
      <c r="Y66" s="1" t="s">
        <v>106</v>
      </c>
      <c r="Z66" s="3"/>
      <c r="AA66" s="1" t="b">
        <v>0</v>
      </c>
      <c r="AB66" s="1" t="b">
        <v>0</v>
      </c>
      <c r="AC66" s="1" t="b">
        <v>0</v>
      </c>
      <c r="AD66" s="1" t="b">
        <v>0</v>
      </c>
      <c r="AE66" s="1" t="b">
        <v>1</v>
      </c>
      <c r="AF66" s="3"/>
      <c r="AG66" s="3"/>
      <c r="AH66" s="3"/>
      <c r="AI66" s="3"/>
      <c r="AJ66" s="2">
        <v>46070.480462962965</v>
      </c>
      <c r="AK66" s="2">
        <v>46071.49030092593</v>
      </c>
      <c r="AM66" s="2">
        <v>46070.48064814815</v>
      </c>
      <c r="AN66" s="2">
        <v>46070.48064814815</v>
      </c>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5">
        <v>4.0</v>
      </c>
      <c r="CR66" s="4" t="s">
        <v>394</v>
      </c>
    </row>
    <row r="67">
      <c r="A67" s="1" t="s">
        <v>395</v>
      </c>
      <c r="B67" s="2">
        <v>46070.26563657408</v>
      </c>
      <c r="C67" s="1" t="str">
        <f t="array" ref="C67">INDEX('User data'!E:E, MATCH(E67, 'User data'!B:B, 0))</f>
        <v/>
      </c>
      <c r="D67" s="1" t="str">
        <f t="array" ref="D67">INDEX('User data'!F:F, MATCH(C67, 'User data'!E:E, 0))</f>
        <v>#N/A</v>
      </c>
      <c r="E67" s="1" t="s">
        <v>396</v>
      </c>
      <c r="F67" s="3"/>
      <c r="G67" s="3"/>
      <c r="H67" s="3"/>
      <c r="I67" s="3"/>
      <c r="J67" s="1" t="s">
        <v>100</v>
      </c>
      <c r="K67" s="1" t="s">
        <v>101</v>
      </c>
      <c r="L67" s="1" t="b">
        <v>0</v>
      </c>
      <c r="M67" s="4" t="s">
        <v>102</v>
      </c>
      <c r="N67" s="1" t="s">
        <v>397</v>
      </c>
      <c r="P67" s="3"/>
      <c r="Q67" s="3"/>
      <c r="R67" s="3"/>
      <c r="S67" s="3"/>
      <c r="T67" s="1" t="s">
        <v>104</v>
      </c>
      <c r="U67" s="3"/>
      <c r="V67" s="3"/>
      <c r="W67" s="1" t="s">
        <v>105</v>
      </c>
      <c r="X67" s="3"/>
      <c r="Y67" s="1" t="s">
        <v>106</v>
      </c>
      <c r="Z67" s="3"/>
      <c r="AA67" s="1" t="b">
        <v>0</v>
      </c>
      <c r="AB67" s="1" t="b">
        <v>0</v>
      </c>
      <c r="AC67" s="1" t="b">
        <v>0</v>
      </c>
      <c r="AD67" s="1" t="b">
        <v>0</v>
      </c>
      <c r="AE67" s="1" t="b">
        <v>1</v>
      </c>
      <c r="AF67" s="3"/>
      <c r="AG67" s="3"/>
      <c r="AH67" s="3"/>
      <c r="AI67" s="3"/>
      <c r="AJ67" s="2">
        <v>46070.2653587963</v>
      </c>
      <c r="AK67" s="2">
        <v>46071.265694444446</v>
      </c>
      <c r="AM67" s="2">
        <v>46070.26563657408</v>
      </c>
      <c r="AN67" s="2">
        <v>46070.26563657408</v>
      </c>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5">
        <v>5.0</v>
      </c>
      <c r="CR67" s="4" t="s">
        <v>398</v>
      </c>
    </row>
    <row r="68">
      <c r="A68" s="1" t="s">
        <v>399</v>
      </c>
      <c r="B68" s="2">
        <v>46069.64013888889</v>
      </c>
      <c r="C68" s="1" t="str">
        <f t="array" ref="C68">INDEX('User data'!E:E, MATCH(E68, 'User data'!B:B, 0))</f>
        <v/>
      </c>
      <c r="D68" s="1" t="str">
        <f t="array" ref="D68">INDEX('User data'!F:F, MATCH(C68, 'User data'!E:E, 0))</f>
        <v>#N/A</v>
      </c>
      <c r="E68" s="1" t="s">
        <v>400</v>
      </c>
      <c r="F68" s="3"/>
      <c r="G68" s="3"/>
      <c r="H68" s="3"/>
      <c r="I68" s="3"/>
      <c r="J68" s="1" t="s">
        <v>100</v>
      </c>
      <c r="K68" s="1" t="s">
        <v>101</v>
      </c>
      <c r="L68" s="1" t="b">
        <v>0</v>
      </c>
      <c r="M68" s="4" t="s">
        <v>102</v>
      </c>
      <c r="N68" s="1" t="s">
        <v>401</v>
      </c>
      <c r="P68" s="3"/>
      <c r="Q68" s="3"/>
      <c r="R68" s="3"/>
      <c r="S68" s="3"/>
      <c r="T68" s="1" t="s">
        <v>104</v>
      </c>
      <c r="U68" s="3"/>
      <c r="V68" s="3"/>
      <c r="W68" s="1" t="s">
        <v>105</v>
      </c>
      <c r="X68" s="3"/>
      <c r="Y68" s="1" t="s">
        <v>106</v>
      </c>
      <c r="Z68" s="3"/>
      <c r="AA68" s="1" t="b">
        <v>0</v>
      </c>
      <c r="AB68" s="1" t="b">
        <v>0</v>
      </c>
      <c r="AC68" s="1" t="b">
        <v>0</v>
      </c>
      <c r="AD68" s="1" t="b">
        <v>0</v>
      </c>
      <c r="AE68" s="1" t="b">
        <v>1</v>
      </c>
      <c r="AF68" s="3"/>
      <c r="AG68" s="3"/>
      <c r="AH68" s="3"/>
      <c r="AI68" s="3"/>
      <c r="AJ68" s="2">
        <v>46069.64010416667</v>
      </c>
      <c r="AK68" s="2">
        <v>46070.640185185184</v>
      </c>
      <c r="AM68" s="2">
        <v>46069.64013888889</v>
      </c>
      <c r="AN68" s="2">
        <v>46069.64013888889</v>
      </c>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5">
        <v>5.0</v>
      </c>
      <c r="CR68" s="4" t="s">
        <v>402</v>
      </c>
    </row>
    <row r="69">
      <c r="A69" s="1" t="s">
        <v>403</v>
      </c>
      <c r="B69" s="2">
        <v>46069.62731481482</v>
      </c>
      <c r="C69" s="1" t="str">
        <f t="array" ref="C69">INDEX('User data'!E:E, MATCH(E69, 'User data'!B:B, 0))</f>
        <v/>
      </c>
      <c r="D69" s="1" t="str">
        <f t="array" ref="D69">INDEX('User data'!F:F, MATCH(C69, 'User data'!E:E, 0))</f>
        <v>#N/A</v>
      </c>
      <c r="E69" s="1" t="s">
        <v>404</v>
      </c>
      <c r="F69" s="3"/>
      <c r="G69" s="3"/>
      <c r="H69" s="3"/>
      <c r="I69" s="3"/>
      <c r="J69" s="1" t="s">
        <v>100</v>
      </c>
      <c r="K69" s="1" t="s">
        <v>101</v>
      </c>
      <c r="L69" s="1" t="b">
        <v>0</v>
      </c>
      <c r="M69" s="4" t="s">
        <v>102</v>
      </c>
      <c r="N69" s="1" t="s">
        <v>405</v>
      </c>
      <c r="P69" s="3"/>
      <c r="Q69" s="3"/>
      <c r="R69" s="3"/>
      <c r="S69" s="3"/>
      <c r="T69" s="1" t="s">
        <v>104</v>
      </c>
      <c r="U69" s="3"/>
      <c r="V69" s="3"/>
      <c r="W69" s="1" t="s">
        <v>105</v>
      </c>
      <c r="X69" s="3"/>
      <c r="Y69" s="1" t="s">
        <v>106</v>
      </c>
      <c r="Z69" s="3"/>
      <c r="AA69" s="1" t="b">
        <v>0</v>
      </c>
      <c r="AB69" s="1" t="b">
        <v>0</v>
      </c>
      <c r="AC69" s="1" t="b">
        <v>0</v>
      </c>
      <c r="AD69" s="1" t="b">
        <v>0</v>
      </c>
      <c r="AE69" s="1" t="b">
        <v>1</v>
      </c>
      <c r="AF69" s="3"/>
      <c r="AG69" s="3"/>
      <c r="AH69" s="3"/>
      <c r="AI69" s="3"/>
      <c r="AJ69" s="2">
        <v>46069.62725694444</v>
      </c>
      <c r="AK69" s="2">
        <v>46070.62800925926</v>
      </c>
      <c r="AM69" s="2">
        <v>46069.62731481482</v>
      </c>
      <c r="AN69" s="2">
        <v>46069.62731481482</v>
      </c>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5">
        <v>5.0</v>
      </c>
      <c r="CR69" s="4" t="s">
        <v>406</v>
      </c>
    </row>
    <row r="70">
      <c r="A70" s="1" t="s">
        <v>407</v>
      </c>
      <c r="B70" s="2">
        <v>46069.52378472222</v>
      </c>
      <c r="C70" s="1" t="str">
        <f t="array" ref="C70">INDEX('User data'!E:E, MATCH(E70, 'User data'!B:B, 0))</f>
        <v>주식회사 커널로그(Conalog Co., Ltd.)</v>
      </c>
      <c r="D70" s="1" t="str">
        <f t="array" ref="D70">INDEX('User data'!F:F, MATCH(C70, 'User data'!E:E, 0))</f>
        <v>811-81-00786</v>
      </c>
      <c r="E70" s="1" t="s">
        <v>408</v>
      </c>
      <c r="F70" s="3"/>
      <c r="G70" s="3"/>
      <c r="H70" s="3"/>
      <c r="I70" s="3"/>
      <c r="J70" s="1" t="s">
        <v>100</v>
      </c>
      <c r="K70" s="1" t="s">
        <v>101</v>
      </c>
      <c r="L70" s="1" t="b">
        <v>0</v>
      </c>
      <c r="M70" s="4" t="s">
        <v>102</v>
      </c>
      <c r="N70" s="1" t="s">
        <v>409</v>
      </c>
      <c r="P70" s="3"/>
      <c r="Q70" s="3"/>
      <c r="R70" s="3"/>
      <c r="S70" s="3"/>
      <c r="T70" s="1" t="s">
        <v>104</v>
      </c>
      <c r="U70" s="3"/>
      <c r="V70" s="3"/>
      <c r="W70" s="1" t="s">
        <v>105</v>
      </c>
      <c r="X70" s="3"/>
      <c r="Y70" s="1" t="s">
        <v>106</v>
      </c>
      <c r="Z70" s="3"/>
      <c r="AA70" s="1" t="b">
        <v>0</v>
      </c>
      <c r="AB70" s="1" t="b">
        <v>0</v>
      </c>
      <c r="AC70" s="1" t="b">
        <v>0</v>
      </c>
      <c r="AD70" s="1" t="b">
        <v>0</v>
      </c>
      <c r="AE70" s="1" t="b">
        <v>1</v>
      </c>
      <c r="AF70" s="3"/>
      <c r="AG70" s="3"/>
      <c r="AH70" s="3"/>
      <c r="AI70" s="3"/>
      <c r="AJ70" s="2">
        <v>46069.52284722222</v>
      </c>
      <c r="AK70" s="2">
        <v>46070.52385416667</v>
      </c>
      <c r="AM70" s="2">
        <v>46069.52378472222</v>
      </c>
      <c r="AN70" s="2">
        <v>46069.52378472222</v>
      </c>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5">
        <v>2.4</v>
      </c>
      <c r="CR70" s="4" t="s">
        <v>410</v>
      </c>
    </row>
    <row r="71">
      <c r="A71" s="1" t="s">
        <v>411</v>
      </c>
      <c r="B71" s="2">
        <v>46069.51055555556</v>
      </c>
      <c r="C71" s="1" t="str">
        <f t="array" ref="C71">INDEX('User data'!E:E, MATCH(E71, 'User data'!B:B, 0))</f>
        <v/>
      </c>
      <c r="D71" s="1" t="str">
        <f t="array" ref="D71">INDEX('User data'!F:F, MATCH(C71, 'User data'!E:E, 0))</f>
        <v>#N/A</v>
      </c>
      <c r="E71" s="1" t="s">
        <v>412</v>
      </c>
      <c r="F71" s="3"/>
      <c r="G71" s="3"/>
      <c r="H71" s="3"/>
      <c r="I71" s="3"/>
      <c r="J71" s="1" t="s">
        <v>100</v>
      </c>
      <c r="K71" s="1" t="s">
        <v>101</v>
      </c>
      <c r="L71" s="1" t="b">
        <v>0</v>
      </c>
      <c r="M71" s="4" t="s">
        <v>102</v>
      </c>
      <c r="N71" s="1" t="s">
        <v>413</v>
      </c>
      <c r="P71" s="3"/>
      <c r="Q71" s="3"/>
      <c r="R71" s="3"/>
      <c r="S71" s="3"/>
      <c r="T71" s="1" t="s">
        <v>104</v>
      </c>
      <c r="U71" s="3"/>
      <c r="V71" s="3"/>
      <c r="W71" s="1" t="s">
        <v>105</v>
      </c>
      <c r="X71" s="3"/>
      <c r="Y71" s="1" t="s">
        <v>106</v>
      </c>
      <c r="Z71" s="3"/>
      <c r="AA71" s="1" t="b">
        <v>0</v>
      </c>
      <c r="AB71" s="1" t="b">
        <v>0</v>
      </c>
      <c r="AC71" s="1" t="b">
        <v>0</v>
      </c>
      <c r="AD71" s="1" t="b">
        <v>0</v>
      </c>
      <c r="AE71" s="1" t="b">
        <v>1</v>
      </c>
      <c r="AF71" s="3"/>
      <c r="AG71" s="3"/>
      <c r="AH71" s="3"/>
      <c r="AI71" s="3"/>
      <c r="AJ71" s="2">
        <v>46069.51045138889</v>
      </c>
      <c r="AK71" s="2">
        <v>46070.51125</v>
      </c>
      <c r="AM71" s="2">
        <v>46069.51055555556</v>
      </c>
      <c r="AN71" s="2">
        <v>46069.51055555556</v>
      </c>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5">
        <v>5.0</v>
      </c>
      <c r="CR71" s="4" t="s">
        <v>414</v>
      </c>
    </row>
    <row r="72">
      <c r="A72" s="1" t="s">
        <v>415</v>
      </c>
      <c r="B72" s="2">
        <v>46068.47232638889</v>
      </c>
      <c r="C72" s="1" t="str">
        <f t="array" ref="C72">INDEX('User data'!E:E, MATCH(E72, 'User data'!B:B, 0))</f>
        <v>(주)쿨스쿨</v>
      </c>
      <c r="D72" s="1" t="str">
        <f t="array" ref="D72">INDEX('User data'!F:F, MATCH(C72, 'User data'!E:E, 0))</f>
        <v>314-86-66749</v>
      </c>
      <c r="E72" s="1" t="s">
        <v>163</v>
      </c>
      <c r="F72" s="3"/>
      <c r="G72" s="3"/>
      <c r="H72" s="3"/>
      <c r="I72" s="3"/>
      <c r="J72" s="1" t="s">
        <v>100</v>
      </c>
      <c r="K72" s="1" t="s">
        <v>101</v>
      </c>
      <c r="L72" s="1" t="b">
        <v>0</v>
      </c>
      <c r="M72" s="4" t="s">
        <v>102</v>
      </c>
      <c r="N72" s="1" t="s">
        <v>164</v>
      </c>
      <c r="P72" s="3"/>
      <c r="Q72" s="3"/>
      <c r="R72" s="3"/>
      <c r="S72" s="3"/>
      <c r="T72" s="1" t="s">
        <v>104</v>
      </c>
      <c r="U72" s="3"/>
      <c r="V72" s="3"/>
      <c r="W72" s="1" t="s">
        <v>105</v>
      </c>
      <c r="X72" s="3"/>
      <c r="Y72" s="1" t="s">
        <v>106</v>
      </c>
      <c r="Z72" s="3"/>
      <c r="AA72" s="1" t="b">
        <v>0</v>
      </c>
      <c r="AB72" s="1" t="b">
        <v>0</v>
      </c>
      <c r="AC72" s="1" t="b">
        <v>0</v>
      </c>
      <c r="AD72" s="1" t="b">
        <v>0</v>
      </c>
      <c r="AE72" s="1" t="b">
        <v>1</v>
      </c>
      <c r="AF72" s="3"/>
      <c r="AG72" s="3"/>
      <c r="AH72" s="3"/>
      <c r="AI72" s="3"/>
      <c r="AJ72" s="2">
        <v>46068.471967592595</v>
      </c>
      <c r="AK72" s="2">
        <v>46069.47237268519</v>
      </c>
      <c r="AM72" s="2">
        <v>46068.47232638889</v>
      </c>
      <c r="AN72" s="2">
        <v>46068.47232638889</v>
      </c>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5">
        <v>3.4</v>
      </c>
      <c r="CR72" s="4" t="s">
        <v>416</v>
      </c>
    </row>
    <row r="73">
      <c r="A73" s="1" t="s">
        <v>417</v>
      </c>
      <c r="B73" s="2">
        <v>46068.00944444445</v>
      </c>
      <c r="C73" s="1" t="str">
        <f t="array" ref="C73">INDEX('User data'!E:E, MATCH(E73, 'User data'!B:B, 0))</f>
        <v/>
      </c>
      <c r="D73" s="1" t="str">
        <f t="array" ref="D73">INDEX('User data'!F:F, MATCH(C73, 'User data'!E:E, 0))</f>
        <v>#N/A</v>
      </c>
      <c r="E73" s="1" t="s">
        <v>418</v>
      </c>
      <c r="F73" s="3"/>
      <c r="G73" s="3"/>
      <c r="H73" s="3"/>
      <c r="I73" s="3"/>
      <c r="J73" s="1" t="s">
        <v>100</v>
      </c>
      <c r="K73" s="1" t="s">
        <v>101</v>
      </c>
      <c r="L73" s="1" t="b">
        <v>0</v>
      </c>
      <c r="M73" s="4" t="s">
        <v>102</v>
      </c>
      <c r="N73" s="1" t="s">
        <v>419</v>
      </c>
      <c r="P73" s="3"/>
      <c r="Q73" s="3"/>
      <c r="R73" s="3"/>
      <c r="S73" s="3"/>
      <c r="T73" s="1" t="s">
        <v>104</v>
      </c>
      <c r="U73" s="3"/>
      <c r="V73" s="3"/>
      <c r="W73" s="1" t="s">
        <v>105</v>
      </c>
      <c r="X73" s="3"/>
      <c r="Y73" s="1" t="s">
        <v>106</v>
      </c>
      <c r="Z73" s="3"/>
      <c r="AA73" s="1" t="b">
        <v>0</v>
      </c>
      <c r="AB73" s="1" t="b">
        <v>0</v>
      </c>
      <c r="AC73" s="1" t="b">
        <v>0</v>
      </c>
      <c r="AD73" s="1" t="b">
        <v>0</v>
      </c>
      <c r="AE73" s="1" t="b">
        <v>1</v>
      </c>
      <c r="AF73" s="3"/>
      <c r="AG73" s="3"/>
      <c r="AH73" s="3"/>
      <c r="AI73" s="3"/>
      <c r="AJ73" s="2">
        <v>46068.00900462963</v>
      </c>
      <c r="AK73" s="2">
        <v>46069.00949074074</v>
      </c>
      <c r="AM73" s="2">
        <v>46068.00943287037</v>
      </c>
      <c r="AN73" s="2">
        <v>46068.00944444445</v>
      </c>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5">
        <v>5.0</v>
      </c>
      <c r="CR73" s="4" t="s">
        <v>420</v>
      </c>
    </row>
    <row r="74">
      <c r="A74" s="1" t="s">
        <v>421</v>
      </c>
      <c r="B74" s="2">
        <v>46068.007361111115</v>
      </c>
      <c r="C74" s="1" t="str">
        <f t="array" ref="C74">INDEX('User data'!E:E, MATCH(E74, 'User data'!B:B, 0))</f>
        <v/>
      </c>
      <c r="D74" s="1" t="str">
        <f t="array" ref="D74">INDEX('User data'!F:F, MATCH(C74, 'User data'!E:E, 0))</f>
        <v>#N/A</v>
      </c>
      <c r="E74" s="1" t="s">
        <v>418</v>
      </c>
      <c r="F74" s="3"/>
      <c r="G74" s="3"/>
      <c r="H74" s="3"/>
      <c r="I74" s="3"/>
      <c r="J74" s="1" t="s">
        <v>100</v>
      </c>
      <c r="K74" s="1" t="s">
        <v>101</v>
      </c>
      <c r="L74" s="1" t="b">
        <v>0</v>
      </c>
      <c r="M74" s="4" t="s">
        <v>102</v>
      </c>
      <c r="N74" s="1" t="s">
        <v>419</v>
      </c>
      <c r="P74" s="3"/>
      <c r="Q74" s="3"/>
      <c r="R74" s="3"/>
      <c r="S74" s="3"/>
      <c r="T74" s="1" t="s">
        <v>104</v>
      </c>
      <c r="U74" s="3"/>
      <c r="V74" s="3"/>
      <c r="W74" s="1" t="s">
        <v>105</v>
      </c>
      <c r="X74" s="3"/>
      <c r="Y74" s="1" t="s">
        <v>106</v>
      </c>
      <c r="Z74" s="3"/>
      <c r="AA74" s="1" t="b">
        <v>0</v>
      </c>
      <c r="AB74" s="1" t="b">
        <v>0</v>
      </c>
      <c r="AC74" s="1" t="b">
        <v>0</v>
      </c>
      <c r="AD74" s="1" t="b">
        <v>0</v>
      </c>
      <c r="AE74" s="1" t="b">
        <v>1</v>
      </c>
      <c r="AF74" s="3"/>
      <c r="AG74" s="3"/>
      <c r="AH74" s="3"/>
      <c r="AI74" s="3"/>
      <c r="AJ74" s="2">
        <v>46068.006527777776</v>
      </c>
      <c r="AK74" s="2">
        <v>46069.00790509259</v>
      </c>
      <c r="AM74" s="2">
        <v>46068.007361111115</v>
      </c>
      <c r="AN74" s="2">
        <v>46068.007361111115</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5">
        <v>5.0</v>
      </c>
      <c r="CR74" s="4" t="s">
        <v>422</v>
      </c>
    </row>
    <row r="75">
      <c r="A75" s="1" t="s">
        <v>423</v>
      </c>
      <c r="B75" s="2">
        <v>46067.69315972222</v>
      </c>
      <c r="C75" s="1" t="str">
        <f t="array" ref="C75">INDEX('User data'!E:E, MATCH(E75, 'User data'!B:B, 0))</f>
        <v>주식회사 봄찬 (Bomchan Inc.)</v>
      </c>
      <c r="D75" s="1" t="str">
        <f t="array" ref="D75">INDEX('User data'!F:F, MATCH(C75, 'User data'!E:E, 0))</f>
        <v>745-81-03133</v>
      </c>
      <c r="E75" s="1" t="s">
        <v>424</v>
      </c>
      <c r="F75" s="3"/>
      <c r="G75" s="3"/>
      <c r="H75" s="3"/>
      <c r="I75" s="3"/>
      <c r="J75" s="1" t="s">
        <v>100</v>
      </c>
      <c r="K75" s="1" t="s">
        <v>101</v>
      </c>
      <c r="L75" s="1" t="b">
        <v>0</v>
      </c>
      <c r="M75" s="4" t="s">
        <v>102</v>
      </c>
      <c r="N75" s="1" t="s">
        <v>425</v>
      </c>
      <c r="P75" s="3"/>
      <c r="Q75" s="3"/>
      <c r="R75" s="3"/>
      <c r="S75" s="3"/>
      <c r="T75" s="1" t="s">
        <v>104</v>
      </c>
      <c r="U75" s="3"/>
      <c r="V75" s="3"/>
      <c r="W75" s="1" t="s">
        <v>105</v>
      </c>
      <c r="X75" s="3"/>
      <c r="Y75" s="1" t="s">
        <v>106</v>
      </c>
      <c r="Z75" s="3"/>
      <c r="AA75" s="1" t="b">
        <v>0</v>
      </c>
      <c r="AB75" s="1" t="b">
        <v>0</v>
      </c>
      <c r="AC75" s="1" t="b">
        <v>0</v>
      </c>
      <c r="AD75" s="1" t="b">
        <v>0</v>
      </c>
      <c r="AE75" s="1" t="b">
        <v>1</v>
      </c>
      <c r="AF75" s="3"/>
      <c r="AG75" s="3"/>
      <c r="AH75" s="3"/>
      <c r="AI75" s="3"/>
      <c r="AJ75" s="2">
        <v>46067.69274305556</v>
      </c>
      <c r="AK75" s="2">
        <v>46068.69321759259</v>
      </c>
      <c r="AM75" s="2">
        <v>46067.69315972222</v>
      </c>
      <c r="AN75" s="2">
        <v>46067.69315972222</v>
      </c>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5">
        <v>1.8</v>
      </c>
      <c r="CR75" s="4" t="s">
        <v>426</v>
      </c>
    </row>
    <row r="76">
      <c r="A76" s="1" t="s">
        <v>427</v>
      </c>
      <c r="B76" s="2">
        <v>46067.51793981482</v>
      </c>
      <c r="C76" s="1" t="str">
        <f t="array" ref="C76">INDEX('User data'!E:E, MATCH(E76, 'User data'!B:B, 0))</f>
        <v/>
      </c>
      <c r="D76" s="1" t="str">
        <f t="array" ref="D76">INDEX('User data'!F:F, MATCH(C76, 'User data'!E:E, 0))</f>
        <v>#N/A</v>
      </c>
      <c r="E76" s="1" t="s">
        <v>428</v>
      </c>
      <c r="F76" s="3"/>
      <c r="G76" s="3"/>
      <c r="H76" s="3"/>
      <c r="I76" s="3"/>
      <c r="J76" s="1" t="s">
        <v>100</v>
      </c>
      <c r="K76" s="1" t="s">
        <v>101</v>
      </c>
      <c r="L76" s="1" t="b">
        <v>0</v>
      </c>
      <c r="M76" s="4" t="s">
        <v>102</v>
      </c>
      <c r="N76" s="1" t="s">
        <v>429</v>
      </c>
      <c r="P76" s="3"/>
      <c r="Q76" s="3"/>
      <c r="R76" s="3"/>
      <c r="S76" s="3"/>
      <c r="T76" s="1" t="s">
        <v>104</v>
      </c>
      <c r="U76" s="3"/>
      <c r="V76" s="3"/>
      <c r="W76" s="1" t="s">
        <v>105</v>
      </c>
      <c r="X76" s="3"/>
      <c r="Y76" s="1" t="s">
        <v>106</v>
      </c>
      <c r="Z76" s="3"/>
      <c r="AA76" s="1" t="b">
        <v>0</v>
      </c>
      <c r="AB76" s="1" t="b">
        <v>0</v>
      </c>
      <c r="AC76" s="1" t="b">
        <v>0</v>
      </c>
      <c r="AD76" s="1" t="b">
        <v>0</v>
      </c>
      <c r="AE76" s="1" t="b">
        <v>1</v>
      </c>
      <c r="AF76" s="3"/>
      <c r="AG76" s="3"/>
      <c r="AH76" s="3"/>
      <c r="AI76" s="3"/>
      <c r="AJ76" s="2">
        <v>46067.51775462963</v>
      </c>
      <c r="AK76" s="2">
        <v>46068.51799768519</v>
      </c>
      <c r="AM76" s="2">
        <v>46067.51793981482</v>
      </c>
      <c r="AN76" s="2">
        <v>46067.51793981482</v>
      </c>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5">
        <v>3.4</v>
      </c>
      <c r="CR76" s="4" t="s">
        <v>430</v>
      </c>
    </row>
    <row r="77">
      <c r="A77" s="1" t="s">
        <v>431</v>
      </c>
      <c r="B77" s="2">
        <v>46067.44969907407</v>
      </c>
      <c r="C77" s="1" t="str">
        <f t="array" ref="C77">INDEX('User data'!E:E, MATCH(E77, 'User data'!B:B, 0))</f>
        <v>아티움그룹 주식회사</v>
      </c>
      <c r="D77" s="1" t="str">
        <f t="array" ref="D77">INDEX('User data'!F:F, MATCH(C77, 'User data'!E:E, 0))</f>
        <v>677-88-02368</v>
      </c>
      <c r="E77" s="1" t="s">
        <v>432</v>
      </c>
      <c r="F77" s="3"/>
      <c r="G77" s="3"/>
      <c r="H77" s="3"/>
      <c r="I77" s="3"/>
      <c r="J77" s="1" t="s">
        <v>100</v>
      </c>
      <c r="K77" s="1" t="s">
        <v>101</v>
      </c>
      <c r="L77" s="1" t="b">
        <v>0</v>
      </c>
      <c r="M77" s="4" t="s">
        <v>102</v>
      </c>
      <c r="N77" s="1" t="s">
        <v>433</v>
      </c>
      <c r="P77" s="3"/>
      <c r="Q77" s="3"/>
      <c r="R77" s="3"/>
      <c r="S77" s="3"/>
      <c r="T77" s="1" t="s">
        <v>104</v>
      </c>
      <c r="U77" s="3"/>
      <c r="V77" s="3"/>
      <c r="W77" s="1" t="s">
        <v>105</v>
      </c>
      <c r="X77" s="3"/>
      <c r="Y77" s="1" t="s">
        <v>106</v>
      </c>
      <c r="Z77" s="3"/>
      <c r="AA77" s="1" t="b">
        <v>0</v>
      </c>
      <c r="AB77" s="1" t="b">
        <v>0</v>
      </c>
      <c r="AC77" s="1" t="b">
        <v>0</v>
      </c>
      <c r="AD77" s="1" t="b">
        <v>0</v>
      </c>
      <c r="AE77" s="1" t="b">
        <v>1</v>
      </c>
      <c r="AF77" s="3"/>
      <c r="AG77" s="3"/>
      <c r="AH77" s="3"/>
      <c r="AI77" s="3"/>
      <c r="AJ77" s="2">
        <v>46067.44961805556</v>
      </c>
      <c r="AK77" s="2">
        <v>46068.44974537037</v>
      </c>
      <c r="AM77" s="2">
        <v>46067.44969907407</v>
      </c>
      <c r="AN77" s="2">
        <v>46067.44969907407</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5">
        <v>1.6</v>
      </c>
      <c r="CR77" s="4" t="s">
        <v>434</v>
      </c>
    </row>
    <row r="78">
      <c r="A78" s="1" t="s">
        <v>435</v>
      </c>
      <c r="B78" s="2">
        <v>46066.951516203706</v>
      </c>
      <c r="C78" s="1" t="str">
        <f t="array" ref="C78">INDEX('User data'!E:E, MATCH(E78, 'User data'!B:B, 0))</f>
        <v/>
      </c>
      <c r="D78" s="1" t="str">
        <f t="array" ref="D78">INDEX('User data'!F:F, MATCH(C78, 'User data'!E:E, 0))</f>
        <v>#N/A</v>
      </c>
      <c r="E78" s="1" t="s">
        <v>436</v>
      </c>
      <c r="F78" s="3"/>
      <c r="G78" s="3"/>
      <c r="H78" s="3"/>
      <c r="I78" s="3"/>
      <c r="J78" s="1" t="s">
        <v>100</v>
      </c>
      <c r="K78" s="1" t="s">
        <v>101</v>
      </c>
      <c r="L78" s="1" t="b">
        <v>0</v>
      </c>
      <c r="M78" s="4" t="s">
        <v>102</v>
      </c>
      <c r="N78" s="1" t="s">
        <v>437</v>
      </c>
      <c r="P78" s="3"/>
      <c r="Q78" s="3"/>
      <c r="R78" s="3"/>
      <c r="S78" s="3"/>
      <c r="T78" s="1" t="s">
        <v>104</v>
      </c>
      <c r="U78" s="3"/>
      <c r="V78" s="3"/>
      <c r="W78" s="1" t="s">
        <v>105</v>
      </c>
      <c r="X78" s="3"/>
      <c r="Y78" s="1" t="s">
        <v>106</v>
      </c>
      <c r="Z78" s="3"/>
      <c r="AA78" s="1" t="b">
        <v>0</v>
      </c>
      <c r="AB78" s="1" t="b">
        <v>0</v>
      </c>
      <c r="AC78" s="1" t="b">
        <v>0</v>
      </c>
      <c r="AD78" s="1" t="b">
        <v>0</v>
      </c>
      <c r="AE78" s="1" t="b">
        <v>1</v>
      </c>
      <c r="AF78" s="3"/>
      <c r="AG78" s="3"/>
      <c r="AH78" s="3"/>
      <c r="AI78" s="3"/>
      <c r="AJ78" s="2">
        <v>46066.951469907406</v>
      </c>
      <c r="AK78" s="2">
        <v>46067.951574074075</v>
      </c>
      <c r="AM78" s="2">
        <v>46066.951516203706</v>
      </c>
      <c r="AN78" s="2">
        <v>46066.951516203706</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5">
        <v>5.0</v>
      </c>
      <c r="CR78" s="4" t="s">
        <v>438</v>
      </c>
    </row>
    <row r="79">
      <c r="A79" s="1" t="s">
        <v>439</v>
      </c>
      <c r="B79" s="2">
        <v>46066.727800925924</v>
      </c>
      <c r="C79" s="1" t="str">
        <f t="array" ref="C79">INDEX('User data'!E:E, MATCH(E79, 'User data'!B:B, 0))</f>
        <v>주식회사 라이넨스</v>
      </c>
      <c r="D79" s="1" t="str">
        <f t="array" ref="D79">INDEX('User data'!F:F, MATCH(C79, 'User data'!E:E, 0))</f>
        <v>175-86-02816</v>
      </c>
      <c r="E79" s="1" t="s">
        <v>440</v>
      </c>
      <c r="F79" s="3"/>
      <c r="G79" s="3"/>
      <c r="H79" s="3"/>
      <c r="I79" s="3"/>
      <c r="J79" s="1" t="s">
        <v>100</v>
      </c>
      <c r="K79" s="1" t="s">
        <v>101</v>
      </c>
      <c r="L79" s="1" t="b">
        <v>0</v>
      </c>
      <c r="M79" s="4" t="s">
        <v>102</v>
      </c>
      <c r="N79" s="1" t="s">
        <v>441</v>
      </c>
      <c r="P79" s="3"/>
      <c r="Q79" s="3"/>
      <c r="R79" s="3"/>
      <c r="S79" s="3"/>
      <c r="T79" s="1" t="s">
        <v>104</v>
      </c>
      <c r="U79" s="3"/>
      <c r="V79" s="3"/>
      <c r="W79" s="1" t="s">
        <v>105</v>
      </c>
      <c r="X79" s="3"/>
      <c r="Y79" s="1" t="s">
        <v>106</v>
      </c>
      <c r="Z79" s="3"/>
      <c r="AA79" s="1" t="b">
        <v>0</v>
      </c>
      <c r="AB79" s="1" t="b">
        <v>0</v>
      </c>
      <c r="AC79" s="1" t="b">
        <v>0</v>
      </c>
      <c r="AD79" s="1" t="b">
        <v>0</v>
      </c>
      <c r="AE79" s="1" t="b">
        <v>1</v>
      </c>
      <c r="AF79" s="3"/>
      <c r="AG79" s="3"/>
      <c r="AH79" s="3"/>
      <c r="AI79" s="3"/>
      <c r="AJ79" s="2">
        <v>46066.72773148148</v>
      </c>
      <c r="AK79" s="2">
        <v>46067.72783564815</v>
      </c>
      <c r="AM79" s="2">
        <v>46066.727800925924</v>
      </c>
      <c r="AN79" s="2">
        <v>46066.727800925924</v>
      </c>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5">
        <v>4.4</v>
      </c>
      <c r="CR79" s="4" t="s">
        <v>442</v>
      </c>
    </row>
    <row r="80">
      <c r="A80" s="1" t="s">
        <v>443</v>
      </c>
      <c r="B80" s="2">
        <v>46066.72712962963</v>
      </c>
      <c r="C80" s="1" t="str">
        <f t="array" ref="C80">INDEX('User data'!E:E, MATCH(E80, 'User data'!B:B, 0))</f>
        <v>주식회사 라이넨스</v>
      </c>
      <c r="D80" s="1" t="str">
        <f t="array" ref="D80">INDEX('User data'!F:F, MATCH(C80, 'User data'!E:E, 0))</f>
        <v>175-86-02816</v>
      </c>
      <c r="E80" s="1" t="s">
        <v>440</v>
      </c>
      <c r="F80" s="3"/>
      <c r="G80" s="3"/>
      <c r="H80" s="3"/>
      <c r="I80" s="3"/>
      <c r="J80" s="1" t="s">
        <v>100</v>
      </c>
      <c r="K80" s="1" t="s">
        <v>101</v>
      </c>
      <c r="L80" s="1" t="b">
        <v>0</v>
      </c>
      <c r="M80" s="4" t="s">
        <v>102</v>
      </c>
      <c r="N80" s="1" t="s">
        <v>441</v>
      </c>
      <c r="P80" s="3"/>
      <c r="Q80" s="3"/>
      <c r="R80" s="3"/>
      <c r="S80" s="3"/>
      <c r="T80" s="1" t="s">
        <v>104</v>
      </c>
      <c r="U80" s="3"/>
      <c r="V80" s="3"/>
      <c r="W80" s="1" t="s">
        <v>105</v>
      </c>
      <c r="X80" s="3"/>
      <c r="Y80" s="1" t="s">
        <v>106</v>
      </c>
      <c r="Z80" s="3"/>
      <c r="AA80" s="1" t="b">
        <v>0</v>
      </c>
      <c r="AB80" s="1" t="b">
        <v>0</v>
      </c>
      <c r="AC80" s="1" t="b">
        <v>0</v>
      </c>
      <c r="AD80" s="1" t="b">
        <v>0</v>
      </c>
      <c r="AE80" s="1" t="b">
        <v>1</v>
      </c>
      <c r="AF80" s="3"/>
      <c r="AG80" s="3"/>
      <c r="AH80" s="3"/>
      <c r="AI80" s="3"/>
      <c r="AJ80" s="2">
        <v>46066.727106481485</v>
      </c>
      <c r="AK80" s="2">
        <v>46067.7271875</v>
      </c>
      <c r="AM80" s="2">
        <v>46066.72712962963</v>
      </c>
      <c r="AN80" s="2">
        <v>46066.72712962963</v>
      </c>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5">
        <v>5.0</v>
      </c>
      <c r="CR80" s="4" t="s">
        <v>444</v>
      </c>
    </row>
    <row r="81">
      <c r="A81" s="1" t="s">
        <v>445</v>
      </c>
      <c r="B81" s="2">
        <v>46066.71372685185</v>
      </c>
      <c r="C81" s="1" t="str">
        <f t="array" ref="C81">INDEX('User data'!E:E, MATCH(E81, 'User data'!B:B, 0))</f>
        <v>주식회사 웨이비인터내셔널</v>
      </c>
      <c r="D81" s="1" t="str">
        <f t="array" ref="D81">INDEX('User data'!F:F, MATCH(C81, 'User data'!E:E, 0))</f>
        <v>689-88-03545</v>
      </c>
      <c r="E81" s="1" t="s">
        <v>446</v>
      </c>
      <c r="F81" s="3"/>
      <c r="G81" s="3"/>
      <c r="H81" s="3"/>
      <c r="I81" s="3"/>
      <c r="J81" s="1" t="s">
        <v>100</v>
      </c>
      <c r="K81" s="1" t="s">
        <v>101</v>
      </c>
      <c r="L81" s="1" t="b">
        <v>0</v>
      </c>
      <c r="M81" s="4" t="s">
        <v>102</v>
      </c>
      <c r="N81" s="1" t="s">
        <v>447</v>
      </c>
      <c r="P81" s="3"/>
      <c r="Q81" s="3"/>
      <c r="R81" s="3"/>
      <c r="S81" s="3"/>
      <c r="T81" s="1" t="s">
        <v>104</v>
      </c>
      <c r="U81" s="3"/>
      <c r="V81" s="3"/>
      <c r="W81" s="1" t="s">
        <v>105</v>
      </c>
      <c r="X81" s="3"/>
      <c r="Y81" s="1" t="s">
        <v>106</v>
      </c>
      <c r="Z81" s="3"/>
      <c r="AA81" s="1" t="b">
        <v>0</v>
      </c>
      <c r="AB81" s="1" t="b">
        <v>0</v>
      </c>
      <c r="AC81" s="1" t="b">
        <v>0</v>
      </c>
      <c r="AD81" s="1" t="b">
        <v>0</v>
      </c>
      <c r="AE81" s="1" t="b">
        <v>1</v>
      </c>
      <c r="AF81" s="3"/>
      <c r="AG81" s="3"/>
      <c r="AH81" s="3"/>
      <c r="AI81" s="3"/>
      <c r="AJ81" s="2">
        <v>46066.71368055556</v>
      </c>
      <c r="AK81" s="2">
        <v>46067.71506944444</v>
      </c>
      <c r="AM81" s="2">
        <v>46066.71372685185</v>
      </c>
      <c r="AN81" s="2">
        <v>46066.71372685185</v>
      </c>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5">
        <v>3.4</v>
      </c>
      <c r="CR81" s="4" t="s">
        <v>448</v>
      </c>
    </row>
    <row r="82">
      <c r="A82" s="1" t="s">
        <v>449</v>
      </c>
      <c r="B82" s="2">
        <v>46066.669965277775</v>
      </c>
      <c r="C82" s="1" t="str">
        <f t="array" ref="C82">INDEX('User data'!E:E, MATCH(E82, 'User data'!B:B, 0))</f>
        <v>주식회사 타인에이아이</v>
      </c>
      <c r="D82" s="1" t="str">
        <f t="array" ref="D82">INDEX('User data'!F:F, MATCH(C82, 'User data'!E:E, 0))</f>
        <v>419-87-01728</v>
      </c>
      <c r="E82" s="1" t="s">
        <v>450</v>
      </c>
      <c r="F82" s="3"/>
      <c r="G82" s="3"/>
      <c r="H82" s="3"/>
      <c r="I82" s="3"/>
      <c r="J82" s="1" t="s">
        <v>100</v>
      </c>
      <c r="K82" s="1" t="s">
        <v>101</v>
      </c>
      <c r="L82" s="1" t="b">
        <v>0</v>
      </c>
      <c r="M82" s="4" t="s">
        <v>102</v>
      </c>
      <c r="N82" s="1" t="s">
        <v>451</v>
      </c>
      <c r="P82" s="3"/>
      <c r="Q82" s="3"/>
      <c r="R82" s="3"/>
      <c r="S82" s="3"/>
      <c r="T82" s="1" t="s">
        <v>104</v>
      </c>
      <c r="U82" s="3"/>
      <c r="V82" s="3"/>
      <c r="W82" s="1" t="s">
        <v>105</v>
      </c>
      <c r="X82" s="3"/>
      <c r="Y82" s="1" t="s">
        <v>106</v>
      </c>
      <c r="Z82" s="3"/>
      <c r="AA82" s="1" t="b">
        <v>0</v>
      </c>
      <c r="AB82" s="1" t="b">
        <v>0</v>
      </c>
      <c r="AC82" s="1" t="b">
        <v>0</v>
      </c>
      <c r="AD82" s="1" t="b">
        <v>0</v>
      </c>
      <c r="AE82" s="1" t="b">
        <v>1</v>
      </c>
      <c r="AF82" s="3"/>
      <c r="AG82" s="3"/>
      <c r="AH82" s="3"/>
      <c r="AI82" s="3"/>
      <c r="AJ82" s="2">
        <v>46066.66824074074</v>
      </c>
      <c r="AK82" s="2">
        <v>46067.67042824074</v>
      </c>
      <c r="AM82" s="2">
        <v>46066.669965277775</v>
      </c>
      <c r="AN82" s="2">
        <v>46066.669965277775</v>
      </c>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5">
        <v>4.2</v>
      </c>
      <c r="CR82" s="4" t="s">
        <v>452</v>
      </c>
    </row>
    <row r="83">
      <c r="A83" s="1" t="s">
        <v>453</v>
      </c>
      <c r="B83" s="2">
        <v>46066.66402777778</v>
      </c>
      <c r="C83" s="1" t="str">
        <f t="array" ref="C83">INDEX('User data'!E:E, MATCH(E83, 'User data'!B:B, 0))</f>
        <v>주식회사 슈퍼빌런랩스 (Supervillain Labs Inc.)</v>
      </c>
      <c r="D83" s="1" t="str">
        <f t="array" ref="D83">INDEX('User data'!F:F, MATCH(C83, 'User data'!E:E, 0))</f>
        <v>856-87-02886</v>
      </c>
      <c r="E83" s="1" t="s">
        <v>454</v>
      </c>
      <c r="F83" s="3"/>
      <c r="G83" s="3"/>
      <c r="H83" s="3"/>
      <c r="I83" s="3"/>
      <c r="J83" s="1" t="s">
        <v>100</v>
      </c>
      <c r="K83" s="1" t="s">
        <v>101</v>
      </c>
      <c r="L83" s="1" t="b">
        <v>0</v>
      </c>
      <c r="M83" s="4" t="s">
        <v>102</v>
      </c>
      <c r="N83" s="1" t="s">
        <v>455</v>
      </c>
      <c r="P83" s="3"/>
      <c r="Q83" s="3"/>
      <c r="R83" s="3"/>
      <c r="S83" s="3"/>
      <c r="T83" s="1" t="s">
        <v>104</v>
      </c>
      <c r="U83" s="3"/>
      <c r="V83" s="3"/>
      <c r="W83" s="1" t="s">
        <v>105</v>
      </c>
      <c r="X83" s="3"/>
      <c r="Y83" s="1" t="s">
        <v>106</v>
      </c>
      <c r="Z83" s="3"/>
      <c r="AA83" s="1" t="b">
        <v>0</v>
      </c>
      <c r="AB83" s="1" t="b">
        <v>0</v>
      </c>
      <c r="AC83" s="1" t="b">
        <v>0</v>
      </c>
      <c r="AD83" s="1" t="b">
        <v>0</v>
      </c>
      <c r="AE83" s="1" t="b">
        <v>1</v>
      </c>
      <c r="AF83" s="3"/>
      <c r="AG83" s="3"/>
      <c r="AH83" s="3"/>
      <c r="AI83" s="3"/>
      <c r="AJ83" s="2">
        <v>46066.66394675926</v>
      </c>
      <c r="AK83" s="2">
        <v>46067.664085648146</v>
      </c>
      <c r="AM83" s="2">
        <v>46066.66402777778</v>
      </c>
      <c r="AN83" s="2">
        <v>46066.66402777778</v>
      </c>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5">
        <v>5.0</v>
      </c>
      <c r="CR83" s="4" t="s">
        <v>456</v>
      </c>
    </row>
    <row r="84">
      <c r="A84" s="1" t="s">
        <v>457</v>
      </c>
      <c r="B84" s="2">
        <v>46066.663773148146</v>
      </c>
      <c r="C84" s="1" t="str">
        <f t="array" ref="C84">INDEX('User data'!E:E, MATCH(E84, 'User data'!B:B, 0))</f>
        <v>스톤아날로그스튜디오 주식회사</v>
      </c>
      <c r="D84" s="1" t="str">
        <f t="array" ref="D84">INDEX('User data'!F:F, MATCH(C84, 'User data'!E:E, 0))</f>
        <v>222-86-03085</v>
      </c>
      <c r="E84" s="1" t="s">
        <v>458</v>
      </c>
      <c r="F84" s="3"/>
      <c r="G84" s="3"/>
      <c r="H84" s="3"/>
      <c r="I84" s="3"/>
      <c r="J84" s="1" t="s">
        <v>100</v>
      </c>
      <c r="K84" s="1" t="s">
        <v>101</v>
      </c>
      <c r="L84" s="1" t="b">
        <v>0</v>
      </c>
      <c r="M84" s="4" t="s">
        <v>102</v>
      </c>
      <c r="N84" s="1" t="s">
        <v>459</v>
      </c>
      <c r="P84" s="3"/>
      <c r="Q84" s="3"/>
      <c r="R84" s="3"/>
      <c r="S84" s="3"/>
      <c r="T84" s="1" t="s">
        <v>104</v>
      </c>
      <c r="U84" s="3"/>
      <c r="V84" s="3"/>
      <c r="W84" s="1" t="s">
        <v>105</v>
      </c>
      <c r="X84" s="3"/>
      <c r="Y84" s="1" t="s">
        <v>106</v>
      </c>
      <c r="Z84" s="3"/>
      <c r="AA84" s="1" t="b">
        <v>0</v>
      </c>
      <c r="AB84" s="1" t="b">
        <v>0</v>
      </c>
      <c r="AC84" s="1" t="b">
        <v>0</v>
      </c>
      <c r="AD84" s="1" t="b">
        <v>0</v>
      </c>
      <c r="AE84" s="1" t="b">
        <v>1</v>
      </c>
      <c r="AF84" s="3"/>
      <c r="AG84" s="3"/>
      <c r="AH84" s="3"/>
      <c r="AI84" s="3"/>
      <c r="AJ84" s="2">
        <v>46066.66372685185</v>
      </c>
      <c r="AK84" s="2">
        <v>46067.70998842592</v>
      </c>
      <c r="AM84" s="2">
        <v>46066.663773148146</v>
      </c>
      <c r="AN84" s="2">
        <v>46066.663773148146</v>
      </c>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5">
        <v>3.4</v>
      </c>
      <c r="CR84" s="4" t="s">
        <v>460</v>
      </c>
    </row>
    <row r="85">
      <c r="A85" s="1" t="s">
        <v>461</v>
      </c>
      <c r="B85" s="2">
        <v>46066.64806712963</v>
      </c>
      <c r="C85" s="1" t="str">
        <f t="array" ref="C85">INDEX('User data'!E:E, MATCH(E85, 'User data'!B:B, 0))</f>
        <v/>
      </c>
      <c r="D85" s="1" t="str">
        <f t="array" ref="D85">INDEX('User data'!F:F, MATCH(C85, 'User data'!E:E, 0))</f>
        <v>#N/A</v>
      </c>
      <c r="E85" s="1" t="s">
        <v>462</v>
      </c>
      <c r="F85" s="3"/>
      <c r="G85" s="3"/>
      <c r="H85" s="3"/>
      <c r="I85" s="3"/>
      <c r="J85" s="1" t="s">
        <v>100</v>
      </c>
      <c r="K85" s="1" t="s">
        <v>101</v>
      </c>
      <c r="L85" s="1" t="b">
        <v>0</v>
      </c>
      <c r="M85" s="4" t="s">
        <v>102</v>
      </c>
      <c r="N85" s="1" t="s">
        <v>463</v>
      </c>
      <c r="P85" s="3"/>
      <c r="Q85" s="3"/>
      <c r="R85" s="3"/>
      <c r="S85" s="3"/>
      <c r="T85" s="1" t="s">
        <v>104</v>
      </c>
      <c r="U85" s="3"/>
      <c r="V85" s="3"/>
      <c r="W85" s="1" t="s">
        <v>105</v>
      </c>
      <c r="X85" s="3"/>
      <c r="Y85" s="1" t="s">
        <v>106</v>
      </c>
      <c r="Z85" s="3"/>
      <c r="AA85" s="1" t="b">
        <v>0</v>
      </c>
      <c r="AB85" s="1" t="b">
        <v>0</v>
      </c>
      <c r="AC85" s="1" t="b">
        <v>0</v>
      </c>
      <c r="AD85" s="1" t="b">
        <v>0</v>
      </c>
      <c r="AE85" s="1" t="b">
        <v>1</v>
      </c>
      <c r="AF85" s="3"/>
      <c r="AG85" s="3"/>
      <c r="AH85" s="3"/>
      <c r="AI85" s="3"/>
      <c r="AJ85" s="2">
        <v>46066.647997685184</v>
      </c>
      <c r="AK85" s="2">
        <v>46067.648125</v>
      </c>
      <c r="AM85" s="2">
        <v>46066.64806712963</v>
      </c>
      <c r="AN85" s="2">
        <v>46066.64806712963</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5">
        <v>5.0</v>
      </c>
      <c r="CR85" s="4" t="s">
        <v>464</v>
      </c>
    </row>
    <row r="86">
      <c r="A86" s="1" t="s">
        <v>465</v>
      </c>
      <c r="B86" s="2">
        <v>46066.64325231482</v>
      </c>
      <c r="C86" s="1" t="str">
        <f t="array" ref="C86">INDEX('User data'!E:E, MATCH(E86, 'User data'!B:B, 0))</f>
        <v/>
      </c>
      <c r="D86" s="1" t="str">
        <f t="array" ref="D86">INDEX('User data'!F:F, MATCH(C86, 'User data'!E:E, 0))</f>
        <v>#N/A</v>
      </c>
      <c r="E86" s="1" t="s">
        <v>466</v>
      </c>
      <c r="F86" s="3"/>
      <c r="G86" s="3"/>
      <c r="H86" s="3"/>
      <c r="I86" s="3"/>
      <c r="J86" s="1" t="s">
        <v>100</v>
      </c>
      <c r="K86" s="1" t="s">
        <v>101</v>
      </c>
      <c r="L86" s="1" t="b">
        <v>0</v>
      </c>
      <c r="M86" s="4" t="s">
        <v>102</v>
      </c>
      <c r="N86" s="1" t="s">
        <v>467</v>
      </c>
      <c r="P86" s="3"/>
      <c r="Q86" s="3"/>
      <c r="R86" s="3"/>
      <c r="S86" s="3"/>
      <c r="T86" s="1" t="s">
        <v>104</v>
      </c>
      <c r="U86" s="3"/>
      <c r="V86" s="3"/>
      <c r="W86" s="1" t="s">
        <v>105</v>
      </c>
      <c r="X86" s="3"/>
      <c r="Y86" s="1" t="s">
        <v>106</v>
      </c>
      <c r="Z86" s="3"/>
      <c r="AA86" s="1" t="b">
        <v>0</v>
      </c>
      <c r="AB86" s="1" t="b">
        <v>0</v>
      </c>
      <c r="AC86" s="1" t="b">
        <v>0</v>
      </c>
      <c r="AD86" s="1" t="b">
        <v>0</v>
      </c>
      <c r="AE86" s="1" t="b">
        <v>1</v>
      </c>
      <c r="AF86" s="3"/>
      <c r="AG86" s="3"/>
      <c r="AH86" s="3"/>
      <c r="AI86" s="3"/>
      <c r="AJ86" s="2">
        <v>46066.64297453704</v>
      </c>
      <c r="AK86" s="2">
        <v>46067.645590277774</v>
      </c>
      <c r="AM86" s="2">
        <v>46066.64325231482</v>
      </c>
      <c r="AN86" s="2">
        <v>46066.64325231482</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5">
        <v>5.0</v>
      </c>
      <c r="CR86" s="4" t="s">
        <v>468</v>
      </c>
    </row>
    <row r="87">
      <c r="A87" s="1" t="s">
        <v>469</v>
      </c>
      <c r="B87" s="2">
        <v>46066.63015046297</v>
      </c>
      <c r="C87" s="1" t="str">
        <f t="array" ref="C87">INDEX('User data'!E:E, MATCH(E87, 'User data'!B:B, 0))</f>
        <v>모빌리전트 주식회사</v>
      </c>
      <c r="D87" s="1" t="str">
        <f t="array" ref="D87">INDEX('User data'!F:F, MATCH(C87, 'User data'!E:E, 0))</f>
        <v>588-86-01463</v>
      </c>
      <c r="E87" s="1" t="s">
        <v>470</v>
      </c>
      <c r="F87" s="3"/>
      <c r="G87" s="3"/>
      <c r="H87" s="3"/>
      <c r="I87" s="3"/>
      <c r="J87" s="1" t="s">
        <v>100</v>
      </c>
      <c r="K87" s="1" t="s">
        <v>101</v>
      </c>
      <c r="L87" s="1" t="b">
        <v>0</v>
      </c>
      <c r="M87" s="4" t="s">
        <v>102</v>
      </c>
      <c r="N87" s="1" t="s">
        <v>471</v>
      </c>
      <c r="P87" s="3"/>
      <c r="Q87" s="3"/>
      <c r="R87" s="3"/>
      <c r="S87" s="3"/>
      <c r="T87" s="1" t="s">
        <v>104</v>
      </c>
      <c r="U87" s="3"/>
      <c r="V87" s="3"/>
      <c r="W87" s="1" t="s">
        <v>105</v>
      </c>
      <c r="X87" s="3"/>
      <c r="Y87" s="1" t="s">
        <v>106</v>
      </c>
      <c r="Z87" s="3"/>
      <c r="AA87" s="1" t="b">
        <v>0</v>
      </c>
      <c r="AB87" s="1" t="b">
        <v>0</v>
      </c>
      <c r="AC87" s="1" t="b">
        <v>0</v>
      </c>
      <c r="AD87" s="1" t="b">
        <v>0</v>
      </c>
      <c r="AE87" s="1" t="b">
        <v>1</v>
      </c>
      <c r="AF87" s="3"/>
      <c r="AG87" s="3"/>
      <c r="AH87" s="3"/>
      <c r="AI87" s="3"/>
      <c r="AJ87" s="2">
        <v>46066.629953703705</v>
      </c>
      <c r="AK87" s="2">
        <v>46067.630208333336</v>
      </c>
      <c r="AM87" s="2">
        <v>46066.63015046297</v>
      </c>
      <c r="AN87" s="2">
        <v>46066.63015046297</v>
      </c>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5">
        <v>3.4</v>
      </c>
      <c r="CR87" s="4" t="s">
        <v>472</v>
      </c>
    </row>
    <row r="88">
      <c r="A88" s="1" t="s">
        <v>473</v>
      </c>
      <c r="B88" s="2">
        <v>46066.61969907407</v>
      </c>
      <c r="C88" s="1" t="str">
        <f t="array" ref="C88">INDEX('User data'!E:E, MATCH(E88, 'User data'!B:B, 0))</f>
        <v>주식회사 맘편한세상</v>
      </c>
      <c r="D88" s="1" t="str">
        <f t="array" ref="D88">INDEX('User data'!F:F, MATCH(C88, 'User data'!E:E, 0))</f>
        <v>144-81-36563</v>
      </c>
      <c r="E88" s="1" t="s">
        <v>474</v>
      </c>
      <c r="F88" s="3"/>
      <c r="G88" s="3"/>
      <c r="H88" s="3"/>
      <c r="I88" s="3"/>
      <c r="J88" s="1" t="s">
        <v>100</v>
      </c>
      <c r="K88" s="1" t="s">
        <v>101</v>
      </c>
      <c r="L88" s="1" t="b">
        <v>0</v>
      </c>
      <c r="M88" s="4" t="s">
        <v>102</v>
      </c>
      <c r="N88" s="1" t="s">
        <v>475</v>
      </c>
      <c r="P88" s="3"/>
      <c r="Q88" s="3"/>
      <c r="R88" s="3"/>
      <c r="S88" s="3"/>
      <c r="T88" s="1" t="s">
        <v>104</v>
      </c>
      <c r="U88" s="3"/>
      <c r="V88" s="3"/>
      <c r="W88" s="1" t="s">
        <v>105</v>
      </c>
      <c r="X88" s="3"/>
      <c r="Y88" s="1" t="s">
        <v>106</v>
      </c>
      <c r="Z88" s="3"/>
      <c r="AA88" s="1" t="b">
        <v>0</v>
      </c>
      <c r="AB88" s="1" t="b">
        <v>0</v>
      </c>
      <c r="AC88" s="1" t="b">
        <v>0</v>
      </c>
      <c r="AD88" s="1" t="b">
        <v>0</v>
      </c>
      <c r="AE88" s="1" t="b">
        <v>1</v>
      </c>
      <c r="AF88" s="3"/>
      <c r="AG88" s="3"/>
      <c r="AH88" s="3"/>
      <c r="AI88" s="3"/>
      <c r="AJ88" s="2">
        <v>46066.61958333333</v>
      </c>
      <c r="AK88" s="2">
        <v>46067.6325</v>
      </c>
      <c r="AM88" s="2">
        <v>46066.61969907407</v>
      </c>
      <c r="AN88" s="2">
        <v>46066.61969907407</v>
      </c>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5">
        <v>3.6</v>
      </c>
      <c r="CR88" s="4" t="s">
        <v>476</v>
      </c>
    </row>
    <row r="89">
      <c r="A89" s="1" t="s">
        <v>477</v>
      </c>
      <c r="B89" s="2">
        <v>46066.598912037036</v>
      </c>
      <c r="C89" s="1" t="str">
        <f t="array" ref="C89">INDEX('User data'!E:E, MATCH(E89, 'User data'!B:B, 0))</f>
        <v/>
      </c>
      <c r="D89" s="1" t="str">
        <f t="array" ref="D89">INDEX('User data'!F:F, MATCH(C89, 'User data'!E:E, 0))</f>
        <v>#N/A</v>
      </c>
      <c r="E89" s="1" t="s">
        <v>478</v>
      </c>
      <c r="F89" s="3"/>
      <c r="G89" s="3"/>
      <c r="H89" s="3"/>
      <c r="I89" s="3"/>
      <c r="J89" s="1" t="s">
        <v>100</v>
      </c>
      <c r="K89" s="1" t="s">
        <v>101</v>
      </c>
      <c r="L89" s="1" t="b">
        <v>0</v>
      </c>
      <c r="M89" s="4" t="s">
        <v>102</v>
      </c>
      <c r="N89" s="1" t="s">
        <v>479</v>
      </c>
      <c r="P89" s="3"/>
      <c r="Q89" s="3"/>
      <c r="R89" s="3"/>
      <c r="S89" s="3"/>
      <c r="T89" s="1" t="s">
        <v>104</v>
      </c>
      <c r="U89" s="3"/>
      <c r="V89" s="3"/>
      <c r="W89" s="1" t="s">
        <v>105</v>
      </c>
      <c r="X89" s="3"/>
      <c r="Y89" s="1" t="s">
        <v>106</v>
      </c>
      <c r="Z89" s="3"/>
      <c r="AA89" s="1" t="b">
        <v>0</v>
      </c>
      <c r="AB89" s="1" t="b">
        <v>0</v>
      </c>
      <c r="AC89" s="1" t="b">
        <v>0</v>
      </c>
      <c r="AD89" s="1" t="b">
        <v>0</v>
      </c>
      <c r="AE89" s="1" t="b">
        <v>1</v>
      </c>
      <c r="AF89" s="3"/>
      <c r="AG89" s="3"/>
      <c r="AH89" s="3"/>
      <c r="AI89" s="3"/>
      <c r="AJ89" s="2">
        <v>46066.59886574074</v>
      </c>
      <c r="AK89" s="2">
        <v>46067.599178240744</v>
      </c>
      <c r="AM89" s="2">
        <v>46066.598912037036</v>
      </c>
      <c r="AN89" s="2">
        <v>46066.598912037036</v>
      </c>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5">
        <v>5.0</v>
      </c>
      <c r="CR89" s="4" t="s">
        <v>480</v>
      </c>
    </row>
    <row r="90">
      <c r="A90" s="1" t="s">
        <v>481</v>
      </c>
      <c r="B90" s="2">
        <v>46066.58819444444</v>
      </c>
      <c r="C90" s="1" t="str">
        <f t="array" ref="C90">INDEX('User data'!E:E, MATCH(E90, 'User data'!B:B, 0))</f>
        <v/>
      </c>
      <c r="D90" s="1" t="str">
        <f t="array" ref="D90">INDEX('User data'!F:F, MATCH(C90, 'User data'!E:E, 0))</f>
        <v>#N/A</v>
      </c>
      <c r="E90" s="1" t="s">
        <v>482</v>
      </c>
      <c r="F90" s="3"/>
      <c r="G90" s="3"/>
      <c r="H90" s="3"/>
      <c r="I90" s="3"/>
      <c r="J90" s="1" t="s">
        <v>100</v>
      </c>
      <c r="K90" s="1" t="s">
        <v>101</v>
      </c>
      <c r="L90" s="1" t="b">
        <v>0</v>
      </c>
      <c r="M90" s="4" t="s">
        <v>102</v>
      </c>
      <c r="N90" s="1" t="s">
        <v>483</v>
      </c>
      <c r="P90" s="3"/>
      <c r="Q90" s="3"/>
      <c r="R90" s="3"/>
      <c r="S90" s="3"/>
      <c r="T90" s="1" t="s">
        <v>104</v>
      </c>
      <c r="U90" s="3"/>
      <c r="V90" s="3"/>
      <c r="W90" s="1" t="s">
        <v>105</v>
      </c>
      <c r="X90" s="3"/>
      <c r="Y90" s="1" t="s">
        <v>106</v>
      </c>
      <c r="Z90" s="3"/>
      <c r="AA90" s="1" t="b">
        <v>0</v>
      </c>
      <c r="AB90" s="1" t="b">
        <v>0</v>
      </c>
      <c r="AC90" s="1" t="b">
        <v>0</v>
      </c>
      <c r="AD90" s="1" t="b">
        <v>0</v>
      </c>
      <c r="AE90" s="1" t="b">
        <v>1</v>
      </c>
      <c r="AF90" s="3"/>
      <c r="AG90" s="3"/>
      <c r="AH90" s="3"/>
      <c r="AI90" s="3"/>
      <c r="AJ90" s="2">
        <v>46066.588055555556</v>
      </c>
      <c r="AK90" s="2">
        <v>46067.652291666665</v>
      </c>
      <c r="AM90" s="2">
        <v>46066.58819444444</v>
      </c>
      <c r="AN90" s="2">
        <v>46066.58819444444</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5">
        <v>5.0</v>
      </c>
      <c r="CR90" s="4" t="s">
        <v>484</v>
      </c>
    </row>
    <row r="91">
      <c r="A91" s="1" t="s">
        <v>485</v>
      </c>
      <c r="B91" s="2">
        <v>46066.58152777778</v>
      </c>
      <c r="C91" s="1" t="str">
        <f t="array" ref="C91">INDEX('User data'!E:E, MATCH(E91, 'User data'!B:B, 0))</f>
        <v>주식회사 카랑</v>
      </c>
      <c r="D91" s="1" t="str">
        <f t="array" ref="D91">INDEX('User data'!F:F, MATCH(C91, 'User data'!E:E, 0))</f>
        <v>242-86-00160</v>
      </c>
      <c r="E91" s="1" t="s">
        <v>486</v>
      </c>
      <c r="F91" s="3"/>
      <c r="G91" s="3"/>
      <c r="H91" s="3"/>
      <c r="I91" s="3"/>
      <c r="J91" s="1" t="s">
        <v>100</v>
      </c>
      <c r="K91" s="1" t="s">
        <v>101</v>
      </c>
      <c r="L91" s="1" t="b">
        <v>0</v>
      </c>
      <c r="M91" s="4" t="s">
        <v>102</v>
      </c>
      <c r="N91" s="1" t="s">
        <v>487</v>
      </c>
      <c r="P91" s="3"/>
      <c r="Q91" s="3"/>
      <c r="R91" s="3"/>
      <c r="S91" s="3"/>
      <c r="T91" s="1" t="s">
        <v>104</v>
      </c>
      <c r="U91" s="3"/>
      <c r="V91" s="3"/>
      <c r="W91" s="1" t="s">
        <v>105</v>
      </c>
      <c r="X91" s="3"/>
      <c r="Y91" s="1" t="s">
        <v>106</v>
      </c>
      <c r="Z91" s="3"/>
      <c r="AA91" s="1" t="b">
        <v>0</v>
      </c>
      <c r="AB91" s="1" t="b">
        <v>0</v>
      </c>
      <c r="AC91" s="1" t="b">
        <v>0</v>
      </c>
      <c r="AD91" s="1" t="b">
        <v>0</v>
      </c>
      <c r="AE91" s="1" t="b">
        <v>1</v>
      </c>
      <c r="AF91" s="3"/>
      <c r="AG91" s="3"/>
      <c r="AH91" s="3"/>
      <c r="AI91" s="3"/>
      <c r="AJ91" s="2">
        <v>46066.58148148148</v>
      </c>
      <c r="AK91" s="2">
        <v>46067.582719907405</v>
      </c>
      <c r="AM91" s="2">
        <v>46066.58152777778</v>
      </c>
      <c r="AN91" s="2">
        <v>46066.58152777778</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5">
        <v>1.8</v>
      </c>
      <c r="CR91" s="4" t="s">
        <v>488</v>
      </c>
    </row>
    <row r="92">
      <c r="A92" s="1" t="s">
        <v>489</v>
      </c>
      <c r="B92" s="2">
        <v>46066.57037037037</v>
      </c>
      <c r="C92" s="1" t="str">
        <f t="array" ref="C92">INDEX('User data'!E:E, MATCH(E92, 'User data'!B:B, 0))</f>
        <v>블링커스 주식회사</v>
      </c>
      <c r="D92" s="1" t="str">
        <f t="array" ref="D92">INDEX('User data'!F:F, MATCH(C92, 'User data'!E:E, 0))</f>
        <v>247-81-02402</v>
      </c>
      <c r="E92" s="1" t="s">
        <v>490</v>
      </c>
      <c r="F92" s="3"/>
      <c r="G92" s="3"/>
      <c r="H92" s="3"/>
      <c r="I92" s="3"/>
      <c r="J92" s="1" t="s">
        <v>100</v>
      </c>
      <c r="K92" s="1" t="s">
        <v>101</v>
      </c>
      <c r="L92" s="1" t="b">
        <v>0</v>
      </c>
      <c r="M92" s="4" t="s">
        <v>102</v>
      </c>
      <c r="N92" s="1" t="s">
        <v>491</v>
      </c>
      <c r="P92" s="3"/>
      <c r="Q92" s="3"/>
      <c r="R92" s="3"/>
      <c r="S92" s="3"/>
      <c r="T92" s="1" t="s">
        <v>104</v>
      </c>
      <c r="U92" s="3"/>
      <c r="V92" s="3"/>
      <c r="W92" s="1" t="s">
        <v>105</v>
      </c>
      <c r="X92" s="3"/>
      <c r="Y92" s="1" t="s">
        <v>106</v>
      </c>
      <c r="Z92" s="3"/>
      <c r="AA92" s="1" t="b">
        <v>0</v>
      </c>
      <c r="AB92" s="1" t="b">
        <v>0</v>
      </c>
      <c r="AC92" s="1" t="b">
        <v>0</v>
      </c>
      <c r="AD92" s="1" t="b">
        <v>0</v>
      </c>
      <c r="AE92" s="1" t="b">
        <v>1</v>
      </c>
      <c r="AF92" s="3"/>
      <c r="AG92" s="3"/>
      <c r="AH92" s="3"/>
      <c r="AI92" s="3"/>
      <c r="AJ92" s="2">
        <v>46066.5702662037</v>
      </c>
      <c r="AK92" s="2">
        <v>46067.5728125</v>
      </c>
      <c r="AM92" s="2">
        <v>46066.57037037037</v>
      </c>
      <c r="AN92" s="2">
        <v>46066.57037037037</v>
      </c>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5">
        <v>3.2</v>
      </c>
      <c r="CR92" s="4" t="s">
        <v>492</v>
      </c>
    </row>
    <row r="93">
      <c r="A93" s="1" t="s">
        <v>493</v>
      </c>
      <c r="B93" s="2">
        <v>46066.554085648146</v>
      </c>
      <c r="C93" s="1" t="str">
        <f t="array" ref="C93">INDEX('User data'!E:E, MATCH(E93, 'User data'!B:B, 0))</f>
        <v>주식회사 그래비티벤처스</v>
      </c>
      <c r="D93" s="1" t="str">
        <f t="array" ref="D93">INDEX('User data'!F:F, MATCH(C93, 'User data'!E:E, 0))</f>
        <v>170-88-02251</v>
      </c>
      <c r="E93" s="1" t="s">
        <v>494</v>
      </c>
      <c r="F93" s="3"/>
      <c r="G93" s="3"/>
      <c r="H93" s="1" t="s">
        <v>495</v>
      </c>
      <c r="J93" s="1" t="s">
        <v>100</v>
      </c>
      <c r="K93" s="1" t="s">
        <v>101</v>
      </c>
      <c r="L93" s="1" t="b">
        <v>0</v>
      </c>
      <c r="M93" s="4" t="s">
        <v>102</v>
      </c>
      <c r="N93" s="1" t="s">
        <v>496</v>
      </c>
      <c r="O93" s="1">
        <v>574085.0</v>
      </c>
      <c r="P93" s="1">
        <v>574085.0</v>
      </c>
      <c r="Q93" s="1">
        <v>574085.0</v>
      </c>
      <c r="R93" s="1" t="s">
        <v>145</v>
      </c>
      <c r="S93" s="1">
        <v>13285.0</v>
      </c>
      <c r="T93" s="1" t="s">
        <v>104</v>
      </c>
      <c r="U93" s="3"/>
      <c r="V93" s="3"/>
      <c r="W93" s="1" t="s">
        <v>118</v>
      </c>
      <c r="X93" s="3"/>
      <c r="Y93" s="1" t="s">
        <v>106</v>
      </c>
      <c r="Z93" s="3"/>
      <c r="AA93" s="1" t="b">
        <v>1</v>
      </c>
      <c r="AB93" s="1" t="b">
        <v>0</v>
      </c>
      <c r="AC93" s="1" t="b">
        <v>0</v>
      </c>
      <c r="AD93" s="1" t="b">
        <v>1</v>
      </c>
      <c r="AE93" s="1" t="b">
        <v>1</v>
      </c>
      <c r="AF93" s="5">
        <v>1.0</v>
      </c>
      <c r="AG93" s="3"/>
      <c r="AH93" s="3"/>
      <c r="AI93" s="3"/>
      <c r="AJ93" s="2">
        <v>46066.55390046296</v>
      </c>
      <c r="AK93" s="2">
        <v>46073.568877314814</v>
      </c>
      <c r="AL93" s="2">
        <v>46066.55546296296</v>
      </c>
      <c r="AM93" s="2">
        <v>46066.554085648146</v>
      </c>
      <c r="AN93" s="2">
        <v>46066.554085648146</v>
      </c>
      <c r="AO93" s="2">
        <v>46066.55546296296</v>
      </c>
      <c r="AP93" s="2">
        <v>46066.555497685185</v>
      </c>
      <c r="AQ93" s="2">
        <v>46066.55546296296</v>
      </c>
      <c r="AS93" s="2">
        <v>46066.55548611111</v>
      </c>
      <c r="AT93" s="2">
        <v>46066.55546296296</v>
      </c>
      <c r="AU93" s="2">
        <v>46073.54177083333</v>
      </c>
      <c r="AW93" s="3"/>
      <c r="AX93" s="2">
        <v>46066.55548611111</v>
      </c>
      <c r="AY93" s="2">
        <v>46066.55548611111</v>
      </c>
      <c r="AZ93" s="2">
        <v>46066.69548611111</v>
      </c>
      <c r="BA93" s="2">
        <v>46066.69548611111</v>
      </c>
      <c r="BB93" s="2">
        <v>46072.56689814815</v>
      </c>
      <c r="BC93" s="2">
        <v>46073.56884259259</v>
      </c>
      <c r="BD93" s="2">
        <v>46073.56884259259</v>
      </c>
      <c r="BE93" s="5">
        <v>12097.0</v>
      </c>
      <c r="BF93" s="3"/>
      <c r="BG93" s="5">
        <v>12097.0</v>
      </c>
      <c r="BH93" s="3"/>
      <c r="BI93" s="5">
        <v>329503.0</v>
      </c>
      <c r="BJ93" s="5">
        <v>30686.0</v>
      </c>
      <c r="BK93" s="5">
        <v>1.0</v>
      </c>
      <c r="BL93" s="5">
        <v>0.0</v>
      </c>
      <c r="BM93" s="5">
        <v>120.0</v>
      </c>
      <c r="BN93" s="5">
        <v>0.0</v>
      </c>
      <c r="BO93" s="5">
        <v>12216.0</v>
      </c>
      <c r="BP93" s="5">
        <v>11490.0</v>
      </c>
      <c r="BQ93" s="5">
        <v>12216.0</v>
      </c>
      <c r="BR93" s="5">
        <v>11490.0</v>
      </c>
      <c r="BS93" s="5">
        <v>12095.0</v>
      </c>
      <c r="BT93" s="5">
        <v>11490.0</v>
      </c>
      <c r="BU93" s="5">
        <v>12095.0</v>
      </c>
      <c r="BV93" s="5">
        <v>11490.0</v>
      </c>
      <c r="BW93" s="5">
        <v>12097.0</v>
      </c>
      <c r="BX93" s="5">
        <v>11490.0</v>
      </c>
      <c r="BY93" s="5">
        <v>606074.0</v>
      </c>
      <c r="BZ93" s="5">
        <v>108548.0</v>
      </c>
      <c r="CA93" s="5">
        <v>606074.0</v>
      </c>
      <c r="CB93" s="5">
        <v>108548.0</v>
      </c>
      <c r="CC93" s="5">
        <v>606074.0</v>
      </c>
      <c r="CD93" s="5">
        <v>108548.0</v>
      </c>
      <c r="CE93" s="5">
        <v>605954.0</v>
      </c>
      <c r="CF93" s="5">
        <v>108548.0</v>
      </c>
      <c r="CG93" s="5">
        <v>605953.0</v>
      </c>
      <c r="CH93" s="5">
        <v>108548.0</v>
      </c>
      <c r="CI93" s="5">
        <v>605955.0</v>
      </c>
      <c r="CJ93" s="5">
        <v>108548.0</v>
      </c>
      <c r="CK93" s="5">
        <v>276450.0</v>
      </c>
      <c r="CL93" s="5">
        <v>77861.0</v>
      </c>
      <c r="CM93" s="5">
        <v>276450.0</v>
      </c>
      <c r="CN93" s="5">
        <v>77861.0</v>
      </c>
      <c r="CO93" s="5">
        <v>2.0</v>
      </c>
      <c r="CP93" s="5">
        <v>119.0</v>
      </c>
      <c r="CQ93" s="3"/>
      <c r="CR93" s="4" t="s">
        <v>497</v>
      </c>
    </row>
    <row r="94">
      <c r="A94" s="1" t="s">
        <v>498</v>
      </c>
      <c r="B94" s="2">
        <v>46066.54902777778</v>
      </c>
      <c r="C94" s="1" t="str">
        <f t="array" ref="C94">INDEX('User data'!E:E, MATCH(E94, 'User data'!B:B, 0))</f>
        <v/>
      </c>
      <c r="D94" s="1" t="str">
        <f t="array" ref="D94">INDEX('User data'!F:F, MATCH(C94, 'User data'!E:E, 0))</f>
        <v>#N/A</v>
      </c>
      <c r="E94" s="1" t="s">
        <v>499</v>
      </c>
      <c r="F94" s="3"/>
      <c r="G94" s="3"/>
      <c r="H94" s="1" t="s">
        <v>500</v>
      </c>
      <c r="I94" s="1" t="s">
        <v>253</v>
      </c>
      <c r="J94" s="1" t="s">
        <v>100</v>
      </c>
      <c r="K94" s="1" t="s">
        <v>101</v>
      </c>
      <c r="L94" s="1" t="b">
        <v>0</v>
      </c>
      <c r="M94" s="4" t="s">
        <v>180</v>
      </c>
      <c r="N94" s="1" t="s">
        <v>501</v>
      </c>
      <c r="O94" s="1">
        <v>574085.0</v>
      </c>
      <c r="P94" s="1">
        <v>574085.0</v>
      </c>
      <c r="Q94" s="1">
        <v>574085.0</v>
      </c>
      <c r="R94" s="1" t="s">
        <v>145</v>
      </c>
      <c r="S94" s="1">
        <v>13285.0</v>
      </c>
      <c r="T94" s="1" t="s">
        <v>104</v>
      </c>
      <c r="U94" s="3"/>
      <c r="V94" s="3"/>
      <c r="W94" s="1" t="s">
        <v>118</v>
      </c>
      <c r="X94" s="3"/>
      <c r="Y94" s="1" t="s">
        <v>119</v>
      </c>
      <c r="Z94" s="3"/>
      <c r="AA94" s="1" t="b">
        <v>1</v>
      </c>
      <c r="AB94" s="1" t="b">
        <v>0</v>
      </c>
      <c r="AC94" s="1" t="b">
        <v>0</v>
      </c>
      <c r="AD94" s="1" t="b">
        <v>1</v>
      </c>
      <c r="AE94" s="1" t="b">
        <v>1</v>
      </c>
      <c r="AF94" s="5">
        <v>3.0</v>
      </c>
      <c r="AG94" s="5">
        <v>1.0</v>
      </c>
      <c r="AH94" s="3"/>
      <c r="AI94" s="3"/>
      <c r="AJ94" s="2">
        <v>46066.54881944445</v>
      </c>
      <c r="AK94" s="2">
        <v>46073.57440972222</v>
      </c>
      <c r="AL94" s="2">
        <v>46066.554710648146</v>
      </c>
      <c r="AM94" s="2">
        <v>46066.54902777778</v>
      </c>
      <c r="AN94" s="2">
        <v>46066.54902777778</v>
      </c>
      <c r="AO94" s="2">
        <v>46066.55447916667</v>
      </c>
      <c r="AP94" s="2">
        <v>46066.5547337963</v>
      </c>
      <c r="AQ94" s="2">
        <v>46066.554710648146</v>
      </c>
      <c r="AS94" s="2">
        <v>46066.55472222222</v>
      </c>
      <c r="AT94" s="2">
        <v>46066.554710648146</v>
      </c>
      <c r="AU94" s="2">
        <v>46073.5418287037</v>
      </c>
      <c r="AW94" s="3"/>
      <c r="AX94" s="2">
        <v>46066.55472222222</v>
      </c>
      <c r="AY94" s="2">
        <v>46066.55472222222</v>
      </c>
      <c r="AZ94" s="2">
        <v>46066.572696759256</v>
      </c>
      <c r="BA94" s="2">
        <v>46073.57100694445</v>
      </c>
      <c r="BB94" s="2">
        <v>46072.56689814815</v>
      </c>
      <c r="BC94" s="2">
        <v>46073.574375</v>
      </c>
      <c r="BD94" s="2">
        <v>46073.574375</v>
      </c>
      <c r="BE94" s="5">
        <v>6476.0</v>
      </c>
      <c r="BF94" s="5">
        <v>2401.0</v>
      </c>
      <c r="BG94" s="5">
        <v>2158.0</v>
      </c>
      <c r="BH94" s="5">
        <v>2401.0</v>
      </c>
      <c r="BI94" s="5">
        <v>323848.0</v>
      </c>
      <c r="BJ94" s="5">
        <v>30219.0</v>
      </c>
      <c r="BK94" s="5">
        <v>0.0</v>
      </c>
      <c r="BL94" s="5">
        <v>0.0</v>
      </c>
      <c r="BM94" s="5">
        <v>491.0</v>
      </c>
      <c r="BN94" s="5">
        <v>0.0</v>
      </c>
      <c r="BO94" s="5">
        <v>2045.0</v>
      </c>
      <c r="BP94" s="5">
        <v>881.0</v>
      </c>
      <c r="BQ94" s="5">
        <v>2045.0</v>
      </c>
      <c r="BR94" s="5">
        <v>881.0</v>
      </c>
      <c r="BS94" s="5">
        <v>1553.0</v>
      </c>
      <c r="BT94" s="5">
        <v>881.0</v>
      </c>
      <c r="BU94" s="5">
        <v>1553.0</v>
      </c>
      <c r="BV94" s="5">
        <v>881.0</v>
      </c>
      <c r="BW94" s="5">
        <v>1554.0</v>
      </c>
      <c r="BX94" s="5">
        <v>881.0</v>
      </c>
      <c r="BY94" s="5">
        <v>606990.0</v>
      </c>
      <c r="BZ94" s="5">
        <v>109026.0</v>
      </c>
      <c r="CA94" s="5">
        <v>606990.0</v>
      </c>
      <c r="CB94" s="5">
        <v>109026.0</v>
      </c>
      <c r="CC94" s="5">
        <v>606990.0</v>
      </c>
      <c r="CD94" s="5">
        <v>109026.0</v>
      </c>
      <c r="CE94" s="5">
        <v>606498.0</v>
      </c>
      <c r="CF94" s="5">
        <v>109026.0</v>
      </c>
      <c r="CG94" s="5">
        <v>606498.0</v>
      </c>
      <c r="CH94" s="5">
        <v>109026.0</v>
      </c>
      <c r="CI94" s="5">
        <v>606499.0</v>
      </c>
      <c r="CJ94" s="5">
        <v>109026.0</v>
      </c>
      <c r="CK94" s="5">
        <v>282649.0</v>
      </c>
      <c r="CL94" s="5">
        <v>78807.0</v>
      </c>
      <c r="CM94" s="5">
        <v>282649.0</v>
      </c>
      <c r="CN94" s="5">
        <v>78807.0</v>
      </c>
      <c r="CO94" s="5">
        <v>2.0</v>
      </c>
      <c r="CP94" s="5">
        <v>471.0</v>
      </c>
      <c r="CQ94" s="3"/>
      <c r="CR94" s="4" t="s">
        <v>502</v>
      </c>
    </row>
    <row r="95">
      <c r="A95" s="1" t="s">
        <v>503</v>
      </c>
      <c r="B95" s="2">
        <v>46066.54891203704</v>
      </c>
      <c r="C95" s="1" t="str">
        <f t="array" ref="C95">INDEX('User data'!E:E, MATCH(E95, 'User data'!B:B, 0))</f>
        <v>주식회사 카닥</v>
      </c>
      <c r="D95" s="1" t="str">
        <f t="array" ref="D95">INDEX('User data'!F:F, MATCH(C95, 'User data'!E:E, 0))</f>
        <v>144-81-21245</v>
      </c>
      <c r="E95" s="1" t="s">
        <v>288</v>
      </c>
      <c r="F95" s="3"/>
      <c r="G95" s="3"/>
      <c r="H95" s="3"/>
      <c r="I95" s="1" t="s">
        <v>253</v>
      </c>
      <c r="J95" s="1" t="s">
        <v>100</v>
      </c>
      <c r="K95" s="1" t="s">
        <v>101</v>
      </c>
      <c r="L95" s="1" t="b">
        <v>0</v>
      </c>
      <c r="M95" s="1" t="s">
        <v>504</v>
      </c>
      <c r="N95" s="1" t="s">
        <v>289</v>
      </c>
      <c r="O95" s="1">
        <v>574085.0</v>
      </c>
      <c r="P95" s="1">
        <v>574085.0</v>
      </c>
      <c r="Q95" s="1">
        <v>574085.0</v>
      </c>
      <c r="R95" s="1" t="s">
        <v>145</v>
      </c>
      <c r="S95" s="1">
        <v>13285.0</v>
      </c>
      <c r="T95" s="1" t="s">
        <v>104</v>
      </c>
      <c r="U95" s="3"/>
      <c r="V95" s="3"/>
      <c r="W95" s="1" t="s">
        <v>118</v>
      </c>
      <c r="X95" s="3"/>
      <c r="Y95" s="1" t="s">
        <v>119</v>
      </c>
      <c r="Z95" s="3"/>
      <c r="AA95" s="1" t="b">
        <v>1</v>
      </c>
      <c r="AB95" s="1" t="b">
        <v>0</v>
      </c>
      <c r="AC95" s="1" t="b">
        <v>0</v>
      </c>
      <c r="AD95" s="1" t="b">
        <v>1</v>
      </c>
      <c r="AE95" s="1" t="b">
        <v>1</v>
      </c>
      <c r="AF95" s="5">
        <v>1.0</v>
      </c>
      <c r="AG95" s="3"/>
      <c r="AH95" s="3"/>
      <c r="AI95" s="3"/>
      <c r="AJ95" s="2">
        <v>46066.54883101852</v>
      </c>
      <c r="AK95" s="2">
        <v>46066.74450231482</v>
      </c>
      <c r="AL95" s="2">
        <v>46066.553090277775</v>
      </c>
      <c r="AM95" s="2">
        <v>46066.54891203704</v>
      </c>
      <c r="AN95" s="2">
        <v>46066.54891203704</v>
      </c>
      <c r="AO95" s="2">
        <v>46066.55287037037</v>
      </c>
      <c r="AP95" s="2">
        <v>46066.553125</v>
      </c>
      <c r="AQ95" s="2">
        <v>46066.553090277775</v>
      </c>
      <c r="AS95" s="2">
        <v>46066.55310185185</v>
      </c>
      <c r="AT95" s="2">
        <v>46066.553090277775</v>
      </c>
      <c r="AU95" s="2">
        <v>46066.55310185185</v>
      </c>
      <c r="AW95" s="3"/>
      <c r="AX95" s="2">
        <v>46066.55310185185</v>
      </c>
      <c r="AY95" s="2">
        <v>46066.55310185185</v>
      </c>
      <c r="AZ95" s="2">
        <v>46066.57266203704</v>
      </c>
      <c r="BA95" s="2">
        <v>46066.57266203704</v>
      </c>
      <c r="BC95" s="2">
        <v>46066.70282407408</v>
      </c>
      <c r="BD95" s="2">
        <v>46066.70282407408</v>
      </c>
      <c r="BE95" s="5">
        <v>1690.0</v>
      </c>
      <c r="BF95" s="3"/>
      <c r="BG95" s="5">
        <v>1690.0</v>
      </c>
      <c r="BH95" s="3"/>
      <c r="BI95" s="3"/>
      <c r="BJ95" s="3"/>
      <c r="BK95" s="5">
        <v>0.0</v>
      </c>
      <c r="BL95" s="5">
        <v>0.0</v>
      </c>
      <c r="BM95" s="5">
        <v>361.0</v>
      </c>
      <c r="BN95" s="5">
        <v>0.0</v>
      </c>
      <c r="BO95" s="5">
        <v>2051.0</v>
      </c>
      <c r="BP95" s="5">
        <v>878.0</v>
      </c>
      <c r="BQ95" s="5">
        <v>2051.0</v>
      </c>
      <c r="BR95" s="5">
        <v>878.0</v>
      </c>
      <c r="BS95" s="5">
        <v>1689.0</v>
      </c>
      <c r="BT95" s="5">
        <v>878.0</v>
      </c>
      <c r="BU95" s="5">
        <v>1689.0</v>
      </c>
      <c r="BV95" s="5">
        <v>878.0</v>
      </c>
      <c r="BW95" s="5">
        <v>1690.0</v>
      </c>
      <c r="BX95" s="5">
        <v>878.0</v>
      </c>
      <c r="BY95" s="5">
        <v>13297.0</v>
      </c>
      <c r="BZ95" s="5">
        <v>12124.0</v>
      </c>
      <c r="CA95" s="5">
        <v>13297.0</v>
      </c>
      <c r="CB95" s="5">
        <v>12124.0</v>
      </c>
      <c r="CC95" s="5">
        <v>13297.0</v>
      </c>
      <c r="CD95" s="5">
        <v>12124.0</v>
      </c>
      <c r="CE95" s="5">
        <v>12935.0</v>
      </c>
      <c r="CF95" s="5">
        <v>12124.0</v>
      </c>
      <c r="CG95" s="5">
        <v>12935.0</v>
      </c>
      <c r="CH95" s="5">
        <v>12124.0</v>
      </c>
      <c r="CI95" s="5">
        <v>12936.0</v>
      </c>
      <c r="CJ95" s="5">
        <v>12124.0</v>
      </c>
      <c r="CK95" s="5">
        <v>12935.0</v>
      </c>
      <c r="CL95" s="5">
        <v>12124.0</v>
      </c>
      <c r="CM95" s="5">
        <v>12935.0</v>
      </c>
      <c r="CN95" s="5">
        <v>12124.0</v>
      </c>
      <c r="CO95" s="5">
        <v>2.0</v>
      </c>
      <c r="CP95" s="5">
        <v>341.0</v>
      </c>
      <c r="CQ95" s="3"/>
      <c r="CR95" s="4" t="s">
        <v>505</v>
      </c>
    </row>
    <row r="96">
      <c r="A96" s="1" t="s">
        <v>506</v>
      </c>
      <c r="B96" s="2">
        <v>46066.52768518519</v>
      </c>
      <c r="C96" s="1" t="str">
        <f t="array" ref="C96">INDEX('User data'!E:E, MATCH(E96, 'User data'!B:B, 0))</f>
        <v>주식회사 유어유니콘</v>
      </c>
      <c r="D96" s="1" t="str">
        <f t="array" ref="D96">INDEX('User data'!F:F, MATCH(C96, 'User data'!E:E, 0))</f>
        <v>889-88-03238</v>
      </c>
      <c r="E96" s="1" t="s">
        <v>507</v>
      </c>
      <c r="F96" s="3"/>
      <c r="G96" s="3"/>
      <c r="H96" s="3"/>
      <c r="I96" s="3"/>
      <c r="J96" s="1" t="s">
        <v>100</v>
      </c>
      <c r="K96" s="1" t="s">
        <v>101</v>
      </c>
      <c r="L96" s="1" t="b">
        <v>0</v>
      </c>
      <c r="M96" s="4" t="s">
        <v>102</v>
      </c>
      <c r="N96" s="1" t="s">
        <v>508</v>
      </c>
      <c r="P96" s="3"/>
      <c r="Q96" s="3"/>
      <c r="R96" s="3"/>
      <c r="S96" s="3"/>
      <c r="T96" s="1" t="s">
        <v>104</v>
      </c>
      <c r="U96" s="3"/>
      <c r="V96" s="3"/>
      <c r="W96" s="1" t="s">
        <v>105</v>
      </c>
      <c r="X96" s="3"/>
      <c r="Y96" s="1" t="s">
        <v>106</v>
      </c>
      <c r="Z96" s="3"/>
      <c r="AA96" s="1" t="b">
        <v>0</v>
      </c>
      <c r="AB96" s="1" t="b">
        <v>0</v>
      </c>
      <c r="AC96" s="1" t="b">
        <v>0</v>
      </c>
      <c r="AD96" s="1" t="b">
        <v>0</v>
      </c>
      <c r="AE96" s="1" t="b">
        <v>1</v>
      </c>
      <c r="AF96" s="3"/>
      <c r="AG96" s="3"/>
      <c r="AH96" s="3"/>
      <c r="AI96" s="3"/>
      <c r="AJ96" s="2">
        <v>46066.52744212963</v>
      </c>
      <c r="AK96" s="2">
        <v>46067.5890162037</v>
      </c>
      <c r="AM96" s="2">
        <v>46066.52767361111</v>
      </c>
      <c r="AN96" s="2">
        <v>46066.52768518519</v>
      </c>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5">
        <v>3.4</v>
      </c>
      <c r="CR96" s="4" t="s">
        <v>509</v>
      </c>
    </row>
    <row r="97">
      <c r="A97" s="1" t="s">
        <v>510</v>
      </c>
      <c r="B97" s="2">
        <v>46066.52054398148</v>
      </c>
      <c r="C97" s="1" t="str">
        <f t="array" ref="C97">INDEX('User data'!E:E, MATCH(E97, 'User data'!B:B, 0))</f>
        <v>주식회사 이십사점오(24.5 Corp.)</v>
      </c>
      <c r="D97" s="1" t="str">
        <f t="array" ref="D97">INDEX('User data'!F:F, MATCH(C97, 'User data'!E:E, 0))</f>
        <v>889-87-01572</v>
      </c>
      <c r="E97" s="1" t="s">
        <v>511</v>
      </c>
      <c r="F97" s="3"/>
      <c r="G97" s="3"/>
      <c r="H97" s="3"/>
      <c r="I97" s="3"/>
      <c r="J97" s="1" t="s">
        <v>100</v>
      </c>
      <c r="K97" s="1" t="s">
        <v>101</v>
      </c>
      <c r="L97" s="1" t="b">
        <v>0</v>
      </c>
      <c r="M97" s="4" t="s">
        <v>102</v>
      </c>
      <c r="N97" s="1" t="s">
        <v>512</v>
      </c>
      <c r="P97" s="3"/>
      <c r="Q97" s="3"/>
      <c r="R97" s="3"/>
      <c r="S97" s="3"/>
      <c r="T97" s="1" t="s">
        <v>104</v>
      </c>
      <c r="U97" s="3"/>
      <c r="V97" s="3"/>
      <c r="W97" s="1" t="s">
        <v>105</v>
      </c>
      <c r="X97" s="3"/>
      <c r="Y97" s="1" t="s">
        <v>106</v>
      </c>
      <c r="Z97" s="3"/>
      <c r="AA97" s="1" t="b">
        <v>0</v>
      </c>
      <c r="AB97" s="1" t="b">
        <v>0</v>
      </c>
      <c r="AC97" s="1" t="b">
        <v>0</v>
      </c>
      <c r="AD97" s="1" t="b">
        <v>0</v>
      </c>
      <c r="AE97" s="1" t="b">
        <v>1</v>
      </c>
      <c r="AF97" s="3"/>
      <c r="AG97" s="3"/>
      <c r="AH97" s="3"/>
      <c r="AI97" s="3"/>
      <c r="AJ97" s="2">
        <v>46066.52045138889</v>
      </c>
      <c r="AK97" s="2">
        <v>46067.52070601852</v>
      </c>
      <c r="AM97" s="2">
        <v>46066.52054398148</v>
      </c>
      <c r="AN97" s="2">
        <v>46066.52054398148</v>
      </c>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5">
        <v>5.0</v>
      </c>
      <c r="CR97" s="4" t="s">
        <v>513</v>
      </c>
    </row>
    <row r="98">
      <c r="A98" s="1" t="s">
        <v>514</v>
      </c>
      <c r="B98" s="2">
        <v>46066.52012731481</v>
      </c>
      <c r="C98" s="1" t="str">
        <f t="array" ref="C98">INDEX('User data'!E:E, MATCH(E98, 'User data'!B:B, 0))</f>
        <v>주식회사 이십사점오(24.5 Corp.)</v>
      </c>
      <c r="D98" s="1" t="str">
        <f t="array" ref="D98">INDEX('User data'!F:F, MATCH(C98, 'User data'!E:E, 0))</f>
        <v>889-87-01572</v>
      </c>
      <c r="E98" s="1" t="s">
        <v>511</v>
      </c>
      <c r="F98" s="3"/>
      <c r="G98" s="3"/>
      <c r="H98" s="3"/>
      <c r="I98" s="3"/>
      <c r="J98" s="1" t="s">
        <v>100</v>
      </c>
      <c r="K98" s="1" t="s">
        <v>101</v>
      </c>
      <c r="L98" s="1" t="b">
        <v>0</v>
      </c>
      <c r="M98" s="4" t="s">
        <v>102</v>
      </c>
      <c r="N98" s="1" t="s">
        <v>512</v>
      </c>
      <c r="P98" s="3"/>
      <c r="Q98" s="3"/>
      <c r="R98" s="3"/>
      <c r="S98" s="3"/>
      <c r="T98" s="1" t="s">
        <v>104</v>
      </c>
      <c r="U98" s="3"/>
      <c r="V98" s="3"/>
      <c r="W98" s="1" t="s">
        <v>105</v>
      </c>
      <c r="X98" s="3"/>
      <c r="Y98" s="1" t="s">
        <v>106</v>
      </c>
      <c r="Z98" s="3"/>
      <c r="AA98" s="1" t="b">
        <v>0</v>
      </c>
      <c r="AB98" s="1" t="b">
        <v>0</v>
      </c>
      <c r="AC98" s="1" t="b">
        <v>0</v>
      </c>
      <c r="AD98" s="1" t="b">
        <v>0</v>
      </c>
      <c r="AE98" s="1" t="b">
        <v>1</v>
      </c>
      <c r="AF98" s="3"/>
      <c r="AG98" s="3"/>
      <c r="AH98" s="3"/>
      <c r="AI98" s="3"/>
      <c r="AJ98" s="2">
        <v>46066.51988425926</v>
      </c>
      <c r="AK98" s="2">
        <v>46067.52018518518</v>
      </c>
      <c r="AM98" s="2">
        <v>46066.52012731481</v>
      </c>
      <c r="AN98" s="2">
        <v>46066.52012731481</v>
      </c>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5">
        <v>3.2</v>
      </c>
      <c r="CR98" s="4" t="s">
        <v>515</v>
      </c>
    </row>
    <row r="99">
      <c r="A99" s="1" t="s">
        <v>516</v>
      </c>
      <c r="B99" s="2">
        <v>46066.51792824074</v>
      </c>
      <c r="C99" s="1" t="str">
        <f t="array" ref="C99">INDEX('User data'!E:E, MATCH(E99, 'User data'!B:B, 0))</f>
        <v/>
      </c>
      <c r="D99" s="1" t="str">
        <f t="array" ref="D99">INDEX('User data'!F:F, MATCH(C99, 'User data'!E:E, 0))</f>
        <v>#N/A</v>
      </c>
      <c r="E99" s="1" t="s">
        <v>517</v>
      </c>
      <c r="F99" s="3"/>
      <c r="G99" s="3"/>
      <c r="H99" s="3"/>
      <c r="I99" s="3"/>
      <c r="J99" s="1" t="s">
        <v>100</v>
      </c>
      <c r="K99" s="1" t="s">
        <v>101</v>
      </c>
      <c r="L99" s="1" t="b">
        <v>0</v>
      </c>
      <c r="M99" s="4" t="s">
        <v>102</v>
      </c>
      <c r="N99" s="1" t="s">
        <v>518</v>
      </c>
      <c r="P99" s="3"/>
      <c r="Q99" s="3"/>
      <c r="R99" s="3"/>
      <c r="S99" s="3"/>
      <c r="T99" s="1" t="s">
        <v>104</v>
      </c>
      <c r="U99" s="3"/>
      <c r="V99" s="3"/>
      <c r="W99" s="1" t="s">
        <v>105</v>
      </c>
      <c r="X99" s="3"/>
      <c r="Y99" s="1" t="s">
        <v>106</v>
      </c>
      <c r="Z99" s="3"/>
      <c r="AA99" s="1" t="b">
        <v>0</v>
      </c>
      <c r="AB99" s="1" t="b">
        <v>0</v>
      </c>
      <c r="AC99" s="1" t="b">
        <v>0</v>
      </c>
      <c r="AD99" s="1" t="b">
        <v>0</v>
      </c>
      <c r="AE99" s="1" t="b">
        <v>1</v>
      </c>
      <c r="AF99" s="3"/>
      <c r="AG99" s="3"/>
      <c r="AH99" s="3"/>
      <c r="AI99" s="3"/>
      <c r="AJ99" s="2">
        <v>46066.51787037037</v>
      </c>
      <c r="AK99" s="2">
        <v>46067.51797453704</v>
      </c>
      <c r="AM99" s="2">
        <v>46066.51792824074</v>
      </c>
      <c r="AN99" s="2">
        <v>46066.51792824074</v>
      </c>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5">
        <v>1.8</v>
      </c>
      <c r="CR99" s="4" t="s">
        <v>519</v>
      </c>
    </row>
    <row r="100">
      <c r="A100" s="1" t="s">
        <v>520</v>
      </c>
      <c r="B100" s="2">
        <v>46066.51527777778</v>
      </c>
      <c r="C100" s="1" t="str">
        <f t="array" ref="C100">INDEX('User data'!E:E, MATCH(E100, 'User data'!B:B, 0))</f>
        <v>주식회사 올세일코퍼레이션 (ALLSALE Corp.)</v>
      </c>
      <c r="D100" s="1" t="str">
        <f t="array" ref="D100">INDEX('User data'!F:F, MATCH(C100, 'User data'!E:E, 0))</f>
        <v>251-81-03375</v>
      </c>
      <c r="E100" s="1" t="s">
        <v>521</v>
      </c>
      <c r="F100" s="3"/>
      <c r="G100" s="3"/>
      <c r="H100" s="3"/>
      <c r="I100" s="3"/>
      <c r="J100" s="1" t="s">
        <v>100</v>
      </c>
      <c r="K100" s="1" t="s">
        <v>101</v>
      </c>
      <c r="L100" s="1" t="b">
        <v>0</v>
      </c>
      <c r="M100" s="1" t="s">
        <v>522</v>
      </c>
      <c r="N100" s="1" t="s">
        <v>523</v>
      </c>
      <c r="P100" s="3"/>
      <c r="Q100" s="3"/>
      <c r="R100" s="3"/>
      <c r="S100" s="3"/>
      <c r="T100" s="1" t="s">
        <v>104</v>
      </c>
      <c r="U100" s="3"/>
      <c r="V100" s="3"/>
      <c r="W100" s="1" t="s">
        <v>105</v>
      </c>
      <c r="X100" s="3"/>
      <c r="Y100" s="1" t="s">
        <v>106</v>
      </c>
      <c r="Z100" s="3"/>
      <c r="AA100" s="1" t="b">
        <v>0</v>
      </c>
      <c r="AB100" s="1" t="b">
        <v>0</v>
      </c>
      <c r="AC100" s="1" t="b">
        <v>0</v>
      </c>
      <c r="AD100" s="1" t="b">
        <v>0</v>
      </c>
      <c r="AE100" s="1" t="b">
        <v>1</v>
      </c>
      <c r="AF100" s="3"/>
      <c r="AG100" s="3"/>
      <c r="AH100" s="3"/>
      <c r="AI100" s="3"/>
      <c r="AJ100" s="2">
        <v>46066.514861111114</v>
      </c>
      <c r="AK100" s="2">
        <v>46067.515335648146</v>
      </c>
      <c r="AM100" s="2">
        <v>46066.51527777778</v>
      </c>
      <c r="AN100" s="2">
        <v>46066.51527777778</v>
      </c>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5">
        <v>3.6</v>
      </c>
      <c r="CR100" s="4" t="s">
        <v>524</v>
      </c>
    </row>
    <row r="101">
      <c r="A101" s="1" t="s">
        <v>525</v>
      </c>
      <c r="B101" s="2">
        <v>46066.51322916667</v>
      </c>
      <c r="C101" s="1" t="str">
        <f t="array" ref="C101">INDEX('User data'!E:E, MATCH(E101, 'User data'!B:B, 0))</f>
        <v>주식회사 올세일코퍼레이션 (ALLSALE Corp.)</v>
      </c>
      <c r="D101" s="1" t="str">
        <f t="array" ref="D101">INDEX('User data'!F:F, MATCH(C101, 'User data'!E:E, 0))</f>
        <v>251-81-03375</v>
      </c>
      <c r="E101" s="1" t="s">
        <v>521</v>
      </c>
      <c r="F101" s="3"/>
      <c r="G101" s="3"/>
      <c r="H101" s="3"/>
      <c r="I101" s="3"/>
      <c r="J101" s="1" t="s">
        <v>100</v>
      </c>
      <c r="K101" s="1" t="s">
        <v>101</v>
      </c>
      <c r="L101" s="1" t="b">
        <v>0</v>
      </c>
      <c r="M101" s="4" t="s">
        <v>102</v>
      </c>
      <c r="N101" s="1" t="s">
        <v>523</v>
      </c>
      <c r="P101" s="3"/>
      <c r="Q101" s="3"/>
      <c r="R101" s="3"/>
      <c r="S101" s="3"/>
      <c r="T101" s="1" t="s">
        <v>104</v>
      </c>
      <c r="U101" s="3"/>
      <c r="V101" s="3"/>
      <c r="W101" s="1" t="s">
        <v>105</v>
      </c>
      <c r="X101" s="3"/>
      <c r="Y101" s="1" t="s">
        <v>106</v>
      </c>
      <c r="Z101" s="3"/>
      <c r="AA101" s="1" t="b">
        <v>0</v>
      </c>
      <c r="AB101" s="1" t="b">
        <v>0</v>
      </c>
      <c r="AC101" s="1" t="b">
        <v>0</v>
      </c>
      <c r="AD101" s="1" t="b">
        <v>0</v>
      </c>
      <c r="AE101" s="1" t="b">
        <v>1</v>
      </c>
      <c r="AF101" s="3"/>
      <c r="AG101" s="3"/>
      <c r="AH101" s="3"/>
      <c r="AI101" s="3"/>
      <c r="AJ101" s="2">
        <v>46066.513194444444</v>
      </c>
      <c r="AK101" s="2">
        <v>46067.513287037036</v>
      </c>
      <c r="AM101" s="2">
        <v>46066.51322916667</v>
      </c>
      <c r="AN101" s="2">
        <v>46066.51322916667</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5">
        <v>3.8</v>
      </c>
      <c r="CR101" s="4" t="s">
        <v>526</v>
      </c>
    </row>
    <row r="102">
      <c r="A102" s="1" t="s">
        <v>527</v>
      </c>
      <c r="B102" s="2">
        <v>46066.50216435185</v>
      </c>
      <c r="C102" s="1" t="str">
        <f t="array" ref="C102">INDEX('User data'!E:E, MATCH(E102, 'User data'!B:B, 0))</f>
        <v>주식회사 리프라이즈</v>
      </c>
      <c r="D102" s="1" t="str">
        <f t="array" ref="D102">INDEX('User data'!F:F, MATCH(C102, 'User data'!E:E, 0))</f>
        <v>421-87-03001</v>
      </c>
      <c r="E102" s="1" t="s">
        <v>528</v>
      </c>
      <c r="F102" s="3"/>
      <c r="G102" s="3"/>
      <c r="H102" s="3"/>
      <c r="I102" s="3"/>
      <c r="J102" s="1" t="s">
        <v>100</v>
      </c>
      <c r="K102" s="1" t="s">
        <v>101</v>
      </c>
      <c r="L102" s="1" t="b">
        <v>0</v>
      </c>
      <c r="M102" s="4" t="s">
        <v>102</v>
      </c>
      <c r="N102" s="1" t="s">
        <v>529</v>
      </c>
      <c r="P102" s="3"/>
      <c r="Q102" s="3"/>
      <c r="R102" s="3"/>
      <c r="S102" s="3"/>
      <c r="T102" s="1" t="s">
        <v>104</v>
      </c>
      <c r="U102" s="3"/>
      <c r="V102" s="3"/>
      <c r="W102" s="1" t="s">
        <v>105</v>
      </c>
      <c r="X102" s="3"/>
      <c r="Y102" s="1" t="s">
        <v>106</v>
      </c>
      <c r="Z102" s="3"/>
      <c r="AA102" s="1" t="b">
        <v>0</v>
      </c>
      <c r="AB102" s="1" t="b">
        <v>0</v>
      </c>
      <c r="AC102" s="1" t="b">
        <v>0</v>
      </c>
      <c r="AD102" s="1" t="b">
        <v>0</v>
      </c>
      <c r="AE102" s="1" t="b">
        <v>1</v>
      </c>
      <c r="AF102" s="3"/>
      <c r="AG102" s="3"/>
      <c r="AH102" s="3"/>
      <c r="AI102" s="3"/>
      <c r="AJ102" s="2">
        <v>46066.50208333333</v>
      </c>
      <c r="AK102" s="2">
        <v>46067.502222222225</v>
      </c>
      <c r="AM102" s="2">
        <v>46066.50216435185</v>
      </c>
      <c r="AN102" s="2">
        <v>46066.50216435185</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5">
        <v>5.0</v>
      </c>
      <c r="CR102" s="4" t="s">
        <v>530</v>
      </c>
    </row>
    <row r="103">
      <c r="A103" s="1" t="s">
        <v>531</v>
      </c>
      <c r="B103" s="2">
        <v>46066.49302083333</v>
      </c>
      <c r="C103" s="1" t="str">
        <f t="array" ref="C103">INDEX('User data'!E:E, MATCH(E103, 'User data'!B:B, 0))</f>
        <v>주식회사 바닐라브릿지</v>
      </c>
      <c r="D103" s="1" t="str">
        <f t="array" ref="D103">INDEX('User data'!F:F, MATCH(C103, 'User data'!E:E, 0))</f>
        <v>165-86-00709</v>
      </c>
      <c r="E103" s="1" t="s">
        <v>532</v>
      </c>
      <c r="F103" s="3"/>
      <c r="G103" s="3"/>
      <c r="H103" s="3"/>
      <c r="I103" s="3"/>
      <c r="J103" s="1" t="s">
        <v>100</v>
      </c>
      <c r="K103" s="1" t="s">
        <v>101</v>
      </c>
      <c r="L103" s="1" t="b">
        <v>0</v>
      </c>
      <c r="M103" s="4" t="s">
        <v>102</v>
      </c>
      <c r="N103" s="1" t="s">
        <v>533</v>
      </c>
      <c r="P103" s="3"/>
      <c r="Q103" s="3"/>
      <c r="R103" s="3"/>
      <c r="S103" s="3"/>
      <c r="T103" s="1" t="s">
        <v>104</v>
      </c>
      <c r="U103" s="3"/>
      <c r="V103" s="3"/>
      <c r="W103" s="1" t="s">
        <v>105</v>
      </c>
      <c r="X103" s="3"/>
      <c r="Y103" s="1" t="s">
        <v>106</v>
      </c>
      <c r="Z103" s="3"/>
      <c r="AA103" s="1" t="b">
        <v>0</v>
      </c>
      <c r="AB103" s="1" t="b">
        <v>0</v>
      </c>
      <c r="AC103" s="1" t="b">
        <v>0</v>
      </c>
      <c r="AD103" s="1" t="b">
        <v>0</v>
      </c>
      <c r="AE103" s="1" t="b">
        <v>1</v>
      </c>
      <c r="AF103" s="3"/>
      <c r="AG103" s="3"/>
      <c r="AH103" s="3"/>
      <c r="AI103" s="3"/>
      <c r="AJ103" s="2">
        <v>46066.4925</v>
      </c>
      <c r="AK103" s="2">
        <v>46067.600798611114</v>
      </c>
      <c r="AM103" s="2">
        <v>46066.49302083333</v>
      </c>
      <c r="AN103" s="2">
        <v>46066.49302083333</v>
      </c>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5">
        <v>5.0</v>
      </c>
      <c r="CR103" s="4" t="s">
        <v>534</v>
      </c>
    </row>
    <row r="104">
      <c r="A104" s="1" t="s">
        <v>535</v>
      </c>
      <c r="B104" s="2">
        <v>46066.48201388889</v>
      </c>
      <c r="C104" s="1" t="str">
        <f t="array" ref="C104">INDEX('User data'!E:E, MATCH(E104, 'User data'!B:B, 0))</f>
        <v>주식회사 라디우스랩</v>
      </c>
      <c r="D104" s="1" t="str">
        <f t="array" ref="D104">INDEX('User data'!F:F, MATCH(C104, 'User data'!E:E, 0))</f>
        <v>567-87-02875</v>
      </c>
      <c r="E104" s="1" t="s">
        <v>536</v>
      </c>
      <c r="F104" s="3"/>
      <c r="G104" s="3"/>
      <c r="H104" s="3"/>
      <c r="I104" s="1" t="s">
        <v>258</v>
      </c>
      <c r="J104" s="1" t="s">
        <v>100</v>
      </c>
      <c r="K104" s="1" t="s">
        <v>101</v>
      </c>
      <c r="L104" s="1" t="b">
        <v>0</v>
      </c>
      <c r="M104" s="4" t="s">
        <v>102</v>
      </c>
      <c r="N104" s="1" t="s">
        <v>537</v>
      </c>
      <c r="O104" s="1">
        <v>594863.0</v>
      </c>
      <c r="P104" s="1">
        <v>607950.0</v>
      </c>
      <c r="Q104" s="1">
        <v>594863.0</v>
      </c>
      <c r="R104" s="1" t="s">
        <v>117</v>
      </c>
      <c r="S104" s="1">
        <v>13288.0</v>
      </c>
      <c r="T104" s="1" t="s">
        <v>104</v>
      </c>
      <c r="U104" s="3"/>
      <c r="V104" s="3"/>
      <c r="W104" s="1" t="s">
        <v>118</v>
      </c>
      <c r="X104" s="3"/>
      <c r="Y104" s="1" t="s">
        <v>119</v>
      </c>
      <c r="Z104" s="3"/>
      <c r="AA104" s="1" t="b">
        <v>1</v>
      </c>
      <c r="AB104" s="1" t="b">
        <v>0</v>
      </c>
      <c r="AC104" s="1" t="b">
        <v>0</v>
      </c>
      <c r="AD104" s="1" t="b">
        <v>1</v>
      </c>
      <c r="AE104" s="1" t="b">
        <v>1</v>
      </c>
      <c r="AF104" s="5">
        <v>1.0</v>
      </c>
      <c r="AG104" s="5">
        <v>1.0</v>
      </c>
      <c r="AH104" s="3"/>
      <c r="AI104" s="3"/>
      <c r="AJ104" s="2">
        <v>46066.48196759259</v>
      </c>
      <c r="AK104" s="2">
        <v>46066.556979166664</v>
      </c>
      <c r="AL104" s="2">
        <v>46066.49217592592</v>
      </c>
      <c r="AM104" s="2">
        <v>46066.48201388889</v>
      </c>
      <c r="AN104" s="2">
        <v>46066.48201388889</v>
      </c>
      <c r="AO104" s="2">
        <v>46066.49140046296</v>
      </c>
      <c r="AP104" s="2">
        <v>46066.492210648146</v>
      </c>
      <c r="AQ104" s="2">
        <v>46066.49145833333</v>
      </c>
      <c r="AS104" s="2">
        <v>46066.49146990741</v>
      </c>
      <c r="AT104" s="2">
        <v>46066.49141203704</v>
      </c>
      <c r="AU104" s="2">
        <v>46066.49146990741</v>
      </c>
      <c r="AW104" s="3"/>
      <c r="AX104" s="2">
        <v>46066.49133101852</v>
      </c>
      <c r="AY104" s="2">
        <v>46066.49141203704</v>
      </c>
      <c r="AZ104" s="2">
        <v>46066.49140046296</v>
      </c>
      <c r="BA104" s="2">
        <v>46066.501122685186</v>
      </c>
      <c r="BC104" s="2">
        <v>46066.5153125</v>
      </c>
      <c r="BD104" s="2">
        <v>46066.5153125</v>
      </c>
      <c r="BE104" s="5">
        <v>834.0</v>
      </c>
      <c r="BF104" s="5">
        <v>834.0</v>
      </c>
      <c r="BG104" s="5">
        <v>834.0</v>
      </c>
      <c r="BH104" s="5">
        <v>834.0</v>
      </c>
      <c r="BI104" s="3"/>
      <c r="BJ104" s="3"/>
      <c r="BK104" s="5">
        <v>0.0</v>
      </c>
      <c r="BL104" s="5">
        <v>0.0</v>
      </c>
      <c r="BM104" s="5">
        <v>805.0</v>
      </c>
      <c r="BN104" s="5">
        <v>805.0</v>
      </c>
      <c r="BO104" s="5">
        <v>811.0</v>
      </c>
      <c r="BP104" s="5">
        <v>811.0</v>
      </c>
      <c r="BQ104" s="5">
        <v>811.0</v>
      </c>
      <c r="BR104" s="5">
        <v>811.0</v>
      </c>
      <c r="BS104" s="5">
        <v>6.0</v>
      </c>
      <c r="BT104" s="5">
        <v>6.0</v>
      </c>
      <c r="BU104" s="3"/>
      <c r="BV104" s="3"/>
      <c r="BW104" s="5">
        <v>0.0</v>
      </c>
      <c r="BX104" s="3"/>
      <c r="BY104" s="5">
        <v>2876.0</v>
      </c>
      <c r="BZ104" s="5">
        <v>2876.0</v>
      </c>
      <c r="CA104" s="5">
        <v>2876.0</v>
      </c>
      <c r="CB104" s="5">
        <v>2876.0</v>
      </c>
      <c r="CC104" s="5">
        <v>2876.0</v>
      </c>
      <c r="CD104" s="5">
        <v>2876.0</v>
      </c>
      <c r="CE104" s="5">
        <v>2071.0</v>
      </c>
      <c r="CF104" s="5">
        <v>2071.0</v>
      </c>
      <c r="CG104" s="5">
        <v>2064.0</v>
      </c>
      <c r="CH104" s="5">
        <v>2064.0</v>
      </c>
      <c r="CI104" s="5">
        <v>2064.0</v>
      </c>
      <c r="CJ104" s="5">
        <v>2064.0</v>
      </c>
      <c r="CK104" s="5">
        <v>2064.0</v>
      </c>
      <c r="CL104" s="5">
        <v>2064.0</v>
      </c>
      <c r="CM104" s="5">
        <v>2064.0</v>
      </c>
      <c r="CN104" s="5">
        <v>2064.0</v>
      </c>
      <c r="CO104" s="5">
        <v>3.0</v>
      </c>
      <c r="CP104" s="5">
        <v>811.0</v>
      </c>
      <c r="CQ104" s="3"/>
      <c r="CR104" s="4" t="s">
        <v>538</v>
      </c>
    </row>
    <row r="105">
      <c r="A105" s="1" t="s">
        <v>539</v>
      </c>
      <c r="B105" s="2">
        <v>46066.47141203703</v>
      </c>
      <c r="C105" s="1" t="str">
        <f t="array" ref="C105">INDEX('User data'!E:E, MATCH(E105, 'User data'!B:B, 0))</f>
        <v>(주）TGWP</v>
      </c>
      <c r="D105" s="1" t="str">
        <f t="array" ref="D105">INDEX('User data'!F:F, MATCH(C105, 'User data'!E:E, 0))</f>
        <v>211-88-10839</v>
      </c>
      <c r="E105" s="1" t="s">
        <v>540</v>
      </c>
      <c r="F105" s="3"/>
      <c r="G105" s="3"/>
      <c r="H105" s="3"/>
      <c r="I105" s="3"/>
      <c r="J105" s="1" t="s">
        <v>100</v>
      </c>
      <c r="K105" s="1" t="s">
        <v>101</v>
      </c>
      <c r="L105" s="1" t="b">
        <v>0</v>
      </c>
      <c r="M105" s="4" t="s">
        <v>102</v>
      </c>
      <c r="N105" s="1" t="s">
        <v>541</v>
      </c>
      <c r="P105" s="3"/>
      <c r="Q105" s="3"/>
      <c r="R105" s="3"/>
      <c r="S105" s="3"/>
      <c r="T105" s="1" t="s">
        <v>104</v>
      </c>
      <c r="U105" s="3"/>
      <c r="V105" s="3"/>
      <c r="W105" s="1" t="s">
        <v>105</v>
      </c>
      <c r="X105" s="3"/>
      <c r="Y105" s="1" t="s">
        <v>106</v>
      </c>
      <c r="Z105" s="3"/>
      <c r="AA105" s="1" t="b">
        <v>0</v>
      </c>
      <c r="AB105" s="1" t="b">
        <v>0</v>
      </c>
      <c r="AC105" s="1" t="b">
        <v>0</v>
      </c>
      <c r="AD105" s="1" t="b">
        <v>0</v>
      </c>
      <c r="AE105" s="1" t="b">
        <v>1</v>
      </c>
      <c r="AF105" s="3"/>
      <c r="AG105" s="3"/>
      <c r="AH105" s="3"/>
      <c r="AI105" s="3"/>
      <c r="AJ105" s="2">
        <v>46066.471180555556</v>
      </c>
      <c r="AK105" s="2">
        <v>46067.47146990741</v>
      </c>
      <c r="AM105" s="2">
        <v>46066.47141203703</v>
      </c>
      <c r="AN105" s="2">
        <v>46066.47141203703</v>
      </c>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5">
        <v>5.0</v>
      </c>
      <c r="CR105" s="4" t="s">
        <v>542</v>
      </c>
    </row>
    <row r="106">
      <c r="A106" s="1" t="s">
        <v>543</v>
      </c>
      <c r="B106" s="2">
        <v>46066.46679398148</v>
      </c>
      <c r="C106" s="1" t="str">
        <f t="array" ref="C106">INDEX('User data'!E:E, MATCH(E106, 'User data'!B:B, 0))</f>
        <v>주식회사 리펀디</v>
      </c>
      <c r="D106" s="1" t="str">
        <f t="array" ref="D106">INDEX('User data'!F:F, MATCH(C106, 'User data'!E:E, 0))</f>
        <v>294-87-03409</v>
      </c>
      <c r="E106" s="1" t="s">
        <v>544</v>
      </c>
      <c r="F106" s="3"/>
      <c r="G106" s="3"/>
      <c r="H106" s="3"/>
      <c r="I106" s="1" t="s">
        <v>253</v>
      </c>
      <c r="J106" s="1" t="s">
        <v>100</v>
      </c>
      <c r="K106" s="1" t="s">
        <v>101</v>
      </c>
      <c r="L106" s="1" t="b">
        <v>0</v>
      </c>
      <c r="M106" s="4" t="s">
        <v>102</v>
      </c>
      <c r="N106" s="1" t="s">
        <v>545</v>
      </c>
      <c r="O106" s="1">
        <v>607950.0</v>
      </c>
      <c r="P106" s="1">
        <v>607950.0</v>
      </c>
      <c r="Q106" s="1">
        <v>607950.0</v>
      </c>
      <c r="R106" s="1">
        <v>607950.0</v>
      </c>
      <c r="S106" s="3"/>
      <c r="T106" s="1" t="s">
        <v>104</v>
      </c>
      <c r="U106" s="3"/>
      <c r="V106" s="3"/>
      <c r="W106" s="1" t="s">
        <v>118</v>
      </c>
      <c r="X106" s="3"/>
      <c r="Y106" s="1" t="s">
        <v>119</v>
      </c>
      <c r="Z106" s="3"/>
      <c r="AA106" s="1" t="b">
        <v>1</v>
      </c>
      <c r="AB106" s="1" t="b">
        <v>0</v>
      </c>
      <c r="AC106" s="1" t="b">
        <v>0</v>
      </c>
      <c r="AD106" s="1" t="b">
        <v>1</v>
      </c>
      <c r="AE106" s="1" t="b">
        <v>1</v>
      </c>
      <c r="AF106" s="5">
        <v>1.0</v>
      </c>
      <c r="AG106" s="5">
        <v>1.0</v>
      </c>
      <c r="AH106" s="3"/>
      <c r="AI106" s="3"/>
      <c r="AJ106" s="2">
        <v>46066.46672453704</v>
      </c>
      <c r="AK106" s="2">
        <v>46066.614537037036</v>
      </c>
      <c r="AL106" s="2">
        <v>46066.572858796295</v>
      </c>
      <c r="AM106" s="2">
        <v>46066.46679398148</v>
      </c>
      <c r="AN106" s="2">
        <v>46066.46679398148</v>
      </c>
      <c r="AO106" s="2">
        <v>46066.49591435185</v>
      </c>
      <c r="AQ106" s="3"/>
      <c r="AR106" s="3"/>
      <c r="AS106" s="3"/>
      <c r="AT106" s="2">
        <v>46066.49591435185</v>
      </c>
      <c r="AU106" s="2">
        <v>46066.49591435185</v>
      </c>
      <c r="AW106" s="3"/>
      <c r="AX106" s="2">
        <v>46066.49587962963</v>
      </c>
      <c r="AY106" s="2">
        <v>46066.49591435185</v>
      </c>
      <c r="AZ106" s="2">
        <v>46066.49591435185</v>
      </c>
      <c r="BA106" s="2">
        <v>46066.49655092593</v>
      </c>
      <c r="BC106" s="2">
        <v>46066.572858796295</v>
      </c>
      <c r="BD106" s="2">
        <v>46066.572858796295</v>
      </c>
      <c r="BE106" s="5">
        <v>55.0</v>
      </c>
      <c r="BF106" s="5">
        <v>55.0</v>
      </c>
      <c r="BG106" s="5">
        <v>55.0</v>
      </c>
      <c r="BH106" s="5">
        <v>55.0</v>
      </c>
      <c r="BI106" s="3"/>
      <c r="BJ106" s="3"/>
      <c r="BK106" s="3"/>
      <c r="BL106" s="3"/>
      <c r="BM106" s="5">
        <v>2513.0</v>
      </c>
      <c r="BN106" s="5">
        <v>2513.0</v>
      </c>
      <c r="BO106" s="5">
        <v>2515.0</v>
      </c>
      <c r="BP106" s="5">
        <v>2515.0</v>
      </c>
      <c r="BQ106" s="5">
        <v>2515.0</v>
      </c>
      <c r="BR106" s="5">
        <v>2515.0</v>
      </c>
      <c r="BS106" s="5">
        <v>2.0</v>
      </c>
      <c r="BT106" s="5">
        <v>2.0</v>
      </c>
      <c r="BU106" s="3"/>
      <c r="BV106" s="3"/>
      <c r="BW106" s="5">
        <v>0.0</v>
      </c>
      <c r="BX106" s="3"/>
      <c r="BY106" s="5">
        <v>9163.0</v>
      </c>
      <c r="BZ106" s="5">
        <v>5563.0</v>
      </c>
      <c r="CA106" s="5">
        <v>9163.0</v>
      </c>
      <c r="CB106" s="5">
        <v>5563.0</v>
      </c>
      <c r="CC106" s="5">
        <v>9163.0</v>
      </c>
      <c r="CD106" s="5">
        <v>5563.0</v>
      </c>
      <c r="CE106" s="5">
        <v>6650.0</v>
      </c>
      <c r="CF106" s="5">
        <v>3050.0</v>
      </c>
      <c r="CG106" s="5">
        <v>6648.0</v>
      </c>
      <c r="CH106" s="5">
        <v>3048.0</v>
      </c>
      <c r="CI106" s="5">
        <v>6648.0</v>
      </c>
      <c r="CJ106" s="5">
        <v>3048.0</v>
      </c>
      <c r="CK106" s="5">
        <v>6648.0</v>
      </c>
      <c r="CL106" s="5">
        <v>3048.0</v>
      </c>
      <c r="CM106" s="5">
        <v>6648.0</v>
      </c>
      <c r="CN106" s="5">
        <v>3048.0</v>
      </c>
      <c r="CO106" s="3"/>
      <c r="CP106" s="5">
        <v>2515.0</v>
      </c>
      <c r="CQ106" s="3"/>
      <c r="CR106" s="4" t="s">
        <v>546</v>
      </c>
    </row>
    <row r="107">
      <c r="A107" s="1" t="s">
        <v>547</v>
      </c>
      <c r="B107" s="2">
        <v>46066.460439814815</v>
      </c>
      <c r="C107" s="1" t="str">
        <f t="array" ref="C107">INDEX('User data'!E:E, MATCH(E107, 'User data'!B:B, 0))</f>
        <v>주식회사 지투지바이오</v>
      </c>
      <c r="D107" s="1" t="str">
        <f t="array" ref="D107">INDEX('User data'!F:F, MATCH(C107, 'User data'!E:E, 0))</f>
        <v>195-88-00664</v>
      </c>
      <c r="E107" s="1" t="s">
        <v>548</v>
      </c>
      <c r="F107" s="3"/>
      <c r="G107" s="3"/>
      <c r="H107" s="1" t="s">
        <v>549</v>
      </c>
      <c r="I107" s="1" t="s">
        <v>253</v>
      </c>
      <c r="J107" s="1" t="s">
        <v>100</v>
      </c>
      <c r="K107" s="1" t="s">
        <v>101</v>
      </c>
      <c r="L107" s="1" t="b">
        <v>0</v>
      </c>
      <c r="M107" s="4" t="s">
        <v>102</v>
      </c>
      <c r="N107" s="1" t="s">
        <v>550</v>
      </c>
      <c r="O107" s="1">
        <v>574085.0</v>
      </c>
      <c r="P107" s="1">
        <v>574085.0</v>
      </c>
      <c r="Q107" s="1">
        <v>574085.0</v>
      </c>
      <c r="R107" s="1" t="s">
        <v>145</v>
      </c>
      <c r="S107" s="1">
        <v>13285.0</v>
      </c>
      <c r="T107" s="1" t="s">
        <v>104</v>
      </c>
      <c r="U107" s="3"/>
      <c r="V107" s="3"/>
      <c r="W107" s="1" t="s">
        <v>118</v>
      </c>
      <c r="X107" s="3"/>
      <c r="Y107" s="1" t="s">
        <v>106</v>
      </c>
      <c r="Z107" s="3"/>
      <c r="AA107" s="1" t="b">
        <v>1</v>
      </c>
      <c r="AB107" s="1" t="b">
        <v>0</v>
      </c>
      <c r="AC107" s="1" t="b">
        <v>0</v>
      </c>
      <c r="AD107" s="1" t="b">
        <v>1</v>
      </c>
      <c r="AE107" s="1" t="b">
        <v>1</v>
      </c>
      <c r="AF107" s="5">
        <v>1.0</v>
      </c>
      <c r="AG107" s="5">
        <v>1.0</v>
      </c>
      <c r="AH107" s="3"/>
      <c r="AI107" s="3"/>
      <c r="AJ107" s="2">
        <v>46066.460231481484</v>
      </c>
      <c r="AK107" s="2">
        <v>46073.56878472222</v>
      </c>
      <c r="AL107" s="2">
        <v>46066.46319444444</v>
      </c>
      <c r="AM107" s="2">
        <v>46066.460439814815</v>
      </c>
      <c r="AN107" s="2">
        <v>46066.460439814815</v>
      </c>
      <c r="AO107" s="2">
        <v>46066.462476851855</v>
      </c>
      <c r="AP107" s="2">
        <v>46066.463229166664</v>
      </c>
      <c r="AQ107" s="2">
        <v>46066.462476851855</v>
      </c>
      <c r="AS107" s="2">
        <v>46066.462488425925</v>
      </c>
      <c r="AT107" s="2">
        <v>46066.462476851855</v>
      </c>
      <c r="AU107" s="2">
        <v>46073.5418287037</v>
      </c>
      <c r="AW107" s="3"/>
      <c r="AX107" s="2">
        <v>46066.462488425925</v>
      </c>
      <c r="AY107" s="2">
        <v>46066.462488425925</v>
      </c>
      <c r="AZ107" s="2">
        <v>46066.48123842593</v>
      </c>
      <c r="BA107" s="2">
        <v>46066.48123842593</v>
      </c>
      <c r="BB107" s="2">
        <v>46072.56689814815</v>
      </c>
      <c r="BC107" s="2">
        <v>46073.56875</v>
      </c>
      <c r="BD107" s="2">
        <v>46073.56875</v>
      </c>
      <c r="BE107" s="5">
        <v>1621.0</v>
      </c>
      <c r="BF107" s="5">
        <v>1621.0</v>
      </c>
      <c r="BG107" s="5">
        <v>1621.0</v>
      </c>
      <c r="BH107" s="5">
        <v>1621.0</v>
      </c>
      <c r="BI107" s="5">
        <v>338248.0</v>
      </c>
      <c r="BJ107" s="5">
        <v>41018.0</v>
      </c>
      <c r="BK107" s="5">
        <v>1.0</v>
      </c>
      <c r="BL107" s="5">
        <v>1.0</v>
      </c>
      <c r="BM107" s="5">
        <v>177.0</v>
      </c>
      <c r="BN107" s="5">
        <v>177.0</v>
      </c>
      <c r="BO107" s="5">
        <v>1797.0</v>
      </c>
      <c r="BP107" s="5">
        <v>1797.0</v>
      </c>
      <c r="BQ107" s="5">
        <v>1797.0</v>
      </c>
      <c r="BR107" s="5">
        <v>1797.0</v>
      </c>
      <c r="BS107" s="5">
        <v>1619.0</v>
      </c>
      <c r="BT107" s="5">
        <v>1619.0</v>
      </c>
      <c r="BU107" s="5">
        <v>1619.0</v>
      </c>
      <c r="BV107" s="5">
        <v>1619.0</v>
      </c>
      <c r="BW107" s="5">
        <v>1621.0</v>
      </c>
      <c r="BX107" s="5">
        <v>1621.0</v>
      </c>
      <c r="BY107" s="5">
        <v>614158.0</v>
      </c>
      <c r="BZ107" s="5">
        <v>113758.0</v>
      </c>
      <c r="CA107" s="5">
        <v>614158.0</v>
      </c>
      <c r="CB107" s="5">
        <v>113758.0</v>
      </c>
      <c r="CC107" s="5">
        <v>614158.0</v>
      </c>
      <c r="CD107" s="5">
        <v>113758.0</v>
      </c>
      <c r="CE107" s="5">
        <v>613980.0</v>
      </c>
      <c r="CF107" s="5">
        <v>113580.0</v>
      </c>
      <c r="CG107" s="5">
        <v>613980.0</v>
      </c>
      <c r="CH107" s="5">
        <v>113580.0</v>
      </c>
      <c r="CI107" s="5">
        <v>613982.0</v>
      </c>
      <c r="CJ107" s="5">
        <v>113582.0</v>
      </c>
      <c r="CK107" s="5">
        <v>275732.0</v>
      </c>
      <c r="CL107" s="5">
        <v>72562.0</v>
      </c>
      <c r="CM107" s="5">
        <v>275732.0</v>
      </c>
      <c r="CN107" s="5">
        <v>72562.0</v>
      </c>
      <c r="CO107" s="5">
        <v>3.0</v>
      </c>
      <c r="CP107" s="5">
        <v>176.0</v>
      </c>
      <c r="CQ107" s="3"/>
      <c r="CR107" s="4" t="s">
        <v>551</v>
      </c>
    </row>
    <row r="108">
      <c r="A108" s="1" t="s">
        <v>552</v>
      </c>
      <c r="B108" s="2">
        <v>46066.448125</v>
      </c>
      <c r="C108" s="1" t="str">
        <f t="array" ref="C108">INDEX('User data'!E:E, MATCH(E108, 'User data'!B:B, 0))</f>
        <v>주식회사 바닐라브릿지</v>
      </c>
      <c r="D108" s="1" t="str">
        <f t="array" ref="D108">INDEX('User data'!F:F, MATCH(C108, 'User data'!E:E, 0))</f>
        <v>165-86-00709</v>
      </c>
      <c r="E108" s="1" t="s">
        <v>532</v>
      </c>
      <c r="F108" s="3"/>
      <c r="G108" s="3"/>
      <c r="H108" s="3"/>
      <c r="I108" s="1" t="s">
        <v>553</v>
      </c>
      <c r="J108" s="1" t="s">
        <v>100</v>
      </c>
      <c r="K108" s="1" t="s">
        <v>101</v>
      </c>
      <c r="L108" s="1" t="b">
        <v>0</v>
      </c>
      <c r="M108" s="4" t="s">
        <v>102</v>
      </c>
      <c r="N108" s="1" t="s">
        <v>533</v>
      </c>
      <c r="O108" s="1">
        <v>574085.0</v>
      </c>
      <c r="P108" s="1">
        <v>574085.0</v>
      </c>
      <c r="Q108" s="1">
        <v>574085.0</v>
      </c>
      <c r="R108" s="1">
        <v>574085.0</v>
      </c>
      <c r="S108" s="3"/>
      <c r="T108" s="1" t="s">
        <v>104</v>
      </c>
      <c r="U108" s="3"/>
      <c r="V108" s="3"/>
      <c r="W108" s="1" t="s">
        <v>118</v>
      </c>
      <c r="X108" s="3"/>
      <c r="Y108" s="1" t="s">
        <v>119</v>
      </c>
      <c r="Z108" s="3"/>
      <c r="AA108" s="1" t="b">
        <v>1</v>
      </c>
      <c r="AB108" s="1" t="b">
        <v>0</v>
      </c>
      <c r="AC108" s="1" t="b">
        <v>0</v>
      </c>
      <c r="AD108" s="1" t="b">
        <v>1</v>
      </c>
      <c r="AE108" s="1" t="b">
        <v>1</v>
      </c>
      <c r="AF108" s="5">
        <v>3.0</v>
      </c>
      <c r="AG108" s="5">
        <v>3.0</v>
      </c>
      <c r="AH108" s="3"/>
      <c r="AI108" s="3"/>
      <c r="AJ108" s="2">
        <v>46066.44802083333</v>
      </c>
      <c r="AK108" s="2">
        <v>46066.493935185186</v>
      </c>
      <c r="AL108" s="2">
        <v>46066.452256944445</v>
      </c>
      <c r="AM108" s="2">
        <v>46066.448125</v>
      </c>
      <c r="AN108" s="2">
        <v>46066.448125</v>
      </c>
      <c r="AO108" s="2">
        <v>46066.44875</v>
      </c>
      <c r="AP108" s="2">
        <v>46066.45245370371</v>
      </c>
      <c r="AR108" s="3"/>
      <c r="AS108" s="3"/>
      <c r="AT108" s="2">
        <v>46066.44898148148</v>
      </c>
      <c r="AU108" s="2">
        <v>46066.44898148148</v>
      </c>
      <c r="AW108" s="3"/>
      <c r="AX108" s="2">
        <v>46066.44907407407</v>
      </c>
      <c r="AY108" s="2">
        <v>46066.44898148148</v>
      </c>
      <c r="AZ108" s="2">
        <v>46066.44935185185</v>
      </c>
      <c r="BA108" s="2">
        <v>46066.4521875</v>
      </c>
      <c r="BC108" s="2">
        <v>46066.452256944445</v>
      </c>
      <c r="BD108" s="2">
        <v>46066.452256944445</v>
      </c>
      <c r="BE108" s="5">
        <v>160.0</v>
      </c>
      <c r="BF108" s="5">
        <v>160.0</v>
      </c>
      <c r="BG108" s="5">
        <v>53.0</v>
      </c>
      <c r="BH108" s="5">
        <v>53.0</v>
      </c>
      <c r="BI108" s="3"/>
      <c r="BJ108" s="3"/>
      <c r="BK108" s="3"/>
      <c r="BL108" s="3"/>
      <c r="BM108" s="5">
        <v>81.0</v>
      </c>
      <c r="BN108" s="5">
        <v>81.0</v>
      </c>
      <c r="BO108" s="5">
        <v>105.0</v>
      </c>
      <c r="BP108" s="5">
        <v>105.0</v>
      </c>
      <c r="BQ108" s="5">
        <v>105.0</v>
      </c>
      <c r="BR108" s="5">
        <v>105.0</v>
      </c>
      <c r="BS108" s="5">
        <v>23.0</v>
      </c>
      <c r="BT108" s="5">
        <v>23.0</v>
      </c>
      <c r="BU108" s="5">
        <v>32.0</v>
      </c>
      <c r="BV108" s="5">
        <v>32.0</v>
      </c>
      <c r="BW108" s="5">
        <v>32.0</v>
      </c>
      <c r="BX108" s="5">
        <v>32.0</v>
      </c>
      <c r="BY108" s="5">
        <v>357.0</v>
      </c>
      <c r="BZ108" s="5">
        <v>357.0</v>
      </c>
      <c r="CA108" s="5">
        <v>357.0</v>
      </c>
      <c r="CB108" s="5">
        <v>357.0</v>
      </c>
      <c r="CC108" s="5">
        <v>357.0</v>
      </c>
      <c r="CD108" s="5">
        <v>357.0</v>
      </c>
      <c r="CE108" s="5">
        <v>275.0</v>
      </c>
      <c r="CF108" s="5">
        <v>275.0</v>
      </c>
      <c r="CG108" s="5">
        <v>283.0</v>
      </c>
      <c r="CH108" s="5">
        <v>283.0</v>
      </c>
      <c r="CI108" s="5">
        <v>283.0</v>
      </c>
      <c r="CJ108" s="5">
        <v>283.0</v>
      </c>
      <c r="CK108" s="5">
        <v>283.0</v>
      </c>
      <c r="CL108" s="5">
        <v>283.0</v>
      </c>
      <c r="CM108" s="5">
        <v>283.0</v>
      </c>
      <c r="CN108" s="5">
        <v>283.0</v>
      </c>
      <c r="CO108" s="5">
        <v>16.0</v>
      </c>
      <c r="CP108" s="5">
        <v>54.0</v>
      </c>
      <c r="CQ108" s="3"/>
      <c r="CR108" s="4" t="s">
        <v>554</v>
      </c>
      <c r="CS108" s="5">
        <v>5.0</v>
      </c>
      <c r="CT108" s="3"/>
    </row>
    <row r="109">
      <c r="A109" s="1" t="s">
        <v>555</v>
      </c>
      <c r="B109" s="2">
        <v>46066.445081018515</v>
      </c>
      <c r="C109" s="1" t="str">
        <f t="array" ref="C109">INDEX('User data'!E:E, MATCH(E109, 'User data'!B:B, 0))</f>
        <v>주식회사 지투지바이오</v>
      </c>
      <c r="D109" s="1" t="str">
        <f t="array" ref="D109">INDEX('User data'!F:F, MATCH(C109, 'User data'!E:E, 0))</f>
        <v>195-88-00664</v>
      </c>
      <c r="E109" s="1" t="s">
        <v>548</v>
      </c>
      <c r="F109" s="3"/>
      <c r="G109" s="3"/>
      <c r="H109" s="3"/>
      <c r="I109" s="3"/>
      <c r="J109" s="1" t="s">
        <v>100</v>
      </c>
      <c r="K109" s="1" t="s">
        <v>101</v>
      </c>
      <c r="L109" s="1" t="b">
        <v>0</v>
      </c>
      <c r="M109" s="4" t="s">
        <v>102</v>
      </c>
      <c r="N109" s="1" t="s">
        <v>550</v>
      </c>
      <c r="P109" s="3"/>
      <c r="Q109" s="3"/>
      <c r="R109" s="3"/>
      <c r="S109" s="3"/>
      <c r="T109" s="1" t="s">
        <v>104</v>
      </c>
      <c r="U109" s="3"/>
      <c r="V109" s="3"/>
      <c r="W109" s="1" t="s">
        <v>105</v>
      </c>
      <c r="X109" s="3"/>
      <c r="Y109" s="1" t="s">
        <v>106</v>
      </c>
      <c r="Z109" s="3"/>
      <c r="AA109" s="1" t="b">
        <v>0</v>
      </c>
      <c r="AB109" s="1" t="b">
        <v>0</v>
      </c>
      <c r="AC109" s="1" t="b">
        <v>0</v>
      </c>
      <c r="AD109" s="1" t="b">
        <v>0</v>
      </c>
      <c r="AE109" s="1" t="b">
        <v>1</v>
      </c>
      <c r="AF109" s="3"/>
      <c r="AG109" s="3"/>
      <c r="AH109" s="3"/>
      <c r="AI109" s="3"/>
      <c r="AJ109" s="2">
        <v>46066.4450462963</v>
      </c>
      <c r="AK109" s="2">
        <v>46067.45039351852</v>
      </c>
      <c r="AM109" s="2">
        <v>46066.445081018515</v>
      </c>
      <c r="AN109" s="2">
        <v>46066.445081018515</v>
      </c>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5">
        <v>5.0</v>
      </c>
      <c r="CR109" s="4" t="s">
        <v>556</v>
      </c>
    </row>
    <row r="110">
      <c r="A110" s="1" t="s">
        <v>557</v>
      </c>
      <c r="B110" s="2">
        <v>46066.444814814815</v>
      </c>
      <c r="C110" s="1" t="str">
        <f t="array" ref="C110">INDEX('User data'!E:E, MATCH(E110, 'User data'!B:B, 0))</f>
        <v>주식회사 지투지바이오</v>
      </c>
      <c r="D110" s="1" t="str">
        <f t="array" ref="D110">INDEX('User data'!F:F, MATCH(C110, 'User data'!E:E, 0))</f>
        <v>195-88-00664</v>
      </c>
      <c r="E110" s="1" t="s">
        <v>548</v>
      </c>
      <c r="F110" s="3"/>
      <c r="G110" s="3"/>
      <c r="H110" s="3"/>
      <c r="I110" s="3"/>
      <c r="J110" s="1" t="s">
        <v>100</v>
      </c>
      <c r="K110" s="1" t="s">
        <v>101</v>
      </c>
      <c r="L110" s="1" t="b">
        <v>0</v>
      </c>
      <c r="M110" s="4" t="s">
        <v>102</v>
      </c>
      <c r="N110" s="1" t="s">
        <v>550</v>
      </c>
      <c r="P110" s="3"/>
      <c r="Q110" s="3"/>
      <c r="R110" s="3"/>
      <c r="S110" s="3"/>
      <c r="T110" s="1" t="s">
        <v>104</v>
      </c>
      <c r="U110" s="3"/>
      <c r="V110" s="3"/>
      <c r="W110" s="1" t="s">
        <v>105</v>
      </c>
      <c r="X110" s="3"/>
      <c r="Y110" s="1" t="s">
        <v>106</v>
      </c>
      <c r="Z110" s="3"/>
      <c r="AA110" s="1" t="b">
        <v>0</v>
      </c>
      <c r="AB110" s="1" t="b">
        <v>0</v>
      </c>
      <c r="AC110" s="1" t="b">
        <v>0</v>
      </c>
      <c r="AD110" s="1" t="b">
        <v>0</v>
      </c>
      <c r="AE110" s="1" t="b">
        <v>1</v>
      </c>
      <c r="AF110" s="3"/>
      <c r="AG110" s="3"/>
      <c r="AH110" s="3"/>
      <c r="AI110" s="3"/>
      <c r="AJ110" s="2">
        <v>46066.44472222222</v>
      </c>
      <c r="AK110" s="2">
        <v>46067.444861111115</v>
      </c>
      <c r="AM110" s="2">
        <v>46066.444814814815</v>
      </c>
      <c r="AN110" s="2">
        <v>46066.444814814815</v>
      </c>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5">
        <v>5.0</v>
      </c>
      <c r="CR110" s="4" t="s">
        <v>558</v>
      </c>
    </row>
    <row r="111">
      <c r="A111" s="1" t="s">
        <v>559</v>
      </c>
      <c r="B111" s="2">
        <v>46066.432708333334</v>
      </c>
      <c r="C111" s="1" t="str">
        <f t="array" ref="C111">INDEX('User data'!E:E, MATCH(E111, 'User data'!B:B, 0))</f>
        <v>주식회사 더라스트</v>
      </c>
      <c r="D111" s="1" t="str">
        <f t="array" ref="D111">INDEX('User data'!F:F, MATCH(C111, 'User data'!E:E, 0))</f>
        <v>101-86-92452</v>
      </c>
      <c r="E111" s="1" t="s">
        <v>560</v>
      </c>
      <c r="F111" s="3"/>
      <c r="G111" s="3"/>
      <c r="H111" s="3"/>
      <c r="I111" s="3"/>
      <c r="J111" s="1" t="s">
        <v>100</v>
      </c>
      <c r="K111" s="1" t="s">
        <v>101</v>
      </c>
      <c r="L111" s="1" t="b">
        <v>0</v>
      </c>
      <c r="M111" s="4" t="s">
        <v>102</v>
      </c>
      <c r="N111" s="1" t="s">
        <v>561</v>
      </c>
      <c r="P111" s="3"/>
      <c r="Q111" s="3"/>
      <c r="R111" s="3"/>
      <c r="S111" s="3"/>
      <c r="T111" s="1" t="s">
        <v>104</v>
      </c>
      <c r="U111" s="3"/>
      <c r="V111" s="3"/>
      <c r="W111" s="1" t="s">
        <v>105</v>
      </c>
      <c r="X111" s="3"/>
      <c r="Y111" s="1" t="s">
        <v>106</v>
      </c>
      <c r="Z111" s="3"/>
      <c r="AA111" s="1" t="b">
        <v>0</v>
      </c>
      <c r="AB111" s="1" t="b">
        <v>0</v>
      </c>
      <c r="AC111" s="1" t="b">
        <v>0</v>
      </c>
      <c r="AD111" s="1" t="b">
        <v>0</v>
      </c>
      <c r="AE111" s="1" t="b">
        <v>1</v>
      </c>
      <c r="AF111" s="3"/>
      <c r="AG111" s="3"/>
      <c r="AH111" s="3"/>
      <c r="AI111" s="3"/>
      <c r="AJ111" s="2">
        <v>46066.43240740741</v>
      </c>
      <c r="AK111" s="2">
        <v>46067.432754629626</v>
      </c>
      <c r="AM111" s="2">
        <v>46066.43269675926</v>
      </c>
      <c r="AN111" s="2">
        <v>46066.432708333334</v>
      </c>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5">
        <v>1.8</v>
      </c>
      <c r="CR111" s="4" t="s">
        <v>562</v>
      </c>
    </row>
    <row r="112">
      <c r="A112" s="1" t="s">
        <v>563</v>
      </c>
      <c r="B112" s="2">
        <v>46066.41196759259</v>
      </c>
      <c r="C112" s="1" t="str">
        <f t="array" ref="C112">INDEX('User data'!E:E, MATCH(E112, 'User data'!B:B, 0))</f>
        <v>로지스핏 주식회사</v>
      </c>
      <c r="D112" s="1" t="str">
        <f t="array" ref="D112">INDEX('User data'!F:F, MATCH(C112, 'User data'!E:E, 0))</f>
        <v>186-88-02334</v>
      </c>
      <c r="E112" s="1" t="s">
        <v>564</v>
      </c>
      <c r="F112" s="3"/>
      <c r="G112" s="3"/>
      <c r="H112" s="1" t="s">
        <v>565</v>
      </c>
      <c r="J112" s="1" t="s">
        <v>100</v>
      </c>
      <c r="K112" s="1" t="s">
        <v>101</v>
      </c>
      <c r="L112" s="1" t="b">
        <v>0</v>
      </c>
      <c r="M112" s="4" t="s">
        <v>102</v>
      </c>
      <c r="N112" s="1" t="s">
        <v>566</v>
      </c>
      <c r="P112" s="3"/>
      <c r="Q112" s="3"/>
      <c r="R112" s="3"/>
      <c r="S112" s="3"/>
      <c r="T112" s="1" t="s">
        <v>104</v>
      </c>
      <c r="U112" s="3"/>
      <c r="V112" s="3"/>
      <c r="W112" s="1" t="s">
        <v>118</v>
      </c>
      <c r="X112" s="3"/>
      <c r="Y112" s="1" t="s">
        <v>106</v>
      </c>
      <c r="Z112" s="3"/>
      <c r="AA112" s="1" t="b">
        <v>0</v>
      </c>
      <c r="AB112" s="1" t="b">
        <v>0</v>
      </c>
      <c r="AC112" s="1" t="b">
        <v>0</v>
      </c>
      <c r="AD112" s="1" t="b">
        <v>0</v>
      </c>
      <c r="AE112" s="1" t="b">
        <v>1</v>
      </c>
      <c r="AF112" s="3"/>
      <c r="AG112" s="3"/>
      <c r="AH112" s="3"/>
      <c r="AI112" s="3"/>
      <c r="AJ112" s="2">
        <v>46066.41144675926</v>
      </c>
      <c r="AK112" s="2">
        <v>46067.41201388889</v>
      </c>
      <c r="AM112" s="2">
        <v>46066.41196759259</v>
      </c>
      <c r="AN112" s="2">
        <v>46066.41196759259</v>
      </c>
      <c r="AP112" s="3"/>
      <c r="AQ112" s="3"/>
      <c r="AR112" s="3"/>
      <c r="AS112" s="3"/>
      <c r="AT112" s="3"/>
      <c r="AU112" s="3"/>
      <c r="AV112" s="3"/>
      <c r="AW112" s="3"/>
      <c r="AX112" s="3"/>
      <c r="AY112" s="3"/>
      <c r="AZ112" s="3"/>
      <c r="BA112" s="3"/>
      <c r="BB112" s="3"/>
      <c r="BC112" s="2">
        <v>46066.41337962963</v>
      </c>
      <c r="BD112" s="2">
        <v>46066.41337962963</v>
      </c>
      <c r="BF112" s="3"/>
      <c r="BG112" s="3"/>
      <c r="BH112" s="3"/>
      <c r="BI112" s="3"/>
      <c r="BJ112" s="3"/>
      <c r="BK112" s="3"/>
      <c r="BL112" s="3"/>
      <c r="BM112" s="3"/>
      <c r="BN112" s="3"/>
      <c r="BO112" s="3"/>
      <c r="BP112" s="3"/>
      <c r="BQ112" s="3"/>
      <c r="BR112" s="3"/>
      <c r="BS112" s="3"/>
      <c r="BT112" s="3"/>
      <c r="BU112" s="3"/>
      <c r="BV112" s="3"/>
      <c r="BW112" s="3"/>
      <c r="BX112" s="3"/>
      <c r="BY112" s="5">
        <v>122.0</v>
      </c>
      <c r="BZ112" s="5">
        <v>0.0</v>
      </c>
      <c r="CA112" s="5">
        <v>122.0</v>
      </c>
      <c r="CB112" s="5">
        <v>0.0</v>
      </c>
      <c r="CC112" s="5">
        <v>122.0</v>
      </c>
      <c r="CD112" s="5">
        <v>0.0</v>
      </c>
      <c r="CE112" s="3"/>
      <c r="CF112" s="3"/>
      <c r="CG112" s="3"/>
      <c r="CH112" s="3"/>
      <c r="CI112" s="3"/>
      <c r="CJ112" s="3"/>
      <c r="CK112" s="3"/>
      <c r="CL112" s="3"/>
      <c r="CM112" s="3"/>
      <c r="CN112" s="3"/>
      <c r="CO112" s="3"/>
      <c r="CP112" s="3"/>
      <c r="CQ112" s="5">
        <v>5.0</v>
      </c>
      <c r="CR112" s="4" t="s">
        <v>567</v>
      </c>
    </row>
    <row r="113">
      <c r="A113" s="1" t="s">
        <v>568</v>
      </c>
      <c r="B113" s="2">
        <v>46066.37777777778</v>
      </c>
      <c r="C113" s="1" t="str">
        <f t="array" ref="C113">INDEX('User data'!E:E, MATCH(E113, 'User data'!B:B, 0))</f>
        <v>주식회사 위밋모빌리티</v>
      </c>
      <c r="D113" s="1" t="str">
        <f t="array" ref="D113">INDEX('User data'!F:F, MATCH(C113, 'User data'!E:E, 0))</f>
        <v>806-87-00694</v>
      </c>
      <c r="E113" s="1" t="s">
        <v>569</v>
      </c>
      <c r="F113" s="3"/>
      <c r="G113" s="3"/>
      <c r="H113" s="3"/>
      <c r="I113" s="3"/>
      <c r="J113" s="1" t="s">
        <v>100</v>
      </c>
      <c r="K113" s="1" t="s">
        <v>101</v>
      </c>
      <c r="L113" s="1" t="b">
        <v>0</v>
      </c>
      <c r="M113" s="4" t="s">
        <v>570</v>
      </c>
      <c r="N113" s="1" t="s">
        <v>571</v>
      </c>
      <c r="P113" s="3"/>
      <c r="Q113" s="3"/>
      <c r="R113" s="3"/>
      <c r="S113" s="3"/>
      <c r="T113" s="1" t="s">
        <v>104</v>
      </c>
      <c r="U113" s="3"/>
      <c r="V113" s="3"/>
      <c r="W113" s="1" t="s">
        <v>105</v>
      </c>
      <c r="X113" s="3"/>
      <c r="Y113" s="1" t="s">
        <v>106</v>
      </c>
      <c r="Z113" s="3"/>
      <c r="AA113" s="1" t="b">
        <v>0</v>
      </c>
      <c r="AB113" s="1" t="b">
        <v>0</v>
      </c>
      <c r="AC113" s="1" t="b">
        <v>0</v>
      </c>
      <c r="AD113" s="1" t="b">
        <v>0</v>
      </c>
      <c r="AE113" s="1" t="b">
        <v>1</v>
      </c>
      <c r="AF113" s="3"/>
      <c r="AG113" s="3"/>
      <c r="AH113" s="3"/>
      <c r="AI113" s="3"/>
      <c r="AJ113" s="2">
        <v>46066.37741898148</v>
      </c>
      <c r="AK113" s="2">
        <v>46067.3816087963</v>
      </c>
      <c r="AM113" s="2">
        <v>46066.37777777778</v>
      </c>
      <c r="AN113" s="2">
        <v>46066.37777777778</v>
      </c>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5">
        <v>5.0</v>
      </c>
      <c r="CR113" s="4" t="s">
        <v>572</v>
      </c>
    </row>
    <row r="114">
      <c r="A114" s="1" t="s">
        <v>573</v>
      </c>
      <c r="B114" s="2">
        <v>46066.376967592594</v>
      </c>
      <c r="C114" s="1" t="str">
        <f t="array" ref="C114">INDEX('User data'!E:E, MATCH(E114, 'User data'!B:B, 0))</f>
        <v>주식회사 위밋모빌리티</v>
      </c>
      <c r="D114" s="1" t="str">
        <f t="array" ref="D114">INDEX('User data'!F:F, MATCH(C114, 'User data'!E:E, 0))</f>
        <v>806-87-00694</v>
      </c>
      <c r="E114" s="1" t="s">
        <v>569</v>
      </c>
      <c r="F114" s="3"/>
      <c r="G114" s="3"/>
      <c r="H114" s="3"/>
      <c r="I114" s="3"/>
      <c r="J114" s="1" t="s">
        <v>100</v>
      </c>
      <c r="K114" s="1" t="s">
        <v>101</v>
      </c>
      <c r="L114" s="1" t="b">
        <v>0</v>
      </c>
      <c r="M114" s="4" t="s">
        <v>102</v>
      </c>
      <c r="N114" s="1" t="s">
        <v>571</v>
      </c>
      <c r="P114" s="3"/>
      <c r="Q114" s="3"/>
      <c r="R114" s="3"/>
      <c r="S114" s="3"/>
      <c r="T114" s="1" t="s">
        <v>104</v>
      </c>
      <c r="U114" s="3"/>
      <c r="V114" s="3"/>
      <c r="W114" s="1" t="s">
        <v>105</v>
      </c>
      <c r="X114" s="3"/>
      <c r="Y114" s="1" t="s">
        <v>106</v>
      </c>
      <c r="Z114" s="3"/>
      <c r="AA114" s="1" t="b">
        <v>0</v>
      </c>
      <c r="AB114" s="1" t="b">
        <v>0</v>
      </c>
      <c r="AC114" s="1" t="b">
        <v>0</v>
      </c>
      <c r="AD114" s="1" t="b">
        <v>0</v>
      </c>
      <c r="AE114" s="1" t="b">
        <v>1</v>
      </c>
      <c r="AF114" s="3"/>
      <c r="AG114" s="3"/>
      <c r="AH114" s="3"/>
      <c r="AI114" s="3"/>
      <c r="AJ114" s="2">
        <v>46066.37693287037</v>
      </c>
      <c r="AK114" s="2">
        <v>46067.37701388889</v>
      </c>
      <c r="AM114" s="2">
        <v>46066.376967592594</v>
      </c>
      <c r="AN114" s="2">
        <v>46066.376967592594</v>
      </c>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5">
        <v>5.0</v>
      </c>
      <c r="CR114" s="4" t="s">
        <v>574</v>
      </c>
    </row>
    <row r="115">
      <c r="A115" s="1" t="s">
        <v>575</v>
      </c>
      <c r="B115" s="2">
        <v>46066.34478009259</v>
      </c>
      <c r="C115" s="1" t="str">
        <f t="array" ref="C115">INDEX('User data'!E:E, MATCH(E115, 'User data'!B:B, 0))</f>
        <v>주식회사 어글리랩</v>
      </c>
      <c r="D115" s="1" t="str">
        <f t="array" ref="D115">INDEX('User data'!F:F, MATCH(C115, 'User data'!E:E, 0))</f>
        <v>524-86-02323</v>
      </c>
      <c r="E115" s="1" t="s">
        <v>576</v>
      </c>
      <c r="F115" s="3"/>
      <c r="G115" s="3"/>
      <c r="H115" s="3"/>
      <c r="I115" s="3"/>
      <c r="J115" s="1" t="s">
        <v>100</v>
      </c>
      <c r="K115" s="1" t="s">
        <v>101</v>
      </c>
      <c r="L115" s="1" t="b">
        <v>0</v>
      </c>
      <c r="M115" s="4" t="s">
        <v>102</v>
      </c>
      <c r="N115" s="1" t="s">
        <v>577</v>
      </c>
      <c r="P115" s="3"/>
      <c r="Q115" s="3"/>
      <c r="R115" s="3"/>
      <c r="S115" s="3"/>
      <c r="T115" s="1" t="s">
        <v>104</v>
      </c>
      <c r="U115" s="3"/>
      <c r="V115" s="3"/>
      <c r="W115" s="1" t="s">
        <v>105</v>
      </c>
      <c r="X115" s="3"/>
      <c r="Y115" s="1" t="s">
        <v>106</v>
      </c>
      <c r="Z115" s="3"/>
      <c r="AA115" s="1" t="b">
        <v>0</v>
      </c>
      <c r="AB115" s="1" t="b">
        <v>0</v>
      </c>
      <c r="AC115" s="1" t="b">
        <v>0</v>
      </c>
      <c r="AD115" s="1" t="b">
        <v>0</v>
      </c>
      <c r="AE115" s="1" t="b">
        <v>1</v>
      </c>
      <c r="AF115" s="3"/>
      <c r="AG115" s="3"/>
      <c r="AH115" s="3"/>
      <c r="AI115" s="3"/>
      <c r="AJ115" s="2">
        <v>46066.34380787037</v>
      </c>
      <c r="AK115" s="2">
        <v>46067.34537037037</v>
      </c>
      <c r="AM115" s="2">
        <v>46066.34478009259</v>
      </c>
      <c r="AN115" s="2">
        <v>46066.34478009259</v>
      </c>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5">
        <v>3.4</v>
      </c>
      <c r="CR115" s="4" t="s">
        <v>578</v>
      </c>
    </row>
    <row r="116">
      <c r="A116" s="1" t="s">
        <v>579</v>
      </c>
      <c r="B116" s="2">
        <v>46065.79349537037</v>
      </c>
      <c r="C116" s="1" t="str">
        <f t="array" ref="C116">INDEX('User data'!E:E, MATCH(E116, 'User data'!B:B, 0))</f>
        <v>주식회사 고위드(GOWID Inc)</v>
      </c>
      <c r="D116" s="1" t="str">
        <f t="array" ref="D116">INDEX('User data'!F:F, MATCH(C116, 'User data'!E:E, 0))</f>
        <v>261-81-25793</v>
      </c>
      <c r="E116" s="1" t="s">
        <v>580</v>
      </c>
      <c r="F116" s="3"/>
      <c r="G116" s="3"/>
      <c r="H116" s="3"/>
      <c r="I116" s="3"/>
      <c r="J116" s="1" t="s">
        <v>100</v>
      </c>
      <c r="K116" s="1" t="s">
        <v>101</v>
      </c>
      <c r="L116" s="1" t="b">
        <v>0</v>
      </c>
      <c r="M116" s="4" t="s">
        <v>102</v>
      </c>
      <c r="N116" s="1" t="s">
        <v>581</v>
      </c>
      <c r="P116" s="3"/>
      <c r="Q116" s="3"/>
      <c r="R116" s="3"/>
      <c r="S116" s="3"/>
      <c r="T116" s="1" t="s">
        <v>104</v>
      </c>
      <c r="U116" s="3"/>
      <c r="V116" s="3"/>
      <c r="W116" s="1" t="s">
        <v>105</v>
      </c>
      <c r="X116" s="3"/>
      <c r="Y116" s="1" t="s">
        <v>106</v>
      </c>
      <c r="Z116" s="3"/>
      <c r="AA116" s="1" t="b">
        <v>0</v>
      </c>
      <c r="AB116" s="1" t="b">
        <v>0</v>
      </c>
      <c r="AC116" s="1" t="b">
        <v>0</v>
      </c>
      <c r="AD116" s="1" t="b">
        <v>0</v>
      </c>
      <c r="AE116" s="1" t="b">
        <v>1</v>
      </c>
      <c r="AF116" s="3"/>
      <c r="AG116" s="3"/>
      <c r="AH116" s="3"/>
      <c r="AI116" s="3"/>
      <c r="AJ116" s="2">
        <v>46065.7934375</v>
      </c>
      <c r="AK116" s="2">
        <v>46066.79356481481</v>
      </c>
      <c r="AM116" s="2">
        <v>46065.79349537037</v>
      </c>
      <c r="AN116" s="2">
        <v>46065.79349537037</v>
      </c>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5">
        <v>3.6</v>
      </c>
      <c r="CR116" s="4" t="s">
        <v>582</v>
      </c>
    </row>
    <row r="117">
      <c r="A117" s="1" t="s">
        <v>583</v>
      </c>
      <c r="B117" s="2">
        <v>46065.759675925925</v>
      </c>
      <c r="C117" s="1" t="str">
        <f t="array" ref="C117">INDEX('User data'!E:E, MATCH(E117, 'User data'!B:B, 0))</f>
        <v>주식회사 언엑스</v>
      </c>
      <c r="D117" s="1" t="str">
        <f t="array" ref="D117">INDEX('User data'!F:F, MATCH(C117, 'User data'!E:E, 0))</f>
        <v>118-88-03591</v>
      </c>
      <c r="E117" s="1" t="s">
        <v>584</v>
      </c>
      <c r="F117" s="3"/>
      <c r="G117" s="3"/>
      <c r="H117" s="3"/>
      <c r="I117" s="3"/>
      <c r="J117" s="1" t="s">
        <v>100</v>
      </c>
      <c r="K117" s="1" t="s">
        <v>101</v>
      </c>
      <c r="L117" s="1" t="b">
        <v>0</v>
      </c>
      <c r="M117" s="4" t="s">
        <v>102</v>
      </c>
      <c r="N117" s="1" t="s">
        <v>585</v>
      </c>
      <c r="P117" s="3"/>
      <c r="Q117" s="3"/>
      <c r="R117" s="3"/>
      <c r="S117" s="3"/>
      <c r="T117" s="1" t="s">
        <v>104</v>
      </c>
      <c r="U117" s="3"/>
      <c r="V117" s="3"/>
      <c r="W117" s="1" t="s">
        <v>105</v>
      </c>
      <c r="X117" s="3"/>
      <c r="Y117" s="1" t="s">
        <v>106</v>
      </c>
      <c r="Z117" s="3"/>
      <c r="AA117" s="1" t="b">
        <v>0</v>
      </c>
      <c r="AB117" s="1" t="b">
        <v>0</v>
      </c>
      <c r="AC117" s="1" t="b">
        <v>0</v>
      </c>
      <c r="AD117" s="1" t="b">
        <v>0</v>
      </c>
      <c r="AE117" s="1" t="b">
        <v>1</v>
      </c>
      <c r="AF117" s="3"/>
      <c r="AG117" s="3"/>
      <c r="AH117" s="3"/>
      <c r="AI117" s="3"/>
      <c r="AJ117" s="2">
        <v>46065.7596412037</v>
      </c>
      <c r="AK117" s="2">
        <v>46066.759733796294</v>
      </c>
      <c r="AM117" s="2">
        <v>46065.759675925925</v>
      </c>
      <c r="AN117" s="2">
        <v>46065.759675925925</v>
      </c>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5">
        <v>3.4</v>
      </c>
      <c r="CR117" s="4" t="s">
        <v>586</v>
      </c>
    </row>
    <row r="118">
      <c r="A118" s="1" t="s">
        <v>587</v>
      </c>
      <c r="B118" s="2">
        <v>46065.7309837963</v>
      </c>
      <c r="C118" s="1" t="str">
        <f t="array" ref="C118">INDEX('User data'!E:E, MATCH(E118, 'User data'!B:B, 0))</f>
        <v>주식회사 보살핌</v>
      </c>
      <c r="D118" s="1" t="str">
        <f t="array" ref="D118">INDEX('User data'!F:F, MATCH(C118, 'User data'!E:E, 0))</f>
        <v>440-88-02179</v>
      </c>
      <c r="E118" s="1" t="s">
        <v>588</v>
      </c>
      <c r="F118" s="3"/>
      <c r="G118" s="3"/>
      <c r="H118" s="1" t="s">
        <v>589</v>
      </c>
      <c r="J118" s="1" t="s">
        <v>100</v>
      </c>
      <c r="K118" s="1" t="s">
        <v>173</v>
      </c>
      <c r="L118" s="1" t="b">
        <v>0</v>
      </c>
      <c r="M118" s="3"/>
      <c r="N118" s="1" t="s">
        <v>590</v>
      </c>
      <c r="O118" s="1">
        <v>574085.0</v>
      </c>
      <c r="P118" s="1">
        <v>574085.0</v>
      </c>
      <c r="Q118" s="1">
        <v>574085.0</v>
      </c>
      <c r="R118" s="1">
        <v>574085.0</v>
      </c>
      <c r="S118" s="3"/>
      <c r="T118" s="1" t="s">
        <v>175</v>
      </c>
      <c r="U118" s="1" t="s">
        <v>175</v>
      </c>
      <c r="V118" s="3"/>
      <c r="W118" s="1" t="s">
        <v>118</v>
      </c>
      <c r="X118" s="3"/>
      <c r="Y118" s="1" t="s">
        <v>106</v>
      </c>
      <c r="Z118" s="3"/>
      <c r="AA118" s="1" t="b">
        <v>1</v>
      </c>
      <c r="AB118" s="1" t="b">
        <v>0</v>
      </c>
      <c r="AC118" s="1" t="b">
        <v>0</v>
      </c>
      <c r="AD118" s="1" t="b">
        <v>0</v>
      </c>
      <c r="AE118" s="1" t="b">
        <v>0</v>
      </c>
      <c r="AF118" s="3"/>
      <c r="AG118" s="3"/>
      <c r="AH118" s="3"/>
      <c r="AI118" s="3"/>
      <c r="AJ118" s="2">
        <v>46065.72881944444</v>
      </c>
      <c r="AK118" s="2">
        <v>46073.56862268518</v>
      </c>
      <c r="AM118" s="2">
        <v>46065.7309837963</v>
      </c>
      <c r="AO118" s="3"/>
      <c r="AP118" s="3"/>
      <c r="AQ118" s="3"/>
      <c r="AR118" s="3"/>
      <c r="AS118" s="3"/>
      <c r="AT118" s="2">
        <v>46065.7309837963</v>
      </c>
      <c r="AU118" s="2">
        <v>46073.541817129626</v>
      </c>
      <c r="AW118" s="3"/>
      <c r="AX118" s="2">
        <v>46065.72881944444</v>
      </c>
      <c r="AY118" s="2">
        <v>46065.7309837963</v>
      </c>
      <c r="BA118" s="3"/>
      <c r="BB118" s="2">
        <v>46072.56689814815</v>
      </c>
      <c r="BC118" s="2">
        <v>46073.56862268518</v>
      </c>
      <c r="BD118" s="2">
        <v>46073.56862268518</v>
      </c>
      <c r="BF118" s="3"/>
      <c r="BG118" s="3"/>
      <c r="BH118" s="3"/>
      <c r="BI118" s="5">
        <v>411577.0</v>
      </c>
      <c r="BJ118" s="5">
        <v>51819.0</v>
      </c>
      <c r="BK118" s="3"/>
      <c r="BL118" s="3"/>
      <c r="BM118" s="3"/>
      <c r="BN118" s="3"/>
      <c r="BO118" s="3"/>
      <c r="BP118" s="3"/>
      <c r="BQ118" s="3"/>
      <c r="BR118" s="3"/>
      <c r="BS118" s="3"/>
      <c r="BT118" s="3"/>
      <c r="BU118" s="3"/>
      <c r="BV118" s="3"/>
      <c r="BW118" s="3"/>
      <c r="BX118" s="3"/>
      <c r="BY118" s="5">
        <v>677171.0</v>
      </c>
      <c r="BZ118" s="5">
        <v>117529.0</v>
      </c>
      <c r="CA118" s="5">
        <v>677171.0</v>
      </c>
      <c r="CB118" s="5">
        <v>117529.0</v>
      </c>
      <c r="CC118" s="5">
        <v>677171.0</v>
      </c>
      <c r="CD118" s="5">
        <v>117529.0</v>
      </c>
      <c r="CE118" s="5">
        <v>677359.0</v>
      </c>
      <c r="CF118" s="5">
        <v>117529.0</v>
      </c>
      <c r="CG118" s="5">
        <v>677171.0</v>
      </c>
      <c r="CH118" s="5">
        <v>117529.0</v>
      </c>
      <c r="CI118" s="5">
        <v>677171.0</v>
      </c>
      <c r="CJ118" s="5">
        <v>117529.0</v>
      </c>
      <c r="CK118" s="5">
        <v>265593.0</v>
      </c>
      <c r="CL118" s="5">
        <v>65710.0</v>
      </c>
      <c r="CM118" s="5">
        <v>265593.0</v>
      </c>
      <c r="CN118" s="5">
        <v>65710.0</v>
      </c>
      <c r="CO118" s="3"/>
      <c r="CP118" s="3"/>
      <c r="CQ118" s="3"/>
      <c r="CR118" s="4" t="s">
        <v>591</v>
      </c>
    </row>
    <row r="119">
      <c r="A119" s="1" t="s">
        <v>592</v>
      </c>
      <c r="B119" s="2">
        <v>46065.721180555556</v>
      </c>
      <c r="C119" s="1" t="str">
        <f t="array" ref="C119">INDEX('User data'!E:E, MATCH(E119, 'User data'!B:B, 0))</f>
        <v/>
      </c>
      <c r="D119" s="1" t="str">
        <f t="array" ref="D119">INDEX('User data'!F:F, MATCH(C119, 'User data'!E:E, 0))</f>
        <v>#N/A</v>
      </c>
      <c r="E119" s="1" t="s">
        <v>593</v>
      </c>
      <c r="F119" s="3"/>
      <c r="G119" s="3"/>
      <c r="H119" s="3"/>
      <c r="I119" s="3"/>
      <c r="J119" s="1" t="s">
        <v>100</v>
      </c>
      <c r="K119" s="1" t="s">
        <v>101</v>
      </c>
      <c r="L119" s="1" t="b">
        <v>0</v>
      </c>
      <c r="M119" s="4" t="s">
        <v>102</v>
      </c>
      <c r="N119" s="1" t="s">
        <v>594</v>
      </c>
      <c r="P119" s="3"/>
      <c r="Q119" s="3"/>
      <c r="R119" s="3"/>
      <c r="S119" s="3"/>
      <c r="T119" s="1" t="s">
        <v>104</v>
      </c>
      <c r="U119" s="3"/>
      <c r="V119" s="3"/>
      <c r="W119" s="1" t="s">
        <v>105</v>
      </c>
      <c r="X119" s="3"/>
      <c r="Y119" s="1" t="s">
        <v>106</v>
      </c>
      <c r="Z119" s="3"/>
      <c r="AA119" s="1" t="b">
        <v>0</v>
      </c>
      <c r="AB119" s="1" t="b">
        <v>0</v>
      </c>
      <c r="AC119" s="1" t="b">
        <v>0</v>
      </c>
      <c r="AD119" s="1" t="b">
        <v>0</v>
      </c>
      <c r="AE119" s="1" t="b">
        <v>1</v>
      </c>
      <c r="AF119" s="3"/>
      <c r="AG119" s="3"/>
      <c r="AH119" s="3"/>
      <c r="AI119" s="3"/>
      <c r="AJ119" s="2">
        <v>46065.72112268519</v>
      </c>
      <c r="AK119" s="2">
        <v>46066.721921296295</v>
      </c>
      <c r="AM119" s="2">
        <v>46065.721180555556</v>
      </c>
      <c r="AN119" s="2">
        <v>46065.721180555556</v>
      </c>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5">
        <v>5.0</v>
      </c>
      <c r="CR119" s="4" t="s">
        <v>595</v>
      </c>
    </row>
    <row r="120">
      <c r="A120" s="1" t="s">
        <v>596</v>
      </c>
      <c r="B120" s="2">
        <v>46065.71486111111</v>
      </c>
      <c r="C120" s="1" t="str">
        <f t="array" ref="C120">INDEX('User data'!E:E, MATCH(E120, 'User data'!B:B, 0))</f>
        <v>주식회사 용감한컴퍼니</v>
      </c>
      <c r="D120" s="1" t="str">
        <f t="array" ref="D120">INDEX('User data'!F:F, MATCH(C120, 'User data'!E:E, 0))</f>
        <v>114-86-92856</v>
      </c>
      <c r="E120" s="1" t="s">
        <v>597</v>
      </c>
      <c r="F120" s="3"/>
      <c r="G120" s="3"/>
      <c r="H120" s="3"/>
      <c r="I120" s="3"/>
      <c r="J120" s="1" t="s">
        <v>100</v>
      </c>
      <c r="K120" s="1" t="s">
        <v>101</v>
      </c>
      <c r="L120" s="1" t="b">
        <v>0</v>
      </c>
      <c r="M120" s="4" t="s">
        <v>102</v>
      </c>
      <c r="N120" s="1" t="s">
        <v>598</v>
      </c>
      <c r="P120" s="3"/>
      <c r="Q120" s="3"/>
      <c r="R120" s="3"/>
      <c r="S120" s="3"/>
      <c r="T120" s="1" t="s">
        <v>104</v>
      </c>
      <c r="U120" s="3"/>
      <c r="V120" s="3"/>
      <c r="W120" s="1" t="s">
        <v>105</v>
      </c>
      <c r="X120" s="3"/>
      <c r="Y120" s="1" t="s">
        <v>106</v>
      </c>
      <c r="Z120" s="3"/>
      <c r="AA120" s="1" t="b">
        <v>0</v>
      </c>
      <c r="AB120" s="1" t="b">
        <v>0</v>
      </c>
      <c r="AC120" s="1" t="b">
        <v>0</v>
      </c>
      <c r="AD120" s="1" t="b">
        <v>0</v>
      </c>
      <c r="AE120" s="1" t="b">
        <v>1</v>
      </c>
      <c r="AF120" s="3"/>
      <c r="AG120" s="3"/>
      <c r="AH120" s="3"/>
      <c r="AI120" s="3"/>
      <c r="AJ120" s="2">
        <v>46065.71472222222</v>
      </c>
      <c r="AK120" s="2">
        <v>46066.714907407404</v>
      </c>
      <c r="AM120" s="2">
        <v>46065.71486111111</v>
      </c>
      <c r="AN120" s="2">
        <v>46065.71486111111</v>
      </c>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5">
        <v>5.0</v>
      </c>
      <c r="CR120" s="4" t="s">
        <v>599</v>
      </c>
    </row>
    <row r="121">
      <c r="A121" s="1" t="s">
        <v>600</v>
      </c>
      <c r="B121" s="2">
        <v>46065.71444444444</v>
      </c>
      <c r="C121" s="1" t="str">
        <f t="array" ref="C121">INDEX('User data'!E:E, MATCH(E121, 'User data'!B:B, 0))</f>
        <v>주식회사 스펙터</v>
      </c>
      <c r="D121" s="1" t="str">
        <f t="array" ref="D121">INDEX('User data'!F:F, MATCH(C121, 'User data'!E:E, 0))</f>
        <v>449-88-01707</v>
      </c>
      <c r="E121" s="1" t="s">
        <v>601</v>
      </c>
      <c r="F121" s="3"/>
      <c r="G121" s="3"/>
      <c r="H121" s="3"/>
      <c r="I121" s="3"/>
      <c r="J121" s="1" t="s">
        <v>100</v>
      </c>
      <c r="K121" s="1" t="s">
        <v>101</v>
      </c>
      <c r="L121" s="1" t="b">
        <v>0</v>
      </c>
      <c r="M121" s="4" t="s">
        <v>102</v>
      </c>
      <c r="N121" s="1" t="s">
        <v>602</v>
      </c>
      <c r="P121" s="3"/>
      <c r="Q121" s="3"/>
      <c r="R121" s="3"/>
      <c r="S121" s="3"/>
      <c r="T121" s="1" t="s">
        <v>104</v>
      </c>
      <c r="U121" s="3"/>
      <c r="V121" s="3"/>
      <c r="W121" s="1" t="s">
        <v>105</v>
      </c>
      <c r="X121" s="3"/>
      <c r="Y121" s="1" t="s">
        <v>106</v>
      </c>
      <c r="Z121" s="3"/>
      <c r="AA121" s="1" t="b">
        <v>0</v>
      </c>
      <c r="AB121" s="1" t="b">
        <v>0</v>
      </c>
      <c r="AC121" s="1" t="b">
        <v>0</v>
      </c>
      <c r="AD121" s="1" t="b">
        <v>0</v>
      </c>
      <c r="AE121" s="1" t="b">
        <v>1</v>
      </c>
      <c r="AF121" s="3"/>
      <c r="AG121" s="3"/>
      <c r="AH121" s="3"/>
      <c r="AI121" s="3"/>
      <c r="AJ121" s="2">
        <v>46065.71436342593</v>
      </c>
      <c r="AK121" s="2">
        <v>46066.71508101852</v>
      </c>
      <c r="AM121" s="2">
        <v>46065.71444444444</v>
      </c>
      <c r="AN121" s="2">
        <v>46065.71444444444</v>
      </c>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5">
        <v>2.0</v>
      </c>
      <c r="CR121" s="4" t="s">
        <v>603</v>
      </c>
    </row>
    <row r="122">
      <c r="A122" s="1" t="s">
        <v>604</v>
      </c>
      <c r="B122" s="2">
        <v>46065.705625</v>
      </c>
      <c r="C122" s="1" t="str">
        <f t="array" ref="C122">INDEX('User data'!E:E, MATCH(E122, 'User data'!B:B, 0))</f>
        <v>주식회사 보살핌</v>
      </c>
      <c r="D122" s="1" t="str">
        <f t="array" ref="D122">INDEX('User data'!F:F, MATCH(C122, 'User data'!E:E, 0))</f>
        <v>440-88-02179</v>
      </c>
      <c r="E122" s="1" t="s">
        <v>588</v>
      </c>
      <c r="F122" s="3"/>
      <c r="G122" s="3"/>
      <c r="H122" s="1" t="s">
        <v>605</v>
      </c>
      <c r="I122" s="1" t="s">
        <v>253</v>
      </c>
      <c r="J122" s="1" t="s">
        <v>100</v>
      </c>
      <c r="K122" s="1" t="s">
        <v>101</v>
      </c>
      <c r="L122" s="1" t="b">
        <v>0</v>
      </c>
      <c r="M122" s="4" t="s">
        <v>102</v>
      </c>
      <c r="N122" s="1" t="s">
        <v>590</v>
      </c>
      <c r="O122" s="1">
        <v>574085.0</v>
      </c>
      <c r="P122" s="1">
        <v>574085.0</v>
      </c>
      <c r="Q122" s="1">
        <v>574085.0</v>
      </c>
      <c r="R122" s="1" t="s">
        <v>145</v>
      </c>
      <c r="S122" s="1">
        <v>13285.0</v>
      </c>
      <c r="T122" s="1" t="s">
        <v>104</v>
      </c>
      <c r="U122" s="3"/>
      <c r="V122" s="3"/>
      <c r="W122" s="1" t="s">
        <v>118</v>
      </c>
      <c r="X122" s="3"/>
      <c r="Y122" s="1" t="s">
        <v>119</v>
      </c>
      <c r="Z122" s="3"/>
      <c r="AA122" s="1" t="b">
        <v>1</v>
      </c>
      <c r="AB122" s="1" t="b">
        <v>0</v>
      </c>
      <c r="AC122" s="1" t="b">
        <v>0</v>
      </c>
      <c r="AD122" s="1" t="b">
        <v>1</v>
      </c>
      <c r="AE122" s="1" t="b">
        <v>1</v>
      </c>
      <c r="AF122" s="5">
        <v>3.0</v>
      </c>
      <c r="AG122" s="3"/>
      <c r="AH122" s="3"/>
      <c r="AI122" s="3"/>
      <c r="AJ122" s="2">
        <v>46065.704930555556</v>
      </c>
      <c r="AK122" s="2">
        <v>46073.574479166666</v>
      </c>
      <c r="AL122" s="2">
        <v>46065.70681712963</v>
      </c>
      <c r="AM122" s="2">
        <v>46065.705625</v>
      </c>
      <c r="AN122" s="2">
        <v>46065.705625</v>
      </c>
      <c r="AO122" s="2">
        <v>46065.706099537034</v>
      </c>
      <c r="AP122" s="2">
        <v>46065.70685185185</v>
      </c>
      <c r="AQ122" s="2">
        <v>46065.706099537034</v>
      </c>
      <c r="AS122" s="2">
        <v>46065.70611111111</v>
      </c>
      <c r="AT122" s="2">
        <v>46065.706099537034</v>
      </c>
      <c r="AU122" s="2">
        <v>46073.54180555556</v>
      </c>
      <c r="AW122" s="3"/>
      <c r="AX122" s="2">
        <v>46065.70611111111</v>
      </c>
      <c r="AY122" s="2">
        <v>46065.70611111111</v>
      </c>
      <c r="AZ122" s="2">
        <v>46065.72818287037</v>
      </c>
      <c r="BA122" s="2">
        <v>46073.57116898148</v>
      </c>
      <c r="BB122" s="2">
        <v>46072.56689814815</v>
      </c>
      <c r="BC122" s="2">
        <v>46073.57443287037</v>
      </c>
      <c r="BD122" s="2">
        <v>46073.57443287037</v>
      </c>
      <c r="BE122" s="5">
        <v>6161.0</v>
      </c>
      <c r="BF122" s="3"/>
      <c r="BG122" s="5">
        <v>2053.0</v>
      </c>
      <c r="BH122" s="3"/>
      <c r="BI122" s="5">
        <v>371073.0</v>
      </c>
      <c r="BJ122" s="5">
        <v>51819.0</v>
      </c>
      <c r="BK122" s="5">
        <v>0.0</v>
      </c>
      <c r="BL122" s="5">
        <v>0.0</v>
      </c>
      <c r="BM122" s="5">
        <v>42.0</v>
      </c>
      <c r="BN122" s="5">
        <v>42.0</v>
      </c>
      <c r="BO122" s="5">
        <v>1949.0</v>
      </c>
      <c r="BP122" s="5">
        <v>233.0</v>
      </c>
      <c r="BQ122" s="5">
        <v>1949.0</v>
      </c>
      <c r="BR122" s="5">
        <v>233.0</v>
      </c>
      <c r="BS122" s="5">
        <v>1907.0</v>
      </c>
      <c r="BT122" s="5">
        <v>191.0</v>
      </c>
      <c r="BU122" s="5">
        <v>1907.0</v>
      </c>
      <c r="BV122" s="5">
        <v>191.0</v>
      </c>
      <c r="BW122" s="5">
        <v>1907.0</v>
      </c>
      <c r="BX122" s="5">
        <v>192.0</v>
      </c>
      <c r="BY122" s="5">
        <v>679865.0</v>
      </c>
      <c r="BZ122" s="5">
        <v>118265.0</v>
      </c>
      <c r="CA122" s="5">
        <v>679865.0</v>
      </c>
      <c r="CB122" s="5">
        <v>118265.0</v>
      </c>
      <c r="CC122" s="5">
        <v>679865.0</v>
      </c>
      <c r="CD122" s="5">
        <v>118265.0</v>
      </c>
      <c r="CE122" s="5">
        <v>679823.0</v>
      </c>
      <c r="CF122" s="5">
        <v>118223.0</v>
      </c>
      <c r="CG122" s="5">
        <v>679823.0</v>
      </c>
      <c r="CH122" s="5">
        <v>118223.0</v>
      </c>
      <c r="CI122" s="5">
        <v>679823.0</v>
      </c>
      <c r="CJ122" s="5">
        <v>118223.0</v>
      </c>
      <c r="CK122" s="5">
        <v>308750.0</v>
      </c>
      <c r="CL122" s="5">
        <v>66404.0</v>
      </c>
      <c r="CM122" s="5">
        <v>308750.0</v>
      </c>
      <c r="CN122" s="5">
        <v>66404.0</v>
      </c>
      <c r="CO122" s="5">
        <v>3.0</v>
      </c>
      <c r="CP122" s="5">
        <v>41.0</v>
      </c>
      <c r="CQ122" s="3"/>
      <c r="CR122" s="4" t="s">
        <v>606</v>
      </c>
    </row>
    <row r="123">
      <c r="A123" s="1" t="s">
        <v>607</v>
      </c>
      <c r="B123" s="2">
        <v>46065.70309027778</v>
      </c>
      <c r="C123" s="1" t="str">
        <f t="array" ref="C123">INDEX('User data'!E:E, MATCH(E123, 'User data'!B:B, 0))</f>
        <v>주식회사 보살핌</v>
      </c>
      <c r="D123" s="1" t="str">
        <f t="array" ref="D123">INDEX('User data'!F:F, MATCH(C123, 'User data'!E:E, 0))</f>
        <v>440-88-02179</v>
      </c>
      <c r="E123" s="1" t="s">
        <v>588</v>
      </c>
      <c r="F123" s="3"/>
      <c r="G123" s="3"/>
      <c r="H123" s="3"/>
      <c r="I123" s="3"/>
      <c r="J123" s="1" t="s">
        <v>100</v>
      </c>
      <c r="K123" s="1" t="s">
        <v>101</v>
      </c>
      <c r="L123" s="1" t="b">
        <v>0</v>
      </c>
      <c r="M123" s="4" t="s">
        <v>102</v>
      </c>
      <c r="N123" s="1" t="s">
        <v>590</v>
      </c>
      <c r="P123" s="3"/>
      <c r="Q123" s="3"/>
      <c r="R123" s="3"/>
      <c r="S123" s="3"/>
      <c r="T123" s="1" t="s">
        <v>104</v>
      </c>
      <c r="U123" s="3"/>
      <c r="V123" s="3"/>
      <c r="W123" s="1" t="s">
        <v>118</v>
      </c>
      <c r="X123" s="3"/>
      <c r="Y123" s="1" t="s">
        <v>106</v>
      </c>
      <c r="Z123" s="3"/>
      <c r="AA123" s="1" t="b">
        <v>0</v>
      </c>
      <c r="AB123" s="1" t="b">
        <v>0</v>
      </c>
      <c r="AC123" s="1" t="b">
        <v>0</v>
      </c>
      <c r="AD123" s="1" t="b">
        <v>0</v>
      </c>
      <c r="AE123" s="1" t="b">
        <v>1</v>
      </c>
      <c r="AF123" s="3"/>
      <c r="AG123" s="3"/>
      <c r="AH123" s="3"/>
      <c r="AI123" s="3"/>
      <c r="AJ123" s="2">
        <v>46065.70306712963</v>
      </c>
      <c r="AK123" s="2">
        <v>46066.70476851852</v>
      </c>
      <c r="AM123" s="2">
        <v>46065.70309027778</v>
      </c>
      <c r="AN123" s="2">
        <v>46065.70309027778</v>
      </c>
      <c r="AP123" s="3"/>
      <c r="AQ123" s="3"/>
      <c r="AR123" s="3"/>
      <c r="AS123" s="3"/>
      <c r="AT123" s="3"/>
      <c r="AU123" s="3"/>
      <c r="AV123" s="3"/>
      <c r="AW123" s="3"/>
      <c r="AX123" s="3"/>
      <c r="AY123" s="3"/>
      <c r="AZ123" s="3"/>
      <c r="BA123" s="3"/>
      <c r="BB123" s="3"/>
      <c r="BC123" s="2">
        <v>46065.70490740741</v>
      </c>
      <c r="BD123" s="2">
        <v>46065.70490740741</v>
      </c>
      <c r="BF123" s="3"/>
      <c r="BG123" s="3"/>
      <c r="BH123" s="3"/>
      <c r="BI123" s="3"/>
      <c r="BJ123" s="3"/>
      <c r="BK123" s="3"/>
      <c r="BL123" s="3"/>
      <c r="BM123" s="3"/>
      <c r="BN123" s="3"/>
      <c r="BO123" s="3"/>
      <c r="BP123" s="3"/>
      <c r="BQ123" s="3"/>
      <c r="BR123" s="3"/>
      <c r="BS123" s="3"/>
      <c r="BT123" s="3"/>
      <c r="BU123" s="3"/>
      <c r="BV123" s="3"/>
      <c r="BW123" s="3"/>
      <c r="BX123" s="3"/>
      <c r="BY123" s="5">
        <v>156.0</v>
      </c>
      <c r="BZ123" s="5">
        <v>156.0</v>
      </c>
      <c r="CA123" s="5">
        <v>156.0</v>
      </c>
      <c r="CB123" s="5">
        <v>156.0</v>
      </c>
      <c r="CC123" s="5">
        <v>156.0</v>
      </c>
      <c r="CD123" s="5">
        <v>156.0</v>
      </c>
      <c r="CE123" s="3"/>
      <c r="CF123" s="3"/>
      <c r="CG123" s="3"/>
      <c r="CH123" s="3"/>
      <c r="CI123" s="3"/>
      <c r="CJ123" s="3"/>
      <c r="CK123" s="3"/>
      <c r="CL123" s="3"/>
      <c r="CM123" s="3"/>
      <c r="CN123" s="3"/>
      <c r="CO123" s="3"/>
      <c r="CP123" s="3"/>
      <c r="CQ123" s="5">
        <v>1.0</v>
      </c>
      <c r="CR123" s="4" t="s">
        <v>608</v>
      </c>
    </row>
    <row r="124">
      <c r="A124" s="1" t="s">
        <v>609</v>
      </c>
      <c r="B124" s="2">
        <v>46065.69540509259</v>
      </c>
      <c r="C124" s="1" t="str">
        <f t="array" ref="C124">INDEX('User data'!E:E, MATCH(E124, 'User data'!B:B, 0))</f>
        <v>펀치랩 주식회사</v>
      </c>
      <c r="D124" s="1" t="str">
        <f t="array" ref="D124">INDEX('User data'!F:F, MATCH(C124, 'User data'!E:E, 0))</f>
        <v>626-88-02996</v>
      </c>
      <c r="E124" s="1" t="s">
        <v>610</v>
      </c>
      <c r="F124" s="3"/>
      <c r="G124" s="3"/>
      <c r="H124" s="3"/>
      <c r="I124" s="3"/>
      <c r="J124" s="1" t="s">
        <v>100</v>
      </c>
      <c r="K124" s="1" t="s">
        <v>101</v>
      </c>
      <c r="L124" s="1" t="b">
        <v>0</v>
      </c>
      <c r="M124" s="4" t="s">
        <v>102</v>
      </c>
      <c r="N124" s="1" t="s">
        <v>611</v>
      </c>
      <c r="P124" s="3"/>
      <c r="Q124" s="3"/>
      <c r="R124" s="3"/>
      <c r="S124" s="3"/>
      <c r="T124" s="1" t="s">
        <v>104</v>
      </c>
      <c r="U124" s="3"/>
      <c r="V124" s="3"/>
      <c r="W124" s="1" t="s">
        <v>105</v>
      </c>
      <c r="X124" s="3"/>
      <c r="Y124" s="1" t="s">
        <v>106</v>
      </c>
      <c r="Z124" s="3"/>
      <c r="AA124" s="1" t="b">
        <v>0</v>
      </c>
      <c r="AB124" s="1" t="b">
        <v>0</v>
      </c>
      <c r="AC124" s="1" t="b">
        <v>0</v>
      </c>
      <c r="AD124" s="1" t="b">
        <v>0</v>
      </c>
      <c r="AE124" s="1" t="b">
        <v>1</v>
      </c>
      <c r="AF124" s="3"/>
      <c r="AG124" s="3"/>
      <c r="AH124" s="3"/>
      <c r="AI124" s="3"/>
      <c r="AJ124" s="2">
        <v>46065.69521990741</v>
      </c>
      <c r="AK124" s="2">
        <v>46066.69546296296</v>
      </c>
      <c r="AM124" s="2">
        <v>46065.69540509259</v>
      </c>
      <c r="AN124" s="2">
        <v>46065.69540509259</v>
      </c>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5">
        <v>5.0</v>
      </c>
      <c r="CR124" s="4" t="s">
        <v>612</v>
      </c>
    </row>
    <row r="125">
      <c r="A125" s="1" t="s">
        <v>613</v>
      </c>
      <c r="B125" s="2">
        <v>46065.69032407407</v>
      </c>
      <c r="C125" s="1" t="str">
        <f t="array" ref="C125">INDEX('User data'!E:E, MATCH(E125, 'User data'!B:B, 0))</f>
        <v>농업회사법인 아이오크롭스 주식회사</v>
      </c>
      <c r="D125" s="1" t="str">
        <f t="array" ref="D125">INDEX('User data'!F:F, MATCH(C125, 'User data'!E:E, 0))</f>
        <v>833-81-01261</v>
      </c>
      <c r="E125" s="1" t="s">
        <v>614</v>
      </c>
      <c r="F125" s="3"/>
      <c r="G125" s="3"/>
      <c r="H125" s="3"/>
      <c r="I125" s="1" t="s">
        <v>258</v>
      </c>
      <c r="J125" s="1" t="s">
        <v>100</v>
      </c>
      <c r="K125" s="1" t="s">
        <v>101</v>
      </c>
      <c r="L125" s="1" t="b">
        <v>0</v>
      </c>
      <c r="M125" s="4" t="s">
        <v>102</v>
      </c>
      <c r="N125" s="1" t="s">
        <v>615</v>
      </c>
      <c r="O125" s="1">
        <v>594863.0</v>
      </c>
      <c r="P125" s="1">
        <v>594863.0</v>
      </c>
      <c r="Q125" s="1">
        <v>594863.0</v>
      </c>
      <c r="R125" s="1">
        <v>594863.0</v>
      </c>
      <c r="S125" s="1">
        <v>13288.0</v>
      </c>
      <c r="T125" s="1" t="s">
        <v>104</v>
      </c>
      <c r="U125" s="3"/>
      <c r="V125" s="3"/>
      <c r="W125" s="1" t="s">
        <v>118</v>
      </c>
      <c r="X125" s="3"/>
      <c r="Y125" s="1" t="s">
        <v>119</v>
      </c>
      <c r="Z125" s="3"/>
      <c r="AA125" s="1" t="b">
        <v>1</v>
      </c>
      <c r="AB125" s="1" t="b">
        <v>0</v>
      </c>
      <c r="AC125" s="1" t="b">
        <v>0</v>
      </c>
      <c r="AD125" s="1" t="b">
        <v>1</v>
      </c>
      <c r="AE125" s="1" t="b">
        <v>1</v>
      </c>
      <c r="AF125" s="5">
        <v>6.0</v>
      </c>
      <c r="AG125" s="5">
        <v>6.0</v>
      </c>
      <c r="AH125" s="3"/>
      <c r="AI125" s="3"/>
      <c r="AJ125" s="2">
        <v>46065.68896990741</v>
      </c>
      <c r="AK125" s="2">
        <v>46065.74513888889</v>
      </c>
      <c r="AL125" s="2">
        <v>46065.691712962966</v>
      </c>
      <c r="AM125" s="2">
        <v>46065.69032407407</v>
      </c>
      <c r="AN125" s="2">
        <v>46065.69032407407</v>
      </c>
      <c r="AO125" s="2">
        <v>46065.69100694444</v>
      </c>
      <c r="AP125" s="2">
        <v>46065.69174768519</v>
      </c>
      <c r="AQ125" s="2">
        <v>46065.691354166665</v>
      </c>
      <c r="AS125" s="2">
        <v>46065.69136574074</v>
      </c>
      <c r="AT125" s="2">
        <v>46065.69100694444</v>
      </c>
      <c r="AU125" s="2">
        <v>46065.69136574074</v>
      </c>
      <c r="AW125" s="3"/>
      <c r="AX125" s="2">
        <v>46065.69136574074</v>
      </c>
      <c r="AY125" s="2">
        <v>46065.69100694444</v>
      </c>
      <c r="AZ125" s="2">
        <v>46065.693923611114</v>
      </c>
      <c r="BA125" s="2">
        <v>46065.703414351854</v>
      </c>
      <c r="BC125" s="2">
        <v>46065.70346064815</v>
      </c>
      <c r="BD125" s="2">
        <v>46065.70346064815</v>
      </c>
      <c r="BE125" s="5">
        <v>668.0</v>
      </c>
      <c r="BF125" s="5">
        <v>668.0</v>
      </c>
      <c r="BG125" s="5">
        <v>111.0</v>
      </c>
      <c r="BH125" s="5">
        <v>111.0</v>
      </c>
      <c r="BI125" s="3"/>
      <c r="BJ125" s="3"/>
      <c r="BK125" s="5">
        <v>0.0</v>
      </c>
      <c r="BL125" s="5">
        <v>0.0</v>
      </c>
      <c r="BM125" s="5">
        <v>90.0</v>
      </c>
      <c r="BN125" s="5">
        <v>90.0</v>
      </c>
      <c r="BO125" s="5">
        <v>311.0</v>
      </c>
      <c r="BP125" s="5">
        <v>311.0</v>
      </c>
      <c r="BQ125" s="5">
        <v>311.0</v>
      </c>
      <c r="BR125" s="5">
        <v>311.0</v>
      </c>
      <c r="BS125" s="5">
        <v>221.0</v>
      </c>
      <c r="BT125" s="5">
        <v>221.0</v>
      </c>
      <c r="BU125" s="5">
        <v>252.0</v>
      </c>
      <c r="BV125" s="5">
        <v>252.0</v>
      </c>
      <c r="BW125" s="5">
        <v>252.0</v>
      </c>
      <c r="BX125" s="5">
        <v>252.0</v>
      </c>
      <c r="BY125" s="5">
        <v>1135.0</v>
      </c>
      <c r="BZ125" s="5">
        <v>1135.0</v>
      </c>
      <c r="CA125" s="5">
        <v>1135.0</v>
      </c>
      <c r="CB125" s="5">
        <v>1135.0</v>
      </c>
      <c r="CC125" s="5">
        <v>1135.0</v>
      </c>
      <c r="CD125" s="5">
        <v>1135.0</v>
      </c>
      <c r="CE125" s="5">
        <v>1045.0</v>
      </c>
      <c r="CF125" s="5">
        <v>1045.0</v>
      </c>
      <c r="CG125" s="5">
        <v>1075.0</v>
      </c>
      <c r="CH125" s="5">
        <v>1075.0</v>
      </c>
      <c r="CI125" s="5">
        <v>1075.0</v>
      </c>
      <c r="CJ125" s="5">
        <v>1075.0</v>
      </c>
      <c r="CK125" s="5">
        <v>1075.0</v>
      </c>
      <c r="CL125" s="5">
        <v>1075.0</v>
      </c>
      <c r="CM125" s="5">
        <v>1075.0</v>
      </c>
      <c r="CN125" s="5">
        <v>1075.0</v>
      </c>
      <c r="CO125" s="5">
        <v>3.0</v>
      </c>
      <c r="CP125" s="5">
        <v>59.0</v>
      </c>
      <c r="CQ125" s="3"/>
      <c r="CR125" s="4" t="s">
        <v>616</v>
      </c>
      <c r="CS125" s="5">
        <v>5.0</v>
      </c>
      <c r="CT125" s="1" t="s">
        <v>617</v>
      </c>
    </row>
    <row r="126">
      <c r="A126" s="1" t="s">
        <v>618</v>
      </c>
      <c r="B126" s="2">
        <v>46065.66207175926</v>
      </c>
      <c r="C126" s="1" t="str">
        <f t="array" ref="C126">INDEX('User data'!E:E, MATCH(E126, 'User data'!B:B, 0))</f>
        <v/>
      </c>
      <c r="D126" s="1" t="str">
        <f t="array" ref="D126">INDEX('User data'!F:F, MATCH(C126, 'User data'!E:E, 0))</f>
        <v>#N/A</v>
      </c>
      <c r="E126" s="1" t="s">
        <v>619</v>
      </c>
      <c r="F126" s="3"/>
      <c r="G126" s="3"/>
      <c r="H126" s="3"/>
      <c r="I126" s="3"/>
      <c r="J126" s="1" t="s">
        <v>100</v>
      </c>
      <c r="K126" s="1" t="s">
        <v>101</v>
      </c>
      <c r="L126" s="1" t="b">
        <v>0</v>
      </c>
      <c r="M126" s="4" t="s">
        <v>102</v>
      </c>
      <c r="N126" s="1" t="s">
        <v>620</v>
      </c>
      <c r="P126" s="3"/>
      <c r="Q126" s="3"/>
      <c r="R126" s="3"/>
      <c r="S126" s="3"/>
      <c r="T126" s="1" t="s">
        <v>104</v>
      </c>
      <c r="U126" s="3"/>
      <c r="V126" s="3"/>
      <c r="W126" s="1" t="s">
        <v>105</v>
      </c>
      <c r="X126" s="3"/>
      <c r="Y126" s="1" t="s">
        <v>106</v>
      </c>
      <c r="Z126" s="3"/>
      <c r="AA126" s="1" t="b">
        <v>0</v>
      </c>
      <c r="AB126" s="1" t="b">
        <v>0</v>
      </c>
      <c r="AC126" s="1" t="b">
        <v>0</v>
      </c>
      <c r="AD126" s="1" t="b">
        <v>0</v>
      </c>
      <c r="AE126" s="1" t="b">
        <v>1</v>
      </c>
      <c r="AF126" s="3"/>
      <c r="AG126" s="3"/>
      <c r="AH126" s="3"/>
      <c r="AI126" s="3"/>
      <c r="AJ126" s="2">
        <v>46065.66204861111</v>
      </c>
      <c r="AK126" s="2">
        <v>46066.66239583334</v>
      </c>
      <c r="AM126" s="2">
        <v>46065.66207175926</v>
      </c>
      <c r="AN126" s="2">
        <v>46065.66207175926</v>
      </c>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5">
        <v>4.0</v>
      </c>
      <c r="CR126" s="4" t="s">
        <v>621</v>
      </c>
    </row>
    <row r="127">
      <c r="A127" s="1" t="s">
        <v>622</v>
      </c>
      <c r="B127" s="2">
        <v>46065.634305555555</v>
      </c>
      <c r="C127" s="1" t="str">
        <f t="array" ref="C127">INDEX('User data'!E:E, MATCH(E127, 'User data'!B:B, 0))</f>
        <v>(주)서울로보틱스 (Seoul Robotics Co.,Ltd)</v>
      </c>
      <c r="D127" s="1" t="str">
        <f t="array" ref="D127">INDEX('User data'!F:F, MATCH(C127, 'User data'!E:E, 0))</f>
        <v>893-88-00768</v>
      </c>
      <c r="E127" s="1" t="s">
        <v>623</v>
      </c>
      <c r="F127" s="3"/>
      <c r="G127" s="3"/>
      <c r="H127" s="3"/>
      <c r="I127" s="1" t="s">
        <v>624</v>
      </c>
      <c r="J127" s="1" t="s">
        <v>100</v>
      </c>
      <c r="K127" s="1" t="s">
        <v>101</v>
      </c>
      <c r="L127" s="1" t="b">
        <v>0</v>
      </c>
      <c r="M127" s="4" t="s">
        <v>102</v>
      </c>
      <c r="N127" s="1" t="s">
        <v>625</v>
      </c>
      <c r="O127" s="1">
        <v>607950.0</v>
      </c>
      <c r="P127" s="1">
        <v>607950.0</v>
      </c>
      <c r="Q127" s="1">
        <v>607950.0</v>
      </c>
      <c r="R127" s="1" t="s">
        <v>145</v>
      </c>
      <c r="S127" s="3"/>
      <c r="T127" s="1" t="s">
        <v>104</v>
      </c>
      <c r="U127" s="3"/>
      <c r="V127" s="3"/>
      <c r="W127" s="1" t="s">
        <v>118</v>
      </c>
      <c r="X127" s="3"/>
      <c r="Y127" s="1" t="s">
        <v>119</v>
      </c>
      <c r="Z127" s="3"/>
      <c r="AA127" s="1" t="b">
        <v>1</v>
      </c>
      <c r="AB127" s="1" t="b">
        <v>0</v>
      </c>
      <c r="AC127" s="1" t="b">
        <v>0</v>
      </c>
      <c r="AD127" s="1" t="b">
        <v>1</v>
      </c>
      <c r="AE127" s="1" t="b">
        <v>1</v>
      </c>
      <c r="AF127" s="5">
        <v>8.0</v>
      </c>
      <c r="AG127" s="5">
        <v>8.0</v>
      </c>
      <c r="AH127" s="3"/>
      <c r="AI127" s="3"/>
      <c r="AJ127" s="2">
        <v>46065.63427083333</v>
      </c>
      <c r="AK127" s="2">
        <v>46065.712476851855</v>
      </c>
      <c r="AL127" s="2">
        <v>46065.670798611114</v>
      </c>
      <c r="AM127" s="2">
        <v>46065.634305555555</v>
      </c>
      <c r="AN127" s="2">
        <v>46065.634305555555</v>
      </c>
      <c r="AO127" s="2">
        <v>46065.63451388889</v>
      </c>
      <c r="AQ127" s="3"/>
      <c r="AR127" s="3"/>
      <c r="AS127" s="3"/>
      <c r="AT127" s="2">
        <v>46065.63451388889</v>
      </c>
      <c r="AU127" s="2">
        <v>46065.63451388889</v>
      </c>
      <c r="AW127" s="3"/>
      <c r="AX127" s="2">
        <v>46065.63465277778</v>
      </c>
      <c r="AY127" s="2">
        <v>46065.63451388889</v>
      </c>
      <c r="AZ127" s="2">
        <v>46065.63469907407</v>
      </c>
      <c r="BA127" s="2">
        <v>46065.670625</v>
      </c>
      <c r="BC127" s="2">
        <v>46065.670798611114</v>
      </c>
      <c r="BD127" s="2">
        <v>46065.670798611114</v>
      </c>
      <c r="BE127" s="5">
        <v>1683.0</v>
      </c>
      <c r="BF127" s="5">
        <v>1683.0</v>
      </c>
      <c r="BG127" s="5">
        <v>210.0</v>
      </c>
      <c r="BH127" s="5">
        <v>210.0</v>
      </c>
      <c r="BI127" s="3"/>
      <c r="BJ127" s="3"/>
      <c r="BK127" s="3"/>
      <c r="BL127" s="3"/>
      <c r="BM127" s="5">
        <v>30.0</v>
      </c>
      <c r="BN127" s="5">
        <v>30.0</v>
      </c>
      <c r="BO127" s="5">
        <v>33.0</v>
      </c>
      <c r="BP127" s="5">
        <v>33.0</v>
      </c>
      <c r="BQ127" s="5">
        <v>33.0</v>
      </c>
      <c r="BR127" s="5">
        <v>33.0</v>
      </c>
      <c r="BS127" s="5">
        <v>3.0</v>
      </c>
      <c r="BT127" s="5">
        <v>3.0</v>
      </c>
      <c r="BU127" s="5">
        <v>15.0</v>
      </c>
      <c r="BV127" s="5">
        <v>15.0</v>
      </c>
      <c r="BW127" s="5">
        <v>15.0</v>
      </c>
      <c r="BX127" s="5">
        <v>15.0</v>
      </c>
      <c r="BY127" s="5">
        <v>3153.0</v>
      </c>
      <c r="BZ127" s="5">
        <v>3153.0</v>
      </c>
      <c r="CA127" s="5">
        <v>3153.0</v>
      </c>
      <c r="CB127" s="5">
        <v>3153.0</v>
      </c>
      <c r="CC127" s="5">
        <v>3153.0</v>
      </c>
      <c r="CD127" s="5">
        <v>3153.0</v>
      </c>
      <c r="CE127" s="5">
        <v>3123.0</v>
      </c>
      <c r="CF127" s="5">
        <v>3123.0</v>
      </c>
      <c r="CG127" s="5">
        <v>3135.0</v>
      </c>
      <c r="CH127" s="5">
        <v>3135.0</v>
      </c>
      <c r="CI127" s="5">
        <v>3135.0</v>
      </c>
      <c r="CJ127" s="5">
        <v>3135.0</v>
      </c>
      <c r="CK127" s="5">
        <v>3135.0</v>
      </c>
      <c r="CL127" s="5">
        <v>3135.0</v>
      </c>
      <c r="CM127" s="5">
        <v>3135.0</v>
      </c>
      <c r="CN127" s="5">
        <v>3135.0</v>
      </c>
      <c r="CO127" s="3"/>
      <c r="CP127" s="5">
        <v>18.0</v>
      </c>
      <c r="CQ127" s="3"/>
      <c r="CR127" s="4" t="s">
        <v>626</v>
      </c>
    </row>
    <row r="128">
      <c r="A128" s="1" t="s">
        <v>627</v>
      </c>
      <c r="B128" s="2">
        <v>46065.633425925924</v>
      </c>
      <c r="C128" s="1" t="str">
        <f t="array" ref="C128">INDEX('User data'!E:E, MATCH(E128, 'User data'!B:B, 0))</f>
        <v>(주)서울로보틱스 (Seoul Robotics Co.,Ltd)</v>
      </c>
      <c r="D128" s="1" t="str">
        <f t="array" ref="D128">INDEX('User data'!F:F, MATCH(C128, 'User data'!E:E, 0))</f>
        <v>893-88-00768</v>
      </c>
      <c r="E128" s="1" t="s">
        <v>623</v>
      </c>
      <c r="F128" s="3"/>
      <c r="G128" s="3"/>
      <c r="H128" s="3"/>
      <c r="I128" s="3"/>
      <c r="J128" s="1" t="s">
        <v>100</v>
      </c>
      <c r="K128" s="1" t="s">
        <v>101</v>
      </c>
      <c r="L128" s="1" t="b">
        <v>0</v>
      </c>
      <c r="M128" s="4" t="s">
        <v>102</v>
      </c>
      <c r="N128" s="1" t="s">
        <v>625</v>
      </c>
      <c r="P128" s="3"/>
      <c r="Q128" s="3"/>
      <c r="R128" s="3"/>
      <c r="S128" s="3"/>
      <c r="T128" s="1" t="s">
        <v>104</v>
      </c>
      <c r="U128" s="3"/>
      <c r="V128" s="3"/>
      <c r="W128" s="1" t="s">
        <v>105</v>
      </c>
      <c r="X128" s="3"/>
      <c r="Y128" s="1" t="s">
        <v>106</v>
      </c>
      <c r="Z128" s="3"/>
      <c r="AA128" s="1" t="b">
        <v>0</v>
      </c>
      <c r="AB128" s="1" t="b">
        <v>0</v>
      </c>
      <c r="AC128" s="1" t="b">
        <v>0</v>
      </c>
      <c r="AD128" s="1" t="b">
        <v>0</v>
      </c>
      <c r="AE128" s="1" t="b">
        <v>1</v>
      </c>
      <c r="AF128" s="3"/>
      <c r="AG128" s="3"/>
      <c r="AH128" s="3"/>
      <c r="AI128" s="3"/>
      <c r="AJ128" s="2">
        <v>46065.633356481485</v>
      </c>
      <c r="AK128" s="2">
        <v>46066.633784722224</v>
      </c>
      <c r="AM128" s="2">
        <v>46065.633425925924</v>
      </c>
      <c r="AN128" s="2">
        <v>46065.633425925924</v>
      </c>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5">
        <v>1.8</v>
      </c>
      <c r="CR128" s="4" t="s">
        <v>628</v>
      </c>
    </row>
    <row r="129">
      <c r="A129" s="1" t="s">
        <v>629</v>
      </c>
      <c r="B129" s="2">
        <v>46065.62054398148</v>
      </c>
      <c r="C129" s="1" t="str">
        <f t="array" ref="C129">INDEX('User data'!E:E, MATCH(E129, 'User data'!B:B, 0))</f>
        <v/>
      </c>
      <c r="D129" s="1" t="str">
        <f t="array" ref="D129">INDEX('User data'!F:F, MATCH(C129, 'User data'!E:E, 0))</f>
        <v>#N/A</v>
      </c>
      <c r="E129" s="1" t="s">
        <v>630</v>
      </c>
      <c r="F129" s="3"/>
      <c r="G129" s="3"/>
      <c r="H129" s="3"/>
      <c r="I129" s="3"/>
      <c r="J129" s="1" t="s">
        <v>100</v>
      </c>
      <c r="K129" s="1" t="s">
        <v>101</v>
      </c>
      <c r="L129" s="1" t="b">
        <v>0</v>
      </c>
      <c r="M129" s="4" t="s">
        <v>102</v>
      </c>
      <c r="N129" s="1" t="s">
        <v>631</v>
      </c>
      <c r="P129" s="3"/>
      <c r="Q129" s="3"/>
      <c r="R129" s="3"/>
      <c r="S129" s="3"/>
      <c r="T129" s="1" t="s">
        <v>104</v>
      </c>
      <c r="U129" s="3"/>
      <c r="V129" s="3"/>
      <c r="W129" s="1" t="s">
        <v>105</v>
      </c>
      <c r="X129" s="3"/>
      <c r="Y129" s="1" t="s">
        <v>106</v>
      </c>
      <c r="Z129" s="3"/>
      <c r="AA129" s="1" t="b">
        <v>0</v>
      </c>
      <c r="AB129" s="1" t="b">
        <v>0</v>
      </c>
      <c r="AC129" s="1" t="b">
        <v>0</v>
      </c>
      <c r="AD129" s="1" t="b">
        <v>0</v>
      </c>
      <c r="AE129" s="1" t="b">
        <v>1</v>
      </c>
      <c r="AF129" s="3"/>
      <c r="AG129" s="3"/>
      <c r="AH129" s="3"/>
      <c r="AI129" s="3"/>
      <c r="AJ129" s="2">
        <v>46065.62038194444</v>
      </c>
      <c r="AK129" s="2">
        <v>46066.62059027778</v>
      </c>
      <c r="AM129" s="2">
        <v>46065.62054398148</v>
      </c>
      <c r="AN129" s="2">
        <v>46065.62054398148</v>
      </c>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5">
        <v>5.0</v>
      </c>
      <c r="CR129" s="4" t="s">
        <v>632</v>
      </c>
    </row>
    <row r="130">
      <c r="A130" s="1" t="s">
        <v>633</v>
      </c>
      <c r="B130" s="2">
        <v>46065.61728009259</v>
      </c>
      <c r="C130" s="1" t="str">
        <f t="array" ref="C130">INDEX('User data'!E:E, MATCH(E130, 'User data'!B:B, 0))</f>
        <v>주식회사 사월일일</v>
      </c>
      <c r="D130" s="1" t="str">
        <f t="array" ref="D130">INDEX('User data'!F:F, MATCH(C130, 'User data'!E:E, 0))</f>
        <v>791-81-03494</v>
      </c>
      <c r="E130" s="1" t="s">
        <v>634</v>
      </c>
      <c r="F130" s="3"/>
      <c r="G130" s="3"/>
      <c r="H130" s="3"/>
      <c r="I130" s="3"/>
      <c r="J130" s="1" t="s">
        <v>100</v>
      </c>
      <c r="K130" s="1" t="s">
        <v>101</v>
      </c>
      <c r="L130" s="1" t="b">
        <v>0</v>
      </c>
      <c r="M130" s="4" t="s">
        <v>102</v>
      </c>
      <c r="N130" s="1" t="s">
        <v>635</v>
      </c>
      <c r="P130" s="3"/>
      <c r="Q130" s="3"/>
      <c r="R130" s="3"/>
      <c r="S130" s="3"/>
      <c r="T130" s="1" t="s">
        <v>104</v>
      </c>
      <c r="U130" s="3"/>
      <c r="V130" s="3"/>
      <c r="W130" s="1" t="s">
        <v>105</v>
      </c>
      <c r="X130" s="3"/>
      <c r="Y130" s="1" t="s">
        <v>106</v>
      </c>
      <c r="Z130" s="3"/>
      <c r="AA130" s="1" t="b">
        <v>0</v>
      </c>
      <c r="AB130" s="1" t="b">
        <v>0</v>
      </c>
      <c r="AC130" s="1" t="b">
        <v>0</v>
      </c>
      <c r="AD130" s="1" t="b">
        <v>0</v>
      </c>
      <c r="AE130" s="1" t="b">
        <v>1</v>
      </c>
      <c r="AF130" s="3"/>
      <c r="AG130" s="3"/>
      <c r="AH130" s="3"/>
      <c r="AI130" s="3"/>
      <c r="AJ130" s="2">
        <v>46065.61697916667</v>
      </c>
      <c r="AK130" s="2">
        <v>46066.61734953704</v>
      </c>
      <c r="AM130" s="2">
        <v>46065.61728009259</v>
      </c>
      <c r="AN130" s="2">
        <v>46065.61728009259</v>
      </c>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5">
        <v>3.4</v>
      </c>
      <c r="CR130" s="4" t="s">
        <v>636</v>
      </c>
    </row>
    <row r="131">
      <c r="A131" s="1" t="s">
        <v>637</v>
      </c>
      <c r="B131" s="2">
        <v>46065.613020833334</v>
      </c>
      <c r="C131" s="1" t="str">
        <f t="array" ref="C131">INDEX('User data'!E:E, MATCH(E131, 'User data'!B:B, 0))</f>
        <v>주식회사 위버케어</v>
      </c>
      <c r="D131" s="1" t="str">
        <f t="array" ref="D131">INDEX('User data'!F:F, MATCH(C131, 'User data'!E:E, 0))</f>
        <v>336-87-00652</v>
      </c>
      <c r="E131" s="1" t="s">
        <v>638</v>
      </c>
      <c r="F131" s="3"/>
      <c r="G131" s="3"/>
      <c r="H131" s="3"/>
      <c r="I131" s="3"/>
      <c r="J131" s="1" t="s">
        <v>100</v>
      </c>
      <c r="K131" s="1" t="s">
        <v>101</v>
      </c>
      <c r="L131" s="1" t="b">
        <v>0</v>
      </c>
      <c r="M131" s="4" t="s">
        <v>102</v>
      </c>
      <c r="N131" s="1" t="s">
        <v>639</v>
      </c>
      <c r="P131" s="3"/>
      <c r="Q131" s="3"/>
      <c r="R131" s="3"/>
      <c r="S131" s="3"/>
      <c r="T131" s="1" t="s">
        <v>104</v>
      </c>
      <c r="U131" s="3"/>
      <c r="V131" s="3"/>
      <c r="W131" s="1" t="s">
        <v>105</v>
      </c>
      <c r="X131" s="3"/>
      <c r="Y131" s="1" t="s">
        <v>106</v>
      </c>
      <c r="Z131" s="3"/>
      <c r="AA131" s="1" t="b">
        <v>0</v>
      </c>
      <c r="AB131" s="1" t="b">
        <v>0</v>
      </c>
      <c r="AC131" s="1" t="b">
        <v>0</v>
      </c>
      <c r="AD131" s="1" t="b">
        <v>0</v>
      </c>
      <c r="AE131" s="1" t="b">
        <v>1</v>
      </c>
      <c r="AF131" s="3"/>
      <c r="AG131" s="3"/>
      <c r="AH131" s="3"/>
      <c r="AI131" s="3"/>
      <c r="AJ131" s="2">
        <v>46065.612974537034</v>
      </c>
      <c r="AK131" s="2">
        <v>46066.61306712963</v>
      </c>
      <c r="AM131" s="2">
        <v>46065.613020833334</v>
      </c>
      <c r="AN131" s="2">
        <v>46065.613020833334</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5">
        <v>5.0</v>
      </c>
      <c r="CR131" s="4" t="s">
        <v>640</v>
      </c>
    </row>
    <row r="132">
      <c r="A132" s="1" t="s">
        <v>641</v>
      </c>
      <c r="B132" s="2">
        <v>46065.59951388889</v>
      </c>
      <c r="C132" s="1" t="str">
        <f t="array" ref="C132">INDEX('User data'!E:E, MATCH(E132, 'User data'!B:B, 0))</f>
        <v>주식회사 오크컴퍼니 (OAK COMPANY)</v>
      </c>
      <c r="D132" s="1" t="str">
        <f t="array" ref="D132">INDEX('User data'!F:F, MATCH(C132, 'User data'!E:E, 0))</f>
        <v>219-87-03733</v>
      </c>
      <c r="E132" s="1" t="s">
        <v>642</v>
      </c>
      <c r="F132" s="3"/>
      <c r="G132" s="3"/>
      <c r="H132" s="3"/>
      <c r="I132" s="3"/>
      <c r="J132" s="1" t="s">
        <v>100</v>
      </c>
      <c r="K132" s="1" t="s">
        <v>101</v>
      </c>
      <c r="L132" s="1" t="b">
        <v>0</v>
      </c>
      <c r="M132" s="4" t="s">
        <v>102</v>
      </c>
      <c r="N132" s="1" t="s">
        <v>643</v>
      </c>
      <c r="P132" s="3"/>
      <c r="Q132" s="3"/>
      <c r="R132" s="3"/>
      <c r="S132" s="3"/>
      <c r="T132" s="1" t="s">
        <v>104</v>
      </c>
      <c r="U132" s="3"/>
      <c r="V132" s="3"/>
      <c r="W132" s="1" t="s">
        <v>105</v>
      </c>
      <c r="X132" s="3"/>
      <c r="Y132" s="1" t="s">
        <v>106</v>
      </c>
      <c r="Z132" s="3"/>
      <c r="AA132" s="1" t="b">
        <v>0</v>
      </c>
      <c r="AB132" s="1" t="b">
        <v>0</v>
      </c>
      <c r="AC132" s="1" t="b">
        <v>0</v>
      </c>
      <c r="AD132" s="1" t="b">
        <v>0</v>
      </c>
      <c r="AE132" s="1" t="b">
        <v>1</v>
      </c>
      <c r="AF132" s="3"/>
      <c r="AG132" s="3"/>
      <c r="AH132" s="3"/>
      <c r="AI132" s="3"/>
      <c r="AJ132" s="2">
        <v>46065.59939814815</v>
      </c>
      <c r="AK132" s="2">
        <v>46066.59991898148</v>
      </c>
      <c r="AM132" s="2">
        <v>46065.59951388889</v>
      </c>
      <c r="AN132" s="2">
        <v>46065.59951388889</v>
      </c>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5">
        <v>4.4</v>
      </c>
      <c r="CR132" s="4" t="s">
        <v>644</v>
      </c>
    </row>
    <row r="133">
      <c r="A133" s="1" t="s">
        <v>645</v>
      </c>
      <c r="B133" s="2">
        <v>46065.56581018519</v>
      </c>
      <c r="C133" s="1" t="str">
        <f t="array" ref="C133">INDEX('User data'!E:E, MATCH(E133, 'User data'!B:B, 0))</f>
        <v>주식회사 툰스퀘어 (Toonsquare)</v>
      </c>
      <c r="D133" s="1" t="str">
        <f t="array" ref="D133">INDEX('User data'!F:F, MATCH(C133, 'User data'!E:E, 0))</f>
        <v>879-88-01529</v>
      </c>
      <c r="E133" s="1" t="s">
        <v>646</v>
      </c>
      <c r="F133" s="3"/>
      <c r="G133" s="3"/>
      <c r="H133" s="3"/>
      <c r="I133" s="3"/>
      <c r="J133" s="1" t="s">
        <v>100</v>
      </c>
      <c r="K133" s="1" t="s">
        <v>173</v>
      </c>
      <c r="L133" s="1" t="b">
        <v>0</v>
      </c>
      <c r="M133" s="3"/>
      <c r="N133" s="1" t="s">
        <v>647</v>
      </c>
      <c r="O133" s="1">
        <v>594863.0</v>
      </c>
      <c r="P133" s="1">
        <v>594863.0</v>
      </c>
      <c r="Q133" s="1">
        <v>594863.0</v>
      </c>
      <c r="R133" s="1">
        <v>594863.0</v>
      </c>
      <c r="S133" s="3"/>
      <c r="T133" s="1" t="s">
        <v>175</v>
      </c>
      <c r="U133" s="1" t="s">
        <v>175</v>
      </c>
      <c r="V133" s="3"/>
      <c r="W133" s="1" t="s">
        <v>118</v>
      </c>
      <c r="X133" s="3"/>
      <c r="Y133" s="1" t="s">
        <v>106</v>
      </c>
      <c r="Z133" s="3"/>
      <c r="AA133" s="1" t="b">
        <v>1</v>
      </c>
      <c r="AB133" s="1" t="b">
        <v>0</v>
      </c>
      <c r="AC133" s="1" t="b">
        <v>0</v>
      </c>
      <c r="AD133" s="1" t="b">
        <v>0</v>
      </c>
      <c r="AE133" s="1" t="b">
        <v>0</v>
      </c>
      <c r="AF133" s="3"/>
      <c r="AG133" s="3"/>
      <c r="AH133" s="3"/>
      <c r="AI133" s="3"/>
      <c r="AJ133" s="2">
        <v>46065.446493055555</v>
      </c>
      <c r="AK133" s="2">
        <v>46065.607939814814</v>
      </c>
      <c r="AM133" s="2">
        <v>46065.56581018519</v>
      </c>
      <c r="AO133" s="3"/>
      <c r="AP133" s="3"/>
      <c r="AQ133" s="3"/>
      <c r="AR133" s="3"/>
      <c r="AS133" s="3"/>
      <c r="AT133" s="2">
        <v>46065.56581018519</v>
      </c>
      <c r="AU133" s="2">
        <v>46065.56581018519</v>
      </c>
      <c r="AW133" s="3"/>
      <c r="AX133" s="2">
        <v>46065.446493055555</v>
      </c>
      <c r="AY133" s="2">
        <v>46065.56581018519</v>
      </c>
      <c r="BA133" s="3"/>
      <c r="BB133" s="3"/>
      <c r="BC133" s="2">
        <v>46065.56626157407</v>
      </c>
      <c r="BD133" s="2">
        <v>46065.56626157407</v>
      </c>
      <c r="BF133" s="3"/>
      <c r="BG133" s="3"/>
      <c r="BH133" s="3"/>
      <c r="BI133" s="3"/>
      <c r="BJ133" s="3"/>
      <c r="BK133" s="3"/>
      <c r="BL133" s="3"/>
      <c r="BM133" s="3"/>
      <c r="BN133" s="3"/>
      <c r="BO133" s="3"/>
      <c r="BP133" s="3"/>
      <c r="BQ133" s="3"/>
      <c r="BR133" s="3"/>
      <c r="BS133" s="3"/>
      <c r="BT133" s="3"/>
      <c r="BU133" s="3"/>
      <c r="BV133" s="3"/>
      <c r="BW133" s="3"/>
      <c r="BX133" s="3"/>
      <c r="BY133" s="5">
        <v>38.0</v>
      </c>
      <c r="BZ133" s="5">
        <v>38.0</v>
      </c>
      <c r="CA133" s="5">
        <v>38.0</v>
      </c>
      <c r="CB133" s="5">
        <v>38.0</v>
      </c>
      <c r="CC133" s="5">
        <v>38.0</v>
      </c>
      <c r="CD133" s="5">
        <v>38.0</v>
      </c>
      <c r="CE133" s="5">
        <v>10347.0</v>
      </c>
      <c r="CF133" s="5">
        <v>6747.0</v>
      </c>
      <c r="CG133" s="5">
        <v>38.0</v>
      </c>
      <c r="CH133" s="5">
        <v>38.0</v>
      </c>
      <c r="CI133" s="5">
        <v>38.0</v>
      </c>
      <c r="CJ133" s="5">
        <v>38.0</v>
      </c>
      <c r="CK133" s="5">
        <v>38.0</v>
      </c>
      <c r="CL133" s="5">
        <v>38.0</v>
      </c>
      <c r="CM133" s="5">
        <v>38.0</v>
      </c>
      <c r="CN133" s="5">
        <v>38.0</v>
      </c>
      <c r="CO133" s="3"/>
      <c r="CP133" s="3"/>
      <c r="CQ133" s="3"/>
      <c r="CR133" s="4" t="s">
        <v>648</v>
      </c>
    </row>
    <row r="134">
      <c r="A134" s="1" t="s">
        <v>649</v>
      </c>
      <c r="B134" s="2">
        <v>46065.563796296294</v>
      </c>
      <c r="C134" s="1" t="str">
        <f t="array" ref="C134">INDEX('User data'!E:E, MATCH(E134, 'User data'!B:B, 0))</f>
        <v/>
      </c>
      <c r="D134" s="1" t="str">
        <f t="array" ref="D134">INDEX('User data'!F:F, MATCH(C134, 'User data'!E:E, 0))</f>
        <v>#N/A</v>
      </c>
      <c r="E134" s="1" t="s">
        <v>650</v>
      </c>
      <c r="F134" s="3"/>
      <c r="G134" s="3"/>
      <c r="H134" s="3"/>
      <c r="I134" s="3"/>
      <c r="J134" s="1" t="s">
        <v>100</v>
      </c>
      <c r="K134" s="1" t="s">
        <v>101</v>
      </c>
      <c r="L134" s="1" t="b">
        <v>0</v>
      </c>
      <c r="M134" s="4" t="s">
        <v>102</v>
      </c>
      <c r="N134" s="1" t="s">
        <v>651</v>
      </c>
      <c r="P134" s="3"/>
      <c r="Q134" s="3"/>
      <c r="R134" s="3"/>
      <c r="S134" s="3"/>
      <c r="T134" s="1" t="s">
        <v>104</v>
      </c>
      <c r="U134" s="3"/>
      <c r="V134" s="3"/>
      <c r="W134" s="1" t="s">
        <v>105</v>
      </c>
      <c r="X134" s="3"/>
      <c r="Y134" s="1" t="s">
        <v>106</v>
      </c>
      <c r="Z134" s="3"/>
      <c r="AA134" s="1" t="b">
        <v>0</v>
      </c>
      <c r="AB134" s="1" t="b">
        <v>0</v>
      </c>
      <c r="AC134" s="1" t="b">
        <v>0</v>
      </c>
      <c r="AD134" s="1" t="b">
        <v>0</v>
      </c>
      <c r="AE134" s="1" t="b">
        <v>1</v>
      </c>
      <c r="AF134" s="3"/>
      <c r="AG134" s="3"/>
      <c r="AH134" s="3"/>
      <c r="AI134" s="3"/>
      <c r="AJ134" s="2">
        <v>46065.563564814816</v>
      </c>
      <c r="AK134" s="2">
        <v>46066.56384259259</v>
      </c>
      <c r="AM134" s="2">
        <v>46065.563796296294</v>
      </c>
      <c r="AN134" s="2">
        <v>46065.563796296294</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5">
        <v>2.8</v>
      </c>
      <c r="CR134" s="4" t="s">
        <v>652</v>
      </c>
    </row>
    <row r="135">
      <c r="A135" s="1" t="s">
        <v>653</v>
      </c>
      <c r="B135" s="2">
        <v>46065.482083333336</v>
      </c>
      <c r="C135" s="1" t="str">
        <f t="array" ref="C135">INDEX('User data'!E:E, MATCH(E135, 'User data'!B:B, 0))</f>
        <v>주식회사 플루토 (PLUTO)</v>
      </c>
      <c r="D135" s="1" t="str">
        <f t="array" ref="D135">INDEX('User data'!F:F, MATCH(C135, 'User data'!E:E, 0))</f>
        <v>444-87-02140</v>
      </c>
      <c r="E135" s="1" t="s">
        <v>199</v>
      </c>
      <c r="F135" s="3"/>
      <c r="G135" s="3"/>
      <c r="H135" s="1" t="s">
        <v>654</v>
      </c>
      <c r="I135" s="1" t="s">
        <v>253</v>
      </c>
      <c r="J135" s="1" t="s">
        <v>100</v>
      </c>
      <c r="K135" s="1" t="s">
        <v>101</v>
      </c>
      <c r="L135" s="1" t="b">
        <v>0</v>
      </c>
      <c r="M135" s="4" t="s">
        <v>102</v>
      </c>
      <c r="N135" s="1" t="s">
        <v>200</v>
      </c>
      <c r="O135" s="1">
        <v>574085.0</v>
      </c>
      <c r="P135" s="1">
        <v>574085.0</v>
      </c>
      <c r="Q135" s="1">
        <v>574085.0</v>
      </c>
      <c r="R135" s="1" t="s">
        <v>145</v>
      </c>
      <c r="S135" s="1">
        <v>13285.0</v>
      </c>
      <c r="T135" s="1" t="s">
        <v>104</v>
      </c>
      <c r="U135" s="3"/>
      <c r="V135" s="3"/>
      <c r="W135" s="1" t="s">
        <v>118</v>
      </c>
      <c r="X135" s="3"/>
      <c r="Y135" s="1" t="s">
        <v>119</v>
      </c>
      <c r="Z135" s="3"/>
      <c r="AA135" s="1" t="b">
        <v>1</v>
      </c>
      <c r="AB135" s="1" t="b">
        <v>0</v>
      </c>
      <c r="AC135" s="1" t="b">
        <v>0</v>
      </c>
      <c r="AD135" s="1" t="b">
        <v>1</v>
      </c>
      <c r="AE135" s="1" t="b">
        <v>1</v>
      </c>
      <c r="AF135" s="5">
        <v>2.0</v>
      </c>
      <c r="AG135" s="5">
        <v>2.0</v>
      </c>
      <c r="AH135" s="3"/>
      <c r="AI135" s="3"/>
      <c r="AJ135" s="2">
        <v>46065.48185185185</v>
      </c>
      <c r="AK135" s="2">
        <v>46072.48731481482</v>
      </c>
      <c r="AL135" s="2">
        <v>46065.75722222222</v>
      </c>
      <c r="AM135" s="2">
        <v>46065.482083333336</v>
      </c>
      <c r="AN135" s="2">
        <v>46065.482083333336</v>
      </c>
      <c r="AO135" s="2">
        <v>46065.67729166667</v>
      </c>
      <c r="AP135" s="2">
        <v>46072.48731481482</v>
      </c>
      <c r="AQ135" s="2">
        <v>46065.67729166667</v>
      </c>
      <c r="AS135" s="2">
        <v>46065.677303240744</v>
      </c>
      <c r="AT135" s="2">
        <v>46065.67729166667</v>
      </c>
      <c r="AU135" s="2">
        <v>46065.677303240744</v>
      </c>
      <c r="AW135" s="3"/>
      <c r="AX135" s="2">
        <v>46065.677303240744</v>
      </c>
      <c r="AY135" s="2">
        <v>46065.677303240744</v>
      </c>
      <c r="AZ135" s="2">
        <v>46065.677407407406</v>
      </c>
      <c r="BA135" s="2">
        <v>46065.6908912037</v>
      </c>
      <c r="BC135" s="2">
        <v>46065.757210648146</v>
      </c>
      <c r="BD135" s="2">
        <v>46065.757210648146</v>
      </c>
      <c r="BE135" s="5">
        <v>1121.0</v>
      </c>
      <c r="BF135" s="5">
        <v>1121.0</v>
      </c>
      <c r="BG135" s="5">
        <v>560.0</v>
      </c>
      <c r="BH135" s="5">
        <v>560.0</v>
      </c>
      <c r="BI135" s="3"/>
      <c r="BJ135" s="3"/>
      <c r="BK135" s="5">
        <v>1.0</v>
      </c>
      <c r="BL135" s="5">
        <v>1.0</v>
      </c>
      <c r="BM135" s="5">
        <v>16866.0</v>
      </c>
      <c r="BN135" s="5">
        <v>13266.0</v>
      </c>
      <c r="BO135" s="5">
        <v>16876.0</v>
      </c>
      <c r="BP135" s="5">
        <v>13276.0</v>
      </c>
      <c r="BQ135" s="5">
        <v>16876.0</v>
      </c>
      <c r="BR135" s="5">
        <v>13276.0</v>
      </c>
      <c r="BS135" s="5">
        <v>9.0</v>
      </c>
      <c r="BT135" s="5">
        <v>9.0</v>
      </c>
      <c r="BU135" s="5">
        <v>9.0</v>
      </c>
      <c r="BV135" s="5">
        <v>9.0</v>
      </c>
      <c r="BW135" s="5">
        <v>10.0</v>
      </c>
      <c r="BX135" s="5">
        <v>10.0</v>
      </c>
      <c r="BY135" s="5">
        <v>23771.0</v>
      </c>
      <c r="BZ135" s="5">
        <v>15947.0</v>
      </c>
      <c r="CA135" s="5">
        <v>23771.0</v>
      </c>
      <c r="CB135" s="5">
        <v>15947.0</v>
      </c>
      <c r="CC135" s="5">
        <v>23771.0</v>
      </c>
      <c r="CD135" s="5">
        <v>15947.0</v>
      </c>
      <c r="CE135" s="5">
        <v>6904.0</v>
      </c>
      <c r="CF135" s="5">
        <v>2680.0</v>
      </c>
      <c r="CG135" s="5">
        <v>6904.0</v>
      </c>
      <c r="CH135" s="5">
        <v>2680.0</v>
      </c>
      <c r="CI135" s="5">
        <v>6905.0</v>
      </c>
      <c r="CJ135" s="5">
        <v>2681.0</v>
      </c>
      <c r="CK135" s="5">
        <v>6904.0</v>
      </c>
      <c r="CL135" s="5">
        <v>2680.0</v>
      </c>
      <c r="CM135" s="5">
        <v>6904.0</v>
      </c>
      <c r="CN135" s="5">
        <v>2680.0</v>
      </c>
      <c r="CO135" s="5">
        <v>581480.0</v>
      </c>
      <c r="CP135" s="5">
        <v>16865.0</v>
      </c>
      <c r="CQ135" s="3"/>
      <c r="CR135" s="4" t="s">
        <v>655</v>
      </c>
      <c r="CS135" s="5">
        <v>5.0</v>
      </c>
      <c r="CT135" s="3"/>
    </row>
    <row r="136">
      <c r="A136" s="1" t="s">
        <v>656</v>
      </c>
      <c r="B136" s="2">
        <v>46065.4643287037</v>
      </c>
      <c r="C136" s="1" t="str">
        <f t="array" ref="C136">INDEX('User data'!E:E, MATCH(E136, 'User data'!B:B, 0))</f>
        <v>주식회사 위드이노베이션</v>
      </c>
      <c r="D136" s="1" t="str">
        <f t="array" ref="D136">INDEX('User data'!F:F, MATCH(C136, 'User data'!E:E, 0))</f>
        <v>757-86-00056</v>
      </c>
      <c r="E136" s="1" t="s">
        <v>657</v>
      </c>
      <c r="F136" s="3"/>
      <c r="G136" s="3"/>
      <c r="H136" s="3"/>
      <c r="I136" s="1" t="s">
        <v>658</v>
      </c>
      <c r="J136" s="1" t="s">
        <v>100</v>
      </c>
      <c r="K136" s="1" t="s">
        <v>101</v>
      </c>
      <c r="L136" s="1" t="b">
        <v>0</v>
      </c>
      <c r="M136" s="4" t="s">
        <v>102</v>
      </c>
      <c r="N136" s="1" t="s">
        <v>659</v>
      </c>
      <c r="O136" s="1">
        <v>574085.0</v>
      </c>
      <c r="P136" s="1">
        <v>574085.0</v>
      </c>
      <c r="Q136" s="1">
        <v>574085.0</v>
      </c>
      <c r="R136" s="1" t="s">
        <v>145</v>
      </c>
      <c r="S136" s="1">
        <v>13285.0</v>
      </c>
      <c r="T136" s="1" t="s">
        <v>104</v>
      </c>
      <c r="U136" s="3"/>
      <c r="V136" s="3"/>
      <c r="W136" s="1" t="s">
        <v>118</v>
      </c>
      <c r="X136" s="3"/>
      <c r="Y136" s="1" t="s">
        <v>119</v>
      </c>
      <c r="Z136" s="3"/>
      <c r="AA136" s="1" t="b">
        <v>1</v>
      </c>
      <c r="AB136" s="1" t="b">
        <v>0</v>
      </c>
      <c r="AC136" s="1" t="b">
        <v>0</v>
      </c>
      <c r="AD136" s="1" t="b">
        <v>1</v>
      </c>
      <c r="AE136" s="1" t="b">
        <v>1</v>
      </c>
      <c r="AF136" s="5">
        <v>5.0</v>
      </c>
      <c r="AG136" s="5">
        <v>5.0</v>
      </c>
      <c r="AH136" s="3"/>
      <c r="AI136" s="3"/>
      <c r="AJ136" s="2">
        <v>46065.46425925926</v>
      </c>
      <c r="AK136" s="2">
        <v>46066.44912037037</v>
      </c>
      <c r="AL136" s="2">
        <v>46065.46668981481</v>
      </c>
      <c r="AM136" s="2">
        <v>46065.4643287037</v>
      </c>
      <c r="AN136" s="2">
        <v>46065.4643287037</v>
      </c>
      <c r="AO136" s="2">
        <v>46065.46597222222</v>
      </c>
      <c r="AP136" s="2">
        <v>46065.46672453704</v>
      </c>
      <c r="AQ136" s="2">
        <v>46065.46597222222</v>
      </c>
      <c r="AS136" s="2">
        <v>46065.4659837963</v>
      </c>
      <c r="AT136" s="2">
        <v>46065.46597222222</v>
      </c>
      <c r="AU136" s="2">
        <v>46065.4659837963</v>
      </c>
      <c r="AW136" s="3"/>
      <c r="AX136" s="2">
        <v>46065.4659837963</v>
      </c>
      <c r="AY136" s="2">
        <v>46065.4659837963</v>
      </c>
      <c r="AZ136" s="2">
        <v>46065.46878472222</v>
      </c>
      <c r="BA136" s="2">
        <v>46065.57864583333</v>
      </c>
      <c r="BC136" s="2">
        <v>46066.40744212963</v>
      </c>
      <c r="BD136" s="2">
        <v>46066.40744212963</v>
      </c>
      <c r="BE136" s="5">
        <v>8636.0</v>
      </c>
      <c r="BF136" s="5">
        <v>8636.0</v>
      </c>
      <c r="BG136" s="5">
        <v>1727.0</v>
      </c>
      <c r="BH136" s="5">
        <v>1727.0</v>
      </c>
      <c r="BI136" s="3"/>
      <c r="BJ136" s="3"/>
      <c r="BK136" s="5">
        <v>0.0</v>
      </c>
      <c r="BL136" s="5">
        <v>0.0</v>
      </c>
      <c r="BM136" s="5">
        <v>142.0</v>
      </c>
      <c r="BN136" s="5">
        <v>142.0</v>
      </c>
      <c r="BO136" s="5">
        <v>384.0</v>
      </c>
      <c r="BP136" s="5">
        <v>384.0</v>
      </c>
      <c r="BQ136" s="5">
        <v>384.0</v>
      </c>
      <c r="BR136" s="5">
        <v>384.0</v>
      </c>
      <c r="BS136" s="5">
        <v>241.0</v>
      </c>
      <c r="BT136" s="5">
        <v>241.0</v>
      </c>
      <c r="BU136" s="5">
        <v>241.0</v>
      </c>
      <c r="BV136" s="5">
        <v>241.0</v>
      </c>
      <c r="BW136" s="5">
        <v>242.0</v>
      </c>
      <c r="BX136" s="5">
        <v>242.0</v>
      </c>
      <c r="BY136" s="5">
        <v>81484.0</v>
      </c>
      <c r="BZ136" s="5">
        <v>17481.0</v>
      </c>
      <c r="CA136" s="5">
        <v>81484.0</v>
      </c>
      <c r="CB136" s="5">
        <v>17481.0</v>
      </c>
      <c r="CC136" s="5">
        <v>81484.0</v>
      </c>
      <c r="CD136" s="5">
        <v>17481.0</v>
      </c>
      <c r="CE136" s="5">
        <v>81342.0</v>
      </c>
      <c r="CF136" s="5">
        <v>17338.0</v>
      </c>
      <c r="CG136" s="5">
        <v>81342.0</v>
      </c>
      <c r="CH136" s="5">
        <v>17338.0</v>
      </c>
      <c r="CI136" s="5">
        <v>81342.0</v>
      </c>
      <c r="CJ136" s="5">
        <v>17339.0</v>
      </c>
      <c r="CK136" s="5">
        <v>81342.0</v>
      </c>
      <c r="CL136" s="5">
        <v>17338.0</v>
      </c>
      <c r="CM136" s="5">
        <v>81342.0</v>
      </c>
      <c r="CN136" s="5">
        <v>17338.0</v>
      </c>
      <c r="CO136" s="5">
        <v>3.0</v>
      </c>
      <c r="CP136" s="5">
        <v>141.0</v>
      </c>
      <c r="CQ136" s="3"/>
      <c r="CR136" s="4" t="s">
        <v>660</v>
      </c>
    </row>
    <row r="137">
      <c r="A137" s="1" t="s">
        <v>661</v>
      </c>
      <c r="B137" s="2">
        <v>46065.46396990741</v>
      </c>
      <c r="C137" s="1" t="str">
        <f t="array" ref="C137">INDEX('User data'!E:E, MATCH(E137, 'User data'!B:B, 0))</f>
        <v>주식회사 플루토 (PLUTO)</v>
      </c>
      <c r="D137" s="1" t="str">
        <f t="array" ref="D137">INDEX('User data'!F:F, MATCH(C137, 'User data'!E:E, 0))</f>
        <v>444-87-02140</v>
      </c>
      <c r="E137" s="1" t="s">
        <v>199</v>
      </c>
      <c r="F137" s="3"/>
      <c r="G137" s="3"/>
      <c r="H137" s="3"/>
      <c r="I137" s="3"/>
      <c r="J137" s="1" t="s">
        <v>100</v>
      </c>
      <c r="K137" s="1" t="s">
        <v>101</v>
      </c>
      <c r="L137" s="1" t="b">
        <v>0</v>
      </c>
      <c r="M137" s="4" t="s">
        <v>102</v>
      </c>
      <c r="N137" s="1" t="s">
        <v>200</v>
      </c>
      <c r="P137" s="3"/>
      <c r="Q137" s="3"/>
      <c r="R137" s="3"/>
      <c r="S137" s="3"/>
      <c r="T137" s="1" t="s">
        <v>104</v>
      </c>
      <c r="U137" s="3"/>
      <c r="V137" s="3"/>
      <c r="W137" s="1" t="s">
        <v>105</v>
      </c>
      <c r="X137" s="3"/>
      <c r="Y137" s="1" t="s">
        <v>106</v>
      </c>
      <c r="Z137" s="3"/>
      <c r="AA137" s="1" t="b">
        <v>0</v>
      </c>
      <c r="AB137" s="1" t="b">
        <v>0</v>
      </c>
      <c r="AC137" s="1" t="b">
        <v>0</v>
      </c>
      <c r="AD137" s="1" t="b">
        <v>0</v>
      </c>
      <c r="AE137" s="1" t="b">
        <v>1</v>
      </c>
      <c r="AF137" s="3"/>
      <c r="AG137" s="3"/>
      <c r="AH137" s="3"/>
      <c r="AI137" s="3"/>
      <c r="AJ137" s="2">
        <v>46065.463738425926</v>
      </c>
      <c r="AK137" s="2">
        <v>46066.4640162037</v>
      </c>
      <c r="AM137" s="2">
        <v>46065.46396990741</v>
      </c>
      <c r="AN137" s="2">
        <v>46065.46396990741</v>
      </c>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5">
        <v>5.0</v>
      </c>
      <c r="CR137" s="4" t="s">
        <v>662</v>
      </c>
    </row>
    <row r="138">
      <c r="A138" s="1" t="s">
        <v>663</v>
      </c>
      <c r="B138" s="2">
        <v>46065.456238425926</v>
      </c>
      <c r="C138" s="1" t="str">
        <f t="array" ref="C138">INDEX('User data'!E:E, MATCH(E138, 'User data'!B:B, 0))</f>
        <v>주식회사 케이티밀리의서재</v>
      </c>
      <c r="D138" s="1" t="str">
        <f t="array" ref="D138">INDEX('User data'!F:F, MATCH(C138, 'User data'!E:E, 0))</f>
        <v>423-88-00370</v>
      </c>
      <c r="E138" s="1" t="s">
        <v>664</v>
      </c>
      <c r="F138" s="3"/>
      <c r="G138" s="3"/>
      <c r="H138" s="3"/>
      <c r="I138" s="3"/>
      <c r="J138" s="1" t="s">
        <v>100</v>
      </c>
      <c r="K138" s="1" t="s">
        <v>101</v>
      </c>
      <c r="L138" s="1" t="b">
        <v>0</v>
      </c>
      <c r="M138" s="4" t="s">
        <v>102</v>
      </c>
      <c r="N138" s="1" t="s">
        <v>665</v>
      </c>
      <c r="O138" s="1">
        <v>574085.0</v>
      </c>
      <c r="P138" s="1">
        <v>574085.0</v>
      </c>
      <c r="Q138" s="1">
        <v>574085.0</v>
      </c>
      <c r="R138" s="1" t="s">
        <v>145</v>
      </c>
      <c r="S138" s="1">
        <v>13285.0</v>
      </c>
      <c r="T138" s="1" t="s">
        <v>104</v>
      </c>
      <c r="U138" s="3"/>
      <c r="V138" s="3"/>
      <c r="W138" s="1" t="s">
        <v>118</v>
      </c>
      <c r="X138" s="3"/>
      <c r="Y138" s="1" t="s">
        <v>119</v>
      </c>
      <c r="Z138" s="3"/>
      <c r="AA138" s="1" t="b">
        <v>1</v>
      </c>
      <c r="AB138" s="1" t="b">
        <v>0</v>
      </c>
      <c r="AC138" s="1" t="b">
        <v>0</v>
      </c>
      <c r="AD138" s="1" t="b">
        <v>0</v>
      </c>
      <c r="AE138" s="1" t="b">
        <v>1</v>
      </c>
      <c r="AF138" s="5">
        <v>9.0</v>
      </c>
      <c r="AG138" s="5">
        <v>9.0</v>
      </c>
      <c r="AH138" s="3"/>
      <c r="AI138" s="3"/>
      <c r="AJ138" s="2">
        <v>46065.45612268519</v>
      </c>
      <c r="AK138" s="2">
        <v>46065.55840277778</v>
      </c>
      <c r="AM138" s="2">
        <v>46065.456238425926</v>
      </c>
      <c r="AN138" s="2">
        <v>46065.456238425926</v>
      </c>
      <c r="AO138" s="2">
        <v>46065.45646990741</v>
      </c>
      <c r="AQ138" s="2">
        <v>46065.456608796296</v>
      </c>
      <c r="AS138" s="2">
        <v>46065.45662037037</v>
      </c>
      <c r="AT138" s="2">
        <v>46065.456608796296</v>
      </c>
      <c r="AU138" s="2">
        <v>46065.45662037037</v>
      </c>
      <c r="AW138" s="3"/>
      <c r="AX138" s="2">
        <v>46065.45662037037</v>
      </c>
      <c r="AY138" s="2">
        <v>46065.45662037037</v>
      </c>
      <c r="AZ138" s="2">
        <v>46065.45668981481</v>
      </c>
      <c r="BA138" s="2">
        <v>46065.506423611114</v>
      </c>
      <c r="BC138" s="2">
        <v>46065.51672453704</v>
      </c>
      <c r="BD138" s="2">
        <v>46065.51672453704</v>
      </c>
      <c r="BE138" s="5">
        <v>3040.0</v>
      </c>
      <c r="BF138" s="5">
        <v>3040.0</v>
      </c>
      <c r="BG138" s="5">
        <v>337.0</v>
      </c>
      <c r="BH138" s="5">
        <v>337.0</v>
      </c>
      <c r="BI138" s="3"/>
      <c r="BJ138" s="3"/>
      <c r="BK138" s="5">
        <v>0.0</v>
      </c>
      <c r="BL138" s="5">
        <v>0.0</v>
      </c>
      <c r="BM138" s="5">
        <v>32.0</v>
      </c>
      <c r="BN138" s="5">
        <v>32.0</v>
      </c>
      <c r="BO138" s="5">
        <v>39.0</v>
      </c>
      <c r="BP138" s="5">
        <v>39.0</v>
      </c>
      <c r="BQ138" s="5">
        <v>39.0</v>
      </c>
      <c r="BR138" s="5">
        <v>39.0</v>
      </c>
      <c r="BS138" s="5">
        <v>6.0</v>
      </c>
      <c r="BT138" s="5">
        <v>6.0</v>
      </c>
      <c r="BU138" s="5">
        <v>6.0</v>
      </c>
      <c r="BV138" s="5">
        <v>6.0</v>
      </c>
      <c r="BW138" s="5">
        <v>7.0</v>
      </c>
      <c r="BX138" s="5">
        <v>7.0</v>
      </c>
      <c r="BY138" s="5">
        <v>5225.0</v>
      </c>
      <c r="BZ138" s="5">
        <v>5225.0</v>
      </c>
      <c r="CA138" s="5">
        <v>5225.0</v>
      </c>
      <c r="CB138" s="5">
        <v>5225.0</v>
      </c>
      <c r="CC138" s="5">
        <v>5225.0</v>
      </c>
      <c r="CD138" s="5">
        <v>5225.0</v>
      </c>
      <c r="CE138" s="5">
        <v>5193.0</v>
      </c>
      <c r="CF138" s="5">
        <v>5193.0</v>
      </c>
      <c r="CG138" s="5">
        <v>5192.0</v>
      </c>
      <c r="CH138" s="5">
        <v>5192.0</v>
      </c>
      <c r="CI138" s="5">
        <v>5193.0</v>
      </c>
      <c r="CJ138" s="5">
        <v>5193.0</v>
      </c>
      <c r="CK138" s="5">
        <v>5192.0</v>
      </c>
      <c r="CL138" s="5">
        <v>5192.0</v>
      </c>
      <c r="CM138" s="5">
        <v>5192.0</v>
      </c>
      <c r="CN138" s="5">
        <v>5192.0</v>
      </c>
      <c r="CO138" s="3"/>
      <c r="CP138" s="5">
        <v>20.0</v>
      </c>
      <c r="CQ138" s="3"/>
      <c r="CR138" s="4" t="s">
        <v>666</v>
      </c>
    </row>
    <row r="139">
      <c r="A139" s="1" t="s">
        <v>667</v>
      </c>
      <c r="B139" s="2">
        <v>46065.452893518515</v>
      </c>
      <c r="C139" s="1" t="str">
        <f t="array" ref="C139">INDEX('User data'!E:E, MATCH(E139, 'User data'!B:B, 0))</f>
        <v>주식회사 마이크로바이오틱스</v>
      </c>
      <c r="D139" s="1" t="str">
        <f t="array" ref="D139">INDEX('User data'!F:F, MATCH(C139, 'User data'!E:E, 0))</f>
        <v>539-88-00530</v>
      </c>
      <c r="E139" s="1" t="s">
        <v>668</v>
      </c>
      <c r="F139" s="3"/>
      <c r="G139" s="3"/>
      <c r="H139" s="3"/>
      <c r="I139" s="3"/>
      <c r="J139" s="1" t="s">
        <v>100</v>
      </c>
      <c r="K139" s="1" t="s">
        <v>101</v>
      </c>
      <c r="L139" s="1" t="b">
        <v>0</v>
      </c>
      <c r="M139" s="4" t="s">
        <v>102</v>
      </c>
      <c r="N139" s="1" t="s">
        <v>669</v>
      </c>
      <c r="P139" s="3"/>
      <c r="Q139" s="3"/>
      <c r="R139" s="3"/>
      <c r="S139" s="3"/>
      <c r="T139" s="1" t="s">
        <v>104</v>
      </c>
      <c r="U139" s="3"/>
      <c r="V139" s="3"/>
      <c r="W139" s="1" t="s">
        <v>105</v>
      </c>
      <c r="X139" s="3"/>
      <c r="Y139" s="1" t="s">
        <v>106</v>
      </c>
      <c r="Z139" s="3"/>
      <c r="AA139" s="1" t="b">
        <v>0</v>
      </c>
      <c r="AB139" s="1" t="b">
        <v>0</v>
      </c>
      <c r="AC139" s="1" t="b">
        <v>0</v>
      </c>
      <c r="AD139" s="1" t="b">
        <v>0</v>
      </c>
      <c r="AE139" s="1" t="b">
        <v>1</v>
      </c>
      <c r="AF139" s="3"/>
      <c r="AG139" s="3"/>
      <c r="AH139" s="3"/>
      <c r="AI139" s="3"/>
      <c r="AJ139" s="2">
        <v>46065.452314814815</v>
      </c>
      <c r="AK139" s="2">
        <v>46066.45296296296</v>
      </c>
      <c r="AM139" s="2">
        <v>46065.452893518515</v>
      </c>
      <c r="AN139" s="2">
        <v>46065.452893518515</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5">
        <v>3.4</v>
      </c>
      <c r="CR139" s="4" t="s">
        <v>670</v>
      </c>
    </row>
    <row r="140">
      <c r="A140" s="1" t="s">
        <v>671</v>
      </c>
      <c r="B140" s="2">
        <v>46065.45180555555</v>
      </c>
      <c r="C140" s="1" t="str">
        <f t="array" ref="C140">INDEX('User data'!E:E, MATCH(E140, 'User data'!B:B, 0))</f>
        <v>(주)엠지솔루션스</v>
      </c>
      <c r="D140" s="1" t="str">
        <f t="array" ref="D140">INDEX('User data'!F:F, MATCH(C140, 'User data'!E:E, 0))</f>
        <v>217-86-00674</v>
      </c>
      <c r="E140" s="1" t="s">
        <v>672</v>
      </c>
      <c r="F140" s="3"/>
      <c r="G140" s="3"/>
      <c r="H140" s="3"/>
      <c r="I140" s="3"/>
      <c r="J140" s="1" t="s">
        <v>100</v>
      </c>
      <c r="K140" s="1" t="s">
        <v>101</v>
      </c>
      <c r="L140" s="1" t="b">
        <v>0</v>
      </c>
      <c r="M140" s="4" t="s">
        <v>102</v>
      </c>
      <c r="N140" s="1" t="s">
        <v>673</v>
      </c>
      <c r="P140" s="3"/>
      <c r="Q140" s="3"/>
      <c r="R140" s="3"/>
      <c r="S140" s="3"/>
      <c r="T140" s="1" t="s">
        <v>104</v>
      </c>
      <c r="U140" s="3"/>
      <c r="V140" s="3"/>
      <c r="W140" s="1" t="s">
        <v>105</v>
      </c>
      <c r="X140" s="3"/>
      <c r="Y140" s="1" t="s">
        <v>106</v>
      </c>
      <c r="Z140" s="3"/>
      <c r="AA140" s="1" t="b">
        <v>0</v>
      </c>
      <c r="AB140" s="1" t="b">
        <v>0</v>
      </c>
      <c r="AC140" s="1" t="b">
        <v>0</v>
      </c>
      <c r="AD140" s="1" t="b">
        <v>0</v>
      </c>
      <c r="AE140" s="1" t="b">
        <v>1</v>
      </c>
      <c r="AF140" s="3"/>
      <c r="AG140" s="3"/>
      <c r="AH140" s="3"/>
      <c r="AI140" s="3"/>
      <c r="AJ140" s="2">
        <v>46065.45164351852</v>
      </c>
      <c r="AK140" s="2">
        <v>46066.45186342593</v>
      </c>
      <c r="AM140" s="2">
        <v>46065.45180555555</v>
      </c>
      <c r="AN140" s="2">
        <v>46065.45180555555</v>
      </c>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5">
        <v>5.0</v>
      </c>
      <c r="CR140" s="4" t="s">
        <v>674</v>
      </c>
    </row>
    <row r="141">
      <c r="A141" s="1" t="s">
        <v>675</v>
      </c>
      <c r="B141" s="2">
        <v>46065.438680555555</v>
      </c>
      <c r="C141" s="1" t="str">
        <f t="array" ref="C141">INDEX('User data'!E:E, MATCH(E141, 'User data'!B:B, 0))</f>
        <v>(주)자비스앤빌런즈</v>
      </c>
      <c r="D141" s="1" t="str">
        <f t="array" ref="D141">INDEX('User data'!F:F, MATCH(C141, 'User data'!E:E, 0))</f>
        <v>158-86-00171</v>
      </c>
      <c r="E141" s="1" t="s">
        <v>676</v>
      </c>
      <c r="F141" s="3"/>
      <c r="G141" s="3"/>
      <c r="H141" s="3"/>
      <c r="I141" s="1" t="s">
        <v>677</v>
      </c>
      <c r="J141" s="1" t="s">
        <v>100</v>
      </c>
      <c r="K141" s="1" t="s">
        <v>101</v>
      </c>
      <c r="L141" s="1" t="b">
        <v>0</v>
      </c>
      <c r="M141" s="4" t="s">
        <v>102</v>
      </c>
      <c r="N141" s="1" t="s">
        <v>678</v>
      </c>
      <c r="O141" s="1">
        <v>607950.0</v>
      </c>
      <c r="P141" s="1">
        <v>607950.0</v>
      </c>
      <c r="Q141" s="1">
        <v>607950.0</v>
      </c>
      <c r="R141" s="1" t="s">
        <v>145</v>
      </c>
      <c r="S141" s="3"/>
      <c r="T141" s="1" t="s">
        <v>104</v>
      </c>
      <c r="U141" s="3"/>
      <c r="V141" s="3"/>
      <c r="W141" s="1" t="s">
        <v>118</v>
      </c>
      <c r="X141" s="3"/>
      <c r="Y141" s="1" t="s">
        <v>119</v>
      </c>
      <c r="Z141" s="3"/>
      <c r="AA141" s="1" t="b">
        <v>1</v>
      </c>
      <c r="AB141" s="1" t="b">
        <v>0</v>
      </c>
      <c r="AC141" s="1" t="b">
        <v>0</v>
      </c>
      <c r="AD141" s="1" t="b">
        <v>1</v>
      </c>
      <c r="AE141" s="1" t="b">
        <v>1</v>
      </c>
      <c r="AF141" s="5">
        <v>3.0</v>
      </c>
      <c r="AG141" s="5">
        <v>3.0</v>
      </c>
      <c r="AH141" s="3"/>
      <c r="AI141" s="3"/>
      <c r="AJ141" s="2">
        <v>46065.43861111111</v>
      </c>
      <c r="AK141" s="2">
        <v>46065.51293981481</v>
      </c>
      <c r="AL141" s="2">
        <v>46065.47126157407</v>
      </c>
      <c r="AM141" s="2">
        <v>46065.438680555555</v>
      </c>
      <c r="AN141" s="2">
        <v>46065.438680555555</v>
      </c>
      <c r="AO141" s="2">
        <v>46065.43934027778</v>
      </c>
      <c r="AQ141" s="3"/>
      <c r="AR141" s="3"/>
      <c r="AS141" s="3"/>
      <c r="AT141" s="2">
        <v>46065.439351851855</v>
      </c>
      <c r="AU141" s="2">
        <v>46065.439351851855</v>
      </c>
      <c r="AW141" s="3"/>
      <c r="AX141" s="2">
        <v>46065.43928240741</v>
      </c>
      <c r="AY141" s="2">
        <v>46065.439351851855</v>
      </c>
      <c r="AZ141" s="2">
        <v>46065.43934027778</v>
      </c>
      <c r="BA141" s="2">
        <v>46065.450740740744</v>
      </c>
      <c r="BC141" s="2">
        <v>46065.47126157407</v>
      </c>
      <c r="BD141" s="2">
        <v>46065.47126157407</v>
      </c>
      <c r="BE141" s="5">
        <v>630.0</v>
      </c>
      <c r="BF141" s="5">
        <v>630.0</v>
      </c>
      <c r="BG141" s="5">
        <v>210.0</v>
      </c>
      <c r="BH141" s="5">
        <v>210.0</v>
      </c>
      <c r="BI141" s="3"/>
      <c r="BJ141" s="3"/>
      <c r="BK141" s="3"/>
      <c r="BL141" s="3"/>
      <c r="BM141" s="5">
        <v>52.0</v>
      </c>
      <c r="BN141" s="5">
        <v>52.0</v>
      </c>
      <c r="BO141" s="5">
        <v>57.0</v>
      </c>
      <c r="BP141" s="5">
        <v>57.0</v>
      </c>
      <c r="BQ141" s="5">
        <v>57.0</v>
      </c>
      <c r="BR141" s="5">
        <v>57.0</v>
      </c>
      <c r="BS141" s="5">
        <v>5.0</v>
      </c>
      <c r="BT141" s="5">
        <v>5.0</v>
      </c>
      <c r="BU141" s="3"/>
      <c r="BV141" s="3"/>
      <c r="BW141" s="5">
        <v>0.0</v>
      </c>
      <c r="BX141" s="3"/>
      <c r="BY141" s="5">
        <v>2815.0</v>
      </c>
      <c r="BZ141" s="5">
        <v>2815.0</v>
      </c>
      <c r="CA141" s="5">
        <v>2815.0</v>
      </c>
      <c r="CB141" s="5">
        <v>2815.0</v>
      </c>
      <c r="CC141" s="5">
        <v>2815.0</v>
      </c>
      <c r="CD141" s="5">
        <v>2815.0</v>
      </c>
      <c r="CE141" s="5">
        <v>2762.0</v>
      </c>
      <c r="CF141" s="5">
        <v>2762.0</v>
      </c>
      <c r="CG141" s="5">
        <v>2757.0</v>
      </c>
      <c r="CH141" s="5">
        <v>2757.0</v>
      </c>
      <c r="CI141" s="5">
        <v>2757.0</v>
      </c>
      <c r="CJ141" s="5">
        <v>2757.0</v>
      </c>
      <c r="CK141" s="5">
        <v>2757.0</v>
      </c>
      <c r="CL141" s="5">
        <v>2757.0</v>
      </c>
      <c r="CM141" s="5">
        <v>2757.0</v>
      </c>
      <c r="CN141" s="5">
        <v>2757.0</v>
      </c>
      <c r="CO141" s="3"/>
      <c r="CP141" s="5">
        <v>57.0</v>
      </c>
      <c r="CQ141" s="3"/>
      <c r="CR141" s="4" t="s">
        <v>679</v>
      </c>
    </row>
    <row r="142">
      <c r="A142" s="1" t="s">
        <v>680</v>
      </c>
      <c r="B142" s="2">
        <v>46065.436736111114</v>
      </c>
      <c r="C142" s="1" t="str">
        <f t="array" ref="C142">INDEX('User data'!E:E, MATCH(E142, 'User data'!B:B, 0))</f>
        <v>주식회사 콘스탄트</v>
      </c>
      <c r="D142" s="1" t="str">
        <f t="array" ref="D142">INDEX('User data'!F:F, MATCH(C142, 'User data'!E:E, 0))</f>
        <v>517-87-01809</v>
      </c>
      <c r="E142" s="1" t="s">
        <v>681</v>
      </c>
      <c r="F142" s="3"/>
      <c r="G142" s="3"/>
      <c r="H142" s="1" t="s">
        <v>682</v>
      </c>
      <c r="I142" s="1" t="s">
        <v>683</v>
      </c>
      <c r="J142" s="1" t="s">
        <v>100</v>
      </c>
      <c r="K142" s="1" t="s">
        <v>101</v>
      </c>
      <c r="L142" s="1" t="b">
        <v>0</v>
      </c>
      <c r="M142" s="4" t="s">
        <v>102</v>
      </c>
      <c r="N142" s="1" t="s">
        <v>684</v>
      </c>
      <c r="O142" s="1">
        <v>607950.0</v>
      </c>
      <c r="P142" s="1">
        <v>607950.0</v>
      </c>
      <c r="Q142" s="1">
        <v>607950.0</v>
      </c>
      <c r="R142" s="1">
        <v>607950.0</v>
      </c>
      <c r="S142" s="1">
        <v>13285.0</v>
      </c>
      <c r="T142" s="1" t="s">
        <v>104</v>
      </c>
      <c r="U142" s="3"/>
      <c r="V142" s="3"/>
      <c r="W142" s="1" t="s">
        <v>176</v>
      </c>
      <c r="X142" s="3"/>
      <c r="Y142" s="1" t="s">
        <v>106</v>
      </c>
      <c r="Z142" s="3"/>
      <c r="AA142" s="1" t="b">
        <v>1</v>
      </c>
      <c r="AB142" s="1" t="b">
        <v>1</v>
      </c>
      <c r="AC142" s="1" t="b">
        <v>0</v>
      </c>
      <c r="AD142" s="1" t="b">
        <v>1</v>
      </c>
      <c r="AE142" s="1" t="b">
        <v>1</v>
      </c>
      <c r="AF142" s="5">
        <v>4.0</v>
      </c>
      <c r="AG142" s="5">
        <v>4.0</v>
      </c>
      <c r="AH142" s="5">
        <v>1.0</v>
      </c>
      <c r="AI142" s="3"/>
      <c r="AJ142" s="2">
        <v>46065.436689814815</v>
      </c>
      <c r="AK142" s="2">
        <v>46073.420115740744</v>
      </c>
      <c r="AL142" s="2">
        <v>46065.4828125</v>
      </c>
      <c r="AM142" s="2">
        <v>46065.436736111114</v>
      </c>
      <c r="AN142" s="2">
        <v>46065.436736111114</v>
      </c>
      <c r="AO142" s="2">
        <v>46065.437418981484</v>
      </c>
      <c r="AP142" s="2">
        <v>46065.51729166666</v>
      </c>
      <c r="AR142" s="3"/>
      <c r="AS142" s="3"/>
      <c r="AT142" s="2">
        <v>46065.437418981484</v>
      </c>
      <c r="AU142" s="2">
        <v>46073.37527777778</v>
      </c>
      <c r="AW142" s="3"/>
      <c r="AX142" s="2">
        <v>46065.43740740741</v>
      </c>
      <c r="AY142" s="2">
        <v>46065.437418981484</v>
      </c>
      <c r="AZ142" s="2">
        <v>46065.437430555554</v>
      </c>
      <c r="BA142" s="2">
        <v>46065.482777777775</v>
      </c>
      <c r="BB142" s="2">
        <v>46073.420115740744</v>
      </c>
      <c r="BC142" s="2">
        <v>46065.4828125</v>
      </c>
      <c r="BD142" s="2">
        <v>46065.4828125</v>
      </c>
      <c r="BE142" s="5">
        <v>2950.0</v>
      </c>
      <c r="BF142" s="5">
        <v>2950.0</v>
      </c>
      <c r="BG142" s="5">
        <v>737.0</v>
      </c>
      <c r="BH142" s="5">
        <v>737.0</v>
      </c>
      <c r="BI142" s="5">
        <v>417327.0</v>
      </c>
      <c r="BJ142" s="5">
        <v>55498.0</v>
      </c>
      <c r="BK142" s="3"/>
      <c r="BL142" s="3"/>
      <c r="BM142" s="5">
        <v>58.0</v>
      </c>
      <c r="BN142" s="5">
        <v>58.0</v>
      </c>
      <c r="BO142" s="5">
        <v>60.0</v>
      </c>
      <c r="BP142" s="5">
        <v>60.0</v>
      </c>
      <c r="BQ142" s="5">
        <v>60.0</v>
      </c>
      <c r="BR142" s="5">
        <v>60.0</v>
      </c>
      <c r="BS142" s="5">
        <v>1.0</v>
      </c>
      <c r="BT142" s="5">
        <v>1.0</v>
      </c>
      <c r="BU142" s="5">
        <v>1.0</v>
      </c>
      <c r="BV142" s="5">
        <v>1.0</v>
      </c>
      <c r="BW142" s="5">
        <v>1.0</v>
      </c>
      <c r="BX142" s="5">
        <v>1.0</v>
      </c>
      <c r="BY142" s="5">
        <v>3980.0</v>
      </c>
      <c r="BZ142" s="5">
        <v>3980.0</v>
      </c>
      <c r="CA142" s="5">
        <v>3980.0</v>
      </c>
      <c r="CB142" s="5">
        <v>3980.0</v>
      </c>
      <c r="CC142" s="5">
        <v>3980.0</v>
      </c>
      <c r="CD142" s="5">
        <v>3980.0</v>
      </c>
      <c r="CE142" s="5">
        <v>3922.0</v>
      </c>
      <c r="CF142" s="5">
        <v>3922.0</v>
      </c>
      <c r="CG142" s="5">
        <v>3921.0</v>
      </c>
      <c r="CH142" s="5">
        <v>3921.0</v>
      </c>
      <c r="CI142" s="5">
        <v>3921.0</v>
      </c>
      <c r="CJ142" s="5">
        <v>3921.0</v>
      </c>
      <c r="CK142" s="5">
        <v>3921.0</v>
      </c>
      <c r="CL142" s="5">
        <v>3921.0</v>
      </c>
      <c r="CM142" s="5">
        <v>3921.0</v>
      </c>
      <c r="CN142" s="5">
        <v>3921.0</v>
      </c>
      <c r="CO142" s="5">
        <v>2978.0</v>
      </c>
      <c r="CP142" s="5">
        <v>59.0</v>
      </c>
      <c r="CQ142" s="3"/>
      <c r="CR142" s="4" t="s">
        <v>685</v>
      </c>
    </row>
    <row r="143">
      <c r="A143" s="1" t="s">
        <v>686</v>
      </c>
      <c r="B143" s="2">
        <v>46065.07413194444</v>
      </c>
      <c r="C143" s="1" t="str">
        <f t="array" ref="C143">INDEX('User data'!E:E, MATCH(E143, 'User data'!B:B, 0))</f>
        <v/>
      </c>
      <c r="D143" s="1" t="str">
        <f t="array" ref="D143">INDEX('User data'!F:F, MATCH(C143, 'User data'!E:E, 0))</f>
        <v>#N/A</v>
      </c>
      <c r="E143" s="1" t="s">
        <v>687</v>
      </c>
      <c r="F143" s="3"/>
      <c r="G143" s="3"/>
      <c r="H143" s="3"/>
      <c r="I143" s="3"/>
      <c r="J143" s="1" t="s">
        <v>100</v>
      </c>
      <c r="K143" s="1" t="s">
        <v>101</v>
      </c>
      <c r="L143" s="1" t="b">
        <v>0</v>
      </c>
      <c r="M143" s="4" t="s">
        <v>102</v>
      </c>
      <c r="N143" s="1" t="s">
        <v>688</v>
      </c>
      <c r="P143" s="3"/>
      <c r="Q143" s="3"/>
      <c r="R143" s="3"/>
      <c r="S143" s="3"/>
      <c r="T143" s="1" t="s">
        <v>104</v>
      </c>
      <c r="U143" s="3"/>
      <c r="V143" s="3"/>
      <c r="W143" s="1" t="s">
        <v>105</v>
      </c>
      <c r="X143" s="3"/>
      <c r="Y143" s="1" t="s">
        <v>106</v>
      </c>
      <c r="Z143" s="3"/>
      <c r="AA143" s="1" t="b">
        <v>0</v>
      </c>
      <c r="AB143" s="1" t="b">
        <v>0</v>
      </c>
      <c r="AC143" s="1" t="b">
        <v>0</v>
      </c>
      <c r="AD143" s="1" t="b">
        <v>0</v>
      </c>
      <c r="AE143" s="1" t="b">
        <v>1</v>
      </c>
      <c r="AF143" s="3"/>
      <c r="AG143" s="3"/>
      <c r="AH143" s="3"/>
      <c r="AI143" s="3"/>
      <c r="AJ143" s="2">
        <v>46065.07403935185</v>
      </c>
      <c r="AK143" s="2">
        <v>46066.07418981481</v>
      </c>
      <c r="AM143" s="2">
        <v>46065.07413194444</v>
      </c>
      <c r="AN143" s="2">
        <v>46065.07413194444</v>
      </c>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5">
        <v>3.4</v>
      </c>
      <c r="CR143" s="4" t="s">
        <v>689</v>
      </c>
    </row>
    <row r="144">
      <c r="A144" s="1" t="s">
        <v>690</v>
      </c>
      <c r="B144" s="2">
        <v>46065.001921296294</v>
      </c>
      <c r="C144" s="1" t="str">
        <f t="array" ref="C144">INDEX('User data'!E:E, MATCH(E144, 'User data'!B:B, 0))</f>
        <v>주식회사 디에스솔브</v>
      </c>
      <c r="D144" s="1" t="str">
        <f t="array" ref="D144">INDEX('User data'!F:F, MATCH(C144, 'User data'!E:E, 0))</f>
        <v>415-86-01452</v>
      </c>
      <c r="E144" s="1" t="s">
        <v>691</v>
      </c>
      <c r="F144" s="3"/>
      <c r="G144" s="3"/>
      <c r="H144" s="3"/>
      <c r="I144" s="3"/>
      <c r="J144" s="1" t="s">
        <v>100</v>
      </c>
      <c r="K144" s="1" t="s">
        <v>101</v>
      </c>
      <c r="L144" s="1" t="b">
        <v>0</v>
      </c>
      <c r="M144" s="4" t="s">
        <v>102</v>
      </c>
      <c r="N144" s="1" t="s">
        <v>692</v>
      </c>
      <c r="P144" s="3"/>
      <c r="Q144" s="3"/>
      <c r="R144" s="3"/>
      <c r="S144" s="3"/>
      <c r="T144" s="1" t="s">
        <v>104</v>
      </c>
      <c r="U144" s="3"/>
      <c r="V144" s="3"/>
      <c r="W144" s="1" t="s">
        <v>105</v>
      </c>
      <c r="X144" s="3"/>
      <c r="Y144" s="1" t="s">
        <v>106</v>
      </c>
      <c r="Z144" s="3"/>
      <c r="AA144" s="1" t="b">
        <v>0</v>
      </c>
      <c r="AB144" s="1" t="b">
        <v>0</v>
      </c>
      <c r="AC144" s="1" t="b">
        <v>0</v>
      </c>
      <c r="AD144" s="1" t="b">
        <v>0</v>
      </c>
      <c r="AE144" s="1" t="b">
        <v>1</v>
      </c>
      <c r="AF144" s="3"/>
      <c r="AG144" s="3"/>
      <c r="AH144" s="3"/>
      <c r="AI144" s="3"/>
      <c r="AJ144" s="2">
        <v>46065.001875</v>
      </c>
      <c r="AK144" s="2">
        <v>46066.00216435185</v>
      </c>
      <c r="AM144" s="2">
        <v>46065.001921296294</v>
      </c>
      <c r="AN144" s="2">
        <v>46065.001921296294</v>
      </c>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5">
        <v>2.6</v>
      </c>
      <c r="CR144" s="4" t="s">
        <v>693</v>
      </c>
    </row>
    <row r="145">
      <c r="A145" s="1" t="s">
        <v>694</v>
      </c>
      <c r="B145" s="2">
        <v>46064.892800925925</v>
      </c>
      <c r="C145" s="1" t="str">
        <f t="array" ref="C145">INDEX('User data'!E:E, MATCH(E145, 'User data'!B:B, 0))</f>
        <v>주식회사 레이어블</v>
      </c>
      <c r="D145" s="1" t="str">
        <f t="array" ref="D145">INDEX('User data'!F:F, MATCH(C145, 'User data'!E:E, 0))</f>
        <v>772-87-03404</v>
      </c>
      <c r="E145" s="1" t="s">
        <v>695</v>
      </c>
      <c r="F145" s="3"/>
      <c r="G145" s="3"/>
      <c r="H145" s="3"/>
      <c r="I145" s="3"/>
      <c r="J145" s="1" t="s">
        <v>100</v>
      </c>
      <c r="K145" s="1" t="s">
        <v>101</v>
      </c>
      <c r="L145" s="1" t="b">
        <v>0</v>
      </c>
      <c r="M145" s="4" t="s">
        <v>102</v>
      </c>
      <c r="N145" s="1" t="s">
        <v>696</v>
      </c>
      <c r="P145" s="3"/>
      <c r="Q145" s="3"/>
      <c r="R145" s="3"/>
      <c r="S145" s="3"/>
      <c r="T145" s="1" t="s">
        <v>104</v>
      </c>
      <c r="U145" s="3"/>
      <c r="V145" s="3"/>
      <c r="W145" s="1" t="s">
        <v>105</v>
      </c>
      <c r="X145" s="3"/>
      <c r="Y145" s="1" t="s">
        <v>106</v>
      </c>
      <c r="Z145" s="3"/>
      <c r="AA145" s="1" t="b">
        <v>0</v>
      </c>
      <c r="AB145" s="1" t="b">
        <v>0</v>
      </c>
      <c r="AC145" s="1" t="b">
        <v>0</v>
      </c>
      <c r="AD145" s="1" t="b">
        <v>0</v>
      </c>
      <c r="AE145" s="1" t="b">
        <v>1</v>
      </c>
      <c r="AF145" s="3"/>
      <c r="AG145" s="3"/>
      <c r="AH145" s="3"/>
      <c r="AI145" s="3"/>
      <c r="AJ145" s="2">
        <v>46064.89273148148</v>
      </c>
      <c r="AK145" s="2">
        <v>46065.89288194444</v>
      </c>
      <c r="AM145" s="2">
        <v>46064.892800925925</v>
      </c>
      <c r="AN145" s="2">
        <v>46064.892800925925</v>
      </c>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5">
        <v>1.8</v>
      </c>
      <c r="CR145" s="4" t="s">
        <v>697</v>
      </c>
    </row>
    <row r="146">
      <c r="A146" s="1" t="s">
        <v>698</v>
      </c>
      <c r="B146" s="2">
        <v>46064.82912037037</v>
      </c>
      <c r="C146" s="1" t="str">
        <f t="array" ref="C146">INDEX('User data'!E:E, MATCH(E146, 'User data'!B:B, 0))</f>
        <v/>
      </c>
      <c r="D146" s="1" t="str">
        <f t="array" ref="D146">INDEX('User data'!F:F, MATCH(C146, 'User data'!E:E, 0))</f>
        <v>#N/A</v>
      </c>
      <c r="E146" s="1" t="s">
        <v>699</v>
      </c>
      <c r="F146" s="3"/>
      <c r="G146" s="3"/>
      <c r="H146" s="3"/>
      <c r="I146" s="3"/>
      <c r="J146" s="1" t="s">
        <v>100</v>
      </c>
      <c r="K146" s="1" t="s">
        <v>101</v>
      </c>
      <c r="L146" s="1" t="b">
        <v>0</v>
      </c>
      <c r="M146" s="4" t="s">
        <v>102</v>
      </c>
      <c r="N146" s="1" t="s">
        <v>700</v>
      </c>
      <c r="P146" s="3"/>
      <c r="Q146" s="3"/>
      <c r="R146" s="3"/>
      <c r="S146" s="3"/>
      <c r="T146" s="1" t="s">
        <v>104</v>
      </c>
      <c r="U146" s="3"/>
      <c r="V146" s="3"/>
      <c r="W146" s="1" t="s">
        <v>105</v>
      </c>
      <c r="X146" s="3"/>
      <c r="Y146" s="1" t="s">
        <v>106</v>
      </c>
      <c r="Z146" s="3"/>
      <c r="AA146" s="1" t="b">
        <v>0</v>
      </c>
      <c r="AB146" s="1" t="b">
        <v>0</v>
      </c>
      <c r="AC146" s="1" t="b">
        <v>0</v>
      </c>
      <c r="AD146" s="1" t="b">
        <v>0</v>
      </c>
      <c r="AE146" s="1" t="b">
        <v>1</v>
      </c>
      <c r="AF146" s="3"/>
      <c r="AG146" s="3"/>
      <c r="AH146" s="3"/>
      <c r="AI146" s="3"/>
      <c r="AJ146" s="2">
        <v>46064.82898148148</v>
      </c>
      <c r="AK146" s="2">
        <v>46065.82917824074</v>
      </c>
      <c r="AM146" s="2">
        <v>46064.82912037037</v>
      </c>
      <c r="AN146" s="2">
        <v>46064.82912037037</v>
      </c>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5">
        <v>5.0</v>
      </c>
      <c r="CR146" s="4" t="s">
        <v>701</v>
      </c>
    </row>
    <row r="147">
      <c r="A147" s="1" t="s">
        <v>702</v>
      </c>
      <c r="B147" s="2">
        <v>46064.78760416667</v>
      </c>
      <c r="C147" s="1" t="str">
        <f t="array" ref="C147">INDEX('User data'!E:E, MATCH(E147, 'User data'!B:B, 0))</f>
        <v>주식회사 툰스퀘어 (Toonsquare)</v>
      </c>
      <c r="D147" s="1" t="str">
        <f t="array" ref="D147">INDEX('User data'!F:F, MATCH(C147, 'User data'!E:E, 0))</f>
        <v>879-88-01529</v>
      </c>
      <c r="E147" s="1" t="s">
        <v>646</v>
      </c>
      <c r="F147" s="3"/>
      <c r="G147" s="3"/>
      <c r="H147" s="3"/>
      <c r="I147" s="1" t="s">
        <v>258</v>
      </c>
      <c r="J147" s="1" t="s">
        <v>100</v>
      </c>
      <c r="K147" s="1" t="s">
        <v>101</v>
      </c>
      <c r="L147" s="1" t="b">
        <v>0</v>
      </c>
      <c r="M147" s="4" t="s">
        <v>102</v>
      </c>
      <c r="N147" s="1" t="s">
        <v>647</v>
      </c>
      <c r="O147" s="1">
        <v>594863.0</v>
      </c>
      <c r="P147" s="1">
        <v>574085.0</v>
      </c>
      <c r="Q147" s="1">
        <v>594863.0</v>
      </c>
      <c r="R147" s="1" t="s">
        <v>703</v>
      </c>
      <c r="S147" s="1">
        <v>13288.0</v>
      </c>
      <c r="T147" s="1" t="s">
        <v>104</v>
      </c>
      <c r="U147" s="3"/>
      <c r="V147" s="3"/>
      <c r="W147" s="1" t="s">
        <v>118</v>
      </c>
      <c r="X147" s="3"/>
      <c r="Y147" s="1" t="s">
        <v>119</v>
      </c>
      <c r="Z147" s="3"/>
      <c r="AA147" s="1" t="b">
        <v>1</v>
      </c>
      <c r="AB147" s="1" t="b">
        <v>0</v>
      </c>
      <c r="AC147" s="1" t="b">
        <v>0</v>
      </c>
      <c r="AD147" s="1" t="b">
        <v>1</v>
      </c>
      <c r="AE147" s="1" t="b">
        <v>1</v>
      </c>
      <c r="AF147" s="5">
        <v>1.0</v>
      </c>
      <c r="AG147" s="3"/>
      <c r="AH147" s="3"/>
      <c r="AI147" s="3"/>
      <c r="AJ147" s="2">
        <v>46064.78729166667</v>
      </c>
      <c r="AK147" s="2">
        <v>46065.60806712963</v>
      </c>
      <c r="AL147" s="2">
        <v>46064.790810185186</v>
      </c>
      <c r="AM147" s="2">
        <v>46064.78760416667</v>
      </c>
      <c r="AN147" s="2">
        <v>46064.78760416667</v>
      </c>
      <c r="AO147" s="2">
        <v>46064.790810185186</v>
      </c>
      <c r="AP147" s="2">
        <v>46064.79084490741</v>
      </c>
      <c r="AQ147" s="2">
        <v>46064.790810185186</v>
      </c>
      <c r="AS147" s="2">
        <v>46064.79083333333</v>
      </c>
      <c r="AT147" s="2">
        <v>46064.790810185186</v>
      </c>
      <c r="AU147" s="2">
        <v>46065.41158564815</v>
      </c>
      <c r="AW147" s="3"/>
      <c r="AX147" s="2">
        <v>46064.79083333333</v>
      </c>
      <c r="AY147" s="2">
        <v>46064.79083333333</v>
      </c>
      <c r="AZ147" s="2">
        <v>46065.41748842593</v>
      </c>
      <c r="BA147" s="2">
        <v>46065.41748842593</v>
      </c>
      <c r="BC147" s="2">
        <v>46065.56638888889</v>
      </c>
      <c r="BD147" s="2">
        <v>46065.56638888889</v>
      </c>
      <c r="BE147" s="5">
        <v>510.0</v>
      </c>
      <c r="BF147" s="3"/>
      <c r="BG147" s="5">
        <v>510.0</v>
      </c>
      <c r="BH147" s="3"/>
      <c r="BI147" s="3"/>
      <c r="BJ147" s="3"/>
      <c r="BK147" s="5">
        <v>1.0</v>
      </c>
      <c r="BL147" s="5">
        <v>0.0</v>
      </c>
      <c r="BM147" s="5">
        <v>278.0</v>
      </c>
      <c r="BN147" s="5">
        <v>0.0</v>
      </c>
      <c r="BO147" s="5">
        <v>54422.0</v>
      </c>
      <c r="BP147" s="5">
        <v>71.0</v>
      </c>
      <c r="BQ147" s="5">
        <v>54422.0</v>
      </c>
      <c r="BR147" s="5">
        <v>71.0</v>
      </c>
      <c r="BS147" s="5">
        <v>54143.0</v>
      </c>
      <c r="BT147" s="5">
        <v>71.0</v>
      </c>
      <c r="BU147" s="5">
        <v>54143.0</v>
      </c>
      <c r="BV147" s="5">
        <v>71.0</v>
      </c>
      <c r="BW147" s="5">
        <v>54144.0</v>
      </c>
      <c r="BX147" s="5">
        <v>71.0</v>
      </c>
      <c r="BY147" s="5">
        <v>67287.0</v>
      </c>
      <c r="BZ147" s="5">
        <v>9336.0</v>
      </c>
      <c r="CA147" s="5">
        <v>67287.0</v>
      </c>
      <c r="CB147" s="5">
        <v>9336.0</v>
      </c>
      <c r="CC147" s="5">
        <v>67287.0</v>
      </c>
      <c r="CD147" s="5">
        <v>9336.0</v>
      </c>
      <c r="CE147" s="5">
        <v>67008.0</v>
      </c>
      <c r="CF147" s="5">
        <v>9336.0</v>
      </c>
      <c r="CG147" s="5">
        <v>67008.0</v>
      </c>
      <c r="CH147" s="5">
        <v>9336.0</v>
      </c>
      <c r="CI147" s="5">
        <v>67009.0</v>
      </c>
      <c r="CJ147" s="5">
        <v>9336.0</v>
      </c>
      <c r="CK147" s="5">
        <v>67008.0</v>
      </c>
      <c r="CL147" s="5">
        <v>9336.0</v>
      </c>
      <c r="CM147" s="5">
        <v>67008.0</v>
      </c>
      <c r="CN147" s="5">
        <v>9336.0</v>
      </c>
      <c r="CO147" s="5">
        <v>2.0</v>
      </c>
      <c r="CP147" s="5">
        <v>277.0</v>
      </c>
      <c r="CQ147" s="3"/>
      <c r="CR147" s="4" t="s">
        <v>704</v>
      </c>
    </row>
    <row r="148">
      <c r="A148" s="1" t="s">
        <v>705</v>
      </c>
      <c r="B148" s="2">
        <v>46064.753912037035</v>
      </c>
      <c r="C148" s="1" t="str">
        <f t="array" ref="C148">INDEX('User data'!E:E, MATCH(E148, 'User data'!B:B, 0))</f>
        <v>굿뉴스에너지 주식회사</v>
      </c>
      <c r="D148" s="1" t="str">
        <f t="array" ref="D148">INDEX('User data'!F:F, MATCH(C148, 'User data'!E:E, 0))</f>
        <v>679-88-03344</v>
      </c>
      <c r="E148" s="1" t="s">
        <v>706</v>
      </c>
      <c r="F148" s="3"/>
      <c r="G148" s="3"/>
      <c r="H148" s="3"/>
      <c r="I148" s="3"/>
      <c r="J148" s="1" t="s">
        <v>100</v>
      </c>
      <c r="K148" s="1" t="s">
        <v>101</v>
      </c>
      <c r="L148" s="1" t="b">
        <v>0</v>
      </c>
      <c r="M148" s="4" t="s">
        <v>102</v>
      </c>
      <c r="N148" s="1" t="s">
        <v>707</v>
      </c>
      <c r="P148" s="3"/>
      <c r="Q148" s="3"/>
      <c r="R148" s="3"/>
      <c r="S148" s="3"/>
      <c r="T148" s="1" t="s">
        <v>104</v>
      </c>
      <c r="U148" s="3"/>
      <c r="V148" s="3"/>
      <c r="W148" s="1" t="s">
        <v>118</v>
      </c>
      <c r="X148" s="3"/>
      <c r="Y148" s="1" t="s">
        <v>106</v>
      </c>
      <c r="Z148" s="3"/>
      <c r="AA148" s="1" t="b">
        <v>0</v>
      </c>
      <c r="AB148" s="1" t="b">
        <v>0</v>
      </c>
      <c r="AC148" s="1" t="b">
        <v>0</v>
      </c>
      <c r="AD148" s="1" t="b">
        <v>0</v>
      </c>
      <c r="AE148" s="1" t="b">
        <v>1</v>
      </c>
      <c r="AF148" s="3"/>
      <c r="AG148" s="3"/>
      <c r="AH148" s="3"/>
      <c r="AI148" s="3"/>
      <c r="AJ148" s="2">
        <v>46064.753842592596</v>
      </c>
      <c r="AK148" s="2">
        <v>46065.753958333335</v>
      </c>
      <c r="AM148" s="2">
        <v>46064.753912037035</v>
      </c>
      <c r="AN148" s="2">
        <v>46064.753912037035</v>
      </c>
      <c r="AP148" s="3"/>
      <c r="AQ148" s="3"/>
      <c r="AR148" s="3"/>
      <c r="AS148" s="3"/>
      <c r="AT148" s="3"/>
      <c r="AU148" s="3"/>
      <c r="AV148" s="3"/>
      <c r="AW148" s="3"/>
      <c r="AX148" s="3"/>
      <c r="AY148" s="3"/>
      <c r="AZ148" s="3"/>
      <c r="BA148" s="3"/>
      <c r="BB148" s="3"/>
      <c r="BC148" s="2">
        <v>46064.75407407407</v>
      </c>
      <c r="BD148" s="2">
        <v>46064.75407407407</v>
      </c>
      <c r="BF148" s="3"/>
      <c r="BG148" s="3"/>
      <c r="BH148" s="3"/>
      <c r="BI148" s="3"/>
      <c r="BJ148" s="3"/>
      <c r="BK148" s="3"/>
      <c r="BL148" s="3"/>
      <c r="BM148" s="3"/>
      <c r="BN148" s="3"/>
      <c r="BO148" s="3"/>
      <c r="BP148" s="3"/>
      <c r="BQ148" s="3"/>
      <c r="BR148" s="3"/>
      <c r="BS148" s="3"/>
      <c r="BT148" s="3"/>
      <c r="BU148" s="3"/>
      <c r="BV148" s="3"/>
      <c r="BW148" s="3"/>
      <c r="BX148" s="3"/>
      <c r="BY148" s="5">
        <v>14.0</v>
      </c>
      <c r="BZ148" s="5">
        <v>0.0</v>
      </c>
      <c r="CA148" s="5">
        <v>14.0</v>
      </c>
      <c r="CB148" s="5">
        <v>0.0</v>
      </c>
      <c r="CC148" s="5">
        <v>14.0</v>
      </c>
      <c r="CD148" s="5">
        <v>0.0</v>
      </c>
      <c r="CE148" s="3"/>
      <c r="CF148" s="3"/>
      <c r="CG148" s="3"/>
      <c r="CH148" s="3"/>
      <c r="CI148" s="3"/>
      <c r="CJ148" s="3"/>
      <c r="CK148" s="3"/>
      <c r="CL148" s="3"/>
      <c r="CM148" s="3"/>
      <c r="CN148" s="3"/>
      <c r="CO148" s="3"/>
      <c r="CP148" s="3"/>
      <c r="CQ148" s="5">
        <v>3.8</v>
      </c>
      <c r="CR148" s="4" t="s">
        <v>708</v>
      </c>
    </row>
    <row r="149">
      <c r="A149" s="1" t="s">
        <v>709</v>
      </c>
      <c r="B149" s="2">
        <v>46064.73762731482</v>
      </c>
      <c r="C149" s="1" t="str">
        <f t="array" ref="C149">INDEX('User data'!E:E, MATCH(E149, 'User data'!B:B, 0))</f>
        <v/>
      </c>
      <c r="D149" s="1" t="str">
        <f t="array" ref="D149">INDEX('User data'!F:F, MATCH(C149, 'User data'!E:E, 0))</f>
        <v>#N/A</v>
      </c>
      <c r="E149" s="1" t="s">
        <v>710</v>
      </c>
      <c r="F149" s="3"/>
      <c r="G149" s="3"/>
      <c r="H149" s="3"/>
      <c r="I149" s="3"/>
      <c r="J149" s="1" t="s">
        <v>100</v>
      </c>
      <c r="K149" s="1" t="s">
        <v>101</v>
      </c>
      <c r="L149" s="1" t="b">
        <v>0</v>
      </c>
      <c r="M149" s="4" t="s">
        <v>102</v>
      </c>
      <c r="N149" s="1" t="s">
        <v>711</v>
      </c>
      <c r="P149" s="3"/>
      <c r="Q149" s="3"/>
      <c r="R149" s="3"/>
      <c r="S149" s="3"/>
      <c r="T149" s="1" t="s">
        <v>104</v>
      </c>
      <c r="U149" s="3"/>
      <c r="V149" s="3"/>
      <c r="W149" s="1" t="s">
        <v>105</v>
      </c>
      <c r="X149" s="3"/>
      <c r="Y149" s="1" t="s">
        <v>106</v>
      </c>
      <c r="Z149" s="3"/>
      <c r="AA149" s="1" t="b">
        <v>0</v>
      </c>
      <c r="AB149" s="1" t="b">
        <v>0</v>
      </c>
      <c r="AC149" s="1" t="b">
        <v>0</v>
      </c>
      <c r="AD149" s="1" t="b">
        <v>0</v>
      </c>
      <c r="AE149" s="1" t="b">
        <v>1</v>
      </c>
      <c r="AF149" s="3"/>
      <c r="AG149" s="3"/>
      <c r="AH149" s="3"/>
      <c r="AI149" s="3"/>
      <c r="AJ149" s="2">
        <v>46064.73758101852</v>
      </c>
      <c r="AK149" s="2">
        <v>46065.73769675926</v>
      </c>
      <c r="AM149" s="2">
        <v>46064.73762731482</v>
      </c>
      <c r="AN149" s="2">
        <v>46064.73762731482</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5">
        <v>3.6</v>
      </c>
      <c r="CR149" s="4" t="s">
        <v>712</v>
      </c>
    </row>
    <row r="150">
      <c r="A150" s="1" t="s">
        <v>713</v>
      </c>
      <c r="B150" s="2">
        <v>46064.718148148146</v>
      </c>
      <c r="C150" s="1" t="str">
        <f t="array" ref="C150">INDEX('User data'!E:E, MATCH(E150, 'User data'!B:B, 0))</f>
        <v>주식회사 아란푸드랩</v>
      </c>
      <c r="D150" s="1" t="str">
        <f t="array" ref="D150">INDEX('User data'!F:F, MATCH(C150, 'User data'!E:E, 0))</f>
        <v>471-81-03381</v>
      </c>
      <c r="E150" s="1" t="s">
        <v>714</v>
      </c>
      <c r="F150" s="3"/>
      <c r="G150" s="3"/>
      <c r="H150" s="1" t="s">
        <v>715</v>
      </c>
      <c r="I150" s="1" t="s">
        <v>716</v>
      </c>
      <c r="J150" s="1" t="s">
        <v>100</v>
      </c>
      <c r="K150" s="1" t="s">
        <v>101</v>
      </c>
      <c r="L150" s="1" t="b">
        <v>0</v>
      </c>
      <c r="M150" s="4" t="s">
        <v>102</v>
      </c>
      <c r="N150" s="1" t="s">
        <v>717</v>
      </c>
      <c r="O150" s="1">
        <v>574085.0</v>
      </c>
      <c r="P150" s="1">
        <v>574085.0</v>
      </c>
      <c r="Q150" s="1">
        <v>574085.0</v>
      </c>
      <c r="R150" s="1" t="s">
        <v>145</v>
      </c>
      <c r="S150" s="1">
        <v>13285.0</v>
      </c>
      <c r="T150" s="1" t="s">
        <v>104</v>
      </c>
      <c r="U150" s="3"/>
      <c r="V150" s="3"/>
      <c r="W150" s="1" t="s">
        <v>118</v>
      </c>
      <c r="X150" s="3"/>
      <c r="Y150" s="1" t="s">
        <v>106</v>
      </c>
      <c r="Z150" s="3"/>
      <c r="AA150" s="1" t="b">
        <v>1</v>
      </c>
      <c r="AB150" s="1" t="b">
        <v>0</v>
      </c>
      <c r="AC150" s="1" t="b">
        <v>0</v>
      </c>
      <c r="AD150" s="1" t="b">
        <v>1</v>
      </c>
      <c r="AE150" s="1" t="b">
        <v>1</v>
      </c>
      <c r="AF150" s="5">
        <v>1.0</v>
      </c>
      <c r="AG150" s="3"/>
      <c r="AH150" s="3"/>
      <c r="AI150" s="3"/>
      <c r="AJ150" s="2">
        <v>46064.71807870371</v>
      </c>
      <c r="AK150" s="2">
        <v>46073.56853009259</v>
      </c>
      <c r="AL150" s="2">
        <v>46064.718773148146</v>
      </c>
      <c r="AM150" s="2">
        <v>46064.718148148146</v>
      </c>
      <c r="AN150" s="2">
        <v>46064.718148148146</v>
      </c>
      <c r="AO150" s="2">
        <v>46064.718773148146</v>
      </c>
      <c r="AP150" s="2">
        <v>46064.71880787037</v>
      </c>
      <c r="AQ150" s="2">
        <v>46064.71878472222</v>
      </c>
      <c r="AS150" s="2">
        <v>46064.7187962963</v>
      </c>
      <c r="AT150" s="2">
        <v>46064.71878472222</v>
      </c>
      <c r="AU150" s="2">
        <v>46073.54177083333</v>
      </c>
      <c r="AW150" s="3"/>
      <c r="AX150" s="2">
        <v>46064.7187962963</v>
      </c>
      <c r="AY150" s="2">
        <v>46064.7187962963</v>
      </c>
      <c r="AZ150" s="2">
        <v>46064.7196412037</v>
      </c>
      <c r="BA150" s="2">
        <v>46064.7196412037</v>
      </c>
      <c r="BB150" s="2">
        <v>46072.56689814815</v>
      </c>
      <c r="BC150" s="2">
        <v>46073.56849537037</v>
      </c>
      <c r="BD150" s="2">
        <v>46073.56849537037</v>
      </c>
      <c r="BE150" s="5">
        <v>74.0</v>
      </c>
      <c r="BF150" s="3"/>
      <c r="BG150" s="5">
        <v>74.0</v>
      </c>
      <c r="BH150" s="3"/>
      <c r="BI150" s="5">
        <v>438242.0</v>
      </c>
      <c r="BJ150" s="5">
        <v>70990.0</v>
      </c>
      <c r="BK150" s="5">
        <v>1.0</v>
      </c>
      <c r="BL150" s="5">
        <v>0.0</v>
      </c>
      <c r="BM150" s="5">
        <v>55.0</v>
      </c>
      <c r="BN150" s="5">
        <v>0.0</v>
      </c>
      <c r="BO150" s="5">
        <v>128.0</v>
      </c>
      <c r="BP150" s="5">
        <v>0.0</v>
      </c>
      <c r="BQ150" s="5">
        <v>128.0</v>
      </c>
      <c r="BR150" s="5">
        <v>0.0</v>
      </c>
      <c r="BS150" s="5">
        <v>73.0</v>
      </c>
      <c r="BT150" s="5">
        <v>0.0</v>
      </c>
      <c r="BU150" s="5">
        <v>73.0</v>
      </c>
      <c r="BV150" s="5">
        <v>0.0</v>
      </c>
      <c r="BW150" s="5">
        <v>74.0</v>
      </c>
      <c r="BX150" s="5">
        <v>0.0</v>
      </c>
      <c r="BY150" s="5">
        <v>764669.0</v>
      </c>
      <c r="BZ150" s="5">
        <v>139118.0</v>
      </c>
      <c r="CA150" s="5">
        <v>764669.0</v>
      </c>
      <c r="CB150" s="5">
        <v>139118.0</v>
      </c>
      <c r="CC150" s="5">
        <v>764669.0</v>
      </c>
      <c r="CD150" s="5">
        <v>139118.0</v>
      </c>
      <c r="CE150" s="5">
        <v>764614.0</v>
      </c>
      <c r="CF150" s="5">
        <v>139118.0</v>
      </c>
      <c r="CG150" s="5">
        <v>764614.0</v>
      </c>
      <c r="CH150" s="5">
        <v>139118.0</v>
      </c>
      <c r="CI150" s="5">
        <v>764615.0</v>
      </c>
      <c r="CJ150" s="5">
        <v>139118.0</v>
      </c>
      <c r="CK150" s="5">
        <v>326372.0</v>
      </c>
      <c r="CL150" s="5">
        <v>68128.0</v>
      </c>
      <c r="CM150" s="5">
        <v>326372.0</v>
      </c>
      <c r="CN150" s="5">
        <v>68128.0</v>
      </c>
      <c r="CO150" s="5">
        <v>2.0</v>
      </c>
      <c r="CP150" s="5">
        <v>54.0</v>
      </c>
      <c r="CQ150" s="3"/>
      <c r="CR150" s="4" t="s">
        <v>718</v>
      </c>
    </row>
    <row r="151">
      <c r="A151" s="1" t="s">
        <v>719</v>
      </c>
      <c r="B151" s="2">
        <v>46064.71722222222</v>
      </c>
      <c r="C151" s="1" t="str">
        <f t="array" ref="C151">INDEX('User data'!E:E, MATCH(E151, 'User data'!B:B, 0))</f>
        <v/>
      </c>
      <c r="D151" s="1" t="str">
        <f t="array" ref="D151">INDEX('User data'!F:F, MATCH(C151, 'User data'!E:E, 0))</f>
        <v>#N/A</v>
      </c>
      <c r="E151" s="1" t="s">
        <v>720</v>
      </c>
      <c r="F151" s="3"/>
      <c r="G151" s="3"/>
      <c r="H151" s="3"/>
      <c r="I151" s="3"/>
      <c r="J151" s="1" t="s">
        <v>100</v>
      </c>
      <c r="K151" s="1" t="s">
        <v>101</v>
      </c>
      <c r="L151" s="1" t="b">
        <v>0</v>
      </c>
      <c r="M151" s="4" t="s">
        <v>180</v>
      </c>
      <c r="N151" s="1" t="s">
        <v>721</v>
      </c>
      <c r="P151" s="3"/>
      <c r="Q151" s="3"/>
      <c r="R151" s="3"/>
      <c r="S151" s="3"/>
      <c r="T151" s="1" t="s">
        <v>104</v>
      </c>
      <c r="U151" s="3"/>
      <c r="V151" s="3"/>
      <c r="W151" s="1" t="s">
        <v>105</v>
      </c>
      <c r="X151" s="3"/>
      <c r="Y151" s="1" t="s">
        <v>106</v>
      </c>
      <c r="Z151" s="3"/>
      <c r="AA151" s="1" t="b">
        <v>0</v>
      </c>
      <c r="AB151" s="1" t="b">
        <v>0</v>
      </c>
      <c r="AC151" s="1" t="b">
        <v>0</v>
      </c>
      <c r="AD151" s="1" t="b">
        <v>0</v>
      </c>
      <c r="AE151" s="1" t="b">
        <v>1</v>
      </c>
      <c r="AF151" s="3"/>
      <c r="AG151" s="3"/>
      <c r="AH151" s="3"/>
      <c r="AI151" s="3"/>
      <c r="AJ151" s="2">
        <v>46064.71717592593</v>
      </c>
      <c r="AK151" s="2">
        <v>46064.71740740741</v>
      </c>
      <c r="AM151" s="2">
        <v>46064.71722222222</v>
      </c>
      <c r="AN151" s="2">
        <v>46064.71722222222</v>
      </c>
      <c r="AO151" s="2">
        <v>46064.71739583334</v>
      </c>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5">
        <v>14.0</v>
      </c>
      <c r="CQ151" s="3"/>
      <c r="CR151" s="4" t="s">
        <v>722</v>
      </c>
    </row>
    <row r="152">
      <c r="A152" s="1" t="s">
        <v>723</v>
      </c>
      <c r="B152" s="2">
        <v>46064.71628472222</v>
      </c>
      <c r="C152" s="1" t="str">
        <f t="array" ref="C152">INDEX('User data'!E:E, MATCH(E152, 'User data'!B:B, 0))</f>
        <v>주식회사 안개로</v>
      </c>
      <c r="D152" s="1" t="str">
        <f t="array" ref="D152">INDEX('User data'!F:F, MATCH(C152, 'User data'!E:E, 0))</f>
        <v>181-88-02998</v>
      </c>
      <c r="E152" s="1" t="s">
        <v>724</v>
      </c>
      <c r="F152" s="3"/>
      <c r="G152" s="3"/>
      <c r="H152" s="3"/>
      <c r="I152" s="3"/>
      <c r="J152" s="1" t="s">
        <v>100</v>
      </c>
      <c r="K152" s="1" t="s">
        <v>101</v>
      </c>
      <c r="L152" s="1" t="b">
        <v>0</v>
      </c>
      <c r="M152" s="4" t="s">
        <v>102</v>
      </c>
      <c r="N152" s="1" t="s">
        <v>725</v>
      </c>
      <c r="P152" s="3"/>
      <c r="Q152" s="3"/>
      <c r="R152" s="3"/>
      <c r="S152" s="3"/>
      <c r="T152" s="1" t="s">
        <v>104</v>
      </c>
      <c r="U152" s="3"/>
      <c r="V152" s="3"/>
      <c r="W152" s="1" t="s">
        <v>105</v>
      </c>
      <c r="X152" s="3"/>
      <c r="Y152" s="1" t="s">
        <v>106</v>
      </c>
      <c r="Z152" s="3"/>
      <c r="AA152" s="1" t="b">
        <v>0</v>
      </c>
      <c r="AB152" s="1" t="b">
        <v>0</v>
      </c>
      <c r="AC152" s="1" t="b">
        <v>0</v>
      </c>
      <c r="AD152" s="1" t="b">
        <v>0</v>
      </c>
      <c r="AE152" s="1" t="b">
        <v>1</v>
      </c>
      <c r="AF152" s="3"/>
      <c r="AG152" s="3"/>
      <c r="AH152" s="3"/>
      <c r="AI152" s="3"/>
      <c r="AJ152" s="2">
        <v>46064.71618055556</v>
      </c>
      <c r="AK152" s="2">
        <v>46065.71633101852</v>
      </c>
      <c r="AM152" s="2">
        <v>46064.71628472222</v>
      </c>
      <c r="AN152" s="2">
        <v>46064.71628472222</v>
      </c>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5">
        <v>1.8</v>
      </c>
      <c r="CR152" s="4" t="s">
        <v>726</v>
      </c>
    </row>
    <row r="153">
      <c r="A153" s="1" t="s">
        <v>727</v>
      </c>
      <c r="B153" s="2">
        <v>46064.7159375</v>
      </c>
      <c r="C153" s="1" t="str">
        <f t="array" ref="C153">INDEX('User data'!E:E, MATCH(E153, 'User data'!B:B, 0))</f>
        <v>주식회사 마크비전코리아</v>
      </c>
      <c r="D153" s="1" t="str">
        <f t="array" ref="D153">INDEX('User data'!F:F, MATCH(C153, 'User data'!E:E, 0))</f>
        <v>490-81-01666</v>
      </c>
      <c r="E153" s="1" t="s">
        <v>728</v>
      </c>
      <c r="F153" s="3"/>
      <c r="G153" s="3"/>
      <c r="H153" s="1" t="s">
        <v>729</v>
      </c>
      <c r="I153" s="1" t="s">
        <v>730</v>
      </c>
      <c r="J153" s="1" t="s">
        <v>100</v>
      </c>
      <c r="K153" s="1" t="s">
        <v>101</v>
      </c>
      <c r="L153" s="1" t="b">
        <v>0</v>
      </c>
      <c r="M153" s="4" t="s">
        <v>102</v>
      </c>
      <c r="N153" s="1" t="s">
        <v>731</v>
      </c>
      <c r="O153" s="1">
        <v>574085.0</v>
      </c>
      <c r="P153" s="1">
        <v>574085.0</v>
      </c>
      <c r="Q153" s="1">
        <v>574085.0</v>
      </c>
      <c r="R153" s="1" t="s">
        <v>732</v>
      </c>
      <c r="S153" s="1">
        <v>13285.0</v>
      </c>
      <c r="T153" s="1" t="s">
        <v>104</v>
      </c>
      <c r="U153" s="3"/>
      <c r="V153" s="3"/>
      <c r="W153" s="1" t="s">
        <v>118</v>
      </c>
      <c r="X153" s="3"/>
      <c r="Y153" s="1" t="s">
        <v>106</v>
      </c>
      <c r="Z153" s="3"/>
      <c r="AA153" s="1" t="b">
        <v>1</v>
      </c>
      <c r="AB153" s="1" t="b">
        <v>0</v>
      </c>
      <c r="AC153" s="1" t="b">
        <v>0</v>
      </c>
      <c r="AD153" s="1" t="b">
        <v>1</v>
      </c>
      <c r="AE153" s="1" t="b">
        <v>1</v>
      </c>
      <c r="AF153" s="5">
        <v>6.0</v>
      </c>
      <c r="AG153" s="5">
        <v>4.0</v>
      </c>
      <c r="AH153" s="3"/>
      <c r="AI153" s="3"/>
      <c r="AJ153" s="2">
        <v>46064.71581018518</v>
      </c>
      <c r="AK153" s="2">
        <v>46073.57140046296</v>
      </c>
      <c r="AL153" s="2">
        <v>46064.7175462963</v>
      </c>
      <c r="AM153" s="2">
        <v>46064.7159375</v>
      </c>
      <c r="AN153" s="2">
        <v>46064.7159375</v>
      </c>
      <c r="AO153" s="2">
        <v>46064.7175462963</v>
      </c>
      <c r="AP153" s="2">
        <v>46064.71758101852</v>
      </c>
      <c r="AQ153" s="2">
        <v>46064.71755787037</v>
      </c>
      <c r="AS153" s="2">
        <v>46064.717569444445</v>
      </c>
      <c r="AT153" s="2">
        <v>46064.71755787037</v>
      </c>
      <c r="AU153" s="2">
        <v>46073.54178240741</v>
      </c>
      <c r="AW153" s="3"/>
      <c r="AX153" s="2">
        <v>46064.717569444445</v>
      </c>
      <c r="AY153" s="2">
        <v>46064.717569444445</v>
      </c>
      <c r="AZ153" s="2">
        <v>46064.723032407404</v>
      </c>
      <c r="BA153" s="2">
        <v>46065.44863425926</v>
      </c>
      <c r="BB153" s="2">
        <v>46072.56689814815</v>
      </c>
      <c r="BC153" s="2">
        <v>46073.57136574074</v>
      </c>
      <c r="BD153" s="2">
        <v>46073.57136574074</v>
      </c>
      <c r="BE153" s="5">
        <v>5708.0</v>
      </c>
      <c r="BF153" s="5">
        <v>1410.0</v>
      </c>
      <c r="BG153" s="5">
        <v>951.0</v>
      </c>
      <c r="BH153" s="5">
        <v>352.0</v>
      </c>
      <c r="BI153" s="5">
        <v>151012.0</v>
      </c>
      <c r="BJ153" s="5">
        <v>30219.0</v>
      </c>
      <c r="BK153" s="5">
        <v>1.0</v>
      </c>
      <c r="BL153" s="5">
        <v>0.0</v>
      </c>
      <c r="BM153" s="5">
        <v>141.0</v>
      </c>
      <c r="BN153" s="5">
        <v>0.0</v>
      </c>
      <c r="BO153" s="5">
        <v>613.0</v>
      </c>
      <c r="BP153" s="5">
        <v>0.0</v>
      </c>
      <c r="BQ153" s="5">
        <v>613.0</v>
      </c>
      <c r="BR153" s="5">
        <v>0.0</v>
      </c>
      <c r="BS153" s="5">
        <v>472.0</v>
      </c>
      <c r="BT153" s="5">
        <v>0.0</v>
      </c>
      <c r="BU153" s="5">
        <v>472.0</v>
      </c>
      <c r="BV153" s="5">
        <v>0.0</v>
      </c>
      <c r="BW153" s="5">
        <v>473.0</v>
      </c>
      <c r="BX153" s="5">
        <v>0.0</v>
      </c>
      <c r="BY153" s="5">
        <v>765109.0</v>
      </c>
      <c r="BZ153" s="5">
        <v>139366.0</v>
      </c>
      <c r="CA153" s="5">
        <v>765109.0</v>
      </c>
      <c r="CB153" s="5">
        <v>139366.0</v>
      </c>
      <c r="CC153" s="5">
        <v>765109.0</v>
      </c>
      <c r="CD153" s="5">
        <v>139366.0</v>
      </c>
      <c r="CE153" s="5">
        <v>764967.0</v>
      </c>
      <c r="CF153" s="5">
        <v>139366.0</v>
      </c>
      <c r="CG153" s="5">
        <v>764967.0</v>
      </c>
      <c r="CH153" s="5">
        <v>139366.0</v>
      </c>
      <c r="CI153" s="5">
        <v>764968.0</v>
      </c>
      <c r="CJ153" s="5">
        <v>139366.0</v>
      </c>
      <c r="CK153" s="5">
        <v>613954.0</v>
      </c>
      <c r="CL153" s="5">
        <v>109146.0</v>
      </c>
      <c r="CM153" s="5">
        <v>613954.0</v>
      </c>
      <c r="CN153" s="5">
        <v>109146.0</v>
      </c>
      <c r="CO153" s="5">
        <v>3.0</v>
      </c>
      <c r="CP153" s="5">
        <v>139.0</v>
      </c>
      <c r="CQ153" s="3"/>
      <c r="CR153" s="4" t="s">
        <v>733</v>
      </c>
    </row>
    <row r="154">
      <c r="A154" s="1" t="s">
        <v>734</v>
      </c>
      <c r="B154" s="2">
        <v>46064.71380787037</v>
      </c>
      <c r="C154" s="1" t="str">
        <f t="array" ref="C154">INDEX('User data'!E:E, MATCH(E154, 'User data'!B:B, 0))</f>
        <v>주식회사 뷰바(VYOOVA Corp.)</v>
      </c>
      <c r="D154" s="1" t="str">
        <f t="array" ref="D154">INDEX('User data'!F:F, MATCH(C154, 'User data'!E:E, 0))</f>
        <v>782-86-03272</v>
      </c>
      <c r="E154" s="1" t="s">
        <v>735</v>
      </c>
      <c r="F154" s="3"/>
      <c r="G154" s="3"/>
      <c r="H154" s="3"/>
      <c r="I154" s="3"/>
      <c r="J154" s="1" t="s">
        <v>100</v>
      </c>
      <c r="K154" s="1" t="s">
        <v>101</v>
      </c>
      <c r="L154" s="1" t="b">
        <v>0</v>
      </c>
      <c r="M154" s="4" t="s">
        <v>102</v>
      </c>
      <c r="N154" s="1" t="s">
        <v>736</v>
      </c>
      <c r="P154" s="3"/>
      <c r="Q154" s="3"/>
      <c r="R154" s="3"/>
      <c r="S154" s="3"/>
      <c r="T154" s="1" t="s">
        <v>104</v>
      </c>
      <c r="U154" s="3"/>
      <c r="V154" s="3"/>
      <c r="W154" s="1" t="s">
        <v>105</v>
      </c>
      <c r="X154" s="3"/>
      <c r="Y154" s="1" t="s">
        <v>106</v>
      </c>
      <c r="Z154" s="3"/>
      <c r="AA154" s="1" t="b">
        <v>0</v>
      </c>
      <c r="AB154" s="1" t="b">
        <v>0</v>
      </c>
      <c r="AC154" s="1" t="b">
        <v>0</v>
      </c>
      <c r="AD154" s="1" t="b">
        <v>0</v>
      </c>
      <c r="AE154" s="1" t="b">
        <v>1</v>
      </c>
      <c r="AF154" s="3"/>
      <c r="AG154" s="3"/>
      <c r="AH154" s="3"/>
      <c r="AI154" s="3"/>
      <c r="AJ154" s="2">
        <v>46064.71357638889</v>
      </c>
      <c r="AK154" s="2">
        <v>46065.71386574074</v>
      </c>
      <c r="AM154" s="2">
        <v>46064.71380787037</v>
      </c>
      <c r="AN154" s="2">
        <v>46064.71380787037</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5">
        <v>5.0</v>
      </c>
      <c r="CR154" s="4" t="s">
        <v>737</v>
      </c>
    </row>
    <row r="155">
      <c r="A155" s="1" t="s">
        <v>738</v>
      </c>
      <c r="B155" s="2">
        <v>46064.705613425926</v>
      </c>
      <c r="C155" s="1" t="str">
        <f t="array" ref="C155">INDEX('User data'!E:E, MATCH(E155, 'User data'!B:B, 0))</f>
        <v/>
      </c>
      <c r="D155" s="1" t="str">
        <f t="array" ref="D155">INDEX('User data'!F:F, MATCH(C155, 'User data'!E:E, 0))</f>
        <v>#N/A</v>
      </c>
      <c r="E155" s="1" t="s">
        <v>739</v>
      </c>
      <c r="F155" s="3"/>
      <c r="G155" s="3"/>
      <c r="H155" s="3"/>
      <c r="I155" s="3"/>
      <c r="J155" s="1" t="s">
        <v>100</v>
      </c>
      <c r="K155" s="1" t="s">
        <v>101</v>
      </c>
      <c r="L155" s="1" t="b">
        <v>0</v>
      </c>
      <c r="M155" s="4" t="s">
        <v>102</v>
      </c>
      <c r="N155" s="1" t="s">
        <v>740</v>
      </c>
      <c r="P155" s="3"/>
      <c r="Q155" s="3"/>
      <c r="R155" s="3"/>
      <c r="S155" s="3"/>
      <c r="T155" s="1" t="s">
        <v>104</v>
      </c>
      <c r="U155" s="3"/>
      <c r="V155" s="3"/>
      <c r="W155" s="1" t="s">
        <v>105</v>
      </c>
      <c r="X155" s="3"/>
      <c r="Y155" s="1" t="s">
        <v>106</v>
      </c>
      <c r="Z155" s="3"/>
      <c r="AA155" s="1" t="b">
        <v>0</v>
      </c>
      <c r="AB155" s="1" t="b">
        <v>0</v>
      </c>
      <c r="AC155" s="1" t="b">
        <v>0</v>
      </c>
      <c r="AD155" s="1" t="b">
        <v>0</v>
      </c>
      <c r="AE155" s="1" t="b">
        <v>1</v>
      </c>
      <c r="AF155" s="3"/>
      <c r="AG155" s="3"/>
      <c r="AH155" s="3"/>
      <c r="AI155" s="3"/>
      <c r="AJ155" s="2">
        <v>46064.70559027778</v>
      </c>
      <c r="AK155" s="2">
        <v>46065.705925925926</v>
      </c>
      <c r="AM155" s="2">
        <v>46064.705613425926</v>
      </c>
      <c r="AN155" s="2">
        <v>46064.705613425926</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5">
        <v>4.4</v>
      </c>
      <c r="CR155" s="4" t="s">
        <v>741</v>
      </c>
    </row>
    <row r="156">
      <c r="A156" s="1" t="s">
        <v>742</v>
      </c>
      <c r="B156" s="2">
        <v>46064.63518518519</v>
      </c>
      <c r="C156" s="1" t="str">
        <f t="array" ref="C156">INDEX('User data'!E:E, MATCH(E156, 'User data'!B:B, 0))</f>
        <v>주식회사 엔스프링</v>
      </c>
      <c r="D156" s="1" t="str">
        <f t="array" ref="D156">INDEX('User data'!F:F, MATCH(C156, 'User data'!E:E, 0))</f>
        <v>119-86-45571</v>
      </c>
      <c r="E156" s="1" t="s">
        <v>743</v>
      </c>
      <c r="F156" s="3"/>
      <c r="G156" s="3"/>
      <c r="H156" s="3"/>
      <c r="I156" s="3"/>
      <c r="J156" s="1" t="s">
        <v>100</v>
      </c>
      <c r="K156" s="1" t="s">
        <v>101</v>
      </c>
      <c r="L156" s="1" t="b">
        <v>0</v>
      </c>
      <c r="M156" s="4" t="s">
        <v>102</v>
      </c>
      <c r="N156" s="1" t="s">
        <v>744</v>
      </c>
      <c r="P156" s="3"/>
      <c r="Q156" s="3"/>
      <c r="R156" s="3"/>
      <c r="S156" s="3"/>
      <c r="T156" s="1" t="s">
        <v>104</v>
      </c>
      <c r="U156" s="3"/>
      <c r="V156" s="3"/>
      <c r="W156" s="1" t="s">
        <v>105</v>
      </c>
      <c r="X156" s="3"/>
      <c r="Y156" s="1" t="s">
        <v>106</v>
      </c>
      <c r="Z156" s="3"/>
      <c r="AA156" s="1" t="b">
        <v>0</v>
      </c>
      <c r="AB156" s="1" t="b">
        <v>0</v>
      </c>
      <c r="AC156" s="1" t="b">
        <v>0</v>
      </c>
      <c r="AD156" s="1" t="b">
        <v>0</v>
      </c>
      <c r="AE156" s="1" t="b">
        <v>1</v>
      </c>
      <c r="AF156" s="3"/>
      <c r="AG156" s="3"/>
      <c r="AH156" s="3"/>
      <c r="AI156" s="3"/>
      <c r="AJ156" s="2">
        <v>46064.635104166664</v>
      </c>
      <c r="AK156" s="2">
        <v>46065.635243055556</v>
      </c>
      <c r="AM156" s="2">
        <v>46064.63518518519</v>
      </c>
      <c r="AN156" s="2">
        <v>46064.63518518519</v>
      </c>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5">
        <v>5.0</v>
      </c>
      <c r="CR156" s="4" t="s">
        <v>745</v>
      </c>
    </row>
    <row r="157">
      <c r="A157" s="1" t="s">
        <v>746</v>
      </c>
      <c r="B157" s="2">
        <v>46064.63460648148</v>
      </c>
      <c r="C157" s="1" t="str">
        <f t="array" ref="C157">INDEX('User data'!E:E, MATCH(E157, 'User data'!B:B, 0))</f>
        <v>주식회사 아이엔지로보틱스</v>
      </c>
      <c r="D157" s="1" t="str">
        <f t="array" ref="D157">INDEX('User data'!F:F, MATCH(C157, 'User data'!E:E, 0))</f>
        <v>199-88-02553</v>
      </c>
      <c r="E157" s="1" t="s">
        <v>747</v>
      </c>
      <c r="F157" s="3"/>
      <c r="G157" s="3"/>
      <c r="H157" s="3"/>
      <c r="I157" s="3"/>
      <c r="J157" s="1" t="s">
        <v>100</v>
      </c>
      <c r="K157" s="1" t="s">
        <v>101</v>
      </c>
      <c r="L157" s="1" t="b">
        <v>0</v>
      </c>
      <c r="M157" s="4" t="s">
        <v>102</v>
      </c>
      <c r="N157" s="1" t="s">
        <v>748</v>
      </c>
      <c r="P157" s="3"/>
      <c r="Q157" s="3"/>
      <c r="R157" s="3"/>
      <c r="S157" s="3"/>
      <c r="T157" s="1" t="s">
        <v>104</v>
      </c>
      <c r="U157" s="3"/>
      <c r="V157" s="3"/>
      <c r="W157" s="1" t="s">
        <v>105</v>
      </c>
      <c r="X157" s="3"/>
      <c r="Y157" s="1" t="s">
        <v>106</v>
      </c>
      <c r="Z157" s="3"/>
      <c r="AA157" s="1" t="b">
        <v>0</v>
      </c>
      <c r="AB157" s="1" t="b">
        <v>0</v>
      </c>
      <c r="AC157" s="1" t="b">
        <v>0</v>
      </c>
      <c r="AD157" s="1" t="b">
        <v>0</v>
      </c>
      <c r="AE157" s="1" t="b">
        <v>1</v>
      </c>
      <c r="AF157" s="3"/>
      <c r="AG157" s="3"/>
      <c r="AH157" s="3"/>
      <c r="AI157" s="3"/>
      <c r="AJ157" s="2">
        <v>46064.63444444445</v>
      </c>
      <c r="AK157" s="2">
        <v>46065.63597222222</v>
      </c>
      <c r="AM157" s="2">
        <v>46064.63460648148</v>
      </c>
      <c r="AN157" s="2">
        <v>46064.63460648148</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5">
        <v>3.4</v>
      </c>
      <c r="CR157" s="4" t="s">
        <v>749</v>
      </c>
    </row>
    <row r="158">
      <c r="A158" s="1" t="s">
        <v>750</v>
      </c>
      <c r="B158" s="2">
        <v>46064.63107638889</v>
      </c>
      <c r="C158" s="1" t="str">
        <f t="array" ref="C158">INDEX('User data'!E:E, MATCH(E158, 'User data'!B:B, 0))</f>
        <v>주식회사 프라이스잇(priceit. Co.,Ltd.)</v>
      </c>
      <c r="D158" s="1" t="str">
        <f t="array" ref="D158">INDEX('User data'!F:F, MATCH(C158, 'User data'!E:E, 0))</f>
        <v>431-86-03466</v>
      </c>
      <c r="E158" s="1" t="s">
        <v>343</v>
      </c>
      <c r="F158" s="3"/>
      <c r="G158" s="3"/>
      <c r="H158" s="3"/>
      <c r="I158" s="1" t="s">
        <v>751</v>
      </c>
      <c r="J158" s="1" t="s">
        <v>100</v>
      </c>
      <c r="K158" s="1" t="s">
        <v>101</v>
      </c>
      <c r="L158" s="1" t="b">
        <v>0</v>
      </c>
      <c r="M158" s="4" t="s">
        <v>102</v>
      </c>
      <c r="N158" s="1" t="s">
        <v>344</v>
      </c>
      <c r="O158" s="1">
        <v>594863.0</v>
      </c>
      <c r="P158" s="1">
        <v>574085.0</v>
      </c>
      <c r="Q158" s="1">
        <v>594863.0</v>
      </c>
      <c r="R158" s="1" t="s">
        <v>752</v>
      </c>
      <c r="S158" s="1">
        <v>13288.0</v>
      </c>
      <c r="T158" s="1" t="s">
        <v>104</v>
      </c>
      <c r="U158" s="3"/>
      <c r="V158" s="3"/>
      <c r="W158" s="1" t="s">
        <v>118</v>
      </c>
      <c r="X158" s="3"/>
      <c r="Y158" s="1" t="s">
        <v>119</v>
      </c>
      <c r="Z158" s="3"/>
      <c r="AA158" s="1" t="b">
        <v>1</v>
      </c>
      <c r="AB158" s="1" t="b">
        <v>0</v>
      </c>
      <c r="AC158" s="1" t="b">
        <v>0</v>
      </c>
      <c r="AD158" s="1" t="b">
        <v>1</v>
      </c>
      <c r="AE158" s="1" t="b">
        <v>1</v>
      </c>
      <c r="AF158" s="5">
        <v>2.0</v>
      </c>
      <c r="AG158" s="5">
        <v>1.0</v>
      </c>
      <c r="AH158" s="3"/>
      <c r="AI158" s="3"/>
      <c r="AJ158" s="2">
        <v>46064.6309375</v>
      </c>
      <c r="AK158" s="2">
        <v>46065.79392361111</v>
      </c>
      <c r="AL158" s="2">
        <v>46064.63214120371</v>
      </c>
      <c r="AM158" s="2">
        <v>46064.63107638889</v>
      </c>
      <c r="AN158" s="2">
        <v>46064.63107638889</v>
      </c>
      <c r="AO158" s="2">
        <v>46064.63141203704</v>
      </c>
      <c r="AP158" s="2">
        <v>46064.63217592592</v>
      </c>
      <c r="AQ158" s="2">
        <v>46064.63141203704</v>
      </c>
      <c r="AS158" s="2">
        <v>46064.63143518518</v>
      </c>
      <c r="AT158" s="2">
        <v>46064.63141203704</v>
      </c>
      <c r="AU158" s="2">
        <v>46064.63806712963</v>
      </c>
      <c r="AW158" s="3"/>
      <c r="AX158" s="2">
        <v>46064.63143518518</v>
      </c>
      <c r="AY158" s="2">
        <v>46064.63143518518</v>
      </c>
      <c r="AZ158" s="2">
        <v>46064.639652777776</v>
      </c>
      <c r="BA158" s="2">
        <v>46065.56046296296</v>
      </c>
      <c r="BC158" s="2">
        <v>46065.75224537037</v>
      </c>
      <c r="BD158" s="2">
        <v>46065.75224537037</v>
      </c>
      <c r="BE158" s="5">
        <v>1274.0</v>
      </c>
      <c r="BF158" s="5">
        <v>138.0</v>
      </c>
      <c r="BG158" s="5">
        <v>637.0</v>
      </c>
      <c r="BH158" s="5">
        <v>138.0</v>
      </c>
      <c r="BI158" s="3"/>
      <c r="BJ158" s="3"/>
      <c r="BK158" s="5">
        <v>1.0</v>
      </c>
      <c r="BL158" s="5">
        <v>1.0</v>
      </c>
      <c r="BM158" s="5">
        <v>31.0</v>
      </c>
      <c r="BN158" s="5">
        <v>31.0</v>
      </c>
      <c r="BO158" s="5">
        <v>741.0</v>
      </c>
      <c r="BP158" s="5">
        <v>741.0</v>
      </c>
      <c r="BQ158" s="5">
        <v>741.0</v>
      </c>
      <c r="BR158" s="5">
        <v>741.0</v>
      </c>
      <c r="BS158" s="5">
        <v>710.0</v>
      </c>
      <c r="BT158" s="5">
        <v>710.0</v>
      </c>
      <c r="BU158" s="5">
        <v>710.0</v>
      </c>
      <c r="BV158" s="5">
        <v>710.0</v>
      </c>
      <c r="BW158" s="5">
        <v>712.0</v>
      </c>
      <c r="BX158" s="5">
        <v>712.0</v>
      </c>
      <c r="BY158" s="5">
        <v>96869.0</v>
      </c>
      <c r="BZ158" s="5">
        <v>28274.0</v>
      </c>
      <c r="CA158" s="5">
        <v>96869.0</v>
      </c>
      <c r="CB158" s="5">
        <v>28274.0</v>
      </c>
      <c r="CC158" s="5">
        <v>96869.0</v>
      </c>
      <c r="CD158" s="5">
        <v>28274.0</v>
      </c>
      <c r="CE158" s="5">
        <v>96838.0</v>
      </c>
      <c r="CF158" s="5">
        <v>28243.0</v>
      </c>
      <c r="CG158" s="5">
        <v>96838.0</v>
      </c>
      <c r="CH158" s="5">
        <v>28243.0</v>
      </c>
      <c r="CI158" s="5">
        <v>96840.0</v>
      </c>
      <c r="CJ158" s="5">
        <v>28245.0</v>
      </c>
      <c r="CK158" s="5">
        <v>96838.0</v>
      </c>
      <c r="CL158" s="5">
        <v>28243.0</v>
      </c>
      <c r="CM158" s="5">
        <v>96838.0</v>
      </c>
      <c r="CN158" s="5">
        <v>28243.0</v>
      </c>
      <c r="CO158" s="5">
        <v>3.0</v>
      </c>
      <c r="CP158" s="5">
        <v>29.0</v>
      </c>
      <c r="CQ158" s="3"/>
      <c r="CR158" s="4" t="s">
        <v>753</v>
      </c>
    </row>
    <row r="159">
      <c r="A159" s="1" t="s">
        <v>754</v>
      </c>
      <c r="B159" s="2">
        <v>46064.62449074074</v>
      </c>
      <c r="C159" s="1" t="str">
        <f t="array" ref="C159">INDEX('User data'!E:E, MATCH(E159, 'User data'!B:B, 0))</f>
        <v>주식회사 카프라픽쳐스</v>
      </c>
      <c r="D159" s="1" t="str">
        <f t="array" ref="D159">INDEX('User data'!F:F, MATCH(C159, 'User data'!E:E, 0))</f>
        <v>554-81-02839</v>
      </c>
      <c r="E159" s="1" t="s">
        <v>755</v>
      </c>
      <c r="F159" s="3"/>
      <c r="G159" s="3"/>
      <c r="H159" s="3"/>
      <c r="I159" s="3"/>
      <c r="J159" s="1" t="s">
        <v>100</v>
      </c>
      <c r="K159" s="1" t="s">
        <v>101</v>
      </c>
      <c r="L159" s="1" t="b">
        <v>0</v>
      </c>
      <c r="M159" s="4" t="s">
        <v>102</v>
      </c>
      <c r="N159" s="1" t="s">
        <v>756</v>
      </c>
      <c r="P159" s="3"/>
      <c r="Q159" s="3"/>
      <c r="R159" s="3"/>
      <c r="S159" s="3"/>
      <c r="T159" s="1" t="s">
        <v>104</v>
      </c>
      <c r="U159" s="3"/>
      <c r="V159" s="3"/>
      <c r="W159" s="1" t="s">
        <v>105</v>
      </c>
      <c r="X159" s="3"/>
      <c r="Y159" s="1" t="s">
        <v>106</v>
      </c>
      <c r="Z159" s="3"/>
      <c r="AA159" s="1" t="b">
        <v>0</v>
      </c>
      <c r="AB159" s="1" t="b">
        <v>0</v>
      </c>
      <c r="AC159" s="1" t="b">
        <v>0</v>
      </c>
      <c r="AD159" s="1" t="b">
        <v>0</v>
      </c>
      <c r="AE159" s="1" t="b">
        <v>1</v>
      </c>
      <c r="AF159" s="3"/>
      <c r="AG159" s="3"/>
      <c r="AH159" s="3"/>
      <c r="AI159" s="3"/>
      <c r="AJ159" s="2">
        <v>46064.624456018515</v>
      </c>
      <c r="AK159" s="2">
        <v>46065.62546296296</v>
      </c>
      <c r="AM159" s="2">
        <v>46064.62449074074</v>
      </c>
      <c r="AN159" s="2">
        <v>46064.62449074074</v>
      </c>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5">
        <v>3.2</v>
      </c>
      <c r="CR159" s="4" t="s">
        <v>757</v>
      </c>
    </row>
    <row r="160">
      <c r="A160" s="1" t="s">
        <v>758</v>
      </c>
      <c r="B160" s="2">
        <v>46064.61280092593</v>
      </c>
      <c r="C160" s="1" t="str">
        <f t="array" ref="C160">INDEX('User data'!E:E, MATCH(E160, 'User data'!B:B, 0))</f>
        <v/>
      </c>
      <c r="D160" s="1" t="str">
        <f t="array" ref="D160">INDEX('User data'!F:F, MATCH(C160, 'User data'!E:E, 0))</f>
        <v>#N/A</v>
      </c>
      <c r="E160" s="1" t="s">
        <v>759</v>
      </c>
      <c r="F160" s="3"/>
      <c r="G160" s="3"/>
      <c r="H160" s="3"/>
      <c r="I160" s="3"/>
      <c r="J160" s="1" t="s">
        <v>100</v>
      </c>
      <c r="K160" s="1" t="s">
        <v>101</v>
      </c>
      <c r="L160" s="1" t="b">
        <v>0</v>
      </c>
      <c r="M160" s="4" t="s">
        <v>102</v>
      </c>
      <c r="N160" s="1" t="s">
        <v>760</v>
      </c>
      <c r="P160" s="3"/>
      <c r="Q160" s="3"/>
      <c r="R160" s="3"/>
      <c r="S160" s="3"/>
      <c r="T160" s="1" t="s">
        <v>104</v>
      </c>
      <c r="U160" s="3"/>
      <c r="V160" s="3"/>
      <c r="W160" s="1" t="s">
        <v>105</v>
      </c>
      <c r="X160" s="3"/>
      <c r="Y160" s="1" t="s">
        <v>106</v>
      </c>
      <c r="Z160" s="3"/>
      <c r="AA160" s="1" t="b">
        <v>0</v>
      </c>
      <c r="AB160" s="1" t="b">
        <v>0</v>
      </c>
      <c r="AC160" s="1" t="b">
        <v>0</v>
      </c>
      <c r="AD160" s="1" t="b">
        <v>0</v>
      </c>
      <c r="AE160" s="1" t="b">
        <v>1</v>
      </c>
      <c r="AF160" s="3"/>
      <c r="AG160" s="3"/>
      <c r="AH160" s="3"/>
      <c r="AI160" s="3"/>
      <c r="AJ160" s="2">
        <v>46064.61243055556</v>
      </c>
      <c r="AK160" s="2">
        <v>46065.61524305555</v>
      </c>
      <c r="AM160" s="2">
        <v>46064.61280092593</v>
      </c>
      <c r="AN160" s="2">
        <v>46064.61280092593</v>
      </c>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5">
        <v>5.0</v>
      </c>
      <c r="CR160" s="4" t="s">
        <v>761</v>
      </c>
    </row>
    <row r="161">
      <c r="A161" s="1" t="s">
        <v>762</v>
      </c>
      <c r="B161" s="2">
        <v>46064.61261574074</v>
      </c>
      <c r="C161" s="1" t="str">
        <f t="array" ref="C161">INDEX('User data'!E:E, MATCH(E161, 'User data'!B:B, 0))</f>
        <v>주식회사 엠플랜잇(MPLANIT CO.,Ltd)</v>
      </c>
      <c r="D161" s="1" t="str">
        <f t="array" ref="D161">INDEX('User data'!F:F, MATCH(C161, 'User data'!E:E, 0))</f>
        <v>345-86-01551</v>
      </c>
      <c r="E161" s="1" t="s">
        <v>763</v>
      </c>
      <c r="F161" s="3"/>
      <c r="G161" s="3"/>
      <c r="H161" s="3"/>
      <c r="I161" s="3"/>
      <c r="J161" s="1" t="s">
        <v>100</v>
      </c>
      <c r="K161" s="1" t="s">
        <v>101</v>
      </c>
      <c r="L161" s="1" t="b">
        <v>0</v>
      </c>
      <c r="M161" s="4" t="s">
        <v>102</v>
      </c>
      <c r="N161" s="1" t="s">
        <v>764</v>
      </c>
      <c r="P161" s="3"/>
      <c r="Q161" s="3"/>
      <c r="R161" s="3"/>
      <c r="S161" s="3"/>
      <c r="T161" s="1" t="s">
        <v>104</v>
      </c>
      <c r="U161" s="3"/>
      <c r="V161" s="3"/>
      <c r="W161" s="1" t="s">
        <v>105</v>
      </c>
      <c r="X161" s="3"/>
      <c r="Y161" s="1" t="s">
        <v>106</v>
      </c>
      <c r="Z161" s="3"/>
      <c r="AA161" s="1" t="b">
        <v>0</v>
      </c>
      <c r="AB161" s="1" t="b">
        <v>0</v>
      </c>
      <c r="AC161" s="1" t="b">
        <v>0</v>
      </c>
      <c r="AD161" s="1" t="b">
        <v>0</v>
      </c>
      <c r="AE161" s="1" t="b">
        <v>1</v>
      </c>
      <c r="AF161" s="3"/>
      <c r="AG161" s="3"/>
      <c r="AH161" s="3"/>
      <c r="AI161" s="3"/>
      <c r="AJ161" s="2">
        <v>46064.612546296295</v>
      </c>
      <c r="AK161" s="2">
        <v>46065.61274305556</v>
      </c>
      <c r="AM161" s="2">
        <v>46064.61261574074</v>
      </c>
      <c r="AN161" s="2">
        <v>46064.61261574074</v>
      </c>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5">
        <v>5.0</v>
      </c>
      <c r="CR161" s="4" t="s">
        <v>765</v>
      </c>
    </row>
    <row r="162">
      <c r="A162" s="1" t="s">
        <v>766</v>
      </c>
      <c r="B162" s="2">
        <v>46064.609606481485</v>
      </c>
      <c r="C162" s="1" t="str">
        <f t="array" ref="C162">INDEX('User data'!E:E, MATCH(E162, 'User data'!B:B, 0))</f>
        <v>(주)알파캣</v>
      </c>
      <c r="D162" s="1" t="str">
        <f t="array" ref="D162">INDEX('User data'!F:F, MATCH(C162, 'User data'!E:E, 0))</f>
        <v>238-81-02674</v>
      </c>
      <c r="E162" s="1" t="s">
        <v>767</v>
      </c>
      <c r="F162" s="3"/>
      <c r="G162" s="3"/>
      <c r="H162" s="3"/>
      <c r="I162" s="3"/>
      <c r="J162" s="1" t="s">
        <v>100</v>
      </c>
      <c r="K162" s="1" t="s">
        <v>101</v>
      </c>
      <c r="L162" s="1" t="b">
        <v>0</v>
      </c>
      <c r="M162" s="4" t="s">
        <v>102</v>
      </c>
      <c r="N162" s="1" t="s">
        <v>768</v>
      </c>
      <c r="P162" s="3"/>
      <c r="Q162" s="3"/>
      <c r="R162" s="3"/>
      <c r="S162" s="3"/>
      <c r="T162" s="1" t="s">
        <v>104</v>
      </c>
      <c r="U162" s="3"/>
      <c r="V162" s="3"/>
      <c r="W162" s="1" t="s">
        <v>105</v>
      </c>
      <c r="X162" s="3"/>
      <c r="Y162" s="1" t="s">
        <v>106</v>
      </c>
      <c r="Z162" s="3"/>
      <c r="AA162" s="1" t="b">
        <v>0</v>
      </c>
      <c r="AB162" s="1" t="b">
        <v>0</v>
      </c>
      <c r="AC162" s="1" t="b">
        <v>0</v>
      </c>
      <c r="AD162" s="1" t="b">
        <v>0</v>
      </c>
      <c r="AE162" s="1" t="b">
        <v>1</v>
      </c>
      <c r="AF162" s="3"/>
      <c r="AG162" s="3"/>
      <c r="AH162" s="3"/>
      <c r="AI162" s="3"/>
      <c r="AJ162" s="2">
        <v>46064.60949074074</v>
      </c>
      <c r="AK162" s="2">
        <v>46065.6096412037</v>
      </c>
      <c r="AM162" s="2">
        <v>46064.609606481485</v>
      </c>
      <c r="AN162" s="2">
        <v>46064.609606481485</v>
      </c>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5">
        <v>5.0</v>
      </c>
      <c r="CR162" s="4" t="s">
        <v>769</v>
      </c>
    </row>
    <row r="163">
      <c r="A163" s="1" t="s">
        <v>770</v>
      </c>
      <c r="B163" s="2">
        <v>46064.59894675926</v>
      </c>
      <c r="C163" s="1" t="str">
        <f t="array" ref="C163">INDEX('User data'!E:E, MATCH(E163, 'User data'!B:B, 0))</f>
        <v>헬로스킨 주식회사(HELLO SKIN Co.,Ltd.)</v>
      </c>
      <c r="D163" s="1" t="str">
        <f t="array" ref="D163">INDEX('User data'!F:F, MATCH(C163, 'User data'!E:E, 0))</f>
        <v>888-88-00596</v>
      </c>
      <c r="E163" s="1" t="s">
        <v>280</v>
      </c>
      <c r="F163" s="3"/>
      <c r="G163" s="3"/>
      <c r="H163" s="3"/>
      <c r="I163" s="3"/>
      <c r="J163" s="1" t="s">
        <v>100</v>
      </c>
      <c r="K163" s="1" t="s">
        <v>101</v>
      </c>
      <c r="L163" s="1" t="b">
        <v>0</v>
      </c>
      <c r="M163" s="4" t="s">
        <v>102</v>
      </c>
      <c r="N163" s="1" t="s">
        <v>281</v>
      </c>
      <c r="O163" s="1">
        <v>574085.0</v>
      </c>
      <c r="P163" s="1">
        <v>574085.0</v>
      </c>
      <c r="Q163" s="1">
        <v>574085.0</v>
      </c>
      <c r="R163" s="1" t="s">
        <v>145</v>
      </c>
      <c r="S163" s="1">
        <v>13285.0</v>
      </c>
      <c r="T163" s="1" t="s">
        <v>104</v>
      </c>
      <c r="U163" s="3"/>
      <c r="V163" s="3"/>
      <c r="W163" s="1" t="s">
        <v>118</v>
      </c>
      <c r="X163" s="3"/>
      <c r="Y163" s="1" t="s">
        <v>119</v>
      </c>
      <c r="Z163" s="3"/>
      <c r="AA163" s="1" t="b">
        <v>1</v>
      </c>
      <c r="AB163" s="1" t="b">
        <v>0</v>
      </c>
      <c r="AC163" s="1" t="b">
        <v>0</v>
      </c>
      <c r="AD163" s="1" t="b">
        <v>1</v>
      </c>
      <c r="AE163" s="1" t="b">
        <v>1</v>
      </c>
      <c r="AF163" s="5">
        <v>10.0</v>
      </c>
      <c r="AG163" s="5">
        <v>10.0</v>
      </c>
      <c r="AH163" s="3"/>
      <c r="AI163" s="3"/>
      <c r="AJ163" s="2">
        <v>46064.59885416667</v>
      </c>
      <c r="AK163" s="2">
        <v>46065.51851851852</v>
      </c>
      <c r="AL163" s="2">
        <v>46064.59978009259</v>
      </c>
      <c r="AM163" s="2">
        <v>46064.59894675926</v>
      </c>
      <c r="AN163" s="2">
        <v>46064.59894675926</v>
      </c>
      <c r="AO163" s="2">
        <v>46064.5990625</v>
      </c>
      <c r="AP163" s="2">
        <v>46064.599814814814</v>
      </c>
      <c r="AQ163" s="2">
        <v>46064.5990625</v>
      </c>
      <c r="AS163" s="2">
        <v>46064.599074074074</v>
      </c>
      <c r="AT163" s="2">
        <v>46064.5990625</v>
      </c>
      <c r="AU163" s="2">
        <v>46064.599074074074</v>
      </c>
      <c r="AW163" s="3"/>
      <c r="AX163" s="2">
        <v>46064.599074074074</v>
      </c>
      <c r="AY163" s="2">
        <v>46064.599074074074</v>
      </c>
      <c r="AZ163" s="2">
        <v>46064.605833333335</v>
      </c>
      <c r="BA163" s="2">
        <v>46064.67670138889</v>
      </c>
      <c r="BC163" s="2">
        <v>46065.47684027778</v>
      </c>
      <c r="BD163" s="2">
        <v>46065.47684027778</v>
      </c>
      <c r="BE163" s="5">
        <v>3381.0</v>
      </c>
      <c r="BF163" s="5">
        <v>3381.0</v>
      </c>
      <c r="BG163" s="5">
        <v>338.0</v>
      </c>
      <c r="BH163" s="5">
        <v>338.0</v>
      </c>
      <c r="BI163" s="3"/>
      <c r="BJ163" s="3"/>
      <c r="BK163" s="5">
        <v>0.0</v>
      </c>
      <c r="BL163" s="5">
        <v>0.0</v>
      </c>
      <c r="BM163" s="5">
        <v>10.0</v>
      </c>
      <c r="BN163" s="5">
        <v>10.0</v>
      </c>
      <c r="BO163" s="5">
        <v>594.0</v>
      </c>
      <c r="BP163" s="5">
        <v>594.0</v>
      </c>
      <c r="BQ163" s="5">
        <v>594.0</v>
      </c>
      <c r="BR163" s="5">
        <v>594.0</v>
      </c>
      <c r="BS163" s="5">
        <v>584.0</v>
      </c>
      <c r="BT163" s="5">
        <v>584.0</v>
      </c>
      <c r="BU163" s="5">
        <v>584.0</v>
      </c>
      <c r="BV163" s="5">
        <v>584.0</v>
      </c>
      <c r="BW163" s="5">
        <v>584.0</v>
      </c>
      <c r="BX163" s="5">
        <v>584.0</v>
      </c>
      <c r="BY163" s="5">
        <v>75849.0</v>
      </c>
      <c r="BZ163" s="5">
        <v>14649.0</v>
      </c>
      <c r="CA163" s="5">
        <v>75849.0</v>
      </c>
      <c r="CB163" s="5">
        <v>14649.0</v>
      </c>
      <c r="CC163" s="5">
        <v>75849.0</v>
      </c>
      <c r="CD163" s="5">
        <v>14649.0</v>
      </c>
      <c r="CE163" s="5">
        <v>75839.0</v>
      </c>
      <c r="CF163" s="5">
        <v>14639.0</v>
      </c>
      <c r="CG163" s="5">
        <v>75839.0</v>
      </c>
      <c r="CH163" s="5">
        <v>14639.0</v>
      </c>
      <c r="CI163" s="5">
        <v>75839.0</v>
      </c>
      <c r="CJ163" s="5">
        <v>14639.0</v>
      </c>
      <c r="CK163" s="5">
        <v>75839.0</v>
      </c>
      <c r="CL163" s="5">
        <v>14639.0</v>
      </c>
      <c r="CM163" s="5">
        <v>75839.0</v>
      </c>
      <c r="CN163" s="5">
        <v>14639.0</v>
      </c>
      <c r="CO163" s="5">
        <v>3.0</v>
      </c>
      <c r="CP163" s="5">
        <v>9.0</v>
      </c>
      <c r="CQ163" s="3"/>
      <c r="CR163" s="4" t="s">
        <v>771</v>
      </c>
    </row>
    <row r="164">
      <c r="A164" s="1" t="s">
        <v>772</v>
      </c>
      <c r="B164" s="2">
        <v>46064.59842592593</v>
      </c>
      <c r="C164" s="1" t="str">
        <f t="array" ref="C164">INDEX('User data'!E:E, MATCH(E164, 'User data'!B:B, 0))</f>
        <v>주식회사 두부</v>
      </c>
      <c r="D164" s="1" t="str">
        <f t="array" ref="D164">INDEX('User data'!F:F, MATCH(C164, 'User data'!E:E, 0))</f>
        <v>113-87-01422</v>
      </c>
      <c r="E164" s="1" t="s">
        <v>773</v>
      </c>
      <c r="F164" s="3"/>
      <c r="G164" s="3"/>
      <c r="H164" s="3"/>
      <c r="I164" s="3"/>
      <c r="J164" s="1" t="s">
        <v>100</v>
      </c>
      <c r="K164" s="1" t="s">
        <v>101</v>
      </c>
      <c r="L164" s="1" t="b">
        <v>0</v>
      </c>
      <c r="M164" s="4" t="s">
        <v>102</v>
      </c>
      <c r="N164" s="1" t="s">
        <v>774</v>
      </c>
      <c r="P164" s="3"/>
      <c r="Q164" s="3"/>
      <c r="R164" s="3"/>
      <c r="S164" s="3"/>
      <c r="T164" s="1" t="s">
        <v>104</v>
      </c>
      <c r="U164" s="3"/>
      <c r="V164" s="3"/>
      <c r="W164" s="1" t="s">
        <v>105</v>
      </c>
      <c r="X164" s="3"/>
      <c r="Y164" s="1" t="s">
        <v>106</v>
      </c>
      <c r="Z164" s="3"/>
      <c r="AA164" s="1" t="b">
        <v>0</v>
      </c>
      <c r="AB164" s="1" t="b">
        <v>0</v>
      </c>
      <c r="AC164" s="1" t="b">
        <v>0</v>
      </c>
      <c r="AD164" s="1" t="b">
        <v>0</v>
      </c>
      <c r="AE164" s="1" t="b">
        <v>1</v>
      </c>
      <c r="AF164" s="3"/>
      <c r="AG164" s="3"/>
      <c r="AH164" s="3"/>
      <c r="AI164" s="3"/>
      <c r="AJ164" s="2">
        <v>46064.598344907405</v>
      </c>
      <c r="AK164" s="2">
        <v>46065.603634259256</v>
      </c>
      <c r="AM164" s="2">
        <v>46064.59842592593</v>
      </c>
      <c r="AN164" s="2">
        <v>46064.59842592593</v>
      </c>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5">
        <v>3.4</v>
      </c>
      <c r="CR164" s="4" t="s">
        <v>775</v>
      </c>
    </row>
    <row r="165">
      <c r="A165" s="1" t="s">
        <v>776</v>
      </c>
      <c r="B165" s="2">
        <v>46064.59804398148</v>
      </c>
      <c r="C165" s="1" t="str">
        <f t="array" ref="C165">INDEX('User data'!E:E, MATCH(E165, 'User data'!B:B, 0))</f>
        <v>(주)뉴닉</v>
      </c>
      <c r="D165" s="1" t="str">
        <f t="array" ref="D165">INDEX('User data'!F:F, MATCH(C165, 'User data'!E:E, 0))</f>
        <v>632-81-01159</v>
      </c>
      <c r="E165" s="1" t="s">
        <v>777</v>
      </c>
      <c r="F165" s="3"/>
      <c r="G165" s="3"/>
      <c r="H165" s="3"/>
      <c r="I165" s="3"/>
      <c r="J165" s="1" t="s">
        <v>100</v>
      </c>
      <c r="K165" s="1" t="s">
        <v>101</v>
      </c>
      <c r="L165" s="1" t="b">
        <v>0</v>
      </c>
      <c r="M165" s="4" t="s">
        <v>102</v>
      </c>
      <c r="N165" s="1" t="s">
        <v>778</v>
      </c>
      <c r="P165" s="3"/>
      <c r="Q165" s="3"/>
      <c r="R165" s="3"/>
      <c r="S165" s="3"/>
      <c r="T165" s="1" t="s">
        <v>104</v>
      </c>
      <c r="U165" s="3"/>
      <c r="V165" s="3"/>
      <c r="W165" s="1" t="s">
        <v>105</v>
      </c>
      <c r="X165" s="3"/>
      <c r="Y165" s="1" t="s">
        <v>106</v>
      </c>
      <c r="Z165" s="3"/>
      <c r="AA165" s="1" t="b">
        <v>0</v>
      </c>
      <c r="AB165" s="1" t="b">
        <v>0</v>
      </c>
      <c r="AC165" s="1" t="b">
        <v>0</v>
      </c>
      <c r="AD165" s="1" t="b">
        <v>0</v>
      </c>
      <c r="AE165" s="1" t="b">
        <v>1</v>
      </c>
      <c r="AF165" s="3"/>
      <c r="AG165" s="3"/>
      <c r="AH165" s="3"/>
      <c r="AI165" s="3"/>
      <c r="AJ165" s="2">
        <v>46064.59784722222</v>
      </c>
      <c r="AK165" s="2">
        <v>46065.59810185185</v>
      </c>
      <c r="AM165" s="2">
        <v>46064.59804398148</v>
      </c>
      <c r="AN165" s="2">
        <v>46064.59804398148</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5">
        <v>5.0</v>
      </c>
      <c r="CR165" s="4" t="s">
        <v>779</v>
      </c>
    </row>
    <row r="166">
      <c r="A166" s="1" t="s">
        <v>780</v>
      </c>
      <c r="B166" s="2">
        <v>46064.59386574074</v>
      </c>
      <c r="C166" s="1" t="str">
        <f t="array" ref="C166">INDEX('User data'!E:E, MATCH(E166, 'User data'!B:B, 0))</f>
        <v>주식회사 리옵스(LiOps)</v>
      </c>
      <c r="D166" s="1" t="str">
        <f t="array" ref="D166">INDEX('User data'!F:F, MATCH(C166, 'User data'!E:E, 0))</f>
        <v>463-81-03056</v>
      </c>
      <c r="E166" s="1" t="s">
        <v>781</v>
      </c>
      <c r="F166" s="3"/>
      <c r="G166" s="3"/>
      <c r="H166" s="3"/>
      <c r="I166" s="3"/>
      <c r="J166" s="1" t="s">
        <v>100</v>
      </c>
      <c r="K166" s="1" t="s">
        <v>101</v>
      </c>
      <c r="L166" s="1" t="b">
        <v>0</v>
      </c>
      <c r="M166" s="4" t="s">
        <v>102</v>
      </c>
      <c r="N166" s="1" t="s">
        <v>782</v>
      </c>
      <c r="P166" s="3"/>
      <c r="Q166" s="3"/>
      <c r="R166" s="3"/>
      <c r="S166" s="3"/>
      <c r="T166" s="1" t="s">
        <v>104</v>
      </c>
      <c r="U166" s="3"/>
      <c r="V166" s="3"/>
      <c r="W166" s="1" t="s">
        <v>105</v>
      </c>
      <c r="X166" s="3"/>
      <c r="Y166" s="1" t="s">
        <v>106</v>
      </c>
      <c r="Z166" s="3"/>
      <c r="AA166" s="1" t="b">
        <v>0</v>
      </c>
      <c r="AB166" s="1" t="b">
        <v>0</v>
      </c>
      <c r="AC166" s="1" t="b">
        <v>0</v>
      </c>
      <c r="AD166" s="1" t="b">
        <v>0</v>
      </c>
      <c r="AE166" s="1" t="b">
        <v>1</v>
      </c>
      <c r="AF166" s="3"/>
      <c r="AG166" s="3"/>
      <c r="AH166" s="3"/>
      <c r="AI166" s="3"/>
      <c r="AJ166" s="2">
        <v>46064.59355324074</v>
      </c>
      <c r="AK166" s="2">
        <v>46065.59431712963</v>
      </c>
      <c r="AM166" s="2">
        <v>46064.59386574074</v>
      </c>
      <c r="AN166" s="2">
        <v>46064.59386574074</v>
      </c>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5">
        <v>5.0</v>
      </c>
      <c r="CR166" s="4" t="s">
        <v>783</v>
      </c>
    </row>
    <row r="167">
      <c r="A167" s="1" t="s">
        <v>784</v>
      </c>
      <c r="B167" s="2">
        <v>46064.557604166665</v>
      </c>
      <c r="C167" s="1" t="str">
        <f t="array" ref="C167">INDEX('User data'!E:E, MATCH(E167, 'User data'!B:B, 0))</f>
        <v>캔디드 유한회사</v>
      </c>
      <c r="D167" s="1" t="str">
        <f t="array" ref="D167">INDEX('User data'!F:F, MATCH(C167, 'User data'!E:E, 0))</f>
        <v>717-87-02844</v>
      </c>
      <c r="E167" s="1" t="s">
        <v>334</v>
      </c>
      <c r="F167" s="3"/>
      <c r="G167" s="3"/>
      <c r="H167" s="3"/>
      <c r="I167" s="1" t="s">
        <v>785</v>
      </c>
      <c r="J167" s="1" t="s">
        <v>100</v>
      </c>
      <c r="K167" s="1" t="s">
        <v>101</v>
      </c>
      <c r="L167" s="1" t="b">
        <v>0</v>
      </c>
      <c r="M167" s="4" t="s">
        <v>102</v>
      </c>
      <c r="N167" s="1" t="s">
        <v>335</v>
      </c>
      <c r="O167" s="1">
        <v>574085.0</v>
      </c>
      <c r="P167" s="1">
        <v>574085.0</v>
      </c>
      <c r="Q167" s="1">
        <v>574085.0</v>
      </c>
      <c r="R167" s="1" t="s">
        <v>145</v>
      </c>
      <c r="S167" s="1">
        <v>13285.0</v>
      </c>
      <c r="T167" s="1" t="s">
        <v>104</v>
      </c>
      <c r="U167" s="3"/>
      <c r="V167" s="3"/>
      <c r="W167" s="1" t="s">
        <v>118</v>
      </c>
      <c r="X167" s="3"/>
      <c r="Y167" s="1" t="s">
        <v>119</v>
      </c>
      <c r="Z167" s="3"/>
      <c r="AA167" s="1" t="b">
        <v>1</v>
      </c>
      <c r="AB167" s="1" t="b">
        <v>0</v>
      </c>
      <c r="AC167" s="1" t="b">
        <v>0</v>
      </c>
      <c r="AD167" s="1" t="b">
        <v>1</v>
      </c>
      <c r="AE167" s="1" t="b">
        <v>1</v>
      </c>
      <c r="AF167" s="5">
        <v>3.0</v>
      </c>
      <c r="AG167" s="5">
        <v>2.0</v>
      </c>
      <c r="AH167" s="3"/>
      <c r="AI167" s="3"/>
      <c r="AJ167" s="2">
        <v>46064.5575</v>
      </c>
      <c r="AK167" s="2">
        <v>46065.79928240741</v>
      </c>
      <c r="AL167" s="2">
        <v>46065.75760416667</v>
      </c>
      <c r="AM167" s="2">
        <v>46064.557604166665</v>
      </c>
      <c r="AN167" s="2">
        <v>46064.557604166665</v>
      </c>
      <c r="AO167" s="2">
        <v>46065.64927083333</v>
      </c>
      <c r="AQ167" s="2">
        <v>46065.64927083333</v>
      </c>
      <c r="AS167" s="2">
        <v>46065.64928240741</v>
      </c>
      <c r="AT167" s="2">
        <v>46065.64927083333</v>
      </c>
      <c r="AU167" s="2">
        <v>46065.64928240741</v>
      </c>
      <c r="AW167" s="3"/>
      <c r="AX167" s="2">
        <v>46065.64928240741</v>
      </c>
      <c r="AY167" s="2">
        <v>46065.64928240741</v>
      </c>
      <c r="AZ167" s="2">
        <v>46065.64939814815</v>
      </c>
      <c r="BA167" s="2">
        <v>46065.728738425925</v>
      </c>
      <c r="BC167" s="2">
        <v>46065.75760416667</v>
      </c>
      <c r="BD167" s="2">
        <v>46065.75760416667</v>
      </c>
      <c r="BE167" s="5">
        <v>4953.0</v>
      </c>
      <c r="BF167" s="5">
        <v>183.0</v>
      </c>
      <c r="BG167" s="5">
        <v>1651.0</v>
      </c>
      <c r="BH167" s="5">
        <v>91.0</v>
      </c>
      <c r="BI167" s="3"/>
      <c r="BJ167" s="3"/>
      <c r="BK167" s="5">
        <v>0.0</v>
      </c>
      <c r="BL167" s="5">
        <v>0.0</v>
      </c>
      <c r="BM167" s="5">
        <v>94320.0</v>
      </c>
      <c r="BN167" s="5">
        <v>29098.0</v>
      </c>
      <c r="BO167" s="5">
        <v>94330.0</v>
      </c>
      <c r="BP167" s="5">
        <v>29108.0</v>
      </c>
      <c r="BQ167" s="5">
        <v>94330.0</v>
      </c>
      <c r="BR167" s="5">
        <v>29108.0</v>
      </c>
      <c r="BS167" s="5">
        <v>9.0</v>
      </c>
      <c r="BT167" s="5">
        <v>9.0</v>
      </c>
      <c r="BU167" s="5">
        <v>9.0</v>
      </c>
      <c r="BV167" s="5">
        <v>9.0</v>
      </c>
      <c r="BW167" s="5">
        <v>10.0</v>
      </c>
      <c r="BX167" s="5">
        <v>10.0</v>
      </c>
      <c r="BY167" s="5">
        <v>103679.0</v>
      </c>
      <c r="BZ167" s="5">
        <v>34200.0</v>
      </c>
      <c r="CA167" s="5">
        <v>103679.0</v>
      </c>
      <c r="CB167" s="5">
        <v>34200.0</v>
      </c>
      <c r="CC167" s="5">
        <v>103679.0</v>
      </c>
      <c r="CD167" s="5">
        <v>34200.0</v>
      </c>
      <c r="CE167" s="5">
        <v>9359.0</v>
      </c>
      <c r="CF167" s="5">
        <v>5101.0</v>
      </c>
      <c r="CG167" s="5">
        <v>9359.0</v>
      </c>
      <c r="CH167" s="5">
        <v>5101.0</v>
      </c>
      <c r="CI167" s="5">
        <v>9359.0</v>
      </c>
      <c r="CJ167" s="5">
        <v>5102.0</v>
      </c>
      <c r="CK167" s="5">
        <v>9359.0</v>
      </c>
      <c r="CL167" s="5">
        <v>5101.0</v>
      </c>
      <c r="CM167" s="5">
        <v>9359.0</v>
      </c>
      <c r="CN167" s="5">
        <v>5101.0</v>
      </c>
      <c r="CO167" s="3"/>
      <c r="CP167" s="5">
        <v>94319.0</v>
      </c>
      <c r="CQ167" s="3"/>
      <c r="CR167" s="4" t="s">
        <v>786</v>
      </c>
    </row>
    <row r="168">
      <c r="A168" s="1" t="s">
        <v>787</v>
      </c>
      <c r="B168" s="2">
        <v>46064.55571759259</v>
      </c>
      <c r="C168" s="1" t="str">
        <f t="array" ref="C168">INDEX('User data'!E:E, MATCH(E168, 'User data'!B:B, 0))</f>
        <v>주식회사 밀리밀</v>
      </c>
      <c r="D168" s="1" t="str">
        <f t="array" ref="D168">INDEX('User data'!F:F, MATCH(C168, 'User data'!E:E, 0))</f>
        <v>802-86-00981</v>
      </c>
      <c r="E168" s="1" t="s">
        <v>788</v>
      </c>
      <c r="F168" s="3"/>
      <c r="G168" s="3"/>
      <c r="H168" s="3"/>
      <c r="I168" s="3"/>
      <c r="J168" s="1" t="s">
        <v>100</v>
      </c>
      <c r="K168" s="1" t="s">
        <v>101</v>
      </c>
      <c r="L168" s="1" t="b">
        <v>0</v>
      </c>
      <c r="M168" s="4" t="s">
        <v>102</v>
      </c>
      <c r="N168" s="1" t="s">
        <v>789</v>
      </c>
      <c r="P168" s="3"/>
      <c r="Q168" s="3"/>
      <c r="R168" s="3"/>
      <c r="S168" s="3"/>
      <c r="T168" s="1" t="s">
        <v>104</v>
      </c>
      <c r="U168" s="3"/>
      <c r="V168" s="3"/>
      <c r="W168" s="1" t="s">
        <v>105</v>
      </c>
      <c r="X168" s="3"/>
      <c r="Y168" s="1" t="s">
        <v>106</v>
      </c>
      <c r="Z168" s="3"/>
      <c r="AA168" s="1" t="b">
        <v>0</v>
      </c>
      <c r="AB168" s="1" t="b">
        <v>0</v>
      </c>
      <c r="AC168" s="1" t="b">
        <v>0</v>
      </c>
      <c r="AD168" s="1" t="b">
        <v>0</v>
      </c>
      <c r="AE168" s="1" t="b">
        <v>1</v>
      </c>
      <c r="AF168" s="3"/>
      <c r="AG168" s="3"/>
      <c r="AH168" s="3"/>
      <c r="AI168" s="3"/>
      <c r="AJ168" s="2">
        <v>46064.55570601852</v>
      </c>
      <c r="AK168" s="2">
        <v>46065.5565625</v>
      </c>
      <c r="AM168" s="2">
        <v>46064.55571759259</v>
      </c>
      <c r="AN168" s="2">
        <v>46064.55571759259</v>
      </c>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5">
        <v>3.4</v>
      </c>
      <c r="CR168" s="4" t="s">
        <v>790</v>
      </c>
    </row>
    <row r="169">
      <c r="A169" s="1" t="s">
        <v>791</v>
      </c>
      <c r="B169" s="2">
        <v>46064.50027777778</v>
      </c>
      <c r="C169" s="1" t="str">
        <f t="array" ref="C169">INDEX('User data'!E:E, MATCH(E169, 'User data'!B:B, 0))</f>
        <v>주식회사 시프트</v>
      </c>
      <c r="D169" s="1" t="str">
        <f t="array" ref="D169">INDEX('User data'!F:F, MATCH(C169, 'User data'!E:E, 0))</f>
        <v>764-81-00613</v>
      </c>
      <c r="E169" s="1" t="s">
        <v>792</v>
      </c>
      <c r="F169" s="3"/>
      <c r="G169" s="3"/>
      <c r="H169" s="3"/>
      <c r="I169" s="3"/>
      <c r="J169" s="1" t="s">
        <v>100</v>
      </c>
      <c r="K169" s="1" t="s">
        <v>101</v>
      </c>
      <c r="L169" s="1" t="b">
        <v>0</v>
      </c>
      <c r="M169" s="4" t="s">
        <v>102</v>
      </c>
      <c r="N169" s="1" t="s">
        <v>793</v>
      </c>
      <c r="P169" s="3"/>
      <c r="Q169" s="3"/>
      <c r="R169" s="3"/>
      <c r="S169" s="3"/>
      <c r="T169" s="1" t="s">
        <v>104</v>
      </c>
      <c r="U169" s="3"/>
      <c r="V169" s="3"/>
      <c r="W169" s="1" t="s">
        <v>105</v>
      </c>
      <c r="X169" s="3"/>
      <c r="Y169" s="1" t="s">
        <v>106</v>
      </c>
      <c r="Z169" s="3"/>
      <c r="AA169" s="1" t="b">
        <v>0</v>
      </c>
      <c r="AB169" s="1" t="b">
        <v>0</v>
      </c>
      <c r="AC169" s="1" t="b">
        <v>0</v>
      </c>
      <c r="AD169" s="1" t="b">
        <v>0</v>
      </c>
      <c r="AE169" s="1" t="b">
        <v>1</v>
      </c>
      <c r="AF169" s="3"/>
      <c r="AG169" s="3"/>
      <c r="AH169" s="3"/>
      <c r="AI169" s="3"/>
      <c r="AJ169" s="2">
        <v>46064.49994212963</v>
      </c>
      <c r="AK169" s="2">
        <v>46065.50032407408</v>
      </c>
      <c r="AM169" s="2">
        <v>46064.50027777778</v>
      </c>
      <c r="AN169" s="2">
        <v>46064.50027777778</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5">
        <v>4.4</v>
      </c>
      <c r="CR169" s="4" t="s">
        <v>794</v>
      </c>
    </row>
    <row r="170">
      <c r="A170" s="1" t="s">
        <v>795</v>
      </c>
      <c r="B170" s="2">
        <v>46064.468935185185</v>
      </c>
      <c r="C170" s="1" t="str">
        <f t="array" ref="C170">INDEX('User data'!E:E, MATCH(E170, 'User data'!B:B, 0))</f>
        <v>주식회사 나니아랩스</v>
      </c>
      <c r="D170" s="1" t="str">
        <f t="array" ref="D170">INDEX('User data'!F:F, MATCH(C170, 'User data'!E:E, 0))</f>
        <v>191-88-02340</v>
      </c>
      <c r="E170" s="1" t="s">
        <v>796</v>
      </c>
      <c r="G170" s="3"/>
      <c r="H170" s="3"/>
      <c r="I170" s="3"/>
      <c r="J170" s="1" t="s">
        <v>100</v>
      </c>
      <c r="K170" s="1" t="s">
        <v>101</v>
      </c>
      <c r="L170" s="1" t="b">
        <v>0</v>
      </c>
      <c r="M170" s="4" t="s">
        <v>102</v>
      </c>
      <c r="N170" s="1" t="s">
        <v>797</v>
      </c>
      <c r="P170" s="3"/>
      <c r="Q170" s="3"/>
      <c r="R170" s="3"/>
      <c r="S170" s="3"/>
      <c r="T170" s="1" t="s">
        <v>104</v>
      </c>
      <c r="U170" s="3"/>
      <c r="V170" s="3"/>
      <c r="W170" s="1" t="s">
        <v>105</v>
      </c>
      <c r="X170" s="3"/>
      <c r="Y170" s="1" t="s">
        <v>106</v>
      </c>
      <c r="Z170" s="3"/>
      <c r="AA170" s="1" t="b">
        <v>0</v>
      </c>
      <c r="AB170" s="1" t="b">
        <v>0</v>
      </c>
      <c r="AC170" s="1" t="b">
        <v>0</v>
      </c>
      <c r="AD170" s="1" t="b">
        <v>0</v>
      </c>
      <c r="AE170" s="1" t="b">
        <v>1</v>
      </c>
      <c r="AF170" s="3"/>
      <c r="AG170" s="3"/>
      <c r="AH170" s="3"/>
      <c r="AI170" s="3"/>
      <c r="AJ170" s="2">
        <v>46064.468356481484</v>
      </c>
      <c r="AK170" s="2">
        <v>46065.468993055554</v>
      </c>
      <c r="AM170" s="2">
        <v>46064.468935185185</v>
      </c>
      <c r="AN170" s="2">
        <v>46064.468935185185</v>
      </c>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5">
        <v>2.6</v>
      </c>
      <c r="CR170" s="4" t="s">
        <v>798</v>
      </c>
    </row>
    <row r="171">
      <c r="A171" s="1" t="s">
        <v>799</v>
      </c>
      <c r="B171" s="2">
        <v>46064.45326388889</v>
      </c>
      <c r="C171" s="1" t="str">
        <f t="array" ref="C171">INDEX('User data'!E:E, MATCH(E171, 'User data'!B:B, 0))</f>
        <v>주식회사 코코지</v>
      </c>
      <c r="D171" s="1" t="str">
        <f t="array" ref="D171">INDEX('User data'!F:F, MATCH(C171, 'User data'!E:E, 0))</f>
        <v>274-81-02025</v>
      </c>
      <c r="E171" s="1" t="s">
        <v>800</v>
      </c>
      <c r="F171" s="3"/>
      <c r="G171" s="3"/>
      <c r="H171" s="3"/>
      <c r="I171" s="3"/>
      <c r="J171" s="1" t="s">
        <v>100</v>
      </c>
      <c r="K171" s="1" t="s">
        <v>101</v>
      </c>
      <c r="L171" s="1" t="b">
        <v>0</v>
      </c>
      <c r="M171" s="4" t="s">
        <v>102</v>
      </c>
      <c r="N171" s="1" t="s">
        <v>801</v>
      </c>
      <c r="P171" s="3"/>
      <c r="Q171" s="3"/>
      <c r="R171" s="3"/>
      <c r="S171" s="3"/>
      <c r="T171" s="1" t="s">
        <v>104</v>
      </c>
      <c r="U171" s="3"/>
      <c r="V171" s="3"/>
      <c r="W171" s="1" t="s">
        <v>118</v>
      </c>
      <c r="X171" s="3"/>
      <c r="Y171" s="1" t="s">
        <v>106</v>
      </c>
      <c r="Z171" s="3"/>
      <c r="AA171" s="1" t="b">
        <v>0</v>
      </c>
      <c r="AB171" s="1" t="b">
        <v>0</v>
      </c>
      <c r="AC171" s="1" t="b">
        <v>0</v>
      </c>
      <c r="AD171" s="1" t="b">
        <v>0</v>
      </c>
      <c r="AE171" s="1" t="b">
        <v>1</v>
      </c>
      <c r="AF171" s="3"/>
      <c r="AG171" s="3"/>
      <c r="AH171" s="3"/>
      <c r="AI171" s="3"/>
      <c r="AJ171" s="2">
        <v>46064.45324074074</v>
      </c>
      <c r="AK171" s="2">
        <v>46065.453784722224</v>
      </c>
      <c r="AM171" s="2">
        <v>46064.45326388889</v>
      </c>
      <c r="AN171" s="2">
        <v>46064.45326388889</v>
      </c>
      <c r="AP171" s="3"/>
      <c r="AQ171" s="3"/>
      <c r="AR171" s="3"/>
      <c r="AS171" s="3"/>
      <c r="AT171" s="3"/>
      <c r="AU171" s="3"/>
      <c r="AV171" s="3"/>
      <c r="AW171" s="3"/>
      <c r="AX171" s="3"/>
      <c r="AY171" s="3"/>
      <c r="AZ171" s="3"/>
      <c r="BA171" s="3"/>
      <c r="BB171" s="3"/>
      <c r="BC171" s="2">
        <v>46064.45384259259</v>
      </c>
      <c r="BD171" s="2">
        <v>46064.45384259259</v>
      </c>
      <c r="BF171" s="3"/>
      <c r="BG171" s="3"/>
      <c r="BH171" s="3"/>
      <c r="BI171" s="3"/>
      <c r="BJ171" s="3"/>
      <c r="BK171" s="3"/>
      <c r="BL171" s="3"/>
      <c r="BM171" s="3"/>
      <c r="BN171" s="3"/>
      <c r="BO171" s="3"/>
      <c r="BP171" s="3"/>
      <c r="BQ171" s="3"/>
      <c r="BR171" s="3"/>
      <c r="BS171" s="3"/>
      <c r="BT171" s="3"/>
      <c r="BU171" s="3"/>
      <c r="BV171" s="3"/>
      <c r="BW171" s="3"/>
      <c r="BX171" s="3"/>
      <c r="BY171" s="5">
        <v>50.0</v>
      </c>
      <c r="BZ171" s="5">
        <v>50.0</v>
      </c>
      <c r="CA171" s="5">
        <v>50.0</v>
      </c>
      <c r="CB171" s="5">
        <v>50.0</v>
      </c>
      <c r="CC171" s="5">
        <v>50.0</v>
      </c>
      <c r="CD171" s="5">
        <v>50.0</v>
      </c>
      <c r="CE171" s="3"/>
      <c r="CF171" s="3"/>
      <c r="CG171" s="3"/>
      <c r="CH171" s="3"/>
      <c r="CI171" s="3"/>
      <c r="CJ171" s="3"/>
      <c r="CK171" s="3"/>
      <c r="CL171" s="3"/>
      <c r="CM171" s="3"/>
      <c r="CN171" s="3"/>
      <c r="CO171" s="3"/>
      <c r="CP171" s="3"/>
      <c r="CQ171" s="5">
        <v>4.4</v>
      </c>
      <c r="CR171" s="4" t="s">
        <v>802</v>
      </c>
    </row>
    <row r="172">
      <c r="A172" s="1" t="s">
        <v>803</v>
      </c>
      <c r="B172" s="2">
        <v>46064.4528587963</v>
      </c>
      <c r="C172" s="1" t="str">
        <f t="array" ref="C172">INDEX('User data'!E:E, MATCH(E172, 'User data'!B:B, 0))</f>
        <v>주식회사 코코지</v>
      </c>
      <c r="D172" s="1" t="str">
        <f t="array" ref="D172">INDEX('User data'!F:F, MATCH(C172, 'User data'!E:E, 0))</f>
        <v>274-81-02025</v>
      </c>
      <c r="E172" s="1" t="s">
        <v>800</v>
      </c>
      <c r="F172" s="3"/>
      <c r="G172" s="3"/>
      <c r="H172" s="3"/>
      <c r="I172" s="3"/>
      <c r="J172" s="1" t="s">
        <v>100</v>
      </c>
      <c r="K172" s="1" t="s">
        <v>101</v>
      </c>
      <c r="L172" s="1" t="b">
        <v>0</v>
      </c>
      <c r="M172" s="4" t="s">
        <v>102</v>
      </c>
      <c r="N172" s="1" t="s">
        <v>801</v>
      </c>
      <c r="P172" s="3"/>
      <c r="Q172" s="3"/>
      <c r="R172" s="3"/>
      <c r="S172" s="3"/>
      <c r="T172" s="1" t="s">
        <v>104</v>
      </c>
      <c r="U172" s="3"/>
      <c r="V172" s="3"/>
      <c r="W172" s="1" t="s">
        <v>105</v>
      </c>
      <c r="X172" s="3"/>
      <c r="Y172" s="1" t="s">
        <v>106</v>
      </c>
      <c r="Z172" s="3"/>
      <c r="AA172" s="1" t="b">
        <v>0</v>
      </c>
      <c r="AB172" s="1" t="b">
        <v>0</v>
      </c>
      <c r="AC172" s="1" t="b">
        <v>0</v>
      </c>
      <c r="AD172" s="1" t="b">
        <v>0</v>
      </c>
      <c r="AE172" s="1" t="b">
        <v>1</v>
      </c>
      <c r="AF172" s="3"/>
      <c r="AG172" s="3"/>
      <c r="AH172" s="3"/>
      <c r="AI172" s="3"/>
      <c r="AJ172" s="2">
        <v>46064.452673611115</v>
      </c>
      <c r="AK172" s="2">
        <v>46065.45290509259</v>
      </c>
      <c r="AM172" s="2">
        <v>46064.4528587963</v>
      </c>
      <c r="AN172" s="2">
        <v>46064.4528587963</v>
      </c>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5">
        <v>3.4</v>
      </c>
      <c r="CR172" s="4" t="s">
        <v>804</v>
      </c>
    </row>
    <row r="173">
      <c r="A173" s="1" t="s">
        <v>805</v>
      </c>
      <c r="B173" s="2">
        <v>46064.45212962963</v>
      </c>
      <c r="C173" s="1" t="str">
        <f t="array" ref="C173">INDEX('User data'!E:E, MATCH(E173, 'User data'!B:B, 0))</f>
        <v>주식회사 코코지</v>
      </c>
      <c r="D173" s="1" t="str">
        <f t="array" ref="D173">INDEX('User data'!F:F, MATCH(C173, 'User data'!E:E, 0))</f>
        <v>274-81-02025</v>
      </c>
      <c r="E173" s="1" t="s">
        <v>800</v>
      </c>
      <c r="F173" s="3"/>
      <c r="G173" s="3"/>
      <c r="H173" s="3"/>
      <c r="I173" s="3"/>
      <c r="J173" s="1" t="s">
        <v>100</v>
      </c>
      <c r="K173" s="1" t="s">
        <v>101</v>
      </c>
      <c r="L173" s="1" t="b">
        <v>0</v>
      </c>
      <c r="M173" s="4" t="s">
        <v>102</v>
      </c>
      <c r="N173" s="1" t="s">
        <v>801</v>
      </c>
      <c r="P173" s="3"/>
      <c r="Q173" s="3"/>
      <c r="R173" s="3"/>
      <c r="S173" s="3"/>
      <c r="T173" s="1" t="s">
        <v>104</v>
      </c>
      <c r="U173" s="3"/>
      <c r="V173" s="3"/>
      <c r="W173" s="1" t="s">
        <v>105</v>
      </c>
      <c r="X173" s="3"/>
      <c r="Y173" s="1" t="s">
        <v>106</v>
      </c>
      <c r="Z173" s="3"/>
      <c r="AA173" s="1" t="b">
        <v>0</v>
      </c>
      <c r="AB173" s="1" t="b">
        <v>0</v>
      </c>
      <c r="AC173" s="1" t="b">
        <v>0</v>
      </c>
      <c r="AD173" s="1" t="b">
        <v>0</v>
      </c>
      <c r="AE173" s="1" t="b">
        <v>1</v>
      </c>
      <c r="AF173" s="3"/>
      <c r="AG173" s="3"/>
      <c r="AH173" s="3"/>
      <c r="AI173" s="3"/>
      <c r="AJ173" s="2">
        <v>46064.45197916667</v>
      </c>
      <c r="AK173" s="2">
        <v>46065.45259259259</v>
      </c>
      <c r="AM173" s="2">
        <v>46064.45212962963</v>
      </c>
      <c r="AN173" s="2">
        <v>46064.45212962963</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5">
        <v>2.6</v>
      </c>
      <c r="CR173" s="4" t="s">
        <v>806</v>
      </c>
    </row>
    <row r="174">
      <c r="A174" s="1" t="s">
        <v>807</v>
      </c>
      <c r="B174" s="2">
        <v>46064.44074074074</v>
      </c>
      <c r="C174" s="1" t="str">
        <f t="array" ref="C174">INDEX('User data'!E:E, MATCH(E174, 'User data'!B:B, 0))</f>
        <v>주식회사 발렌라이프</v>
      </c>
      <c r="D174" s="1" t="str">
        <f t="array" ref="D174">INDEX('User data'!F:F, MATCH(C174, 'User data'!E:E, 0))</f>
        <v>728-81-02541</v>
      </c>
      <c r="E174" s="1" t="s">
        <v>808</v>
      </c>
      <c r="F174" s="3"/>
      <c r="G174" s="3"/>
      <c r="H174" s="3"/>
      <c r="I174" s="3"/>
      <c r="J174" s="1" t="s">
        <v>100</v>
      </c>
      <c r="K174" s="1" t="s">
        <v>101</v>
      </c>
      <c r="L174" s="1" t="b">
        <v>0</v>
      </c>
      <c r="M174" s="4" t="s">
        <v>102</v>
      </c>
      <c r="N174" s="1" t="s">
        <v>809</v>
      </c>
      <c r="P174" s="3"/>
      <c r="Q174" s="3"/>
      <c r="R174" s="3"/>
      <c r="S174" s="3"/>
      <c r="T174" s="1" t="s">
        <v>104</v>
      </c>
      <c r="U174" s="3"/>
      <c r="V174" s="3"/>
      <c r="W174" s="1" t="s">
        <v>105</v>
      </c>
      <c r="X174" s="3"/>
      <c r="Y174" s="1" t="s">
        <v>106</v>
      </c>
      <c r="Z174" s="3"/>
      <c r="AA174" s="1" t="b">
        <v>0</v>
      </c>
      <c r="AB174" s="1" t="b">
        <v>0</v>
      </c>
      <c r="AC174" s="1" t="b">
        <v>0</v>
      </c>
      <c r="AD174" s="1" t="b">
        <v>0</v>
      </c>
      <c r="AE174" s="1" t="b">
        <v>1</v>
      </c>
      <c r="AF174" s="3"/>
      <c r="AG174" s="3"/>
      <c r="AH174" s="3"/>
      <c r="AI174" s="3"/>
      <c r="AJ174" s="2">
        <v>46064.44049768519</v>
      </c>
      <c r="AK174" s="2">
        <v>46066.44565972222</v>
      </c>
      <c r="AM174" s="2">
        <v>46064.44074074074</v>
      </c>
      <c r="AN174" s="2">
        <v>46064.44074074074</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5">
        <v>3.0</v>
      </c>
      <c r="CR174" s="4" t="s">
        <v>810</v>
      </c>
    </row>
    <row r="175">
      <c r="A175" s="1" t="s">
        <v>811</v>
      </c>
      <c r="B175" s="2">
        <v>46064.43920138889</v>
      </c>
      <c r="C175" s="1" t="str">
        <f t="array" ref="C175">INDEX('User data'!E:E, MATCH(E175, 'User data'!B:B, 0))</f>
        <v>주식회사 뷰티스프린트</v>
      </c>
      <c r="D175" s="1" t="str">
        <f t="array" ref="D175">INDEX('User data'!F:F, MATCH(C175, 'User data'!E:E, 0))</f>
        <v>527-88-02985</v>
      </c>
      <c r="E175" s="1" t="s">
        <v>812</v>
      </c>
      <c r="F175" s="3"/>
      <c r="G175" s="3"/>
      <c r="H175" s="3"/>
      <c r="I175" s="3"/>
      <c r="J175" s="1" t="s">
        <v>100</v>
      </c>
      <c r="K175" s="1" t="s">
        <v>101</v>
      </c>
      <c r="L175" s="1" t="b">
        <v>0</v>
      </c>
      <c r="M175" s="4" t="s">
        <v>102</v>
      </c>
      <c r="N175" s="1" t="s">
        <v>813</v>
      </c>
      <c r="P175" s="3"/>
      <c r="Q175" s="3"/>
      <c r="R175" s="3"/>
      <c r="S175" s="3"/>
      <c r="T175" s="1" t="s">
        <v>104</v>
      </c>
      <c r="U175" s="3"/>
      <c r="V175" s="3"/>
      <c r="W175" s="1" t="s">
        <v>105</v>
      </c>
      <c r="X175" s="3"/>
      <c r="Y175" s="1" t="s">
        <v>106</v>
      </c>
      <c r="Z175" s="3"/>
      <c r="AA175" s="1" t="b">
        <v>0</v>
      </c>
      <c r="AB175" s="1" t="b">
        <v>0</v>
      </c>
      <c r="AC175" s="1" t="b">
        <v>0</v>
      </c>
      <c r="AD175" s="1" t="b">
        <v>0</v>
      </c>
      <c r="AE175" s="1" t="b">
        <v>1</v>
      </c>
      <c r="AF175" s="3"/>
      <c r="AG175" s="3"/>
      <c r="AH175" s="3"/>
      <c r="AI175" s="3"/>
      <c r="AJ175" s="2">
        <v>46064.43907407407</v>
      </c>
      <c r="AK175" s="2">
        <v>46065.439247685186</v>
      </c>
      <c r="AM175" s="2">
        <v>46064.43920138889</v>
      </c>
      <c r="AN175" s="2">
        <v>46064.43920138889</v>
      </c>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5">
        <v>3.4</v>
      </c>
      <c r="CR175" s="4" t="s">
        <v>814</v>
      </c>
    </row>
    <row r="176">
      <c r="A176" s="1" t="s">
        <v>815</v>
      </c>
      <c r="B176" s="2">
        <v>46064.43616898148</v>
      </c>
      <c r="C176" s="1" t="str">
        <f t="array" ref="C176">INDEX('User data'!E:E, MATCH(E176, 'User data'!B:B, 0))</f>
        <v>주식회사 봄담아</v>
      </c>
      <c r="D176" s="1" t="str">
        <f t="array" ref="D176">INDEX('User data'!F:F, MATCH(C176, 'User data'!E:E, 0))</f>
        <v>857-81-01423</v>
      </c>
      <c r="E176" s="1" t="s">
        <v>816</v>
      </c>
      <c r="F176" s="3"/>
      <c r="G176" s="3"/>
      <c r="H176" s="3"/>
      <c r="I176" s="3"/>
      <c r="J176" s="1" t="s">
        <v>100</v>
      </c>
      <c r="K176" s="1" t="s">
        <v>101</v>
      </c>
      <c r="L176" s="1" t="b">
        <v>0</v>
      </c>
      <c r="M176" s="4" t="s">
        <v>102</v>
      </c>
      <c r="N176" s="1" t="s">
        <v>817</v>
      </c>
      <c r="P176" s="3"/>
      <c r="Q176" s="3"/>
      <c r="R176" s="3"/>
      <c r="S176" s="3"/>
      <c r="T176" s="1" t="s">
        <v>104</v>
      </c>
      <c r="U176" s="3"/>
      <c r="V176" s="3"/>
      <c r="W176" s="1" t="s">
        <v>105</v>
      </c>
      <c r="X176" s="3"/>
      <c r="Y176" s="1" t="s">
        <v>106</v>
      </c>
      <c r="Z176" s="3"/>
      <c r="AA176" s="1" t="b">
        <v>0</v>
      </c>
      <c r="AB176" s="1" t="b">
        <v>0</v>
      </c>
      <c r="AC176" s="1" t="b">
        <v>0</v>
      </c>
      <c r="AD176" s="1" t="b">
        <v>0</v>
      </c>
      <c r="AE176" s="1" t="b">
        <v>1</v>
      </c>
      <c r="AF176" s="3"/>
      <c r="AG176" s="3"/>
      <c r="AH176" s="3"/>
      <c r="AI176" s="3"/>
      <c r="AJ176" s="2">
        <v>46064.43612268518</v>
      </c>
      <c r="AK176" s="2">
        <v>46065.439363425925</v>
      </c>
      <c r="AM176" s="2">
        <v>46064.43616898148</v>
      </c>
      <c r="AN176" s="2">
        <v>46064.43616898148</v>
      </c>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5">
        <v>1.6</v>
      </c>
      <c r="CR176" s="4" t="s">
        <v>818</v>
      </c>
    </row>
    <row r="177">
      <c r="A177" s="1" t="s">
        <v>819</v>
      </c>
      <c r="B177" s="2">
        <v>46064.42938657408</v>
      </c>
      <c r="C177" s="1" t="str">
        <f t="array" ref="C177">INDEX('User data'!E:E, MATCH(E177, 'User data'!B:B, 0))</f>
        <v>주식회사 줄루웍스</v>
      </c>
      <c r="D177" s="1" t="str">
        <f t="array" ref="D177">INDEX('User data'!F:F, MATCH(C177, 'User data'!E:E, 0))</f>
        <v>559-81-03774</v>
      </c>
      <c r="E177" s="1" t="s">
        <v>820</v>
      </c>
      <c r="F177" s="3"/>
      <c r="G177" s="3"/>
      <c r="H177" s="3"/>
      <c r="I177" s="3"/>
      <c r="J177" s="1" t="s">
        <v>100</v>
      </c>
      <c r="K177" s="1" t="s">
        <v>101</v>
      </c>
      <c r="L177" s="1" t="b">
        <v>0</v>
      </c>
      <c r="M177" s="4" t="s">
        <v>102</v>
      </c>
      <c r="N177" s="1" t="s">
        <v>821</v>
      </c>
      <c r="P177" s="3"/>
      <c r="Q177" s="3"/>
      <c r="R177" s="3"/>
      <c r="S177" s="3"/>
      <c r="T177" s="1" t="s">
        <v>104</v>
      </c>
      <c r="U177" s="3"/>
      <c r="V177" s="3"/>
      <c r="W177" s="1" t="s">
        <v>105</v>
      </c>
      <c r="X177" s="3"/>
      <c r="Y177" s="1" t="s">
        <v>106</v>
      </c>
      <c r="Z177" s="3"/>
      <c r="AA177" s="1" t="b">
        <v>0</v>
      </c>
      <c r="AB177" s="1" t="b">
        <v>0</v>
      </c>
      <c r="AC177" s="1" t="b">
        <v>0</v>
      </c>
      <c r="AD177" s="1" t="b">
        <v>0</v>
      </c>
      <c r="AE177" s="1" t="b">
        <v>1</v>
      </c>
      <c r="AF177" s="3"/>
      <c r="AG177" s="3"/>
      <c r="AH177" s="3"/>
      <c r="AI177" s="3"/>
      <c r="AJ177" s="2">
        <v>46064.42932870371</v>
      </c>
      <c r="AK177" s="2">
        <v>46065.429444444446</v>
      </c>
      <c r="AM177" s="2">
        <v>46064.42938657408</v>
      </c>
      <c r="AN177" s="2">
        <v>46064.42938657408</v>
      </c>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5">
        <v>5.0</v>
      </c>
      <c r="CR177" s="4" t="s">
        <v>822</v>
      </c>
    </row>
    <row r="178">
      <c r="A178" s="1" t="s">
        <v>823</v>
      </c>
      <c r="B178" s="2">
        <v>46064.429027777776</v>
      </c>
      <c r="C178" s="1" t="str">
        <f t="array" ref="C178">INDEX('User data'!E:E, MATCH(E178, 'User data'!B:B, 0))</f>
        <v>피에프씨테크놀로지스 주식회사</v>
      </c>
      <c r="D178" s="1" t="str">
        <f t="array" ref="D178">INDEX('User data'!F:F, MATCH(C178, 'User data'!E:E, 0))</f>
        <v>668-88-00027</v>
      </c>
      <c r="E178" s="1" t="s">
        <v>824</v>
      </c>
      <c r="F178" s="3"/>
      <c r="G178" s="3"/>
      <c r="H178" s="3"/>
      <c r="I178" s="3"/>
      <c r="J178" s="1" t="s">
        <v>100</v>
      </c>
      <c r="K178" s="1" t="s">
        <v>101</v>
      </c>
      <c r="L178" s="1" t="b">
        <v>0</v>
      </c>
      <c r="M178" s="4" t="s">
        <v>102</v>
      </c>
      <c r="N178" s="1" t="s">
        <v>825</v>
      </c>
      <c r="P178" s="3"/>
      <c r="Q178" s="3"/>
      <c r="R178" s="3"/>
      <c r="S178" s="3"/>
      <c r="T178" s="1" t="s">
        <v>104</v>
      </c>
      <c r="U178" s="3"/>
      <c r="V178" s="3"/>
      <c r="W178" s="1" t="s">
        <v>105</v>
      </c>
      <c r="X178" s="3"/>
      <c r="Y178" s="1" t="s">
        <v>106</v>
      </c>
      <c r="Z178" s="3"/>
      <c r="AA178" s="1" t="b">
        <v>0</v>
      </c>
      <c r="AB178" s="1" t="b">
        <v>0</v>
      </c>
      <c r="AC178" s="1" t="b">
        <v>0</v>
      </c>
      <c r="AD178" s="1" t="b">
        <v>0</v>
      </c>
      <c r="AE178" s="1" t="b">
        <v>1</v>
      </c>
      <c r="AF178" s="3"/>
      <c r="AG178" s="3"/>
      <c r="AH178" s="3"/>
      <c r="AI178" s="3"/>
      <c r="AJ178" s="2">
        <v>46064.42896990741</v>
      </c>
      <c r="AK178" s="2">
        <v>46065.43074074074</v>
      </c>
      <c r="AM178" s="2">
        <v>46064.429027777776</v>
      </c>
      <c r="AN178" s="2">
        <v>46064.429027777776</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5">
        <v>5.0</v>
      </c>
      <c r="CR178" s="4" t="s">
        <v>826</v>
      </c>
    </row>
    <row r="179">
      <c r="A179" s="1" t="s">
        <v>827</v>
      </c>
      <c r="B179" s="2">
        <v>46064.42519675926</v>
      </c>
      <c r="C179" s="1" t="str">
        <f t="array" ref="C179">INDEX('User data'!E:E, MATCH(E179, 'User data'!B:B, 0))</f>
        <v/>
      </c>
      <c r="D179" s="1" t="str">
        <f t="array" ref="D179">INDEX('User data'!F:F, MATCH(C179, 'User data'!E:E, 0))</f>
        <v>#N/A</v>
      </c>
      <c r="E179" s="1" t="s">
        <v>828</v>
      </c>
      <c r="F179" s="3"/>
      <c r="G179" s="3"/>
      <c r="H179" s="3"/>
      <c r="I179" s="1" t="s">
        <v>829</v>
      </c>
      <c r="J179" s="1" t="s">
        <v>100</v>
      </c>
      <c r="K179" s="1" t="s">
        <v>101</v>
      </c>
      <c r="L179" s="1" t="b">
        <v>0</v>
      </c>
      <c r="M179" s="4" t="s">
        <v>102</v>
      </c>
      <c r="N179" s="1" t="s">
        <v>830</v>
      </c>
      <c r="O179" s="1">
        <v>574085.0</v>
      </c>
      <c r="P179" s="1">
        <v>574085.0</v>
      </c>
      <c r="Q179" s="1">
        <v>574085.0</v>
      </c>
      <c r="R179" s="1" t="s">
        <v>145</v>
      </c>
      <c r="S179" s="1">
        <v>13285.0</v>
      </c>
      <c r="T179" s="1" t="s">
        <v>104</v>
      </c>
      <c r="U179" s="3"/>
      <c r="V179" s="3"/>
      <c r="W179" s="1" t="s">
        <v>118</v>
      </c>
      <c r="X179" s="3"/>
      <c r="Y179" s="1" t="s">
        <v>119</v>
      </c>
      <c r="Z179" s="3"/>
      <c r="AA179" s="1" t="b">
        <v>1</v>
      </c>
      <c r="AB179" s="1" t="b">
        <v>0</v>
      </c>
      <c r="AC179" s="1" t="b">
        <v>0</v>
      </c>
      <c r="AD179" s="1" t="b">
        <v>1</v>
      </c>
      <c r="AE179" s="1" t="b">
        <v>1</v>
      </c>
      <c r="AF179" s="5">
        <v>3.0</v>
      </c>
      <c r="AG179" s="5">
        <v>3.0</v>
      </c>
      <c r="AH179" s="3"/>
      <c r="AI179" s="3"/>
      <c r="AJ179" s="2">
        <v>46064.425046296295</v>
      </c>
      <c r="AK179" s="2">
        <v>46064.56181712963</v>
      </c>
      <c r="AL179" s="2">
        <v>46064.42611111111</v>
      </c>
      <c r="AM179" s="2">
        <v>46064.42519675926</v>
      </c>
      <c r="AN179" s="2">
        <v>46064.42519675926</v>
      </c>
      <c r="AO179" s="2">
        <v>46064.42528935185</v>
      </c>
      <c r="AP179" s="2">
        <v>46064.426145833335</v>
      </c>
      <c r="AQ179" s="2">
        <v>46064.42539351852</v>
      </c>
      <c r="AS179" s="2">
        <v>46064.425405092596</v>
      </c>
      <c r="AT179" s="2">
        <v>46064.42539351852</v>
      </c>
      <c r="AU179" s="2">
        <v>46064.425405092596</v>
      </c>
      <c r="AW179" s="3"/>
      <c r="AX179" s="2">
        <v>46064.425405092596</v>
      </c>
      <c r="AY179" s="2">
        <v>46064.425405092596</v>
      </c>
      <c r="AZ179" s="2">
        <v>46064.42762731481</v>
      </c>
      <c r="BA179" s="2">
        <v>46064.520104166666</v>
      </c>
      <c r="BC179" s="2">
        <v>46064.52013888889</v>
      </c>
      <c r="BD179" s="2">
        <v>46064.52013888889</v>
      </c>
      <c r="BE179" s="5">
        <v>618.0</v>
      </c>
      <c r="BF179" s="5">
        <v>618.0</v>
      </c>
      <c r="BG179" s="5">
        <v>206.0</v>
      </c>
      <c r="BH179" s="5">
        <v>206.0</v>
      </c>
      <c r="BI179" s="3"/>
      <c r="BJ179" s="3"/>
      <c r="BK179" s="5">
        <v>1.0</v>
      </c>
      <c r="BL179" s="5">
        <v>1.0</v>
      </c>
      <c r="BM179" s="5">
        <v>18.0</v>
      </c>
      <c r="BN179" s="5">
        <v>18.0</v>
      </c>
      <c r="BO179" s="5">
        <v>209.0</v>
      </c>
      <c r="BP179" s="5">
        <v>209.0</v>
      </c>
      <c r="BQ179" s="5">
        <v>209.0</v>
      </c>
      <c r="BR179" s="5">
        <v>209.0</v>
      </c>
      <c r="BS179" s="5">
        <v>191.0</v>
      </c>
      <c r="BT179" s="5">
        <v>191.0</v>
      </c>
      <c r="BU179" s="5">
        <v>191.0</v>
      </c>
      <c r="BV179" s="5">
        <v>191.0</v>
      </c>
      <c r="BW179" s="5">
        <v>192.0</v>
      </c>
      <c r="BX179" s="5">
        <v>192.0</v>
      </c>
      <c r="BY179" s="5">
        <v>8203.0</v>
      </c>
      <c r="BZ179" s="5">
        <v>8203.0</v>
      </c>
      <c r="CA179" s="5">
        <v>8203.0</v>
      </c>
      <c r="CB179" s="5">
        <v>8203.0</v>
      </c>
      <c r="CC179" s="5">
        <v>8203.0</v>
      </c>
      <c r="CD179" s="5">
        <v>8203.0</v>
      </c>
      <c r="CE179" s="5">
        <v>8184.0</v>
      </c>
      <c r="CF179" s="5">
        <v>8184.0</v>
      </c>
      <c r="CG179" s="5">
        <v>8184.0</v>
      </c>
      <c r="CH179" s="5">
        <v>8184.0</v>
      </c>
      <c r="CI179" s="5">
        <v>8186.0</v>
      </c>
      <c r="CJ179" s="5">
        <v>8186.0</v>
      </c>
      <c r="CK179" s="5">
        <v>8184.0</v>
      </c>
      <c r="CL179" s="5">
        <v>8184.0</v>
      </c>
      <c r="CM179" s="5">
        <v>8184.0</v>
      </c>
      <c r="CN179" s="5">
        <v>8184.0</v>
      </c>
      <c r="CO179" s="5">
        <v>3.0</v>
      </c>
      <c r="CP179" s="5">
        <v>7.0</v>
      </c>
      <c r="CQ179" s="3"/>
      <c r="CR179" s="4" t="s">
        <v>831</v>
      </c>
    </row>
    <row r="180">
      <c r="A180" s="1" t="s">
        <v>832</v>
      </c>
      <c r="B180" s="2">
        <v>46064.32193287037</v>
      </c>
      <c r="C180" s="1" t="str">
        <f t="array" ref="C180">INDEX('User data'!E:E, MATCH(E180, 'User data'!B:B, 0))</f>
        <v>(주)시오랩</v>
      </c>
      <c r="D180" s="1" t="str">
        <f t="array" ref="D180">INDEX('User data'!F:F, MATCH(C180, 'User data'!E:E, 0))</f>
        <v>273-87-02456</v>
      </c>
      <c r="E180" s="1" t="s">
        <v>833</v>
      </c>
      <c r="F180" s="3"/>
      <c r="G180" s="3"/>
      <c r="H180" s="3"/>
      <c r="I180" s="3"/>
      <c r="J180" s="1" t="s">
        <v>100</v>
      </c>
      <c r="K180" s="1" t="s">
        <v>101</v>
      </c>
      <c r="L180" s="1" t="b">
        <v>0</v>
      </c>
      <c r="M180" s="4" t="s">
        <v>102</v>
      </c>
      <c r="N180" s="1" t="s">
        <v>834</v>
      </c>
      <c r="P180" s="3"/>
      <c r="Q180" s="3"/>
      <c r="R180" s="3"/>
      <c r="S180" s="3"/>
      <c r="T180" s="1" t="s">
        <v>104</v>
      </c>
      <c r="U180" s="3"/>
      <c r="V180" s="3"/>
      <c r="W180" s="1" t="s">
        <v>105</v>
      </c>
      <c r="X180" s="3"/>
      <c r="Y180" s="1" t="s">
        <v>106</v>
      </c>
      <c r="Z180" s="3"/>
      <c r="AA180" s="1" t="b">
        <v>0</v>
      </c>
      <c r="AB180" s="1" t="b">
        <v>0</v>
      </c>
      <c r="AC180" s="1" t="b">
        <v>0</v>
      </c>
      <c r="AD180" s="1" t="b">
        <v>0</v>
      </c>
      <c r="AE180" s="1" t="b">
        <v>1</v>
      </c>
      <c r="AF180" s="3"/>
      <c r="AG180" s="3"/>
      <c r="AH180" s="3"/>
      <c r="AI180" s="3"/>
      <c r="AJ180" s="2">
        <v>46064.321863425925</v>
      </c>
      <c r="AK180" s="2">
        <v>46065.32373842593</v>
      </c>
      <c r="AM180" s="2">
        <v>46064.32193287037</v>
      </c>
      <c r="AN180" s="2">
        <v>46064.32193287037</v>
      </c>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5">
        <v>3.4</v>
      </c>
      <c r="CR180" s="4" t="s">
        <v>835</v>
      </c>
    </row>
    <row r="181">
      <c r="A181" s="1" t="s">
        <v>836</v>
      </c>
      <c r="B181" s="2">
        <v>46064.14927083333</v>
      </c>
      <c r="C181" s="1" t="str">
        <f t="array" ref="C181">INDEX('User data'!E:E, MATCH(E181, 'User data'!B:B, 0))</f>
        <v/>
      </c>
      <c r="D181" s="1" t="str">
        <f t="array" ref="D181">INDEX('User data'!F:F, MATCH(C181, 'User data'!E:E, 0))</f>
        <v>#N/A</v>
      </c>
      <c r="E181" s="1" t="s">
        <v>837</v>
      </c>
      <c r="F181" s="3"/>
      <c r="G181" s="3"/>
      <c r="H181" s="3"/>
      <c r="I181" s="3"/>
      <c r="J181" s="1" t="s">
        <v>100</v>
      </c>
      <c r="K181" s="1" t="s">
        <v>101</v>
      </c>
      <c r="L181" s="1" t="b">
        <v>0</v>
      </c>
      <c r="M181" s="4" t="s">
        <v>102</v>
      </c>
      <c r="N181" s="1" t="s">
        <v>838</v>
      </c>
      <c r="P181" s="3"/>
      <c r="Q181" s="3"/>
      <c r="R181" s="3"/>
      <c r="S181" s="3"/>
      <c r="T181" s="1" t="s">
        <v>104</v>
      </c>
      <c r="U181" s="3"/>
      <c r="V181" s="3"/>
      <c r="W181" s="1" t="s">
        <v>105</v>
      </c>
      <c r="X181" s="3"/>
      <c r="Y181" s="1" t="s">
        <v>106</v>
      </c>
      <c r="Z181" s="3"/>
      <c r="AA181" s="1" t="b">
        <v>0</v>
      </c>
      <c r="AB181" s="1" t="b">
        <v>0</v>
      </c>
      <c r="AC181" s="1" t="b">
        <v>0</v>
      </c>
      <c r="AD181" s="1" t="b">
        <v>0</v>
      </c>
      <c r="AE181" s="1" t="b">
        <v>1</v>
      </c>
      <c r="AF181" s="3"/>
      <c r="AG181" s="3"/>
      <c r="AH181" s="3"/>
      <c r="AI181" s="3"/>
      <c r="AJ181" s="2">
        <v>46064.149201388886</v>
      </c>
      <c r="AK181" s="2">
        <v>46065.14974537037</v>
      </c>
      <c r="AM181" s="2">
        <v>46064.14927083333</v>
      </c>
      <c r="AN181" s="2">
        <v>46064.14927083333</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5">
        <v>5.0</v>
      </c>
      <c r="CR181" s="4" t="s">
        <v>839</v>
      </c>
    </row>
    <row r="182">
      <c r="A182" s="1" t="s">
        <v>840</v>
      </c>
      <c r="B182" s="2">
        <v>46064.12157407407</v>
      </c>
      <c r="C182" s="1" t="str">
        <f t="array" ref="C182">INDEX('User data'!E:E, MATCH(E182, 'User data'!B:B, 0))</f>
        <v/>
      </c>
      <c r="D182" s="1" t="str">
        <f t="array" ref="D182">INDEX('User data'!F:F, MATCH(C182, 'User data'!E:E, 0))</f>
        <v>#N/A</v>
      </c>
      <c r="E182" s="1" t="s">
        <v>841</v>
      </c>
      <c r="F182" s="3"/>
      <c r="G182" s="3"/>
      <c r="H182" s="3"/>
      <c r="I182" s="3"/>
      <c r="J182" s="1" t="s">
        <v>100</v>
      </c>
      <c r="K182" s="1" t="s">
        <v>101</v>
      </c>
      <c r="L182" s="1" t="b">
        <v>0</v>
      </c>
      <c r="M182" s="4" t="s">
        <v>102</v>
      </c>
      <c r="N182" s="1" t="s">
        <v>842</v>
      </c>
      <c r="P182" s="3"/>
      <c r="Q182" s="3"/>
      <c r="R182" s="3"/>
      <c r="S182" s="3"/>
      <c r="T182" s="1" t="s">
        <v>104</v>
      </c>
      <c r="U182" s="3"/>
      <c r="V182" s="3"/>
      <c r="W182" s="1" t="s">
        <v>105</v>
      </c>
      <c r="X182" s="3"/>
      <c r="Y182" s="1" t="s">
        <v>106</v>
      </c>
      <c r="Z182" s="3"/>
      <c r="AA182" s="1" t="b">
        <v>0</v>
      </c>
      <c r="AB182" s="1" t="b">
        <v>0</v>
      </c>
      <c r="AC182" s="1" t="b">
        <v>0</v>
      </c>
      <c r="AD182" s="1" t="b">
        <v>0</v>
      </c>
      <c r="AE182" s="1" t="b">
        <v>1</v>
      </c>
      <c r="AF182" s="3"/>
      <c r="AG182" s="3"/>
      <c r="AH182" s="3"/>
      <c r="AI182" s="3"/>
      <c r="AJ182" s="2">
        <v>46064.12144675926</v>
      </c>
      <c r="AK182" s="2">
        <v>46065.12163194444</v>
      </c>
      <c r="AM182" s="2">
        <v>46064.12157407407</v>
      </c>
      <c r="AN182" s="2">
        <v>46064.12157407407</v>
      </c>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5">
        <v>5.0</v>
      </c>
      <c r="CR182" s="4" t="s">
        <v>843</v>
      </c>
    </row>
    <row r="183">
      <c r="A183" s="1" t="s">
        <v>844</v>
      </c>
      <c r="B183" s="2">
        <v>46064.110659722224</v>
      </c>
      <c r="C183" s="1" t="str">
        <f t="array" ref="C183">INDEX('User data'!E:E, MATCH(E183, 'User data'!B:B, 0))</f>
        <v/>
      </c>
      <c r="D183" s="1" t="str">
        <f t="array" ref="D183">INDEX('User data'!F:F, MATCH(C183, 'User data'!E:E, 0))</f>
        <v>#N/A</v>
      </c>
      <c r="E183" s="1" t="s">
        <v>841</v>
      </c>
      <c r="F183" s="3"/>
      <c r="G183" s="3"/>
      <c r="H183" s="3"/>
      <c r="I183" s="3"/>
      <c r="J183" s="1" t="s">
        <v>100</v>
      </c>
      <c r="K183" s="1" t="s">
        <v>101</v>
      </c>
      <c r="L183" s="1" t="b">
        <v>0</v>
      </c>
      <c r="M183" s="4" t="s">
        <v>102</v>
      </c>
      <c r="N183" s="1" t="s">
        <v>842</v>
      </c>
      <c r="P183" s="3"/>
      <c r="Q183" s="3"/>
      <c r="R183" s="3"/>
      <c r="S183" s="3"/>
      <c r="T183" s="1" t="s">
        <v>104</v>
      </c>
      <c r="U183" s="3"/>
      <c r="V183" s="3"/>
      <c r="W183" s="1" t="s">
        <v>105</v>
      </c>
      <c r="X183" s="3"/>
      <c r="Y183" s="1" t="s">
        <v>106</v>
      </c>
      <c r="Z183" s="3"/>
      <c r="AA183" s="1" t="b">
        <v>0</v>
      </c>
      <c r="AB183" s="1" t="b">
        <v>0</v>
      </c>
      <c r="AC183" s="1" t="b">
        <v>0</v>
      </c>
      <c r="AD183" s="1" t="b">
        <v>0</v>
      </c>
      <c r="AE183" s="1" t="b">
        <v>1</v>
      </c>
      <c r="AF183" s="3"/>
      <c r="AG183" s="3"/>
      <c r="AH183" s="3"/>
      <c r="AI183" s="3"/>
      <c r="AJ183" s="2">
        <v>46064.110601851855</v>
      </c>
      <c r="AK183" s="2">
        <v>46065.11381944444</v>
      </c>
      <c r="AM183" s="2">
        <v>46064.110659722224</v>
      </c>
      <c r="AN183" s="2">
        <v>46064.110659722224</v>
      </c>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5">
        <v>3.4</v>
      </c>
      <c r="CR183" s="4" t="s">
        <v>845</v>
      </c>
    </row>
    <row r="184">
      <c r="A184" s="1" t="s">
        <v>846</v>
      </c>
      <c r="B184" s="2">
        <v>46064.00271990741</v>
      </c>
      <c r="C184" s="1" t="str">
        <f t="array" ref="C184">INDEX('User data'!E:E, MATCH(E184, 'User data'!B:B, 0))</f>
        <v>주식회사 이오스튜디오</v>
      </c>
      <c r="D184" s="1" t="str">
        <f t="array" ref="D184">INDEX('User data'!F:F, MATCH(C184, 'User data'!E:E, 0))</f>
        <v>501-87-01653</v>
      </c>
      <c r="E184" s="1" t="s">
        <v>847</v>
      </c>
      <c r="F184" s="3"/>
      <c r="G184" s="3"/>
      <c r="H184" s="3"/>
      <c r="I184" s="1" t="s">
        <v>306</v>
      </c>
      <c r="J184" s="1" t="s">
        <v>100</v>
      </c>
      <c r="K184" s="1" t="s">
        <v>101</v>
      </c>
      <c r="L184" s="1" t="b">
        <v>0</v>
      </c>
      <c r="M184" s="4" t="s">
        <v>102</v>
      </c>
      <c r="N184" s="1" t="s">
        <v>848</v>
      </c>
      <c r="O184" s="1">
        <v>607950.0</v>
      </c>
      <c r="P184" s="1">
        <v>607950.0</v>
      </c>
      <c r="Q184" s="1">
        <v>607950.0</v>
      </c>
      <c r="R184" s="1" t="s">
        <v>145</v>
      </c>
      <c r="S184" s="3"/>
      <c r="T184" s="1" t="s">
        <v>104</v>
      </c>
      <c r="U184" s="3"/>
      <c r="V184" s="3"/>
      <c r="W184" s="1" t="s">
        <v>118</v>
      </c>
      <c r="X184" s="3"/>
      <c r="Y184" s="1" t="s">
        <v>119</v>
      </c>
      <c r="Z184" s="3"/>
      <c r="AA184" s="1" t="b">
        <v>1</v>
      </c>
      <c r="AB184" s="1" t="b">
        <v>0</v>
      </c>
      <c r="AC184" s="1" t="b">
        <v>0</v>
      </c>
      <c r="AD184" s="1" t="b">
        <v>1</v>
      </c>
      <c r="AE184" s="1" t="b">
        <v>1</v>
      </c>
      <c r="AF184" s="5">
        <v>1.0</v>
      </c>
      <c r="AG184" s="3"/>
      <c r="AH184" s="3"/>
      <c r="AI184" s="3"/>
      <c r="AJ184" s="2">
        <v>46064.00262731482</v>
      </c>
      <c r="AK184" s="2">
        <v>46064.55883101852</v>
      </c>
      <c r="AL184" s="2">
        <v>46064.002754629626</v>
      </c>
      <c r="AM184" s="2">
        <v>46064.00271990741</v>
      </c>
      <c r="AN184" s="2">
        <v>46064.00271990741</v>
      </c>
      <c r="AO184" s="2">
        <v>46064.002754629626</v>
      </c>
      <c r="AP184" s="2">
        <v>46064.002800925926</v>
      </c>
      <c r="AR184" s="3"/>
      <c r="AS184" s="3"/>
      <c r="AT184" s="2">
        <v>46064.0027662037</v>
      </c>
      <c r="AU184" s="2">
        <v>46064.0027662037</v>
      </c>
      <c r="AW184" s="3"/>
      <c r="AX184" s="2">
        <v>46064.416030092594</v>
      </c>
      <c r="AY184" s="2">
        <v>46064.0027662037</v>
      </c>
      <c r="AZ184" s="2">
        <v>46064.41607638889</v>
      </c>
      <c r="BA184" s="2">
        <v>46064.41607638889</v>
      </c>
      <c r="BC184" s="2">
        <v>46064.51715277778</v>
      </c>
      <c r="BD184" s="2">
        <v>46064.51715277778</v>
      </c>
      <c r="BE184" s="5">
        <v>35684.0</v>
      </c>
      <c r="BF184" s="3"/>
      <c r="BG184" s="5">
        <v>35684.0</v>
      </c>
      <c r="BH184" s="3"/>
      <c r="BI184" s="3"/>
      <c r="BJ184" s="3"/>
      <c r="BK184" s="3"/>
      <c r="BL184" s="3"/>
      <c r="BM184" s="5">
        <v>35710.0</v>
      </c>
      <c r="BN184" s="5">
        <v>0.0</v>
      </c>
      <c r="BO184" s="5">
        <v>35714.0</v>
      </c>
      <c r="BP184" s="5">
        <v>0.0</v>
      </c>
      <c r="BQ184" s="5">
        <v>35714.0</v>
      </c>
      <c r="BR184" s="5">
        <v>0.0</v>
      </c>
      <c r="BS184" s="5">
        <v>4.0</v>
      </c>
      <c r="BT184" s="5">
        <v>0.0</v>
      </c>
      <c r="BU184" s="5">
        <v>35710.0</v>
      </c>
      <c r="BV184" s="5">
        <v>0.0</v>
      </c>
      <c r="BW184" s="5">
        <v>35710.0</v>
      </c>
      <c r="BX184" s="5">
        <v>0.0</v>
      </c>
      <c r="BY184" s="5">
        <v>44447.0</v>
      </c>
      <c r="BZ184" s="5">
        <v>8682.0</v>
      </c>
      <c r="CA184" s="5">
        <v>44447.0</v>
      </c>
      <c r="CB184" s="5">
        <v>8682.0</v>
      </c>
      <c r="CC184" s="5">
        <v>44447.0</v>
      </c>
      <c r="CD184" s="5">
        <v>8682.0</v>
      </c>
      <c r="CE184" s="5">
        <v>8737.0</v>
      </c>
      <c r="CF184" s="5">
        <v>8682.0</v>
      </c>
      <c r="CG184" s="5">
        <v>44443.0</v>
      </c>
      <c r="CH184" s="5">
        <v>8682.0</v>
      </c>
      <c r="CI184" s="5">
        <v>44443.0</v>
      </c>
      <c r="CJ184" s="5">
        <v>8682.0</v>
      </c>
      <c r="CK184" s="5">
        <v>44443.0</v>
      </c>
      <c r="CL184" s="5">
        <v>8682.0</v>
      </c>
      <c r="CM184" s="5">
        <v>44443.0</v>
      </c>
      <c r="CN184" s="5">
        <v>8682.0</v>
      </c>
      <c r="CO184" s="5">
        <v>4.0</v>
      </c>
      <c r="CP184" s="5">
        <v>2.0</v>
      </c>
      <c r="CQ184" s="3"/>
      <c r="CR184" s="4" t="s">
        <v>849</v>
      </c>
    </row>
    <row r="185">
      <c r="A185" s="1" t="s">
        <v>850</v>
      </c>
      <c r="B185" s="2">
        <v>46064.00166666666</v>
      </c>
      <c r="C185" s="1" t="str">
        <f t="array" ref="C185">INDEX('User data'!E:E, MATCH(E185, 'User data'!B:B, 0))</f>
        <v>주식회사 데어워크</v>
      </c>
      <c r="D185" s="1" t="str">
        <f t="array" ref="D185">INDEX('User data'!F:F, MATCH(C185, 'User data'!E:E, 0))</f>
        <v>189-86-02697</v>
      </c>
      <c r="E185" s="1" t="s">
        <v>851</v>
      </c>
      <c r="F185" s="3"/>
      <c r="G185" s="3"/>
      <c r="H185" s="3"/>
      <c r="I185" s="3"/>
      <c r="J185" s="1" t="s">
        <v>100</v>
      </c>
      <c r="K185" s="1" t="s">
        <v>101</v>
      </c>
      <c r="L185" s="1" t="b">
        <v>0</v>
      </c>
      <c r="M185" s="4" t="s">
        <v>102</v>
      </c>
      <c r="N185" s="1" t="s">
        <v>852</v>
      </c>
      <c r="P185" s="3"/>
      <c r="Q185" s="3"/>
      <c r="R185" s="3"/>
      <c r="S185" s="3"/>
      <c r="T185" s="1" t="s">
        <v>104</v>
      </c>
      <c r="U185" s="3"/>
      <c r="V185" s="3"/>
      <c r="W185" s="1" t="s">
        <v>105</v>
      </c>
      <c r="X185" s="3"/>
      <c r="Y185" s="1" t="s">
        <v>106</v>
      </c>
      <c r="Z185" s="3"/>
      <c r="AA185" s="1" t="b">
        <v>0</v>
      </c>
      <c r="AB185" s="1" t="b">
        <v>0</v>
      </c>
      <c r="AC185" s="1" t="b">
        <v>0</v>
      </c>
      <c r="AD185" s="1" t="b">
        <v>0</v>
      </c>
      <c r="AE185" s="1" t="b">
        <v>1</v>
      </c>
      <c r="AF185" s="3"/>
      <c r="AG185" s="3"/>
      <c r="AH185" s="3"/>
      <c r="AI185" s="3"/>
      <c r="AJ185" s="2">
        <v>46064.001550925925</v>
      </c>
      <c r="AK185" s="2">
        <v>46065.005324074074</v>
      </c>
      <c r="AM185" s="2">
        <v>46064.00166666666</v>
      </c>
      <c r="AN185" s="2">
        <v>46064.00166666666</v>
      </c>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5">
        <v>1.4</v>
      </c>
      <c r="CR185" s="4" t="s">
        <v>853</v>
      </c>
    </row>
    <row r="186">
      <c r="A186" s="1" t="s">
        <v>854</v>
      </c>
      <c r="B186" s="2">
        <v>46063.97230324074</v>
      </c>
      <c r="C186" s="1" t="str">
        <f t="array" ref="C186">INDEX('User data'!E:E, MATCH(E186, 'User data'!B:B, 0))</f>
        <v/>
      </c>
      <c r="D186" s="1" t="str">
        <f t="array" ref="D186">INDEX('User data'!F:F, MATCH(C186, 'User data'!E:E, 0))</f>
        <v>#N/A</v>
      </c>
      <c r="E186" s="1" t="s">
        <v>855</v>
      </c>
      <c r="F186" s="3"/>
      <c r="G186" s="3"/>
      <c r="H186" s="3"/>
      <c r="I186" s="3"/>
      <c r="J186" s="1" t="s">
        <v>100</v>
      </c>
      <c r="K186" s="1" t="s">
        <v>101</v>
      </c>
      <c r="L186" s="1" t="b">
        <v>0</v>
      </c>
      <c r="M186" s="4" t="s">
        <v>102</v>
      </c>
      <c r="N186" s="1" t="s">
        <v>856</v>
      </c>
      <c r="P186" s="3"/>
      <c r="Q186" s="3"/>
      <c r="R186" s="3"/>
      <c r="S186" s="3"/>
      <c r="T186" s="1" t="s">
        <v>104</v>
      </c>
      <c r="U186" s="3"/>
      <c r="V186" s="3"/>
      <c r="W186" s="1" t="s">
        <v>105</v>
      </c>
      <c r="X186" s="3"/>
      <c r="Y186" s="1" t="s">
        <v>106</v>
      </c>
      <c r="Z186" s="3"/>
      <c r="AA186" s="1" t="b">
        <v>0</v>
      </c>
      <c r="AB186" s="1" t="b">
        <v>0</v>
      </c>
      <c r="AC186" s="1" t="b">
        <v>0</v>
      </c>
      <c r="AD186" s="1" t="b">
        <v>0</v>
      </c>
      <c r="AE186" s="1" t="b">
        <v>1</v>
      </c>
      <c r="AF186" s="3"/>
      <c r="AG186" s="3"/>
      <c r="AH186" s="3"/>
      <c r="AI186" s="3"/>
      <c r="AJ186" s="2">
        <v>46063.97222222222</v>
      </c>
      <c r="AK186" s="2">
        <v>46064.976168981484</v>
      </c>
      <c r="AM186" s="2">
        <v>46063.97230324074</v>
      </c>
      <c r="AN186" s="2">
        <v>46063.97230324074</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5">
        <v>5.0</v>
      </c>
      <c r="CR186" s="4" t="s">
        <v>857</v>
      </c>
    </row>
    <row r="187">
      <c r="A187" s="1" t="s">
        <v>858</v>
      </c>
      <c r="B187" s="2">
        <v>46063.91950231481</v>
      </c>
      <c r="C187" s="1" t="str">
        <f t="array" ref="C187">INDEX('User data'!E:E, MATCH(E187, 'User data'!B:B, 0))</f>
        <v/>
      </c>
      <c r="D187" s="1" t="str">
        <f t="array" ref="D187">INDEX('User data'!F:F, MATCH(C187, 'User data'!E:E, 0))</f>
        <v>#N/A</v>
      </c>
      <c r="E187" s="1" t="s">
        <v>859</v>
      </c>
      <c r="F187" s="3"/>
      <c r="G187" s="3"/>
      <c r="H187" s="3"/>
      <c r="I187" s="3"/>
      <c r="J187" s="1" t="s">
        <v>100</v>
      </c>
      <c r="K187" s="1" t="s">
        <v>101</v>
      </c>
      <c r="L187" s="1" t="b">
        <v>0</v>
      </c>
      <c r="M187" s="4" t="s">
        <v>102</v>
      </c>
      <c r="N187" s="1" t="s">
        <v>860</v>
      </c>
      <c r="P187" s="3"/>
      <c r="Q187" s="3"/>
      <c r="R187" s="3"/>
      <c r="S187" s="3"/>
      <c r="T187" s="1" t="s">
        <v>104</v>
      </c>
      <c r="U187" s="3"/>
      <c r="V187" s="3"/>
      <c r="W187" s="1" t="s">
        <v>105</v>
      </c>
      <c r="X187" s="3"/>
      <c r="Y187" s="1" t="s">
        <v>106</v>
      </c>
      <c r="Z187" s="3"/>
      <c r="AA187" s="1" t="b">
        <v>0</v>
      </c>
      <c r="AB187" s="1" t="b">
        <v>0</v>
      </c>
      <c r="AC187" s="1" t="b">
        <v>0</v>
      </c>
      <c r="AD187" s="1" t="b">
        <v>0</v>
      </c>
      <c r="AE187" s="1" t="b">
        <v>1</v>
      </c>
      <c r="AF187" s="3"/>
      <c r="AG187" s="3"/>
      <c r="AH187" s="3"/>
      <c r="AI187" s="3"/>
      <c r="AJ187" s="2">
        <v>46063.91925925926</v>
      </c>
      <c r="AK187" s="2">
        <v>46064.91956018518</v>
      </c>
      <c r="AM187" s="2">
        <v>46063.91950231481</v>
      </c>
      <c r="AN187" s="2">
        <v>46063.91950231481</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5">
        <v>4.4</v>
      </c>
      <c r="CR187" s="4" t="s">
        <v>861</v>
      </c>
    </row>
    <row r="188">
      <c r="A188" s="1" t="s">
        <v>862</v>
      </c>
      <c r="B188" s="2">
        <v>46063.88314814815</v>
      </c>
      <c r="C188" s="1" t="str">
        <f t="array" ref="C188">INDEX('User data'!E:E, MATCH(E188, 'User data'!B:B, 0))</f>
        <v>주식회사 시그</v>
      </c>
      <c r="D188" s="1" t="str">
        <f t="array" ref="D188">INDEX('User data'!F:F, MATCH(C188, 'User data'!E:E, 0))</f>
        <v>727-87-02292</v>
      </c>
      <c r="E188" s="1" t="s">
        <v>863</v>
      </c>
      <c r="F188" s="3"/>
      <c r="G188" s="3"/>
      <c r="H188" s="3"/>
      <c r="I188" s="3"/>
      <c r="J188" s="1" t="s">
        <v>100</v>
      </c>
      <c r="K188" s="1" t="s">
        <v>101</v>
      </c>
      <c r="L188" s="1" t="b">
        <v>0</v>
      </c>
      <c r="M188" s="4" t="s">
        <v>102</v>
      </c>
      <c r="N188" s="1" t="s">
        <v>864</v>
      </c>
      <c r="P188" s="3"/>
      <c r="Q188" s="3"/>
      <c r="R188" s="3"/>
      <c r="S188" s="3"/>
      <c r="T188" s="1" t="s">
        <v>104</v>
      </c>
      <c r="U188" s="3"/>
      <c r="V188" s="3"/>
      <c r="W188" s="1" t="s">
        <v>105</v>
      </c>
      <c r="X188" s="3"/>
      <c r="Y188" s="1" t="s">
        <v>106</v>
      </c>
      <c r="Z188" s="3"/>
      <c r="AA188" s="1" t="b">
        <v>0</v>
      </c>
      <c r="AB188" s="1" t="b">
        <v>0</v>
      </c>
      <c r="AC188" s="1" t="b">
        <v>0</v>
      </c>
      <c r="AD188" s="1" t="b">
        <v>0</v>
      </c>
      <c r="AE188" s="1" t="b">
        <v>1</v>
      </c>
      <c r="AF188" s="3"/>
      <c r="AG188" s="3"/>
      <c r="AH188" s="3"/>
      <c r="AI188" s="3"/>
      <c r="AJ188" s="2">
        <v>46063.88302083333</v>
      </c>
      <c r="AK188" s="2">
        <v>46064.883206018516</v>
      </c>
      <c r="AM188" s="2">
        <v>46063.88314814815</v>
      </c>
      <c r="AN188" s="2">
        <v>46063.88314814815</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5">
        <v>5.0</v>
      </c>
      <c r="CR188" s="4" t="s">
        <v>865</v>
      </c>
    </row>
    <row r="189">
      <c r="A189" s="1" t="s">
        <v>866</v>
      </c>
      <c r="B189" s="2">
        <v>46063.83453703704</v>
      </c>
      <c r="C189" s="1" t="str">
        <f t="array" ref="C189">INDEX('User data'!E:E, MATCH(E189, 'User data'!B:B, 0))</f>
        <v>주식회사 브랜뉴에이전시 (Brand New Agency Inc.)</v>
      </c>
      <c r="D189" s="1" t="str">
        <f t="array" ref="D189">INDEX('User data'!F:F, MATCH(C189, 'User data'!E:E, 0))</f>
        <v>639-87-02302</v>
      </c>
      <c r="E189" s="1" t="s">
        <v>227</v>
      </c>
      <c r="F189" s="3"/>
      <c r="G189" s="3"/>
      <c r="H189" s="3"/>
      <c r="I189" s="3"/>
      <c r="J189" s="1" t="s">
        <v>100</v>
      </c>
      <c r="K189" s="1" t="s">
        <v>101</v>
      </c>
      <c r="L189" s="1" t="b">
        <v>0</v>
      </c>
      <c r="M189" s="4" t="s">
        <v>102</v>
      </c>
      <c r="N189" s="1" t="s">
        <v>228</v>
      </c>
      <c r="P189" s="3"/>
      <c r="Q189" s="3"/>
      <c r="R189" s="3"/>
      <c r="S189" s="3"/>
      <c r="T189" s="1" t="s">
        <v>104</v>
      </c>
      <c r="U189" s="3"/>
      <c r="V189" s="3"/>
      <c r="W189" s="1" t="s">
        <v>105</v>
      </c>
      <c r="X189" s="3"/>
      <c r="Y189" s="1" t="s">
        <v>106</v>
      </c>
      <c r="Z189" s="3"/>
      <c r="AA189" s="1" t="b">
        <v>0</v>
      </c>
      <c r="AB189" s="1" t="b">
        <v>0</v>
      </c>
      <c r="AC189" s="1" t="b">
        <v>0</v>
      </c>
      <c r="AD189" s="1" t="b">
        <v>0</v>
      </c>
      <c r="AE189" s="1" t="b">
        <v>1</v>
      </c>
      <c r="AF189" s="3"/>
      <c r="AG189" s="3"/>
      <c r="AH189" s="3"/>
      <c r="AI189" s="3"/>
      <c r="AJ189" s="2">
        <v>46063.834398148145</v>
      </c>
      <c r="AK189" s="2">
        <v>46064.834861111114</v>
      </c>
      <c r="AM189" s="2">
        <v>46063.83453703704</v>
      </c>
      <c r="AN189" s="2">
        <v>46063.83453703704</v>
      </c>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5">
        <v>5.0</v>
      </c>
      <c r="CR189" s="4" t="s">
        <v>867</v>
      </c>
    </row>
    <row r="190">
      <c r="A190" s="1" t="s">
        <v>868</v>
      </c>
      <c r="B190" s="2">
        <v>46063.76871527778</v>
      </c>
      <c r="C190" s="1" t="str">
        <f t="array" ref="C190">INDEX('User data'!E:E, MATCH(E190, 'User data'!B:B, 0))</f>
        <v>주식회사 레몬베이스</v>
      </c>
      <c r="D190" s="1" t="str">
        <f t="array" ref="D190">INDEX('User data'!F:F, MATCH(C190, 'User data'!E:E, 0))</f>
        <v>197-87-01788</v>
      </c>
      <c r="E190" s="1" t="s">
        <v>869</v>
      </c>
      <c r="F190" s="3"/>
      <c r="G190" s="3"/>
      <c r="H190" s="1" t="s">
        <v>870</v>
      </c>
      <c r="I190" s="1" t="s">
        <v>871</v>
      </c>
      <c r="J190" s="1" t="s">
        <v>100</v>
      </c>
      <c r="K190" s="1" t="s">
        <v>101</v>
      </c>
      <c r="L190" s="1" t="b">
        <v>0</v>
      </c>
      <c r="M190" s="4" t="s">
        <v>102</v>
      </c>
      <c r="N190" s="1" t="s">
        <v>872</v>
      </c>
      <c r="O190" s="1">
        <v>574085.0</v>
      </c>
      <c r="P190" s="1">
        <v>574085.0</v>
      </c>
      <c r="Q190" s="1">
        <v>574085.0</v>
      </c>
      <c r="R190" s="1" t="s">
        <v>145</v>
      </c>
      <c r="S190" s="1">
        <v>13285.0</v>
      </c>
      <c r="T190" s="1" t="s">
        <v>104</v>
      </c>
      <c r="U190" s="3"/>
      <c r="V190" s="3"/>
      <c r="W190" s="1" t="s">
        <v>118</v>
      </c>
      <c r="X190" s="3"/>
      <c r="Y190" s="1" t="s">
        <v>119</v>
      </c>
      <c r="Z190" s="3"/>
      <c r="AA190" s="1" t="b">
        <v>1</v>
      </c>
      <c r="AB190" s="1" t="b">
        <v>0</v>
      </c>
      <c r="AC190" s="1" t="b">
        <v>0</v>
      </c>
      <c r="AD190" s="1" t="b">
        <v>1</v>
      </c>
      <c r="AE190" s="1" t="b">
        <v>1</v>
      </c>
      <c r="AF190" s="5">
        <v>5.0</v>
      </c>
      <c r="AG190" s="5">
        <v>4.0</v>
      </c>
      <c r="AH190" s="3"/>
      <c r="AI190" s="3"/>
      <c r="AJ190" s="2">
        <v>46063.76865740741</v>
      </c>
      <c r="AK190" s="2">
        <v>46073.55767361111</v>
      </c>
      <c r="AL190" s="2">
        <v>46063.769594907404</v>
      </c>
      <c r="AM190" s="2">
        <v>46063.76871527778</v>
      </c>
      <c r="AN190" s="2">
        <v>46063.76871527778</v>
      </c>
      <c r="AO190" s="2">
        <v>46063.769594907404</v>
      </c>
      <c r="AP190" s="2">
        <v>46063.769641203704</v>
      </c>
      <c r="AQ190" s="2">
        <v>46063.76960648148</v>
      </c>
      <c r="AS190" s="2">
        <v>46063.76961805556</v>
      </c>
      <c r="AT190" s="2">
        <v>46063.76960648148</v>
      </c>
      <c r="AU190" s="2">
        <v>46073.48296296296</v>
      </c>
      <c r="AW190" s="3"/>
      <c r="AX190" s="2">
        <v>46063.76961805556</v>
      </c>
      <c r="AY190" s="2">
        <v>46063.76961805556</v>
      </c>
      <c r="AZ190" s="2">
        <v>46064.41769675926</v>
      </c>
      <c r="BA190" s="2">
        <v>46073.51592592592</v>
      </c>
      <c r="BB190" s="2">
        <v>46072.56688657407</v>
      </c>
      <c r="BC190" s="2">
        <v>46073.51599537037</v>
      </c>
      <c r="BD190" s="2">
        <v>46073.51599537037</v>
      </c>
      <c r="BE190" s="5">
        <v>57844.0</v>
      </c>
      <c r="BF190" s="5">
        <v>1849.0</v>
      </c>
      <c r="BG190" s="5">
        <v>11568.0</v>
      </c>
      <c r="BH190" s="5">
        <v>462.0</v>
      </c>
      <c r="BI190" s="5">
        <v>433037.0</v>
      </c>
      <c r="BJ190" s="5">
        <v>67630.0</v>
      </c>
      <c r="BK190" s="5">
        <v>0.0</v>
      </c>
      <c r="BL190" s="5">
        <v>0.0</v>
      </c>
      <c r="BM190" s="5">
        <v>77.0</v>
      </c>
      <c r="BN190" s="5">
        <v>0.0</v>
      </c>
      <c r="BO190" s="5">
        <v>56072.0</v>
      </c>
      <c r="BP190" s="5">
        <v>89.0</v>
      </c>
      <c r="BQ190" s="5">
        <v>56072.0</v>
      </c>
      <c r="BR190" s="5">
        <v>89.0</v>
      </c>
      <c r="BS190" s="5">
        <v>55994.0</v>
      </c>
      <c r="BT190" s="5">
        <v>89.0</v>
      </c>
      <c r="BU190" s="5">
        <v>55994.0</v>
      </c>
      <c r="BV190" s="5">
        <v>89.0</v>
      </c>
      <c r="BW190" s="5">
        <v>55995.0</v>
      </c>
      <c r="BX190" s="5">
        <v>89.0</v>
      </c>
      <c r="BY190" s="5">
        <v>842164.0</v>
      </c>
      <c r="BZ190" s="5">
        <v>159782.0</v>
      </c>
      <c r="CA190" s="5">
        <v>842164.0</v>
      </c>
      <c r="CB190" s="5">
        <v>159782.0</v>
      </c>
      <c r="CC190" s="5">
        <v>842164.0</v>
      </c>
      <c r="CD190" s="5">
        <v>159782.0</v>
      </c>
      <c r="CE190" s="5">
        <v>842086.0</v>
      </c>
      <c r="CF190" s="5">
        <v>159782.0</v>
      </c>
      <c r="CG190" s="5">
        <v>842086.0</v>
      </c>
      <c r="CH190" s="5">
        <v>159782.0</v>
      </c>
      <c r="CI190" s="5">
        <v>842087.0</v>
      </c>
      <c r="CJ190" s="5">
        <v>159782.0</v>
      </c>
      <c r="CK190" s="5">
        <v>409049.0</v>
      </c>
      <c r="CL190" s="5">
        <v>92151.0</v>
      </c>
      <c r="CM190" s="5">
        <v>409049.0</v>
      </c>
      <c r="CN190" s="5">
        <v>92151.0</v>
      </c>
      <c r="CO190" s="5">
        <v>3.0</v>
      </c>
      <c r="CP190" s="5">
        <v>76.0</v>
      </c>
      <c r="CQ190" s="3"/>
      <c r="CR190" s="4" t="s">
        <v>873</v>
      </c>
    </row>
    <row r="191">
      <c r="A191" s="1" t="s">
        <v>874</v>
      </c>
      <c r="B191" s="2">
        <v>46063.73726851852</v>
      </c>
      <c r="C191" s="1" t="str">
        <f t="array" ref="C191">INDEX('User data'!E:E, MATCH(E191, 'User data'!B:B, 0))</f>
        <v>주식회사 레드빈 (REDBEAN Corporation)</v>
      </c>
      <c r="D191" s="1" t="str">
        <f t="array" ref="D191">INDEX('User data'!F:F, MATCH(C191, 'User data'!E:E, 0))</f>
        <v>774-81-00852</v>
      </c>
      <c r="E191" s="1" t="s">
        <v>875</v>
      </c>
      <c r="F191" s="3"/>
      <c r="G191" s="3"/>
      <c r="H191" s="3"/>
      <c r="I191" s="1" t="s">
        <v>258</v>
      </c>
      <c r="J191" s="1" t="s">
        <v>100</v>
      </c>
      <c r="K191" s="1" t="s">
        <v>101</v>
      </c>
      <c r="L191" s="1" t="b">
        <v>0</v>
      </c>
      <c r="M191" s="4" t="s">
        <v>102</v>
      </c>
      <c r="N191" s="1" t="s">
        <v>876</v>
      </c>
      <c r="O191" s="1">
        <v>594863.0</v>
      </c>
      <c r="P191" s="1">
        <v>574085.0</v>
      </c>
      <c r="Q191" s="1">
        <v>594863.0</v>
      </c>
      <c r="R191" s="1" t="s">
        <v>877</v>
      </c>
      <c r="S191" s="1">
        <v>13288.0</v>
      </c>
      <c r="T191" s="1" t="s">
        <v>104</v>
      </c>
      <c r="U191" s="3"/>
      <c r="V191" s="3"/>
      <c r="W191" s="1" t="s">
        <v>118</v>
      </c>
      <c r="X191" s="3"/>
      <c r="Y191" s="1" t="s">
        <v>119</v>
      </c>
      <c r="Z191" s="3"/>
      <c r="AA191" s="1" t="b">
        <v>1</v>
      </c>
      <c r="AB191" s="1" t="b">
        <v>1</v>
      </c>
      <c r="AC191" s="1" t="b">
        <v>1</v>
      </c>
      <c r="AD191" s="1" t="b">
        <v>1</v>
      </c>
      <c r="AE191" s="1" t="b">
        <v>1</v>
      </c>
      <c r="AF191" s="5">
        <v>5.0</v>
      </c>
      <c r="AG191" s="5">
        <v>3.0</v>
      </c>
      <c r="AH191" s="5">
        <v>1.0</v>
      </c>
      <c r="AI191" s="5">
        <v>1.0</v>
      </c>
      <c r="AJ191" s="2">
        <v>46063.737233796295</v>
      </c>
      <c r="AK191" s="2">
        <v>46064.607094907406</v>
      </c>
      <c r="AL191" s="2">
        <v>46063.737546296295</v>
      </c>
      <c r="AM191" s="2">
        <v>46063.73726851852</v>
      </c>
      <c r="AN191" s="2">
        <v>46063.73726851852</v>
      </c>
      <c r="AO191" s="2">
        <v>46063.737546296295</v>
      </c>
      <c r="AP191" s="2">
        <v>46063.73758101852</v>
      </c>
      <c r="AQ191" s="2">
        <v>46063.737546296295</v>
      </c>
      <c r="AS191" s="2">
        <v>46063.73755787037</v>
      </c>
      <c r="AT191" s="2">
        <v>46063.737546296295</v>
      </c>
      <c r="AU191" s="2">
        <v>46064.47690972222</v>
      </c>
      <c r="AW191" s="3"/>
      <c r="AX191" s="2">
        <v>46063.73755787037</v>
      </c>
      <c r="AY191" s="2">
        <v>46063.73755787037</v>
      </c>
      <c r="AZ191" s="2">
        <v>46063.82244212963</v>
      </c>
      <c r="BA191" s="2">
        <v>46064.48134259259</v>
      </c>
      <c r="BC191" s="2">
        <v>46064.474131944444</v>
      </c>
      <c r="BD191" s="2">
        <v>46064.565416666665</v>
      </c>
      <c r="BE191" s="5">
        <v>56116.0</v>
      </c>
      <c r="BF191" s="5">
        <v>1919.0</v>
      </c>
      <c r="BG191" s="5">
        <v>11223.0</v>
      </c>
      <c r="BH191" s="5">
        <v>639.0</v>
      </c>
      <c r="BI191" s="3"/>
      <c r="BJ191" s="3"/>
      <c r="BK191" s="5">
        <v>0.0</v>
      </c>
      <c r="BL191" s="5">
        <v>0.0</v>
      </c>
      <c r="BM191" s="5">
        <v>24.0</v>
      </c>
      <c r="BN191" s="5">
        <v>0.0</v>
      </c>
      <c r="BO191" s="5">
        <v>7359.0</v>
      </c>
      <c r="BP191" s="5">
        <v>0.0</v>
      </c>
      <c r="BQ191" s="5">
        <v>7359.0</v>
      </c>
      <c r="BR191" s="5">
        <v>0.0</v>
      </c>
      <c r="BS191" s="5">
        <v>7334.0</v>
      </c>
      <c r="BT191" s="5">
        <v>0.0</v>
      </c>
      <c r="BU191" s="5">
        <v>7334.0</v>
      </c>
      <c r="BV191" s="5">
        <v>0.0</v>
      </c>
      <c r="BW191" s="5">
        <v>7335.0</v>
      </c>
      <c r="BX191" s="5">
        <v>0.0</v>
      </c>
      <c r="BY191" s="5">
        <v>63665.0</v>
      </c>
      <c r="BZ191" s="5">
        <v>4965.0</v>
      </c>
      <c r="CA191" s="5">
        <v>71552.0</v>
      </c>
      <c r="CB191" s="5">
        <v>9252.0</v>
      </c>
      <c r="CC191" s="5">
        <v>63665.0</v>
      </c>
      <c r="CD191" s="5">
        <v>4965.0</v>
      </c>
      <c r="CE191" s="5">
        <v>63640.0</v>
      </c>
      <c r="CF191" s="5">
        <v>4965.0</v>
      </c>
      <c r="CG191" s="5">
        <v>63640.0</v>
      </c>
      <c r="CH191" s="5">
        <v>4965.0</v>
      </c>
      <c r="CI191" s="5">
        <v>63640.0</v>
      </c>
      <c r="CJ191" s="5">
        <v>4965.0</v>
      </c>
      <c r="CK191" s="5">
        <v>71287.0</v>
      </c>
      <c r="CL191" s="5">
        <v>9012.0</v>
      </c>
      <c r="CM191" s="5">
        <v>63640.0</v>
      </c>
      <c r="CN191" s="5">
        <v>4965.0</v>
      </c>
      <c r="CO191" s="5">
        <v>2.0</v>
      </c>
      <c r="CP191" s="5">
        <v>24.0</v>
      </c>
      <c r="CQ191" s="3"/>
      <c r="CR191" s="4" t="s">
        <v>878</v>
      </c>
      <c r="CS191" s="5">
        <v>5.0</v>
      </c>
      <c r="CT191" s="1" t="s">
        <v>879</v>
      </c>
    </row>
    <row r="192">
      <c r="A192" s="1" t="s">
        <v>880</v>
      </c>
      <c r="B192" s="2">
        <v>46063.73670138889</v>
      </c>
      <c r="C192" s="1" t="str">
        <f t="array" ref="C192">INDEX('User data'!E:E, MATCH(E192, 'User data'!B:B, 0))</f>
        <v>주식회사 레드빈 (REDBEAN Corporation)</v>
      </c>
      <c r="D192" s="1" t="str">
        <f t="array" ref="D192">INDEX('User data'!F:F, MATCH(C192, 'User data'!E:E, 0))</f>
        <v>774-81-00852</v>
      </c>
      <c r="E192" s="1" t="s">
        <v>875</v>
      </c>
      <c r="F192" s="3"/>
      <c r="G192" s="3"/>
      <c r="H192" s="3"/>
      <c r="I192" s="3"/>
      <c r="J192" s="1" t="s">
        <v>100</v>
      </c>
      <c r="K192" s="1" t="s">
        <v>101</v>
      </c>
      <c r="L192" s="1" t="b">
        <v>0</v>
      </c>
      <c r="M192" s="4" t="s">
        <v>102</v>
      </c>
      <c r="N192" s="1" t="s">
        <v>876</v>
      </c>
      <c r="P192" s="3"/>
      <c r="Q192" s="3"/>
      <c r="R192" s="3"/>
      <c r="S192" s="3"/>
      <c r="T192" s="1" t="s">
        <v>104</v>
      </c>
      <c r="U192" s="3"/>
      <c r="V192" s="3"/>
      <c r="W192" s="1" t="s">
        <v>118</v>
      </c>
      <c r="X192" s="3"/>
      <c r="Y192" s="1" t="s">
        <v>106</v>
      </c>
      <c r="Z192" s="3"/>
      <c r="AA192" s="1" t="b">
        <v>0</v>
      </c>
      <c r="AB192" s="1" t="b">
        <v>0</v>
      </c>
      <c r="AC192" s="1" t="b">
        <v>0</v>
      </c>
      <c r="AD192" s="1" t="b">
        <v>0</v>
      </c>
      <c r="AE192" s="1" t="b">
        <v>1</v>
      </c>
      <c r="AF192" s="3"/>
      <c r="AG192" s="3"/>
      <c r="AH192" s="3"/>
      <c r="AI192" s="3"/>
      <c r="AJ192" s="2">
        <v>46063.73653935185</v>
      </c>
      <c r="AK192" s="2">
        <v>46064.737129629626</v>
      </c>
      <c r="AM192" s="2">
        <v>46063.73670138889</v>
      </c>
      <c r="AN192" s="2">
        <v>46063.73670138889</v>
      </c>
      <c r="AP192" s="3"/>
      <c r="AQ192" s="3"/>
      <c r="AR192" s="3"/>
      <c r="AS192" s="3"/>
      <c r="AT192" s="3"/>
      <c r="AU192" s="3"/>
      <c r="AV192" s="3"/>
      <c r="AW192" s="3"/>
      <c r="AX192" s="3"/>
      <c r="AY192" s="3"/>
      <c r="AZ192" s="3"/>
      <c r="BA192" s="3"/>
      <c r="BB192" s="3"/>
      <c r="BC192" s="2">
        <v>46063.73721064815</v>
      </c>
      <c r="BD192" s="2">
        <v>46063.73721064815</v>
      </c>
      <c r="BF192" s="3"/>
      <c r="BG192" s="3"/>
      <c r="BH192" s="3"/>
      <c r="BI192" s="3"/>
      <c r="BJ192" s="3"/>
      <c r="BK192" s="3"/>
      <c r="BL192" s="3"/>
      <c r="BM192" s="3"/>
      <c r="BN192" s="3"/>
      <c r="BO192" s="3"/>
      <c r="BP192" s="3"/>
      <c r="BQ192" s="3"/>
      <c r="BR192" s="3"/>
      <c r="BS192" s="3"/>
      <c r="BT192" s="3"/>
      <c r="BU192" s="3"/>
      <c r="BV192" s="3"/>
      <c r="BW192" s="3"/>
      <c r="BX192" s="3"/>
      <c r="BY192" s="5">
        <v>43.0</v>
      </c>
      <c r="BZ192" s="5">
        <v>0.0</v>
      </c>
      <c r="CA192" s="5">
        <v>43.0</v>
      </c>
      <c r="CB192" s="5">
        <v>0.0</v>
      </c>
      <c r="CC192" s="5">
        <v>43.0</v>
      </c>
      <c r="CD192" s="5">
        <v>0.0</v>
      </c>
      <c r="CE192" s="3"/>
      <c r="CF192" s="3"/>
      <c r="CG192" s="3"/>
      <c r="CH192" s="3"/>
      <c r="CI192" s="3"/>
      <c r="CJ192" s="3"/>
      <c r="CK192" s="3"/>
      <c r="CL192" s="3"/>
      <c r="CM192" s="3"/>
      <c r="CN192" s="3"/>
      <c r="CO192" s="3"/>
      <c r="CP192" s="3"/>
      <c r="CQ192" s="5">
        <v>1.8</v>
      </c>
      <c r="CR192" s="4" t="s">
        <v>881</v>
      </c>
    </row>
    <row r="193">
      <c r="A193" s="1" t="s">
        <v>882</v>
      </c>
      <c r="B193" s="2">
        <v>46063.72237268519</v>
      </c>
      <c r="C193" s="1" t="str">
        <f t="array" ref="C193">INDEX('User data'!E:E, MATCH(E193, 'User data'!B:B, 0))</f>
        <v>주식회사 레드빈 (REDBEAN Corporation)</v>
      </c>
      <c r="D193" s="1" t="str">
        <f t="array" ref="D193">INDEX('User data'!F:F, MATCH(C193, 'User data'!E:E, 0))</f>
        <v>774-81-00852</v>
      </c>
      <c r="E193" s="1" t="s">
        <v>883</v>
      </c>
      <c r="F193" s="3"/>
      <c r="G193" s="3"/>
      <c r="H193" s="3"/>
      <c r="I193" s="3"/>
      <c r="J193" s="1" t="s">
        <v>100</v>
      </c>
      <c r="K193" s="1" t="s">
        <v>101</v>
      </c>
      <c r="L193" s="1" t="b">
        <v>0</v>
      </c>
      <c r="M193" s="1" t="s">
        <v>522</v>
      </c>
      <c r="N193" s="1" t="s">
        <v>884</v>
      </c>
      <c r="P193" s="3"/>
      <c r="Q193" s="3"/>
      <c r="R193" s="3"/>
      <c r="S193" s="3"/>
      <c r="T193" s="1" t="s">
        <v>104</v>
      </c>
      <c r="U193" s="3"/>
      <c r="V193" s="3"/>
      <c r="W193" s="1" t="s">
        <v>105</v>
      </c>
      <c r="X193" s="3"/>
      <c r="Y193" s="1" t="s">
        <v>106</v>
      </c>
      <c r="Z193" s="3"/>
      <c r="AA193" s="1" t="b">
        <v>0</v>
      </c>
      <c r="AB193" s="1" t="b">
        <v>0</v>
      </c>
      <c r="AC193" s="1" t="b">
        <v>0</v>
      </c>
      <c r="AD193" s="1" t="b">
        <v>0</v>
      </c>
      <c r="AE193" s="1" t="b">
        <v>1</v>
      </c>
      <c r="AF193" s="3"/>
      <c r="AG193" s="3"/>
      <c r="AH193" s="3"/>
      <c r="AI193" s="3"/>
      <c r="AJ193" s="2">
        <v>46063.72231481481</v>
      </c>
      <c r="AK193" s="2">
        <v>46064.72273148148</v>
      </c>
      <c r="AM193" s="2">
        <v>46063.72237268519</v>
      </c>
      <c r="AN193" s="2">
        <v>46063.72237268519</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5">
        <v>1.4</v>
      </c>
      <c r="CR193" s="4" t="s">
        <v>885</v>
      </c>
    </row>
    <row r="194">
      <c r="A194" s="1" t="s">
        <v>886</v>
      </c>
      <c r="B194" s="2">
        <v>46063.72052083333</v>
      </c>
      <c r="C194" s="1" t="str">
        <f t="array" ref="C194">INDEX('User data'!E:E, MATCH(E194, 'User data'!B:B, 0))</f>
        <v>주식회사 레드빈 (REDBEAN Corporation)</v>
      </c>
      <c r="D194" s="1" t="str">
        <f t="array" ref="D194">INDEX('User data'!F:F, MATCH(C194, 'User data'!E:E, 0))</f>
        <v>774-81-00852</v>
      </c>
      <c r="E194" s="1" t="s">
        <v>883</v>
      </c>
      <c r="F194" s="3"/>
      <c r="G194" s="3"/>
      <c r="H194" s="3"/>
      <c r="I194" s="3"/>
      <c r="J194" s="1" t="s">
        <v>100</v>
      </c>
      <c r="K194" s="1" t="s">
        <v>101</v>
      </c>
      <c r="L194" s="1" t="b">
        <v>0</v>
      </c>
      <c r="M194" s="4" t="s">
        <v>102</v>
      </c>
      <c r="N194" s="1" t="s">
        <v>884</v>
      </c>
      <c r="P194" s="3"/>
      <c r="Q194" s="3"/>
      <c r="R194" s="3"/>
      <c r="S194" s="3"/>
      <c r="T194" s="1" t="s">
        <v>104</v>
      </c>
      <c r="U194" s="3"/>
      <c r="V194" s="3"/>
      <c r="W194" s="1" t="s">
        <v>105</v>
      </c>
      <c r="X194" s="3"/>
      <c r="Y194" s="1" t="s">
        <v>106</v>
      </c>
      <c r="Z194" s="3"/>
      <c r="AA194" s="1" t="b">
        <v>0</v>
      </c>
      <c r="AB194" s="1" t="b">
        <v>0</v>
      </c>
      <c r="AC194" s="1" t="b">
        <v>0</v>
      </c>
      <c r="AD194" s="1" t="b">
        <v>0</v>
      </c>
      <c r="AE194" s="1" t="b">
        <v>1</v>
      </c>
      <c r="AF194" s="3"/>
      <c r="AG194" s="3"/>
      <c r="AH194" s="3"/>
      <c r="AI194" s="3"/>
      <c r="AJ194" s="2">
        <v>46063.72047453704</v>
      </c>
      <c r="AK194" s="2">
        <v>46064.72059027778</v>
      </c>
      <c r="AM194" s="2">
        <v>46063.72052083333</v>
      </c>
      <c r="AN194" s="2">
        <v>46063.72052083333</v>
      </c>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5">
        <v>1.6</v>
      </c>
      <c r="CR194" s="4" t="s">
        <v>887</v>
      </c>
    </row>
    <row r="195">
      <c r="A195" s="1" t="s">
        <v>888</v>
      </c>
      <c r="B195" s="2">
        <v>46063.71962962963</v>
      </c>
      <c r="C195" s="1" t="str">
        <f t="array" ref="C195">INDEX('User data'!E:E, MATCH(E195, 'User data'!B:B, 0))</f>
        <v>주식회사 캘러스컴퍼니</v>
      </c>
      <c r="D195" s="1" t="str">
        <f t="array" ref="D195">INDEX('User data'!F:F, MATCH(C195, 'User data'!E:E, 0))</f>
        <v>615-86-18887</v>
      </c>
      <c r="E195" s="1" t="s">
        <v>889</v>
      </c>
      <c r="F195" s="3"/>
      <c r="G195" s="3"/>
      <c r="H195" s="3"/>
      <c r="I195" s="3"/>
      <c r="J195" s="1" t="s">
        <v>100</v>
      </c>
      <c r="K195" s="1" t="s">
        <v>101</v>
      </c>
      <c r="L195" s="1" t="b">
        <v>0</v>
      </c>
      <c r="M195" s="4" t="s">
        <v>102</v>
      </c>
      <c r="N195" s="1" t="s">
        <v>890</v>
      </c>
      <c r="P195" s="3"/>
      <c r="Q195" s="3"/>
      <c r="R195" s="3"/>
      <c r="S195" s="3"/>
      <c r="T195" s="1" t="s">
        <v>104</v>
      </c>
      <c r="U195" s="3"/>
      <c r="V195" s="3"/>
      <c r="W195" s="1" t="s">
        <v>105</v>
      </c>
      <c r="X195" s="3"/>
      <c r="Y195" s="1" t="s">
        <v>106</v>
      </c>
      <c r="Z195" s="3"/>
      <c r="AA195" s="1" t="b">
        <v>0</v>
      </c>
      <c r="AB195" s="1" t="b">
        <v>0</v>
      </c>
      <c r="AC195" s="1" t="b">
        <v>0</v>
      </c>
      <c r="AD195" s="1" t="b">
        <v>0</v>
      </c>
      <c r="AE195" s="1" t="b">
        <v>1</v>
      </c>
      <c r="AF195" s="3"/>
      <c r="AG195" s="3"/>
      <c r="AH195" s="3"/>
      <c r="AI195" s="3"/>
      <c r="AJ195" s="2">
        <v>46063.719513888886</v>
      </c>
      <c r="AK195" s="2">
        <v>46064.7196875</v>
      </c>
      <c r="AM195" s="2">
        <v>46063.71962962963</v>
      </c>
      <c r="AN195" s="2">
        <v>46063.71962962963</v>
      </c>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5">
        <v>2.0</v>
      </c>
      <c r="CR195" s="4" t="s">
        <v>891</v>
      </c>
    </row>
    <row r="196">
      <c r="A196" s="1" t="s">
        <v>892</v>
      </c>
      <c r="B196" s="2">
        <v>46063.71640046296</v>
      </c>
      <c r="C196" s="1" t="str">
        <f t="array" ref="C196">INDEX('User data'!E:E, MATCH(E196, 'User data'!B:B, 0))</f>
        <v>주식회사 프리윌린</v>
      </c>
      <c r="D196" s="1" t="str">
        <f t="array" ref="D196">INDEX('User data'!F:F, MATCH(C196, 'User data'!E:E, 0))</f>
        <v>834-86-00713</v>
      </c>
      <c r="E196" s="1" t="s">
        <v>893</v>
      </c>
      <c r="F196" s="3"/>
      <c r="G196" s="3"/>
      <c r="H196" s="3"/>
      <c r="I196" s="3"/>
      <c r="J196" s="1" t="s">
        <v>100</v>
      </c>
      <c r="K196" s="1" t="s">
        <v>101</v>
      </c>
      <c r="L196" s="1" t="b">
        <v>0</v>
      </c>
      <c r="M196" s="4" t="s">
        <v>102</v>
      </c>
      <c r="N196" s="1" t="s">
        <v>894</v>
      </c>
      <c r="P196" s="3"/>
      <c r="Q196" s="3"/>
      <c r="R196" s="3"/>
      <c r="S196" s="3"/>
      <c r="T196" s="1" t="s">
        <v>104</v>
      </c>
      <c r="U196" s="3"/>
      <c r="V196" s="3"/>
      <c r="W196" s="1" t="s">
        <v>105</v>
      </c>
      <c r="X196" s="3"/>
      <c r="Y196" s="1" t="s">
        <v>106</v>
      </c>
      <c r="Z196" s="3"/>
      <c r="AA196" s="1" t="b">
        <v>0</v>
      </c>
      <c r="AB196" s="1" t="b">
        <v>0</v>
      </c>
      <c r="AC196" s="1" t="b">
        <v>0</v>
      </c>
      <c r="AD196" s="1" t="b">
        <v>0</v>
      </c>
      <c r="AE196" s="1" t="b">
        <v>1</v>
      </c>
      <c r="AF196" s="3"/>
      <c r="AG196" s="3"/>
      <c r="AH196" s="3"/>
      <c r="AI196" s="3"/>
      <c r="AJ196" s="2">
        <v>46063.71612268518</v>
      </c>
      <c r="AK196" s="2">
        <v>46064.717152777775</v>
      </c>
      <c r="AM196" s="2">
        <v>46063.71638888889</v>
      </c>
      <c r="AN196" s="2">
        <v>46063.71640046296</v>
      </c>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5">
        <v>5.0</v>
      </c>
      <c r="CR196" s="4" t="s">
        <v>895</v>
      </c>
    </row>
    <row r="197">
      <c r="A197" s="1" t="s">
        <v>896</v>
      </c>
      <c r="B197" s="2">
        <v>46063.71135416667</v>
      </c>
      <c r="C197" s="1" t="str">
        <f t="array" ref="C197">INDEX('User data'!E:E, MATCH(E197, 'User data'!B:B, 0))</f>
        <v>주식회사 크리에이션뮤직라이츠</v>
      </c>
      <c r="D197" s="1" t="str">
        <f t="array" ref="D197">INDEX('User data'!F:F, MATCH(C197, 'User data'!E:E, 0))</f>
        <v>418-88-01867</v>
      </c>
      <c r="E197" s="1" t="s">
        <v>897</v>
      </c>
      <c r="F197" s="3"/>
      <c r="G197" s="3"/>
      <c r="H197" s="3"/>
      <c r="I197" s="3"/>
      <c r="J197" s="1" t="s">
        <v>100</v>
      </c>
      <c r="K197" s="1" t="s">
        <v>101</v>
      </c>
      <c r="L197" s="1" t="b">
        <v>0</v>
      </c>
      <c r="M197" s="4" t="s">
        <v>102</v>
      </c>
      <c r="N197" s="1" t="s">
        <v>898</v>
      </c>
      <c r="P197" s="3"/>
      <c r="Q197" s="3"/>
      <c r="R197" s="3"/>
      <c r="S197" s="3"/>
      <c r="T197" s="1" t="s">
        <v>104</v>
      </c>
      <c r="U197" s="3"/>
      <c r="V197" s="3"/>
      <c r="W197" s="1" t="s">
        <v>105</v>
      </c>
      <c r="X197" s="3"/>
      <c r="Y197" s="1" t="s">
        <v>106</v>
      </c>
      <c r="Z197" s="3"/>
      <c r="AA197" s="1" t="b">
        <v>0</v>
      </c>
      <c r="AB197" s="1" t="b">
        <v>0</v>
      </c>
      <c r="AC197" s="1" t="b">
        <v>0</v>
      </c>
      <c r="AD197" s="1" t="b">
        <v>0</v>
      </c>
      <c r="AE197" s="1" t="b">
        <v>1</v>
      </c>
      <c r="AF197" s="3"/>
      <c r="AG197" s="3"/>
      <c r="AH197" s="3"/>
      <c r="AI197" s="3"/>
      <c r="AJ197" s="2">
        <v>46063.71127314815</v>
      </c>
      <c r="AK197" s="2">
        <v>46064.71140046296</v>
      </c>
      <c r="AM197" s="2">
        <v>46063.71135416667</v>
      </c>
      <c r="AN197" s="2">
        <v>46063.71135416667</v>
      </c>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5">
        <v>4.4</v>
      </c>
      <c r="CR197" s="4" t="s">
        <v>899</v>
      </c>
    </row>
    <row r="198">
      <c r="A198" s="1" t="s">
        <v>900</v>
      </c>
      <c r="B198" s="2">
        <v>46063.69684027778</v>
      </c>
      <c r="C198" s="1" t="str">
        <f t="array" ref="C198">INDEX('User data'!E:E, MATCH(E198, 'User data'!B:B, 0))</f>
        <v>주식회사 비석세스</v>
      </c>
      <c r="D198" s="1" t="str">
        <f t="array" ref="D198">INDEX('User data'!F:F, MATCH(C198, 'User data'!E:E, 0))</f>
        <v>120-87-59693</v>
      </c>
      <c r="E198" s="1" t="s">
        <v>901</v>
      </c>
      <c r="F198" s="3"/>
      <c r="G198" s="3"/>
      <c r="H198" s="1" t="s">
        <v>902</v>
      </c>
      <c r="J198" s="1" t="s">
        <v>100</v>
      </c>
      <c r="K198" s="1" t="s">
        <v>173</v>
      </c>
      <c r="L198" s="1" t="b">
        <v>0</v>
      </c>
      <c r="M198" s="3"/>
      <c r="N198" s="1" t="s">
        <v>903</v>
      </c>
      <c r="O198" s="1">
        <v>607950.0</v>
      </c>
      <c r="P198" s="1">
        <v>607950.0</v>
      </c>
      <c r="Q198" s="3"/>
      <c r="R198" s="1">
        <v>607950.0</v>
      </c>
      <c r="S198" s="3"/>
      <c r="T198" s="1" t="s">
        <v>104</v>
      </c>
      <c r="U198" s="3"/>
      <c r="V198" s="3"/>
      <c r="W198" s="1" t="s">
        <v>176</v>
      </c>
      <c r="X198" s="3"/>
      <c r="Y198" s="1" t="s">
        <v>106</v>
      </c>
      <c r="Z198" s="3"/>
      <c r="AA198" s="1" t="b">
        <v>1</v>
      </c>
      <c r="AB198" s="1" t="b">
        <v>0</v>
      </c>
      <c r="AC198" s="1" t="b">
        <v>0</v>
      </c>
      <c r="AD198" s="1" t="b">
        <v>0</v>
      </c>
      <c r="AE198" s="1" t="b">
        <v>0</v>
      </c>
      <c r="AF198" s="3"/>
      <c r="AG198" s="3"/>
      <c r="AH198" s="3"/>
      <c r="AI198" s="3"/>
      <c r="AJ198" s="2">
        <v>46063.69684027778</v>
      </c>
      <c r="AK198" s="2">
        <v>46073.420115740744</v>
      </c>
      <c r="AM198" s="3"/>
      <c r="AN198" s="3"/>
      <c r="AO198" s="3"/>
      <c r="AP198" s="3"/>
      <c r="AQ198" s="3"/>
      <c r="AR198" s="3"/>
      <c r="AS198" s="3"/>
      <c r="AT198" s="2">
        <v>46063.69684027778</v>
      </c>
      <c r="AU198" s="2">
        <v>46073.37542824074</v>
      </c>
      <c r="AW198" s="3"/>
      <c r="AX198" s="2">
        <v>46063.69684027778</v>
      </c>
      <c r="AY198" s="2">
        <v>46063.69684027778</v>
      </c>
      <c r="BA198" s="3"/>
      <c r="BB198" s="2">
        <v>46073.420115740744</v>
      </c>
      <c r="BD198" s="3"/>
      <c r="BE198" s="3"/>
      <c r="BF198" s="3"/>
      <c r="BG198" s="3"/>
      <c r="BH198" s="3"/>
      <c r="BI198" s="5">
        <v>574957.0</v>
      </c>
      <c r="BJ198" s="5">
        <v>87073.0</v>
      </c>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4" t="s">
        <v>904</v>
      </c>
    </row>
    <row r="199">
      <c r="A199" s="1" t="s">
        <v>905</v>
      </c>
      <c r="B199" s="2">
        <v>46063.69636574074</v>
      </c>
      <c r="C199" s="1" t="str">
        <f t="array" ref="C199">INDEX('User data'!E:E, MATCH(E199, 'User data'!B:B, 0))</f>
        <v>밸류업부동산중개법인 주식회사</v>
      </c>
      <c r="D199" s="1" t="str">
        <f t="array" ref="D199">INDEX('User data'!F:F, MATCH(C199, 'User data'!E:E, 0))</f>
        <v>818-88-02047</v>
      </c>
      <c r="E199" s="1" t="s">
        <v>906</v>
      </c>
      <c r="F199" s="3"/>
      <c r="G199" s="3"/>
      <c r="H199" s="1" t="s">
        <v>907</v>
      </c>
      <c r="J199" s="1" t="s">
        <v>100</v>
      </c>
      <c r="K199" s="1" t="s">
        <v>173</v>
      </c>
      <c r="L199" s="1" t="b">
        <v>0</v>
      </c>
      <c r="M199" s="3"/>
      <c r="N199" s="1" t="s">
        <v>908</v>
      </c>
      <c r="O199" s="1">
        <v>607950.0</v>
      </c>
      <c r="P199" s="1">
        <v>607950.0</v>
      </c>
      <c r="Q199" s="3"/>
      <c r="R199" s="1">
        <v>607950.0</v>
      </c>
      <c r="S199" s="3"/>
      <c r="T199" s="1" t="s">
        <v>104</v>
      </c>
      <c r="U199" s="3"/>
      <c r="V199" s="3"/>
      <c r="W199" s="1" t="s">
        <v>176</v>
      </c>
      <c r="X199" s="3"/>
      <c r="Y199" s="1" t="s">
        <v>106</v>
      </c>
      <c r="Z199" s="3"/>
      <c r="AA199" s="1" t="b">
        <v>1</v>
      </c>
      <c r="AB199" s="1" t="b">
        <v>0</v>
      </c>
      <c r="AC199" s="1" t="b">
        <v>0</v>
      </c>
      <c r="AD199" s="1" t="b">
        <v>0</v>
      </c>
      <c r="AE199" s="1" t="b">
        <v>0</v>
      </c>
      <c r="AF199" s="3"/>
      <c r="AG199" s="3"/>
      <c r="AH199" s="3"/>
      <c r="AI199" s="3"/>
      <c r="AJ199" s="2">
        <v>46063.69636574074</v>
      </c>
      <c r="AK199" s="2">
        <v>46073.420115740744</v>
      </c>
      <c r="AM199" s="3"/>
      <c r="AN199" s="3"/>
      <c r="AO199" s="3"/>
      <c r="AP199" s="3"/>
      <c r="AQ199" s="3"/>
      <c r="AR199" s="3"/>
      <c r="AS199" s="3"/>
      <c r="AT199" s="2">
        <v>46063.69636574074</v>
      </c>
      <c r="AU199" s="2">
        <v>46073.37542824074</v>
      </c>
      <c r="AW199" s="3"/>
      <c r="AX199" s="2">
        <v>46063.69636574074</v>
      </c>
      <c r="AY199" s="2">
        <v>46063.69636574074</v>
      </c>
      <c r="BA199" s="3"/>
      <c r="BB199" s="2">
        <v>46073.420115740744</v>
      </c>
      <c r="BD199" s="3"/>
      <c r="BE199" s="3"/>
      <c r="BF199" s="3"/>
      <c r="BG199" s="3"/>
      <c r="BH199" s="3"/>
      <c r="BI199" s="5">
        <v>574957.0</v>
      </c>
      <c r="BJ199" s="5">
        <v>87073.0</v>
      </c>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4" t="s">
        <v>909</v>
      </c>
    </row>
    <row r="200">
      <c r="A200" s="1" t="s">
        <v>910</v>
      </c>
      <c r="B200" s="2">
        <v>46063.69600694445</v>
      </c>
      <c r="C200" s="1" t="str">
        <f t="array" ref="C200">INDEX('User data'!E:E, MATCH(E200, 'User data'!B:B, 0))</f>
        <v>주식회사 샐러리파이 (Salarify Corp.)</v>
      </c>
      <c r="D200" s="1" t="str">
        <f t="array" ref="D200">INDEX('User data'!F:F, MATCH(C200, 'User data'!E:E, 0))</f>
        <v>144-86-02597</v>
      </c>
      <c r="E200" s="1" t="s">
        <v>911</v>
      </c>
      <c r="F200" s="3"/>
      <c r="G200" s="3"/>
      <c r="H200" s="1" t="s">
        <v>912</v>
      </c>
      <c r="J200" s="1" t="s">
        <v>100</v>
      </c>
      <c r="K200" s="1" t="s">
        <v>173</v>
      </c>
      <c r="L200" s="1" t="b">
        <v>0</v>
      </c>
      <c r="M200" s="3"/>
      <c r="N200" s="1" t="s">
        <v>913</v>
      </c>
      <c r="O200" s="1">
        <v>607950.0</v>
      </c>
      <c r="P200" s="1">
        <v>607950.0</v>
      </c>
      <c r="Q200" s="3"/>
      <c r="R200" s="1">
        <v>607950.0</v>
      </c>
      <c r="S200" s="3"/>
      <c r="T200" s="1" t="s">
        <v>104</v>
      </c>
      <c r="U200" s="3"/>
      <c r="V200" s="3"/>
      <c r="W200" s="1" t="s">
        <v>176</v>
      </c>
      <c r="X200" s="3"/>
      <c r="Y200" s="1" t="s">
        <v>106</v>
      </c>
      <c r="Z200" s="3"/>
      <c r="AA200" s="1" t="b">
        <v>1</v>
      </c>
      <c r="AB200" s="1" t="b">
        <v>0</v>
      </c>
      <c r="AC200" s="1" t="b">
        <v>0</v>
      </c>
      <c r="AD200" s="1" t="b">
        <v>0</v>
      </c>
      <c r="AE200" s="1" t="b">
        <v>0</v>
      </c>
      <c r="AF200" s="3"/>
      <c r="AG200" s="3"/>
      <c r="AH200" s="3"/>
      <c r="AI200" s="3"/>
      <c r="AJ200" s="2">
        <v>46063.69599537037</v>
      </c>
      <c r="AK200" s="2">
        <v>46073.420115740744</v>
      </c>
      <c r="AM200" s="3"/>
      <c r="AN200" s="3"/>
      <c r="AO200" s="3"/>
      <c r="AP200" s="3"/>
      <c r="AQ200" s="3"/>
      <c r="AR200" s="3"/>
      <c r="AS200" s="3"/>
      <c r="AT200" s="2">
        <v>46063.69600694445</v>
      </c>
      <c r="AU200" s="2">
        <v>46073.37540509259</v>
      </c>
      <c r="AW200" s="3"/>
      <c r="AX200" s="2">
        <v>46063.69599537037</v>
      </c>
      <c r="AY200" s="2">
        <v>46063.69600694445</v>
      </c>
      <c r="BA200" s="3"/>
      <c r="BB200" s="2">
        <v>46073.420115740744</v>
      </c>
      <c r="BD200" s="3"/>
      <c r="BE200" s="3"/>
      <c r="BF200" s="3"/>
      <c r="BG200" s="3"/>
      <c r="BH200" s="3"/>
      <c r="BI200" s="5">
        <v>574969.0</v>
      </c>
      <c r="BJ200" s="5">
        <v>87073.0</v>
      </c>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4" t="s">
        <v>914</v>
      </c>
    </row>
    <row r="201">
      <c r="A201" s="1" t="s">
        <v>915</v>
      </c>
      <c r="B201" s="2">
        <v>46063.695243055554</v>
      </c>
      <c r="C201" s="1" t="str">
        <f t="array" ref="C201">INDEX('User data'!E:E, MATCH(E201, 'User data'!B:B, 0))</f>
        <v>주식회사 호아파트너스</v>
      </c>
      <c r="D201" s="1" t="str">
        <f t="array" ref="D201">INDEX('User data'!F:F, MATCH(C201, 'User data'!E:E, 0))</f>
        <v>650-86-01021</v>
      </c>
      <c r="E201" s="1" t="s">
        <v>916</v>
      </c>
      <c r="F201" s="3"/>
      <c r="G201" s="3"/>
      <c r="H201" s="1" t="s">
        <v>917</v>
      </c>
      <c r="J201" s="1" t="s">
        <v>100</v>
      </c>
      <c r="K201" s="1" t="s">
        <v>173</v>
      </c>
      <c r="L201" s="1" t="b">
        <v>0</v>
      </c>
      <c r="M201" s="3"/>
      <c r="N201" s="1" t="s">
        <v>918</v>
      </c>
      <c r="O201" s="1">
        <v>607950.0</v>
      </c>
      <c r="P201" s="1">
        <v>607950.0</v>
      </c>
      <c r="Q201" s="3"/>
      <c r="R201" s="1">
        <v>607950.0</v>
      </c>
      <c r="S201" s="3"/>
      <c r="T201" s="1" t="s">
        <v>104</v>
      </c>
      <c r="U201" s="3"/>
      <c r="V201" s="3"/>
      <c r="W201" s="1" t="s">
        <v>176</v>
      </c>
      <c r="X201" s="3"/>
      <c r="Y201" s="1" t="s">
        <v>106</v>
      </c>
      <c r="Z201" s="3"/>
      <c r="AA201" s="1" t="b">
        <v>1</v>
      </c>
      <c r="AB201" s="1" t="b">
        <v>0</v>
      </c>
      <c r="AC201" s="1" t="b">
        <v>0</v>
      </c>
      <c r="AD201" s="1" t="b">
        <v>0</v>
      </c>
      <c r="AE201" s="1" t="b">
        <v>0</v>
      </c>
      <c r="AF201" s="3"/>
      <c r="AG201" s="3"/>
      <c r="AH201" s="3"/>
      <c r="AI201" s="3"/>
      <c r="AJ201" s="2">
        <v>46063.695243055554</v>
      </c>
      <c r="AK201" s="2">
        <v>46073.420115740744</v>
      </c>
      <c r="AM201" s="3"/>
      <c r="AN201" s="3"/>
      <c r="AO201" s="3"/>
      <c r="AP201" s="3"/>
      <c r="AQ201" s="3"/>
      <c r="AR201" s="3"/>
      <c r="AS201" s="3"/>
      <c r="AT201" s="2">
        <v>46063.695243055554</v>
      </c>
      <c r="AU201" s="2">
        <v>46073.375393518516</v>
      </c>
      <c r="AW201" s="3"/>
      <c r="AX201" s="2">
        <v>46063.695243055554</v>
      </c>
      <c r="AY201" s="2">
        <v>46063.695243055554</v>
      </c>
      <c r="BA201" s="3"/>
      <c r="BB201" s="2">
        <v>46073.420115740744</v>
      </c>
      <c r="BD201" s="3"/>
      <c r="BE201" s="3"/>
      <c r="BF201" s="3"/>
      <c r="BG201" s="3"/>
      <c r="BH201" s="3"/>
      <c r="BI201" s="5">
        <v>574968.0</v>
      </c>
      <c r="BJ201" s="5">
        <v>87073.0</v>
      </c>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4" t="s">
        <v>919</v>
      </c>
    </row>
    <row r="202">
      <c r="A202" s="1" t="s">
        <v>920</v>
      </c>
      <c r="B202" s="2">
        <v>46063.694027777776</v>
      </c>
      <c r="C202" s="1" t="str">
        <f t="array" ref="C202">INDEX('User data'!E:E, MATCH(E202, 'User data'!B:B, 0))</f>
        <v>플럭서 주식회사</v>
      </c>
      <c r="D202" s="1" t="str">
        <f t="array" ref="D202">INDEX('User data'!F:F, MATCH(C202, 'User data'!E:E, 0))</f>
        <v>798-87-02576</v>
      </c>
      <c r="E202" s="1" t="s">
        <v>921</v>
      </c>
      <c r="F202" s="3"/>
      <c r="G202" s="3"/>
      <c r="H202" s="1" t="s">
        <v>922</v>
      </c>
      <c r="J202" s="1" t="s">
        <v>100</v>
      </c>
      <c r="K202" s="1" t="s">
        <v>173</v>
      </c>
      <c r="L202" s="1" t="b">
        <v>0</v>
      </c>
      <c r="M202" s="3"/>
      <c r="N202" s="1" t="s">
        <v>923</v>
      </c>
      <c r="O202" s="1">
        <v>607950.0</v>
      </c>
      <c r="P202" s="1">
        <v>607950.0</v>
      </c>
      <c r="Q202" s="3"/>
      <c r="R202" s="1">
        <v>607950.0</v>
      </c>
      <c r="S202" s="3"/>
      <c r="T202" s="1" t="s">
        <v>104</v>
      </c>
      <c r="U202" s="3"/>
      <c r="V202" s="3"/>
      <c r="W202" s="1" t="s">
        <v>176</v>
      </c>
      <c r="X202" s="3"/>
      <c r="Y202" s="1" t="s">
        <v>106</v>
      </c>
      <c r="Z202" s="3"/>
      <c r="AA202" s="1" t="b">
        <v>1</v>
      </c>
      <c r="AB202" s="1" t="b">
        <v>0</v>
      </c>
      <c r="AC202" s="1" t="b">
        <v>0</v>
      </c>
      <c r="AD202" s="1" t="b">
        <v>0</v>
      </c>
      <c r="AE202" s="1" t="b">
        <v>0</v>
      </c>
      <c r="AF202" s="3"/>
      <c r="AG202" s="3"/>
      <c r="AH202" s="3"/>
      <c r="AI202" s="3"/>
      <c r="AJ202" s="2">
        <v>46063.694027777776</v>
      </c>
      <c r="AK202" s="2">
        <v>46073.420115740744</v>
      </c>
      <c r="AM202" s="3"/>
      <c r="AN202" s="3"/>
      <c r="AO202" s="3"/>
      <c r="AP202" s="3"/>
      <c r="AQ202" s="3"/>
      <c r="AR202" s="3"/>
      <c r="AS202" s="3"/>
      <c r="AT202" s="2">
        <v>46063.694027777776</v>
      </c>
      <c r="AU202" s="2">
        <v>46073.37540509259</v>
      </c>
      <c r="AW202" s="3"/>
      <c r="AX202" s="2">
        <v>46063.694027777776</v>
      </c>
      <c r="AY202" s="2">
        <v>46063.694027777776</v>
      </c>
      <c r="BA202" s="3"/>
      <c r="BB202" s="2">
        <v>46073.420115740744</v>
      </c>
      <c r="BD202" s="3"/>
      <c r="BE202" s="3"/>
      <c r="BF202" s="3"/>
      <c r="BG202" s="3"/>
      <c r="BH202" s="3"/>
      <c r="BI202" s="5">
        <v>574955.0</v>
      </c>
      <c r="BJ202" s="5">
        <v>87073.0</v>
      </c>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4" t="s">
        <v>924</v>
      </c>
    </row>
    <row r="203">
      <c r="A203" s="1" t="s">
        <v>925</v>
      </c>
      <c r="B203" s="2">
        <v>46063.693506944444</v>
      </c>
      <c r="C203" s="1" t="str">
        <f t="array" ref="C203">INDEX('User data'!E:E, MATCH(E203, 'User data'!B:B, 0))</f>
        <v>주식회사 부쉬맨(BUSHMAN Co., Ltd.)</v>
      </c>
      <c r="D203" s="1" t="str">
        <f t="array" ref="D203">INDEX('User data'!F:F, MATCH(C203, 'User data'!E:E, 0))</f>
        <v>538-87-02289</v>
      </c>
      <c r="E203" s="1" t="s">
        <v>926</v>
      </c>
      <c r="F203" s="3"/>
      <c r="G203" s="3"/>
      <c r="H203" s="1" t="s">
        <v>927</v>
      </c>
      <c r="J203" s="1" t="s">
        <v>100</v>
      </c>
      <c r="K203" s="1" t="s">
        <v>173</v>
      </c>
      <c r="L203" s="1" t="b">
        <v>0</v>
      </c>
      <c r="M203" s="3"/>
      <c r="N203" s="1" t="s">
        <v>928</v>
      </c>
      <c r="O203" s="1">
        <v>607950.0</v>
      </c>
      <c r="P203" s="1">
        <v>607950.0</v>
      </c>
      <c r="Q203" s="3"/>
      <c r="R203" s="1">
        <v>607950.0</v>
      </c>
      <c r="S203" s="3"/>
      <c r="T203" s="1" t="s">
        <v>104</v>
      </c>
      <c r="U203" s="3"/>
      <c r="V203" s="3"/>
      <c r="W203" s="1" t="s">
        <v>176</v>
      </c>
      <c r="X203" s="3"/>
      <c r="Y203" s="1" t="s">
        <v>106</v>
      </c>
      <c r="Z203" s="3"/>
      <c r="AA203" s="1" t="b">
        <v>1</v>
      </c>
      <c r="AB203" s="1" t="b">
        <v>0</v>
      </c>
      <c r="AC203" s="1" t="b">
        <v>0</v>
      </c>
      <c r="AD203" s="1" t="b">
        <v>0</v>
      </c>
      <c r="AE203" s="1" t="b">
        <v>0</v>
      </c>
      <c r="AF203" s="3"/>
      <c r="AG203" s="3"/>
      <c r="AH203" s="3"/>
      <c r="AI203" s="3"/>
      <c r="AJ203" s="2">
        <v>46063.69349537037</v>
      </c>
      <c r="AK203" s="2">
        <v>46073.42010416667</v>
      </c>
      <c r="AM203" s="3"/>
      <c r="AN203" s="3"/>
      <c r="AO203" s="3"/>
      <c r="AP203" s="3"/>
      <c r="AQ203" s="3"/>
      <c r="AR203" s="3"/>
      <c r="AS203" s="3"/>
      <c r="AT203" s="2">
        <v>46063.693506944444</v>
      </c>
      <c r="AU203" s="2">
        <v>46073.375393518516</v>
      </c>
      <c r="AW203" s="3"/>
      <c r="AX203" s="2">
        <v>46063.69349537037</v>
      </c>
      <c r="AY203" s="2">
        <v>46063.693506944444</v>
      </c>
      <c r="BA203" s="3"/>
      <c r="BB203" s="2">
        <v>46073.42010416667</v>
      </c>
      <c r="BD203" s="3"/>
      <c r="BE203" s="3"/>
      <c r="BF203" s="3"/>
      <c r="BG203" s="3"/>
      <c r="BH203" s="3"/>
      <c r="BI203" s="5">
        <v>574972.0</v>
      </c>
      <c r="BJ203" s="5">
        <v>87074.0</v>
      </c>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4" t="s">
        <v>929</v>
      </c>
    </row>
    <row r="204">
      <c r="A204" s="1" t="s">
        <v>930</v>
      </c>
      <c r="B204" s="2">
        <v>46063.692465277774</v>
      </c>
      <c r="C204" s="1" t="str">
        <f t="array" ref="C204">INDEX('User data'!E:E, MATCH(E204, 'User data'!B:B, 0))</f>
        <v>주식회사 콘콘</v>
      </c>
      <c r="D204" s="1" t="str">
        <f t="array" ref="D204">INDEX('User data'!F:F, MATCH(C204, 'User data'!E:E, 0))</f>
        <v>772-87-02399</v>
      </c>
      <c r="E204" s="1" t="s">
        <v>931</v>
      </c>
      <c r="F204" s="3"/>
      <c r="G204" s="3"/>
      <c r="H204" s="1" t="s">
        <v>932</v>
      </c>
      <c r="J204" s="1" t="s">
        <v>100</v>
      </c>
      <c r="K204" s="1" t="s">
        <v>173</v>
      </c>
      <c r="L204" s="1" t="b">
        <v>0</v>
      </c>
      <c r="M204" s="3"/>
      <c r="N204" s="1" t="s">
        <v>933</v>
      </c>
      <c r="O204" s="1">
        <v>607950.0</v>
      </c>
      <c r="P204" s="1">
        <v>607950.0</v>
      </c>
      <c r="Q204" s="3"/>
      <c r="R204" s="1">
        <v>607950.0</v>
      </c>
      <c r="S204" s="3"/>
      <c r="T204" s="1" t="s">
        <v>104</v>
      </c>
      <c r="U204" s="3"/>
      <c r="V204" s="3"/>
      <c r="W204" s="1" t="s">
        <v>176</v>
      </c>
      <c r="X204" s="3"/>
      <c r="Y204" s="1" t="s">
        <v>106</v>
      </c>
      <c r="Z204" s="3"/>
      <c r="AA204" s="1" t="b">
        <v>1</v>
      </c>
      <c r="AB204" s="1" t="b">
        <v>0</v>
      </c>
      <c r="AC204" s="1" t="b">
        <v>0</v>
      </c>
      <c r="AD204" s="1" t="b">
        <v>0</v>
      </c>
      <c r="AE204" s="1" t="b">
        <v>0</v>
      </c>
      <c r="AF204" s="3"/>
      <c r="AG204" s="3"/>
      <c r="AH204" s="3"/>
      <c r="AI204" s="3"/>
      <c r="AJ204" s="2">
        <v>46063.692465277774</v>
      </c>
      <c r="AK204" s="2">
        <v>46073.420115740744</v>
      </c>
      <c r="AM204" s="3"/>
      <c r="AN204" s="3"/>
      <c r="AO204" s="3"/>
      <c r="AP204" s="3"/>
      <c r="AQ204" s="3"/>
      <c r="AR204" s="3"/>
      <c r="AS204" s="3"/>
      <c r="AT204" s="2">
        <v>46063.692465277774</v>
      </c>
      <c r="AU204" s="2">
        <v>46073.37527777778</v>
      </c>
      <c r="AW204" s="3"/>
      <c r="AX204" s="2">
        <v>46063.692465277774</v>
      </c>
      <c r="AY204" s="2">
        <v>46063.692465277774</v>
      </c>
      <c r="BA204" s="3"/>
      <c r="BB204" s="2">
        <v>46073.420115740744</v>
      </c>
      <c r="BD204" s="3"/>
      <c r="BE204" s="3"/>
      <c r="BF204" s="3"/>
      <c r="BG204" s="3"/>
      <c r="BH204" s="3"/>
      <c r="BI204" s="5">
        <v>574944.0</v>
      </c>
      <c r="BJ204" s="5">
        <v>87073.0</v>
      </c>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4" t="s">
        <v>934</v>
      </c>
    </row>
    <row r="205">
      <c r="A205" s="1" t="s">
        <v>935</v>
      </c>
      <c r="B205" s="2">
        <v>46063.69181712963</v>
      </c>
      <c r="C205" s="1" t="str">
        <f t="array" ref="C205">INDEX('User data'!E:E, MATCH(E205, 'User data'!B:B, 0))</f>
        <v>주식회사 데이터라이즈</v>
      </c>
      <c r="D205" s="1" t="str">
        <f t="array" ref="D205">INDEX('User data'!F:F, MATCH(C205, 'User data'!E:E, 0))</f>
        <v>259-87-01484</v>
      </c>
      <c r="E205" s="1" t="s">
        <v>936</v>
      </c>
      <c r="F205" s="3"/>
      <c r="G205" s="3"/>
      <c r="H205" s="1" t="s">
        <v>937</v>
      </c>
      <c r="J205" s="1" t="s">
        <v>100</v>
      </c>
      <c r="K205" s="1" t="s">
        <v>173</v>
      </c>
      <c r="L205" s="1" t="b">
        <v>0</v>
      </c>
      <c r="M205" s="3"/>
      <c r="N205" s="1" t="s">
        <v>938</v>
      </c>
      <c r="O205" s="1">
        <v>607950.0</v>
      </c>
      <c r="P205" s="1">
        <v>607950.0</v>
      </c>
      <c r="Q205" s="3"/>
      <c r="R205" s="1">
        <v>607950.0</v>
      </c>
      <c r="S205" s="3"/>
      <c r="T205" s="1" t="s">
        <v>104</v>
      </c>
      <c r="U205" s="3"/>
      <c r="V205" s="3"/>
      <c r="W205" s="1" t="s">
        <v>176</v>
      </c>
      <c r="X205" s="3"/>
      <c r="Y205" s="1" t="s">
        <v>106</v>
      </c>
      <c r="Z205" s="3"/>
      <c r="AA205" s="1" t="b">
        <v>1</v>
      </c>
      <c r="AB205" s="1" t="b">
        <v>0</v>
      </c>
      <c r="AC205" s="1" t="b">
        <v>0</v>
      </c>
      <c r="AD205" s="1" t="b">
        <v>0</v>
      </c>
      <c r="AE205" s="1" t="b">
        <v>0</v>
      </c>
      <c r="AF205" s="3"/>
      <c r="AG205" s="3"/>
      <c r="AH205" s="3"/>
      <c r="AI205" s="3"/>
      <c r="AJ205" s="2">
        <v>46063.69181712963</v>
      </c>
      <c r="AK205" s="2">
        <v>46073.420115740744</v>
      </c>
      <c r="AM205" s="3"/>
      <c r="AN205" s="3"/>
      <c r="AO205" s="3"/>
      <c r="AP205" s="3"/>
      <c r="AQ205" s="3"/>
      <c r="AR205" s="3"/>
      <c r="AS205" s="3"/>
      <c r="AT205" s="2">
        <v>46063.69181712963</v>
      </c>
      <c r="AU205" s="2">
        <v>46073.375439814816</v>
      </c>
      <c r="AW205" s="3"/>
      <c r="AX205" s="2">
        <v>46063.69181712963</v>
      </c>
      <c r="AY205" s="2">
        <v>46063.69181712963</v>
      </c>
      <c r="BA205" s="3"/>
      <c r="BB205" s="2">
        <v>46073.420115740744</v>
      </c>
      <c r="BD205" s="3"/>
      <c r="BE205" s="3"/>
      <c r="BF205" s="3"/>
      <c r="BG205" s="3"/>
      <c r="BH205" s="3"/>
      <c r="BI205" s="5">
        <v>574972.0</v>
      </c>
      <c r="BJ205" s="5">
        <v>87073.0</v>
      </c>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4" t="s">
        <v>939</v>
      </c>
    </row>
    <row r="206">
      <c r="A206" s="1" t="s">
        <v>940</v>
      </c>
      <c r="B206" s="2">
        <v>46063.68921296296</v>
      </c>
      <c r="C206" s="1" t="str">
        <f t="array" ref="C206">INDEX('User data'!E:E, MATCH(E206, 'User data'!B:B, 0))</f>
        <v>주식회사 업스테이지</v>
      </c>
      <c r="D206" s="1" t="str">
        <f t="array" ref="D206">INDEX('User data'!F:F, MATCH(C206, 'User data'!E:E, 0))</f>
        <v>830-88-01918</v>
      </c>
      <c r="E206" s="1" t="s">
        <v>941</v>
      </c>
      <c r="F206" s="3"/>
      <c r="G206" s="3"/>
      <c r="H206" s="1" t="s">
        <v>942</v>
      </c>
      <c r="J206" s="1" t="s">
        <v>100</v>
      </c>
      <c r="K206" s="1" t="s">
        <v>173</v>
      </c>
      <c r="L206" s="1" t="b">
        <v>0</v>
      </c>
      <c r="M206" s="3"/>
      <c r="N206" s="1" t="s">
        <v>943</v>
      </c>
      <c r="O206" s="1">
        <v>607950.0</v>
      </c>
      <c r="P206" s="1">
        <v>607950.0</v>
      </c>
      <c r="Q206" s="3"/>
      <c r="R206" s="1">
        <v>607950.0</v>
      </c>
      <c r="S206" s="3"/>
      <c r="T206" s="1" t="s">
        <v>104</v>
      </c>
      <c r="U206" s="3"/>
      <c r="V206" s="3"/>
      <c r="W206" s="1" t="s">
        <v>176</v>
      </c>
      <c r="X206" s="3"/>
      <c r="Y206" s="1" t="s">
        <v>106</v>
      </c>
      <c r="Z206" s="3"/>
      <c r="AA206" s="1" t="b">
        <v>1</v>
      </c>
      <c r="AB206" s="1" t="b">
        <v>0</v>
      </c>
      <c r="AC206" s="1" t="b">
        <v>0</v>
      </c>
      <c r="AD206" s="1" t="b">
        <v>0</v>
      </c>
      <c r="AE206" s="1" t="b">
        <v>0</v>
      </c>
      <c r="AF206" s="3"/>
      <c r="AG206" s="3"/>
      <c r="AH206" s="3"/>
      <c r="AI206" s="3"/>
      <c r="AJ206" s="2">
        <v>46063.68921296296</v>
      </c>
      <c r="AK206" s="2">
        <v>46073.420115740744</v>
      </c>
      <c r="AM206" s="3"/>
      <c r="AN206" s="3"/>
      <c r="AO206" s="3"/>
      <c r="AP206" s="3"/>
      <c r="AQ206" s="3"/>
      <c r="AR206" s="3"/>
      <c r="AS206" s="3"/>
      <c r="AT206" s="2">
        <v>46063.68921296296</v>
      </c>
      <c r="AU206" s="2">
        <v>46073.37527777778</v>
      </c>
      <c r="AW206" s="3"/>
      <c r="AX206" s="2">
        <v>46063.68921296296</v>
      </c>
      <c r="AY206" s="2">
        <v>46063.68921296296</v>
      </c>
      <c r="BA206" s="3"/>
      <c r="BB206" s="2">
        <v>46073.420115740744</v>
      </c>
      <c r="BD206" s="3"/>
      <c r="BE206" s="3"/>
      <c r="BF206" s="3"/>
      <c r="BG206" s="3"/>
      <c r="BH206" s="3"/>
      <c r="BI206" s="5">
        <v>574962.0</v>
      </c>
      <c r="BJ206" s="5">
        <v>87073.0</v>
      </c>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4" t="s">
        <v>944</v>
      </c>
    </row>
    <row r="207">
      <c r="A207" s="1" t="s">
        <v>945</v>
      </c>
      <c r="B207" s="2">
        <v>46063.68164351852</v>
      </c>
      <c r="C207" s="1" t="str">
        <f t="array" ref="C207">INDEX('User data'!E:E, MATCH(E207, 'User data'!B:B, 0))</f>
        <v>주식회사 슬래시비슬래시</v>
      </c>
      <c r="D207" s="1" t="str">
        <f t="array" ref="D207">INDEX('User data'!F:F, MATCH(C207, 'User data'!E:E, 0))</f>
        <v>893-88-01559</v>
      </c>
      <c r="E207" s="1" t="s">
        <v>946</v>
      </c>
      <c r="F207" s="3"/>
      <c r="G207" s="3"/>
      <c r="H207" s="3"/>
      <c r="I207" s="3"/>
      <c r="J207" s="1" t="s">
        <v>100</v>
      </c>
      <c r="K207" s="1" t="s">
        <v>101</v>
      </c>
      <c r="L207" s="1" t="b">
        <v>0</v>
      </c>
      <c r="M207" s="4" t="s">
        <v>102</v>
      </c>
      <c r="N207" s="1" t="s">
        <v>947</v>
      </c>
      <c r="P207" s="3"/>
      <c r="Q207" s="3"/>
      <c r="R207" s="3"/>
      <c r="S207" s="3"/>
      <c r="T207" s="1" t="s">
        <v>104</v>
      </c>
      <c r="U207" s="3"/>
      <c r="V207" s="3"/>
      <c r="W207" s="1" t="s">
        <v>105</v>
      </c>
      <c r="X207" s="3"/>
      <c r="Y207" s="1" t="s">
        <v>106</v>
      </c>
      <c r="Z207" s="3"/>
      <c r="AA207" s="1" t="b">
        <v>0</v>
      </c>
      <c r="AB207" s="1" t="b">
        <v>0</v>
      </c>
      <c r="AC207" s="1" t="b">
        <v>0</v>
      </c>
      <c r="AD207" s="1" t="b">
        <v>0</v>
      </c>
      <c r="AE207" s="1" t="b">
        <v>1</v>
      </c>
      <c r="AF207" s="3"/>
      <c r="AG207" s="3"/>
      <c r="AH207" s="3"/>
      <c r="AI207" s="3"/>
      <c r="AJ207" s="2">
        <v>46063.6815625</v>
      </c>
      <c r="AK207" s="2">
        <v>46064.68209490741</v>
      </c>
      <c r="AM207" s="2">
        <v>46063.68164351852</v>
      </c>
      <c r="AN207" s="2">
        <v>46063.68164351852</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5">
        <v>4.4</v>
      </c>
      <c r="CR207" s="4" t="s">
        <v>948</v>
      </c>
    </row>
    <row r="208">
      <c r="A208" s="1" t="s">
        <v>949</v>
      </c>
      <c r="B208" s="2">
        <v>46063.66038194444</v>
      </c>
      <c r="C208" s="1" t="str">
        <f t="array" ref="C208">INDEX('User data'!E:E, MATCH(E208, 'User data'!B:B, 0))</f>
        <v/>
      </c>
      <c r="D208" s="1" t="str">
        <f t="array" ref="D208">INDEX('User data'!F:F, MATCH(C208, 'User data'!E:E, 0))</f>
        <v>#N/A</v>
      </c>
      <c r="E208" s="1" t="s">
        <v>950</v>
      </c>
      <c r="F208" s="3"/>
      <c r="G208" s="3"/>
      <c r="H208" s="3"/>
      <c r="I208" s="3"/>
      <c r="J208" s="1" t="s">
        <v>100</v>
      </c>
      <c r="K208" s="1" t="s">
        <v>101</v>
      </c>
      <c r="L208" s="1" t="b">
        <v>0</v>
      </c>
      <c r="M208" s="4" t="s">
        <v>102</v>
      </c>
      <c r="N208" s="1" t="s">
        <v>951</v>
      </c>
      <c r="P208" s="3"/>
      <c r="Q208" s="3"/>
      <c r="R208" s="3"/>
      <c r="S208" s="3"/>
      <c r="T208" s="1" t="s">
        <v>104</v>
      </c>
      <c r="U208" s="3"/>
      <c r="V208" s="3"/>
      <c r="W208" s="1" t="s">
        <v>105</v>
      </c>
      <c r="X208" s="3"/>
      <c r="Y208" s="1" t="s">
        <v>106</v>
      </c>
      <c r="Z208" s="3"/>
      <c r="AA208" s="1" t="b">
        <v>0</v>
      </c>
      <c r="AB208" s="1" t="b">
        <v>0</v>
      </c>
      <c r="AC208" s="1" t="b">
        <v>0</v>
      </c>
      <c r="AD208" s="1" t="b">
        <v>0</v>
      </c>
      <c r="AE208" s="1" t="b">
        <v>1</v>
      </c>
      <c r="AF208" s="3"/>
      <c r="AG208" s="3"/>
      <c r="AH208" s="3"/>
      <c r="AI208" s="3"/>
      <c r="AJ208" s="2">
        <v>46063.66033564815</v>
      </c>
      <c r="AK208" s="2">
        <v>46064.72788194445</v>
      </c>
      <c r="AM208" s="2">
        <v>46063.66038194444</v>
      </c>
      <c r="AN208" s="2">
        <v>46063.66038194444</v>
      </c>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5">
        <v>5.0</v>
      </c>
      <c r="CR208" s="4" t="s">
        <v>952</v>
      </c>
    </row>
    <row r="209">
      <c r="A209" s="1" t="s">
        <v>953</v>
      </c>
      <c r="B209" s="2">
        <v>46063.65059027778</v>
      </c>
      <c r="C209" s="1" t="str">
        <f t="array" ref="C209">INDEX('User data'!E:E, MATCH(E209, 'User data'!B:B, 0))</f>
        <v>수퍼빈 주식회사</v>
      </c>
      <c r="D209" s="1" t="str">
        <f t="array" ref="D209">INDEX('User data'!F:F, MATCH(C209, 'User data'!E:E, 0))</f>
        <v>395-81-00208</v>
      </c>
      <c r="E209" s="1" t="s">
        <v>954</v>
      </c>
      <c r="F209" s="3"/>
      <c r="G209" s="3"/>
      <c r="H209" s="3"/>
      <c r="I209" s="3"/>
      <c r="J209" s="1" t="s">
        <v>100</v>
      </c>
      <c r="K209" s="1" t="s">
        <v>101</v>
      </c>
      <c r="L209" s="1" t="b">
        <v>0</v>
      </c>
      <c r="M209" s="4" t="s">
        <v>102</v>
      </c>
      <c r="N209" s="1" t="s">
        <v>955</v>
      </c>
      <c r="P209" s="3"/>
      <c r="Q209" s="3"/>
      <c r="R209" s="3"/>
      <c r="S209" s="3"/>
      <c r="T209" s="1" t="s">
        <v>104</v>
      </c>
      <c r="U209" s="3"/>
      <c r="V209" s="3"/>
      <c r="W209" s="1" t="s">
        <v>105</v>
      </c>
      <c r="X209" s="3"/>
      <c r="Y209" s="1" t="s">
        <v>106</v>
      </c>
      <c r="Z209" s="3"/>
      <c r="AA209" s="1" t="b">
        <v>0</v>
      </c>
      <c r="AB209" s="1" t="b">
        <v>0</v>
      </c>
      <c r="AC209" s="1" t="b">
        <v>0</v>
      </c>
      <c r="AD209" s="1" t="b">
        <v>0</v>
      </c>
      <c r="AE209" s="1" t="b">
        <v>1</v>
      </c>
      <c r="AF209" s="3"/>
      <c r="AG209" s="3"/>
      <c r="AH209" s="3"/>
      <c r="AI209" s="3"/>
      <c r="AJ209" s="2">
        <v>46063.650509259256</v>
      </c>
      <c r="AK209" s="2">
        <v>46064.65070601852</v>
      </c>
      <c r="AM209" s="2">
        <v>46063.6505787037</v>
      </c>
      <c r="AN209" s="2">
        <v>46063.65059027778</v>
      </c>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5">
        <v>5.0</v>
      </c>
      <c r="CR209" s="4" t="s">
        <v>956</v>
      </c>
    </row>
    <row r="210">
      <c r="A210" s="1" t="s">
        <v>957</v>
      </c>
      <c r="B210" s="2">
        <v>46063.64976851852</v>
      </c>
      <c r="C210" s="1" t="str">
        <f t="array" ref="C210">INDEX('User data'!E:E, MATCH(E210, 'User data'!B:B, 0))</f>
        <v>주식회사 열다컴퍼니</v>
      </c>
      <c r="D210" s="1" t="str">
        <f t="array" ref="D210">INDEX('User data'!F:F, MATCH(C210, 'User data'!E:E, 0))</f>
        <v>793-87-02566</v>
      </c>
      <c r="E210" s="1" t="s">
        <v>958</v>
      </c>
      <c r="F210" s="3"/>
      <c r="G210" s="3"/>
      <c r="H210" s="3"/>
      <c r="I210" s="3"/>
      <c r="J210" s="1" t="s">
        <v>100</v>
      </c>
      <c r="K210" s="1" t="s">
        <v>101</v>
      </c>
      <c r="L210" s="1" t="b">
        <v>0</v>
      </c>
      <c r="M210" s="4" t="s">
        <v>102</v>
      </c>
      <c r="N210" s="1" t="s">
        <v>959</v>
      </c>
      <c r="P210" s="3"/>
      <c r="Q210" s="3"/>
      <c r="R210" s="3"/>
      <c r="S210" s="3"/>
      <c r="T210" s="1" t="s">
        <v>104</v>
      </c>
      <c r="U210" s="3"/>
      <c r="V210" s="3"/>
      <c r="W210" s="1" t="s">
        <v>105</v>
      </c>
      <c r="X210" s="3"/>
      <c r="Y210" s="1" t="s">
        <v>106</v>
      </c>
      <c r="Z210" s="3"/>
      <c r="AA210" s="1" t="b">
        <v>0</v>
      </c>
      <c r="AB210" s="1" t="b">
        <v>0</v>
      </c>
      <c r="AC210" s="1" t="b">
        <v>0</v>
      </c>
      <c r="AD210" s="1" t="b">
        <v>0</v>
      </c>
      <c r="AE210" s="1" t="b">
        <v>1</v>
      </c>
      <c r="AF210" s="3"/>
      <c r="AG210" s="3"/>
      <c r="AH210" s="3"/>
      <c r="AI210" s="3"/>
      <c r="AJ210" s="2">
        <v>46063.649733796294</v>
      </c>
      <c r="AK210" s="2">
        <v>46064.65001157407</v>
      </c>
      <c r="AM210" s="2">
        <v>46063.64976851852</v>
      </c>
      <c r="AN210" s="2">
        <v>46063.64976851852</v>
      </c>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5">
        <v>5.0</v>
      </c>
      <c r="CR210" s="4" t="s">
        <v>960</v>
      </c>
    </row>
    <row r="211">
      <c r="A211" s="1" t="s">
        <v>961</v>
      </c>
      <c r="B211" s="2">
        <v>46063.62353009259</v>
      </c>
      <c r="C211" s="1" t="str">
        <f t="array" ref="C211">INDEX('User data'!E:E, MATCH(E211, 'User data'!B:B, 0))</f>
        <v/>
      </c>
      <c r="D211" s="1" t="str">
        <f t="array" ref="D211">INDEX('User data'!F:F, MATCH(C211, 'User data'!E:E, 0))</f>
        <v>#N/A</v>
      </c>
      <c r="E211" s="1" t="s">
        <v>962</v>
      </c>
      <c r="F211" s="3"/>
      <c r="G211" s="3"/>
      <c r="H211" s="3"/>
      <c r="I211" s="3"/>
      <c r="J211" s="1" t="s">
        <v>100</v>
      </c>
      <c r="K211" s="1" t="s">
        <v>101</v>
      </c>
      <c r="L211" s="1" t="b">
        <v>0</v>
      </c>
      <c r="M211" s="4" t="s">
        <v>102</v>
      </c>
      <c r="N211" s="1" t="s">
        <v>963</v>
      </c>
      <c r="P211" s="3"/>
      <c r="Q211" s="3"/>
      <c r="R211" s="3"/>
      <c r="S211" s="3"/>
      <c r="T211" s="1" t="s">
        <v>104</v>
      </c>
      <c r="U211" s="3"/>
      <c r="V211" s="3"/>
      <c r="W211" s="1" t="s">
        <v>105</v>
      </c>
      <c r="X211" s="3"/>
      <c r="Y211" s="1" t="s">
        <v>106</v>
      </c>
      <c r="Z211" s="3"/>
      <c r="AA211" s="1" t="b">
        <v>0</v>
      </c>
      <c r="AB211" s="1" t="b">
        <v>0</v>
      </c>
      <c r="AC211" s="1" t="b">
        <v>0</v>
      </c>
      <c r="AD211" s="1" t="b">
        <v>0</v>
      </c>
      <c r="AE211" s="1" t="b">
        <v>1</v>
      </c>
      <c r="AF211" s="3"/>
      <c r="AG211" s="3"/>
      <c r="AH211" s="3"/>
      <c r="AI211" s="3"/>
      <c r="AJ211" s="2">
        <v>46063.60283564815</v>
      </c>
      <c r="AK211" s="2">
        <v>46064.62357638889</v>
      </c>
      <c r="AM211" s="2">
        <v>46063.62353009259</v>
      </c>
      <c r="AN211" s="2">
        <v>46063.62353009259</v>
      </c>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5">
        <v>1.8</v>
      </c>
      <c r="CR211" s="4" t="s">
        <v>964</v>
      </c>
    </row>
    <row r="212">
      <c r="A212" s="1" t="s">
        <v>965</v>
      </c>
      <c r="B212" s="2">
        <v>46063.61085648148</v>
      </c>
      <c r="C212" s="1" t="str">
        <f t="array" ref="C212">INDEX('User data'!E:E, MATCH(E212, 'User data'!B:B, 0))</f>
        <v>주식회사 굿컨설팅그룹</v>
      </c>
      <c r="D212" s="1" t="str">
        <f t="array" ref="D212">INDEX('User data'!F:F, MATCH(C212, 'User data'!E:E, 0))</f>
        <v>525-87-00418</v>
      </c>
      <c r="E212" s="1" t="s">
        <v>966</v>
      </c>
      <c r="F212" s="3"/>
      <c r="G212" s="3"/>
      <c r="H212" s="3"/>
      <c r="I212" s="3"/>
      <c r="J212" s="1" t="s">
        <v>100</v>
      </c>
      <c r="K212" s="1" t="s">
        <v>101</v>
      </c>
      <c r="L212" s="1" t="b">
        <v>0</v>
      </c>
      <c r="M212" s="4" t="s">
        <v>102</v>
      </c>
      <c r="N212" s="1" t="s">
        <v>967</v>
      </c>
      <c r="P212" s="3"/>
      <c r="Q212" s="3"/>
      <c r="R212" s="3"/>
      <c r="S212" s="3"/>
      <c r="T212" s="1" t="s">
        <v>104</v>
      </c>
      <c r="U212" s="3"/>
      <c r="V212" s="3"/>
      <c r="W212" s="1" t="s">
        <v>105</v>
      </c>
      <c r="X212" s="3"/>
      <c r="Y212" s="1" t="s">
        <v>106</v>
      </c>
      <c r="Z212" s="3"/>
      <c r="AA212" s="1" t="b">
        <v>0</v>
      </c>
      <c r="AB212" s="1" t="b">
        <v>0</v>
      </c>
      <c r="AC212" s="1" t="b">
        <v>0</v>
      </c>
      <c r="AD212" s="1" t="b">
        <v>0</v>
      </c>
      <c r="AE212" s="1" t="b">
        <v>1</v>
      </c>
      <c r="AF212" s="3"/>
      <c r="AG212" s="3"/>
      <c r="AH212" s="3"/>
      <c r="AI212" s="3"/>
      <c r="AJ212" s="2">
        <v>46063.61071759259</v>
      </c>
      <c r="AK212" s="2">
        <v>46064.61226851852</v>
      </c>
      <c r="AM212" s="2">
        <v>46063.61085648148</v>
      </c>
      <c r="AN212" s="2">
        <v>46063.61085648148</v>
      </c>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5">
        <v>3.4</v>
      </c>
      <c r="CR212" s="4" t="s">
        <v>968</v>
      </c>
    </row>
    <row r="213">
      <c r="A213" s="1" t="s">
        <v>969</v>
      </c>
      <c r="B213" s="2">
        <v>46063.604409722226</v>
      </c>
      <c r="C213" s="1" t="str">
        <f t="array" ref="C213">INDEX('User data'!E:E, MATCH(E213, 'User data'!B:B, 0))</f>
        <v>니드코리아 유한회사</v>
      </c>
      <c r="D213" s="1" t="str">
        <f t="array" ref="D213">INDEX('User data'!F:F, MATCH(C213, 'User data'!E:E, 0))</f>
        <v>701-88-01906</v>
      </c>
      <c r="E213" s="1" t="s">
        <v>970</v>
      </c>
      <c r="F213" s="3"/>
      <c r="G213" s="3"/>
      <c r="H213" s="3"/>
      <c r="I213" s="3"/>
      <c r="J213" s="1" t="s">
        <v>100</v>
      </c>
      <c r="K213" s="1" t="s">
        <v>101</v>
      </c>
      <c r="L213" s="1" t="b">
        <v>0</v>
      </c>
      <c r="M213" s="4" t="s">
        <v>102</v>
      </c>
      <c r="N213" s="1" t="s">
        <v>971</v>
      </c>
      <c r="P213" s="3"/>
      <c r="Q213" s="3"/>
      <c r="R213" s="3"/>
      <c r="S213" s="3"/>
      <c r="T213" s="1" t="s">
        <v>104</v>
      </c>
      <c r="U213" s="3"/>
      <c r="V213" s="3"/>
      <c r="W213" s="1" t="s">
        <v>118</v>
      </c>
      <c r="X213" s="3"/>
      <c r="Y213" s="1" t="s">
        <v>106</v>
      </c>
      <c r="Z213" s="3"/>
      <c r="AA213" s="1" t="b">
        <v>0</v>
      </c>
      <c r="AB213" s="1" t="b">
        <v>0</v>
      </c>
      <c r="AC213" s="1" t="b">
        <v>0</v>
      </c>
      <c r="AD213" s="1" t="b">
        <v>0</v>
      </c>
      <c r="AE213" s="1" t="b">
        <v>1</v>
      </c>
      <c r="AF213" s="3"/>
      <c r="AG213" s="3"/>
      <c r="AH213" s="3"/>
      <c r="AI213" s="3"/>
      <c r="AJ213" s="2">
        <v>46063.60438657407</v>
      </c>
      <c r="AK213" s="2">
        <v>46064.60565972222</v>
      </c>
      <c r="AM213" s="2">
        <v>46063.604409722226</v>
      </c>
      <c r="AN213" s="2">
        <v>46063.604409722226</v>
      </c>
      <c r="AP213" s="3"/>
      <c r="AQ213" s="3"/>
      <c r="AR213" s="3"/>
      <c r="AS213" s="3"/>
      <c r="AT213" s="3"/>
      <c r="AU213" s="3"/>
      <c r="AV213" s="3"/>
      <c r="AW213" s="3"/>
      <c r="AX213" s="3"/>
      <c r="AY213" s="3"/>
      <c r="AZ213" s="3"/>
      <c r="BA213" s="3"/>
      <c r="BB213" s="3"/>
      <c r="BC213" s="2">
        <v>46063.60659722222</v>
      </c>
      <c r="BD213" s="2">
        <v>46063.60659722222</v>
      </c>
      <c r="BF213" s="3"/>
      <c r="BG213" s="3"/>
      <c r="BH213" s="3"/>
      <c r="BI213" s="3"/>
      <c r="BJ213" s="3"/>
      <c r="BK213" s="3"/>
      <c r="BL213" s="3"/>
      <c r="BM213" s="3"/>
      <c r="BN213" s="3"/>
      <c r="BO213" s="3"/>
      <c r="BP213" s="3"/>
      <c r="BQ213" s="3"/>
      <c r="BR213" s="3"/>
      <c r="BS213" s="3"/>
      <c r="BT213" s="3"/>
      <c r="BU213" s="3"/>
      <c r="BV213" s="3"/>
      <c r="BW213" s="3"/>
      <c r="BX213" s="3"/>
      <c r="BY213" s="5">
        <v>188.0</v>
      </c>
      <c r="BZ213" s="5">
        <v>188.0</v>
      </c>
      <c r="CA213" s="5">
        <v>188.0</v>
      </c>
      <c r="CB213" s="5">
        <v>188.0</v>
      </c>
      <c r="CC213" s="5">
        <v>188.0</v>
      </c>
      <c r="CD213" s="5">
        <v>188.0</v>
      </c>
      <c r="CE213" s="3"/>
      <c r="CF213" s="3"/>
      <c r="CG213" s="3"/>
      <c r="CH213" s="3"/>
      <c r="CI213" s="3"/>
      <c r="CJ213" s="3"/>
      <c r="CK213" s="3"/>
      <c r="CL213" s="3"/>
      <c r="CM213" s="3"/>
      <c r="CN213" s="3"/>
      <c r="CO213" s="3"/>
      <c r="CP213" s="3"/>
      <c r="CQ213" s="5">
        <v>5.0</v>
      </c>
      <c r="CR213" s="4" t="s">
        <v>972</v>
      </c>
    </row>
    <row r="214">
      <c r="A214" s="1" t="s">
        <v>973</v>
      </c>
      <c r="B214" s="2">
        <v>46063.60392361111</v>
      </c>
      <c r="C214" s="1" t="str">
        <f t="array" ref="C214">INDEX('User data'!E:E, MATCH(E214, 'User data'!B:B, 0))</f>
        <v>니드코리아 유한회사</v>
      </c>
      <c r="D214" s="1" t="str">
        <f t="array" ref="D214">INDEX('User data'!F:F, MATCH(C214, 'User data'!E:E, 0))</f>
        <v>701-88-01906</v>
      </c>
      <c r="E214" s="1" t="s">
        <v>970</v>
      </c>
      <c r="F214" s="3"/>
      <c r="G214" s="3"/>
      <c r="H214" s="3"/>
      <c r="I214" s="3"/>
      <c r="J214" s="1" t="s">
        <v>100</v>
      </c>
      <c r="K214" s="1" t="s">
        <v>101</v>
      </c>
      <c r="L214" s="1" t="b">
        <v>0</v>
      </c>
      <c r="M214" s="4" t="s">
        <v>102</v>
      </c>
      <c r="N214" s="1" t="s">
        <v>971</v>
      </c>
      <c r="P214" s="3"/>
      <c r="Q214" s="3"/>
      <c r="R214" s="3"/>
      <c r="S214" s="3"/>
      <c r="T214" s="1" t="s">
        <v>104</v>
      </c>
      <c r="U214" s="3"/>
      <c r="V214" s="3"/>
      <c r="W214" s="1" t="s">
        <v>105</v>
      </c>
      <c r="X214" s="3"/>
      <c r="Y214" s="1" t="s">
        <v>106</v>
      </c>
      <c r="Z214" s="3"/>
      <c r="AA214" s="1" t="b">
        <v>0</v>
      </c>
      <c r="AB214" s="1" t="b">
        <v>0</v>
      </c>
      <c r="AC214" s="1" t="b">
        <v>0</v>
      </c>
      <c r="AD214" s="1" t="b">
        <v>0</v>
      </c>
      <c r="AE214" s="1" t="b">
        <v>1</v>
      </c>
      <c r="AF214" s="3"/>
      <c r="AG214" s="3"/>
      <c r="AH214" s="3"/>
      <c r="AI214" s="3"/>
      <c r="AJ214" s="2">
        <v>46063.603796296295</v>
      </c>
      <c r="AK214" s="2">
        <v>46064.60396990741</v>
      </c>
      <c r="AM214" s="2">
        <v>46063.60392361111</v>
      </c>
      <c r="AN214" s="2">
        <v>46063.60392361111</v>
      </c>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5">
        <v>5.0</v>
      </c>
      <c r="CR214" s="4" t="s">
        <v>974</v>
      </c>
    </row>
    <row r="215">
      <c r="A215" s="1" t="s">
        <v>975</v>
      </c>
      <c r="B215" s="2">
        <v>46063.60290509259</v>
      </c>
      <c r="C215" s="1" t="str">
        <f t="array" ref="C215">INDEX('User data'!E:E, MATCH(E215, 'User data'!B:B, 0))</f>
        <v>닥터블릿헬스케어 주식회사</v>
      </c>
      <c r="D215" s="1" t="str">
        <f t="array" ref="D215">INDEX('User data'!F:F, MATCH(C215, 'User data'!E:E, 0))</f>
        <v>382-88-01869</v>
      </c>
      <c r="E215" s="1" t="s">
        <v>284</v>
      </c>
      <c r="F215" s="3"/>
      <c r="G215" s="3"/>
      <c r="H215" s="3"/>
      <c r="I215" s="1" t="s">
        <v>306</v>
      </c>
      <c r="J215" s="1" t="s">
        <v>100</v>
      </c>
      <c r="K215" s="1" t="s">
        <v>101</v>
      </c>
      <c r="L215" s="1" t="b">
        <v>0</v>
      </c>
      <c r="M215" s="4" t="s">
        <v>102</v>
      </c>
      <c r="N215" s="1" t="s">
        <v>976</v>
      </c>
      <c r="O215" s="1">
        <v>574085.0</v>
      </c>
      <c r="P215" s="1">
        <v>574085.0</v>
      </c>
      <c r="Q215" s="1">
        <v>574085.0</v>
      </c>
      <c r="R215" s="1">
        <v>574085.0</v>
      </c>
      <c r="S215" s="1">
        <v>13285.0</v>
      </c>
      <c r="T215" s="1" t="s">
        <v>104</v>
      </c>
      <c r="U215" s="3"/>
      <c r="V215" s="3"/>
      <c r="W215" s="1" t="s">
        <v>118</v>
      </c>
      <c r="X215" s="3"/>
      <c r="Y215" s="1" t="s">
        <v>119</v>
      </c>
      <c r="Z215" s="3"/>
      <c r="AA215" s="1" t="b">
        <v>1</v>
      </c>
      <c r="AB215" s="1" t="b">
        <v>0</v>
      </c>
      <c r="AC215" s="1" t="b">
        <v>0</v>
      </c>
      <c r="AD215" s="1" t="b">
        <v>1</v>
      </c>
      <c r="AE215" s="1" t="b">
        <v>1</v>
      </c>
      <c r="AF215" s="5">
        <v>3.0</v>
      </c>
      <c r="AG215" s="5">
        <v>3.0</v>
      </c>
      <c r="AH215" s="3"/>
      <c r="AI215" s="3"/>
      <c r="AJ215" s="2">
        <v>46063.602743055555</v>
      </c>
      <c r="AK215" s="2">
        <v>46063.68077546296</v>
      </c>
      <c r="AL215" s="2">
        <v>46063.60393518519</v>
      </c>
      <c r="AM215" s="2">
        <v>46063.60290509259</v>
      </c>
      <c r="AN215" s="2">
        <v>46063.60290509259</v>
      </c>
      <c r="AO215" s="2">
        <v>46063.603217592594</v>
      </c>
      <c r="AP215" s="2">
        <v>46063.60396990741</v>
      </c>
      <c r="AQ215" s="2">
        <v>46063.603217592594</v>
      </c>
      <c r="AS215" s="2">
        <v>46063.60322916666</v>
      </c>
      <c r="AT215" s="2">
        <v>46063.603217592594</v>
      </c>
      <c r="AU215" s="2">
        <v>46063.60322916666</v>
      </c>
      <c r="AW215" s="3"/>
      <c r="AX215" s="2">
        <v>46063.60322916666</v>
      </c>
      <c r="AY215" s="2">
        <v>46063.60322916666</v>
      </c>
      <c r="AZ215" s="2">
        <v>46063.61802083333</v>
      </c>
      <c r="BA215" s="2">
        <v>46063.638969907406</v>
      </c>
      <c r="BC215" s="2">
        <v>46063.63909722222</v>
      </c>
      <c r="BD215" s="2">
        <v>46063.63909722222</v>
      </c>
      <c r="BE215" s="5">
        <v>2389.0</v>
      </c>
      <c r="BF215" s="5">
        <v>2389.0</v>
      </c>
      <c r="BG215" s="5">
        <v>796.0</v>
      </c>
      <c r="BH215" s="5">
        <v>796.0</v>
      </c>
      <c r="BI215" s="3"/>
      <c r="BJ215" s="3"/>
      <c r="BK215" s="5">
        <v>1.0</v>
      </c>
      <c r="BL215" s="5">
        <v>1.0</v>
      </c>
      <c r="BM215" s="5">
        <v>28.0</v>
      </c>
      <c r="BN215" s="5">
        <v>28.0</v>
      </c>
      <c r="BO215" s="5">
        <v>1306.0</v>
      </c>
      <c r="BP215" s="5">
        <v>1306.0</v>
      </c>
      <c r="BQ215" s="5">
        <v>1306.0</v>
      </c>
      <c r="BR215" s="5">
        <v>1306.0</v>
      </c>
      <c r="BS215" s="5">
        <v>1278.0</v>
      </c>
      <c r="BT215" s="5">
        <v>1278.0</v>
      </c>
      <c r="BU215" s="5">
        <v>1278.0</v>
      </c>
      <c r="BV215" s="5">
        <v>1278.0</v>
      </c>
      <c r="BW215" s="5">
        <v>1279.0</v>
      </c>
      <c r="BX215" s="5">
        <v>1279.0</v>
      </c>
      <c r="BY215" s="5">
        <v>3126.0</v>
      </c>
      <c r="BZ215" s="5">
        <v>3126.0</v>
      </c>
      <c r="CA215" s="5">
        <v>3126.0</v>
      </c>
      <c r="CB215" s="5">
        <v>3126.0</v>
      </c>
      <c r="CC215" s="5">
        <v>3126.0</v>
      </c>
      <c r="CD215" s="5">
        <v>3126.0</v>
      </c>
      <c r="CE215" s="5">
        <v>3098.0</v>
      </c>
      <c r="CF215" s="5">
        <v>3098.0</v>
      </c>
      <c r="CG215" s="5">
        <v>3098.0</v>
      </c>
      <c r="CH215" s="5">
        <v>3098.0</v>
      </c>
      <c r="CI215" s="5">
        <v>3100.0</v>
      </c>
      <c r="CJ215" s="5">
        <v>3100.0</v>
      </c>
      <c r="CK215" s="5">
        <v>3098.0</v>
      </c>
      <c r="CL215" s="5">
        <v>3098.0</v>
      </c>
      <c r="CM215" s="5">
        <v>3098.0</v>
      </c>
      <c r="CN215" s="5">
        <v>3098.0</v>
      </c>
      <c r="CO215" s="5">
        <v>3.0</v>
      </c>
      <c r="CP215" s="5">
        <v>26.0</v>
      </c>
      <c r="CQ215" s="3"/>
      <c r="CR215" s="4" t="s">
        <v>977</v>
      </c>
    </row>
    <row r="216">
      <c r="A216" s="1" t="s">
        <v>978</v>
      </c>
      <c r="B216" s="2">
        <v>46063.60068287037</v>
      </c>
      <c r="C216" s="1" t="str">
        <f t="array" ref="C216">INDEX('User data'!E:E, MATCH(E216, 'User data'!B:B, 0))</f>
        <v/>
      </c>
      <c r="D216" s="1" t="str">
        <f t="array" ref="D216">INDEX('User data'!F:F, MATCH(C216, 'User data'!E:E, 0))</f>
        <v>#N/A</v>
      </c>
      <c r="E216" s="1" t="s">
        <v>979</v>
      </c>
      <c r="F216" s="3"/>
      <c r="G216" s="3"/>
      <c r="H216" s="3"/>
      <c r="I216" s="3"/>
      <c r="J216" s="1" t="s">
        <v>100</v>
      </c>
      <c r="K216" s="1" t="s">
        <v>101</v>
      </c>
      <c r="L216" s="1" t="b">
        <v>0</v>
      </c>
      <c r="M216" s="4" t="s">
        <v>102</v>
      </c>
      <c r="N216" s="1" t="s">
        <v>980</v>
      </c>
      <c r="P216" s="3"/>
      <c r="Q216" s="3"/>
      <c r="R216" s="3"/>
      <c r="S216" s="3"/>
      <c r="T216" s="1" t="s">
        <v>104</v>
      </c>
      <c r="U216" s="3"/>
      <c r="V216" s="3"/>
      <c r="W216" s="1" t="s">
        <v>105</v>
      </c>
      <c r="X216" s="3"/>
      <c r="Y216" s="1" t="s">
        <v>106</v>
      </c>
      <c r="Z216" s="3"/>
      <c r="AA216" s="1" t="b">
        <v>0</v>
      </c>
      <c r="AB216" s="1" t="b">
        <v>0</v>
      </c>
      <c r="AC216" s="1" t="b">
        <v>0</v>
      </c>
      <c r="AD216" s="1" t="b">
        <v>0</v>
      </c>
      <c r="AE216" s="1" t="b">
        <v>1</v>
      </c>
      <c r="AF216" s="3"/>
      <c r="AG216" s="3"/>
      <c r="AH216" s="3"/>
      <c r="AI216" s="3"/>
      <c r="AJ216" s="2">
        <v>46063.60005787037</v>
      </c>
      <c r="AK216" s="2">
        <v>46064.600949074076</v>
      </c>
      <c r="AM216" s="2">
        <v>46063.60068287037</v>
      </c>
      <c r="AN216" s="2">
        <v>46063.60068287037</v>
      </c>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5">
        <v>5.0</v>
      </c>
      <c r="CR216" s="4" t="s">
        <v>981</v>
      </c>
    </row>
    <row r="217">
      <c r="A217" s="1" t="s">
        <v>982</v>
      </c>
      <c r="B217" s="2">
        <v>46063.597962962966</v>
      </c>
      <c r="C217" s="1" t="str">
        <f t="array" ref="C217">INDEX('User data'!E:E, MATCH(E217, 'User data'!B:B, 0))</f>
        <v>주식회사 핀케치</v>
      </c>
      <c r="D217" s="1" t="str">
        <f t="array" ref="D217">INDEX('User data'!F:F, MATCH(C217, 'User data'!E:E, 0))</f>
        <v>507-88-01605</v>
      </c>
      <c r="E217" s="1" t="s">
        <v>983</v>
      </c>
      <c r="F217" s="3"/>
      <c r="G217" s="3"/>
      <c r="H217" s="3"/>
      <c r="I217" s="3"/>
      <c r="J217" s="1" t="s">
        <v>100</v>
      </c>
      <c r="K217" s="1" t="s">
        <v>101</v>
      </c>
      <c r="L217" s="1" t="b">
        <v>0</v>
      </c>
      <c r="M217" s="4" t="s">
        <v>102</v>
      </c>
      <c r="N217" s="1" t="s">
        <v>984</v>
      </c>
      <c r="P217" s="3"/>
      <c r="Q217" s="3"/>
      <c r="R217" s="3"/>
      <c r="S217" s="3"/>
      <c r="T217" s="1" t="s">
        <v>104</v>
      </c>
      <c r="U217" s="3"/>
      <c r="V217" s="3"/>
      <c r="W217" s="1" t="s">
        <v>105</v>
      </c>
      <c r="X217" s="3"/>
      <c r="Y217" s="1" t="s">
        <v>106</v>
      </c>
      <c r="Z217" s="3"/>
      <c r="AA217" s="1" t="b">
        <v>0</v>
      </c>
      <c r="AB217" s="1" t="b">
        <v>0</v>
      </c>
      <c r="AC217" s="1" t="b">
        <v>0</v>
      </c>
      <c r="AD217" s="1" t="b">
        <v>0</v>
      </c>
      <c r="AE217" s="1" t="b">
        <v>1</v>
      </c>
      <c r="AF217" s="3"/>
      <c r="AG217" s="3"/>
      <c r="AH217" s="3"/>
      <c r="AI217" s="3"/>
      <c r="AJ217" s="2">
        <v>46063.59792824074</v>
      </c>
      <c r="AK217" s="2">
        <v>46064.59800925926</v>
      </c>
      <c r="AM217" s="2">
        <v>46063.597962962966</v>
      </c>
      <c r="AN217" s="2">
        <v>46063.597962962966</v>
      </c>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5">
        <v>3.8</v>
      </c>
      <c r="CR217" s="4" t="s">
        <v>985</v>
      </c>
    </row>
    <row r="218">
      <c r="A218" s="1" t="s">
        <v>986</v>
      </c>
      <c r="B218" s="2">
        <v>46063.58078703703</v>
      </c>
      <c r="C218" s="1" t="str">
        <f t="array" ref="C218">INDEX('User data'!E:E, MATCH(E218, 'User data'!B:B, 0))</f>
        <v>주식회사 크리에이트립</v>
      </c>
      <c r="D218" s="1" t="str">
        <f t="array" ref="D218">INDEX('User data'!F:F, MATCH(C218, 'User data'!E:E, 0))</f>
        <v>531-86-00338</v>
      </c>
      <c r="E218" s="1" t="s">
        <v>987</v>
      </c>
      <c r="F218" s="3"/>
      <c r="G218" s="3"/>
      <c r="H218" s="3"/>
      <c r="I218" s="3"/>
      <c r="J218" s="1" t="s">
        <v>100</v>
      </c>
      <c r="K218" s="1" t="s">
        <v>101</v>
      </c>
      <c r="L218" s="1" t="b">
        <v>0</v>
      </c>
      <c r="M218" s="4" t="s">
        <v>102</v>
      </c>
      <c r="N218" s="1" t="s">
        <v>988</v>
      </c>
      <c r="P218" s="3"/>
      <c r="Q218" s="3"/>
      <c r="R218" s="3"/>
      <c r="S218" s="3"/>
      <c r="T218" s="1" t="s">
        <v>104</v>
      </c>
      <c r="U218" s="3"/>
      <c r="V218" s="3"/>
      <c r="W218" s="1" t="s">
        <v>105</v>
      </c>
      <c r="X218" s="3"/>
      <c r="Y218" s="1" t="s">
        <v>106</v>
      </c>
      <c r="Z218" s="3"/>
      <c r="AA218" s="1" t="b">
        <v>0</v>
      </c>
      <c r="AB218" s="1" t="b">
        <v>0</v>
      </c>
      <c r="AC218" s="1" t="b">
        <v>0</v>
      </c>
      <c r="AD218" s="1" t="b">
        <v>0</v>
      </c>
      <c r="AE218" s="1" t="b">
        <v>1</v>
      </c>
      <c r="AF218" s="3"/>
      <c r="AG218" s="3"/>
      <c r="AH218" s="3"/>
      <c r="AI218" s="3"/>
      <c r="AJ218" s="2">
        <v>46063.58068287037</v>
      </c>
      <c r="AK218" s="2">
        <v>46064.58175925926</v>
      </c>
      <c r="AM218" s="2">
        <v>46063.58078703703</v>
      </c>
      <c r="AN218" s="2">
        <v>46063.58078703703</v>
      </c>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5">
        <v>1.6</v>
      </c>
      <c r="CR218" s="4" t="s">
        <v>989</v>
      </c>
    </row>
    <row r="219">
      <c r="A219" s="1" t="s">
        <v>990</v>
      </c>
      <c r="B219" s="2">
        <v>46063.57976851852</v>
      </c>
      <c r="C219" s="1" t="str">
        <f t="array" ref="C219">INDEX('User data'!E:E, MATCH(E219, 'User data'!B:B, 0))</f>
        <v>주식회사 하이어코퍼레이션</v>
      </c>
      <c r="D219" s="1" t="str">
        <f t="array" ref="D219">INDEX('User data'!F:F, MATCH(C219, 'User data'!E:E, 0))</f>
        <v>445-88-02096</v>
      </c>
      <c r="E219" s="1" t="s">
        <v>991</v>
      </c>
      <c r="F219" s="3"/>
      <c r="G219" s="3"/>
      <c r="H219" s="3"/>
      <c r="I219" s="1" t="s">
        <v>992</v>
      </c>
      <c r="J219" s="1" t="s">
        <v>100</v>
      </c>
      <c r="K219" s="1" t="s">
        <v>101</v>
      </c>
      <c r="L219" s="1" t="b">
        <v>0</v>
      </c>
      <c r="M219" s="4" t="s">
        <v>102</v>
      </c>
      <c r="N219" s="1" t="s">
        <v>993</v>
      </c>
      <c r="O219" s="1">
        <v>574085.0</v>
      </c>
      <c r="P219" s="1">
        <v>574085.0</v>
      </c>
      <c r="Q219" s="1">
        <v>574085.0</v>
      </c>
      <c r="R219" s="1" t="s">
        <v>145</v>
      </c>
      <c r="S219" s="1">
        <v>13285.0</v>
      </c>
      <c r="T219" s="1" t="s">
        <v>104</v>
      </c>
      <c r="U219" s="3"/>
      <c r="V219" s="3"/>
      <c r="W219" s="1" t="s">
        <v>118</v>
      </c>
      <c r="X219" s="3"/>
      <c r="Y219" s="1" t="s">
        <v>119</v>
      </c>
      <c r="Z219" s="3"/>
      <c r="AA219" s="1" t="b">
        <v>1</v>
      </c>
      <c r="AB219" s="1" t="b">
        <v>0</v>
      </c>
      <c r="AC219" s="1" t="b">
        <v>0</v>
      </c>
      <c r="AD219" s="1" t="b">
        <v>1</v>
      </c>
      <c r="AE219" s="1" t="b">
        <v>1</v>
      </c>
      <c r="AF219" s="5">
        <v>4.0</v>
      </c>
      <c r="AG219" s="5">
        <v>4.0</v>
      </c>
      <c r="AH219" s="3"/>
      <c r="AI219" s="3"/>
      <c r="AJ219" s="2">
        <v>46063.57975694445</v>
      </c>
      <c r="AK219" s="2">
        <v>46063.70222222222</v>
      </c>
      <c r="AL219" s="2">
        <v>46063.65133101852</v>
      </c>
      <c r="AM219" s="2">
        <v>46063.57976851852</v>
      </c>
      <c r="AN219" s="2">
        <v>46063.57976851852</v>
      </c>
      <c r="AO219" s="2">
        <v>46063.57991898148</v>
      </c>
      <c r="AP219" s="2">
        <v>46063.70222222222</v>
      </c>
      <c r="AQ219" s="2">
        <v>46063.57991898148</v>
      </c>
      <c r="AS219" s="2">
        <v>46063.579930555556</v>
      </c>
      <c r="AT219" s="2">
        <v>46063.57991898148</v>
      </c>
      <c r="AU219" s="2">
        <v>46063.579930555556</v>
      </c>
      <c r="AW219" s="3"/>
      <c r="AX219" s="2">
        <v>46063.579930555556</v>
      </c>
      <c r="AY219" s="2">
        <v>46063.579930555556</v>
      </c>
      <c r="AZ219" s="2">
        <v>46063.58005787037</v>
      </c>
      <c r="BA219" s="2">
        <v>46063.59274305555</v>
      </c>
      <c r="BC219" s="2">
        <v>46063.65133101852</v>
      </c>
      <c r="BD219" s="2">
        <v>46063.65133101852</v>
      </c>
      <c r="BE219" s="5">
        <v>281.0</v>
      </c>
      <c r="BF219" s="5">
        <v>281.0</v>
      </c>
      <c r="BG219" s="5">
        <v>70.0</v>
      </c>
      <c r="BH219" s="5">
        <v>70.0</v>
      </c>
      <c r="BI219" s="3"/>
      <c r="BJ219" s="3"/>
      <c r="BK219" s="5">
        <v>0.0</v>
      </c>
      <c r="BL219" s="5">
        <v>0.0</v>
      </c>
      <c r="BM219" s="5">
        <v>13.0</v>
      </c>
      <c r="BN219" s="5">
        <v>13.0</v>
      </c>
      <c r="BO219" s="5">
        <v>24.0</v>
      </c>
      <c r="BP219" s="5">
        <v>24.0</v>
      </c>
      <c r="BQ219" s="5">
        <v>24.0</v>
      </c>
      <c r="BR219" s="5">
        <v>24.0</v>
      </c>
      <c r="BS219" s="5">
        <v>11.0</v>
      </c>
      <c r="BT219" s="5">
        <v>11.0</v>
      </c>
      <c r="BU219" s="5">
        <v>10.0</v>
      </c>
      <c r="BV219" s="5">
        <v>10.0</v>
      </c>
      <c r="BW219" s="5">
        <v>11.0</v>
      </c>
      <c r="BX219" s="5">
        <v>11.0</v>
      </c>
      <c r="BY219" s="5">
        <v>6182.0</v>
      </c>
      <c r="BZ219" s="5">
        <v>6182.0</v>
      </c>
      <c r="CA219" s="5">
        <v>6182.0</v>
      </c>
      <c r="CB219" s="5">
        <v>6182.0</v>
      </c>
      <c r="CC219" s="5">
        <v>6182.0</v>
      </c>
      <c r="CD219" s="5">
        <v>6182.0</v>
      </c>
      <c r="CE219" s="5">
        <v>6169.0</v>
      </c>
      <c r="CF219" s="5">
        <v>6169.0</v>
      </c>
      <c r="CG219" s="5">
        <v>6169.0</v>
      </c>
      <c r="CH219" s="5">
        <v>6169.0</v>
      </c>
      <c r="CI219" s="5">
        <v>6170.0</v>
      </c>
      <c r="CJ219" s="5">
        <v>6170.0</v>
      </c>
      <c r="CK219" s="5">
        <v>6169.0</v>
      </c>
      <c r="CL219" s="5">
        <v>6169.0</v>
      </c>
      <c r="CM219" s="5">
        <v>6169.0</v>
      </c>
      <c r="CN219" s="5">
        <v>6169.0</v>
      </c>
      <c r="CO219" s="5">
        <v>4396.0</v>
      </c>
      <c r="CP219" s="5">
        <v>12.0</v>
      </c>
      <c r="CQ219" s="3"/>
      <c r="CR219" s="4" t="s">
        <v>994</v>
      </c>
      <c r="CS219" s="5">
        <v>5.0</v>
      </c>
      <c r="CT219" s="3"/>
    </row>
    <row r="220">
      <c r="A220" s="1" t="s">
        <v>995</v>
      </c>
      <c r="B220" s="2">
        <v>46063.57884259259</v>
      </c>
      <c r="C220" s="1" t="str">
        <f t="array" ref="C220">INDEX('User data'!E:E, MATCH(E220, 'User data'!B:B, 0))</f>
        <v>주식회사 하이어코퍼레이션</v>
      </c>
      <c r="D220" s="1" t="str">
        <f t="array" ref="D220">INDEX('User data'!F:F, MATCH(C220, 'User data'!E:E, 0))</f>
        <v>445-88-02096</v>
      </c>
      <c r="E220" s="1" t="s">
        <v>991</v>
      </c>
      <c r="F220" s="3"/>
      <c r="G220" s="3"/>
      <c r="H220" s="3"/>
      <c r="I220" s="3"/>
      <c r="J220" s="1" t="s">
        <v>100</v>
      </c>
      <c r="K220" s="1" t="s">
        <v>101</v>
      </c>
      <c r="L220" s="1" t="b">
        <v>0</v>
      </c>
      <c r="M220" s="4" t="s">
        <v>102</v>
      </c>
      <c r="N220" s="1" t="s">
        <v>993</v>
      </c>
      <c r="P220" s="3"/>
      <c r="Q220" s="3"/>
      <c r="R220" s="3"/>
      <c r="S220" s="3"/>
      <c r="T220" s="1" t="s">
        <v>104</v>
      </c>
      <c r="U220" s="3"/>
      <c r="V220" s="3"/>
      <c r="W220" s="1" t="s">
        <v>105</v>
      </c>
      <c r="X220" s="3"/>
      <c r="Y220" s="1" t="s">
        <v>106</v>
      </c>
      <c r="Z220" s="3"/>
      <c r="AA220" s="1" t="b">
        <v>0</v>
      </c>
      <c r="AB220" s="1" t="b">
        <v>0</v>
      </c>
      <c r="AC220" s="1" t="b">
        <v>0</v>
      </c>
      <c r="AD220" s="1" t="b">
        <v>0</v>
      </c>
      <c r="AE220" s="1" t="b">
        <v>1</v>
      </c>
      <c r="AF220" s="3"/>
      <c r="AG220" s="3"/>
      <c r="AH220" s="3"/>
      <c r="AI220" s="3"/>
      <c r="AJ220" s="2">
        <v>46063.57879629629</v>
      </c>
      <c r="AK220" s="2">
        <v>46064.57890046296</v>
      </c>
      <c r="AM220" s="2">
        <v>46063.57884259259</v>
      </c>
      <c r="AN220" s="2">
        <v>46063.57884259259</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5">
        <v>5.0</v>
      </c>
      <c r="CR220" s="4" t="s">
        <v>996</v>
      </c>
    </row>
    <row r="221">
      <c r="A221" s="1" t="s">
        <v>997</v>
      </c>
      <c r="B221" s="2">
        <v>46063.57703703704</v>
      </c>
      <c r="C221" s="1" t="str">
        <f t="array" ref="C221">INDEX('User data'!E:E, MATCH(E221, 'User data'!B:B, 0))</f>
        <v/>
      </c>
      <c r="D221" s="1" t="str">
        <f t="array" ref="D221">INDEX('User data'!F:F, MATCH(C221, 'User data'!E:E, 0))</f>
        <v>#N/A</v>
      </c>
      <c r="E221" s="1" t="s">
        <v>998</v>
      </c>
      <c r="F221" s="3"/>
      <c r="G221" s="3"/>
      <c r="H221" s="3"/>
      <c r="I221" s="3"/>
      <c r="J221" s="1" t="s">
        <v>100</v>
      </c>
      <c r="K221" s="1" t="s">
        <v>101</v>
      </c>
      <c r="L221" s="1" t="b">
        <v>0</v>
      </c>
      <c r="M221" s="4" t="s">
        <v>102</v>
      </c>
      <c r="N221" s="1" t="s">
        <v>999</v>
      </c>
      <c r="P221" s="3"/>
      <c r="Q221" s="3"/>
      <c r="R221" s="3"/>
      <c r="S221" s="3"/>
      <c r="T221" s="1" t="s">
        <v>104</v>
      </c>
      <c r="U221" s="3"/>
      <c r="V221" s="3"/>
      <c r="W221" s="1" t="s">
        <v>105</v>
      </c>
      <c r="X221" s="3"/>
      <c r="Y221" s="1" t="s">
        <v>106</v>
      </c>
      <c r="Z221" s="3"/>
      <c r="AA221" s="1" t="b">
        <v>0</v>
      </c>
      <c r="AB221" s="1" t="b">
        <v>0</v>
      </c>
      <c r="AC221" s="1" t="b">
        <v>0</v>
      </c>
      <c r="AD221" s="1" t="b">
        <v>0</v>
      </c>
      <c r="AE221" s="1" t="b">
        <v>1</v>
      </c>
      <c r="AF221" s="3"/>
      <c r="AG221" s="3"/>
      <c r="AH221" s="3"/>
      <c r="AI221" s="3"/>
      <c r="AJ221" s="2">
        <v>46063.57681712963</v>
      </c>
      <c r="AK221" s="2">
        <v>46064.57708333333</v>
      </c>
      <c r="AM221" s="2">
        <v>46063.57703703704</v>
      </c>
      <c r="AN221" s="2">
        <v>46063.57703703704</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5">
        <v>5.0</v>
      </c>
      <c r="CR221" s="4" t="s">
        <v>1000</v>
      </c>
    </row>
    <row r="222">
      <c r="A222" s="1" t="s">
        <v>1001</v>
      </c>
      <c r="B222" s="2">
        <v>46063.569814814815</v>
      </c>
      <c r="C222" s="1" t="str">
        <f t="array" ref="C222">INDEX('User data'!E:E, MATCH(E222, 'User data'!B:B, 0))</f>
        <v>프레시오리진 주식회사 농업회사법인</v>
      </c>
      <c r="D222" s="1" t="str">
        <f t="array" ref="D222">INDEX('User data'!F:F, MATCH(C222, 'User data'!E:E, 0))</f>
        <v>566-88-03446</v>
      </c>
      <c r="E222" s="1" t="s">
        <v>1002</v>
      </c>
      <c r="F222" s="3"/>
      <c r="G222" s="3"/>
      <c r="H222" s="3"/>
      <c r="I222" s="3"/>
      <c r="J222" s="1" t="s">
        <v>100</v>
      </c>
      <c r="K222" s="1" t="s">
        <v>101</v>
      </c>
      <c r="L222" s="1" t="b">
        <v>0</v>
      </c>
      <c r="M222" s="4" t="s">
        <v>102</v>
      </c>
      <c r="N222" s="1" t="s">
        <v>1003</v>
      </c>
      <c r="P222" s="3"/>
      <c r="Q222" s="3"/>
      <c r="R222" s="3"/>
      <c r="S222" s="3"/>
      <c r="T222" s="1" t="s">
        <v>104</v>
      </c>
      <c r="U222" s="3"/>
      <c r="V222" s="3"/>
      <c r="W222" s="1" t="s">
        <v>105</v>
      </c>
      <c r="X222" s="3"/>
      <c r="Y222" s="1" t="s">
        <v>106</v>
      </c>
      <c r="Z222" s="3"/>
      <c r="AA222" s="1" t="b">
        <v>0</v>
      </c>
      <c r="AB222" s="1" t="b">
        <v>0</v>
      </c>
      <c r="AC222" s="1" t="b">
        <v>0</v>
      </c>
      <c r="AD222" s="1" t="b">
        <v>0</v>
      </c>
      <c r="AE222" s="1" t="b">
        <v>1</v>
      </c>
      <c r="AF222" s="3"/>
      <c r="AG222" s="3"/>
      <c r="AH222" s="3"/>
      <c r="AI222" s="3"/>
      <c r="AJ222" s="2">
        <v>46063.56957175926</v>
      </c>
      <c r="AK222" s="2">
        <v>46064.569861111115</v>
      </c>
      <c r="AM222" s="2">
        <v>46063.569814814815</v>
      </c>
      <c r="AN222" s="2">
        <v>46063.569814814815</v>
      </c>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5">
        <v>5.0</v>
      </c>
      <c r="CR222" s="4" t="s">
        <v>1004</v>
      </c>
    </row>
    <row r="223">
      <c r="A223" s="1" t="s">
        <v>1005</v>
      </c>
      <c r="B223" s="2">
        <v>46063.5553125</v>
      </c>
      <c r="C223" s="1" t="str">
        <f t="array" ref="C223">INDEX('User data'!E:E, MATCH(E223, 'User data'!B:B, 0))</f>
        <v>주식회사 대모산개발단</v>
      </c>
      <c r="D223" s="1" t="str">
        <f t="array" ref="D223">INDEX('User data'!F:F, MATCH(C223, 'User data'!E:E, 0))</f>
        <v>489-87-03180</v>
      </c>
      <c r="E223" s="1" t="s">
        <v>1006</v>
      </c>
      <c r="F223" s="3"/>
      <c r="G223" s="3"/>
      <c r="H223" s="3"/>
      <c r="I223" s="3"/>
      <c r="J223" s="1" t="s">
        <v>100</v>
      </c>
      <c r="K223" s="1" t="s">
        <v>101</v>
      </c>
      <c r="L223" s="1" t="b">
        <v>0</v>
      </c>
      <c r="M223" s="4" t="s">
        <v>102</v>
      </c>
      <c r="N223" s="1" t="s">
        <v>1007</v>
      </c>
      <c r="P223" s="3"/>
      <c r="Q223" s="3"/>
      <c r="R223" s="3"/>
      <c r="S223" s="3"/>
      <c r="T223" s="1" t="s">
        <v>104</v>
      </c>
      <c r="U223" s="3"/>
      <c r="V223" s="3"/>
      <c r="W223" s="1" t="s">
        <v>105</v>
      </c>
      <c r="X223" s="3"/>
      <c r="Y223" s="1" t="s">
        <v>106</v>
      </c>
      <c r="Z223" s="3"/>
      <c r="AA223" s="1" t="b">
        <v>0</v>
      </c>
      <c r="AB223" s="1" t="b">
        <v>0</v>
      </c>
      <c r="AC223" s="1" t="b">
        <v>0</v>
      </c>
      <c r="AD223" s="1" t="b">
        <v>0</v>
      </c>
      <c r="AE223" s="1" t="b">
        <v>1</v>
      </c>
      <c r="AF223" s="3"/>
      <c r="AG223" s="3"/>
      <c r="AH223" s="3"/>
      <c r="AI223" s="3"/>
      <c r="AJ223" s="2">
        <v>46063.554930555554</v>
      </c>
      <c r="AK223" s="2">
        <v>46064.55535879629</v>
      </c>
      <c r="AM223" s="2">
        <v>46063.5553125</v>
      </c>
      <c r="AN223" s="2">
        <v>46063.5553125</v>
      </c>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5">
        <v>5.0</v>
      </c>
      <c r="CR223" s="4" t="s">
        <v>1008</v>
      </c>
    </row>
    <row r="224">
      <c r="A224" s="1" t="s">
        <v>1009</v>
      </c>
      <c r="B224" s="2">
        <v>46063.54618055555</v>
      </c>
      <c r="C224" s="1" t="str">
        <f t="array" ref="C224">INDEX('User data'!E:E, MATCH(E224, 'User data'!B:B, 0))</f>
        <v>엠에프알 주식회사</v>
      </c>
      <c r="D224" s="1" t="str">
        <f t="array" ref="D224">INDEX('User data'!F:F, MATCH(C224, 'User data'!E:E, 0))</f>
        <v>576-86-02305</v>
      </c>
      <c r="E224" s="1" t="s">
        <v>1010</v>
      </c>
      <c r="F224" s="3"/>
      <c r="G224" s="3"/>
      <c r="H224" s="3"/>
      <c r="I224" s="1" t="s">
        <v>1011</v>
      </c>
      <c r="J224" s="1" t="s">
        <v>100</v>
      </c>
      <c r="K224" s="1" t="s">
        <v>101</v>
      </c>
      <c r="L224" s="1" t="b">
        <v>0</v>
      </c>
      <c r="M224" s="4" t="s">
        <v>102</v>
      </c>
      <c r="N224" s="1" t="s">
        <v>1012</v>
      </c>
      <c r="O224" s="1">
        <v>607950.0</v>
      </c>
      <c r="P224" s="1">
        <v>607950.0</v>
      </c>
      <c r="Q224" s="1">
        <v>607950.0</v>
      </c>
      <c r="R224" s="1">
        <v>607950.0</v>
      </c>
      <c r="S224" s="3"/>
      <c r="T224" s="1" t="s">
        <v>104</v>
      </c>
      <c r="U224" s="3"/>
      <c r="V224" s="3"/>
      <c r="W224" s="1" t="s">
        <v>118</v>
      </c>
      <c r="X224" s="3"/>
      <c r="Y224" s="1" t="s">
        <v>119</v>
      </c>
      <c r="Z224" s="3"/>
      <c r="AA224" s="1" t="b">
        <v>1</v>
      </c>
      <c r="AB224" s="1" t="b">
        <v>0</v>
      </c>
      <c r="AC224" s="1" t="b">
        <v>0</v>
      </c>
      <c r="AD224" s="1" t="b">
        <v>1</v>
      </c>
      <c r="AE224" s="1" t="b">
        <v>1</v>
      </c>
      <c r="AF224" s="5">
        <v>10.0</v>
      </c>
      <c r="AG224" s="5">
        <v>10.0</v>
      </c>
      <c r="AH224" s="3"/>
      <c r="AI224" s="3"/>
      <c r="AJ224" s="2">
        <v>46063.54584490741</v>
      </c>
      <c r="AK224" s="2">
        <v>46063.73193287037</v>
      </c>
      <c r="AL224" s="2">
        <v>46063.690254629626</v>
      </c>
      <c r="AM224" s="2">
        <v>46063.54618055555</v>
      </c>
      <c r="AN224" s="2">
        <v>46063.54618055555</v>
      </c>
      <c r="AO224" s="2">
        <v>46063.57493055556</v>
      </c>
      <c r="AP224" s="2">
        <v>46063.693240740744</v>
      </c>
      <c r="AR224" s="3"/>
      <c r="AS224" s="3"/>
      <c r="AT224" s="2">
        <v>46063.57493055556</v>
      </c>
      <c r="AU224" s="2">
        <v>46063.57493055556</v>
      </c>
      <c r="AW224" s="3"/>
      <c r="AX224" s="2">
        <v>46063.57486111111</v>
      </c>
      <c r="AY224" s="2">
        <v>46063.57493055556</v>
      </c>
      <c r="AZ224" s="2">
        <v>46063.57493055556</v>
      </c>
      <c r="BA224" s="2">
        <v>46063.68981481482</v>
      </c>
      <c r="BC224" s="2">
        <v>46063.690254629626</v>
      </c>
      <c r="BD224" s="2">
        <v>46063.690254629626</v>
      </c>
      <c r="BE224" s="5">
        <v>8067.0</v>
      </c>
      <c r="BF224" s="5">
        <v>8067.0</v>
      </c>
      <c r="BG224" s="5">
        <v>806.0</v>
      </c>
      <c r="BH224" s="5">
        <v>806.0</v>
      </c>
      <c r="BI224" s="3"/>
      <c r="BJ224" s="3"/>
      <c r="BK224" s="3"/>
      <c r="BL224" s="3"/>
      <c r="BM224" s="5">
        <v>2477.0</v>
      </c>
      <c r="BN224" s="5">
        <v>1068.0</v>
      </c>
      <c r="BO224" s="5">
        <v>2483.0</v>
      </c>
      <c r="BP224" s="5">
        <v>1074.0</v>
      </c>
      <c r="BQ224" s="5">
        <v>2483.0</v>
      </c>
      <c r="BR224" s="5">
        <v>1074.0</v>
      </c>
      <c r="BS224" s="5">
        <v>5.0</v>
      </c>
      <c r="BT224" s="5">
        <v>5.0</v>
      </c>
      <c r="BU224" s="3"/>
      <c r="BV224" s="3"/>
      <c r="BW224" s="5">
        <v>0.0</v>
      </c>
      <c r="BX224" s="3"/>
      <c r="BY224" s="5">
        <v>12447.0</v>
      </c>
      <c r="BZ224" s="5">
        <v>11038.0</v>
      </c>
      <c r="CA224" s="5">
        <v>12447.0</v>
      </c>
      <c r="CB224" s="5">
        <v>11038.0</v>
      </c>
      <c r="CC224" s="5">
        <v>12447.0</v>
      </c>
      <c r="CD224" s="5">
        <v>11038.0</v>
      </c>
      <c r="CE224" s="5">
        <v>9970.0</v>
      </c>
      <c r="CF224" s="5">
        <v>9970.0</v>
      </c>
      <c r="CG224" s="5">
        <v>9964.0</v>
      </c>
      <c r="CH224" s="5">
        <v>9964.0</v>
      </c>
      <c r="CI224" s="5">
        <v>9964.0</v>
      </c>
      <c r="CJ224" s="5">
        <v>9964.0</v>
      </c>
      <c r="CK224" s="5">
        <v>9964.0</v>
      </c>
      <c r="CL224" s="5">
        <v>9964.0</v>
      </c>
      <c r="CM224" s="5">
        <v>9964.0</v>
      </c>
      <c r="CN224" s="5">
        <v>9964.0</v>
      </c>
      <c r="CO224" s="5">
        <v>257.0</v>
      </c>
      <c r="CP224" s="5">
        <v>2483.0</v>
      </c>
      <c r="CQ224" s="3"/>
      <c r="CR224" s="4" t="s">
        <v>1013</v>
      </c>
      <c r="CS224" s="5">
        <v>5.0</v>
      </c>
      <c r="CT224" s="1" t="s">
        <v>1014</v>
      </c>
    </row>
    <row r="225">
      <c r="A225" s="1" t="s">
        <v>1015</v>
      </c>
      <c r="B225" s="2">
        <v>46063.53792824074</v>
      </c>
      <c r="C225" s="1" t="str">
        <f t="array" ref="C225">INDEX('User data'!E:E, MATCH(E225, 'User data'!B:B, 0))</f>
        <v>주식회사 쟈스민</v>
      </c>
      <c r="D225" s="1" t="str">
        <f t="array" ref="D225">INDEX('User data'!F:F, MATCH(C225, 'User data'!E:E, 0))</f>
        <v>411-81-93504</v>
      </c>
      <c r="E225" s="1" t="s">
        <v>1016</v>
      </c>
      <c r="F225" s="3"/>
      <c r="G225" s="3"/>
      <c r="H225" s="3"/>
      <c r="I225" s="3"/>
      <c r="J225" s="1" t="s">
        <v>100</v>
      </c>
      <c r="K225" s="1" t="s">
        <v>101</v>
      </c>
      <c r="L225" s="1" t="b">
        <v>0</v>
      </c>
      <c r="M225" s="4" t="s">
        <v>102</v>
      </c>
      <c r="N225" s="1" t="s">
        <v>1017</v>
      </c>
      <c r="P225" s="3"/>
      <c r="Q225" s="3"/>
      <c r="R225" s="3"/>
      <c r="S225" s="3"/>
      <c r="T225" s="1" t="s">
        <v>104</v>
      </c>
      <c r="U225" s="3"/>
      <c r="V225" s="3"/>
      <c r="W225" s="1" t="s">
        <v>105</v>
      </c>
      <c r="X225" s="3"/>
      <c r="Y225" s="1" t="s">
        <v>106</v>
      </c>
      <c r="Z225" s="3"/>
      <c r="AA225" s="1" t="b">
        <v>0</v>
      </c>
      <c r="AB225" s="1" t="b">
        <v>0</v>
      </c>
      <c r="AC225" s="1" t="b">
        <v>0</v>
      </c>
      <c r="AD225" s="1" t="b">
        <v>0</v>
      </c>
      <c r="AE225" s="1" t="b">
        <v>1</v>
      </c>
      <c r="AF225" s="3"/>
      <c r="AG225" s="3"/>
      <c r="AH225" s="3"/>
      <c r="AI225" s="3"/>
      <c r="AJ225" s="2">
        <v>46063.53766203704</v>
      </c>
      <c r="AK225" s="2">
        <v>46064.538819444446</v>
      </c>
      <c r="AM225" s="2">
        <v>46063.53792824074</v>
      </c>
      <c r="AN225" s="2">
        <v>46063.53792824074</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5">
        <v>5.0</v>
      </c>
      <c r="CR225" s="4" t="s">
        <v>1018</v>
      </c>
    </row>
    <row r="226">
      <c r="A226" s="1" t="s">
        <v>1019</v>
      </c>
      <c r="B226" s="2">
        <v>46063.51405092593</v>
      </c>
      <c r="C226" s="1" t="str">
        <f t="array" ref="C226">INDEX('User data'!E:E, MATCH(E226, 'User data'!B:B, 0))</f>
        <v>사이오닉에이아이 주식회사</v>
      </c>
      <c r="D226" s="1" t="str">
        <f t="array" ref="D226">INDEX('User data'!F:F, MATCH(C226, 'User data'!E:E, 0))</f>
        <v>245-86-02885</v>
      </c>
      <c r="E226" s="1" t="s">
        <v>1020</v>
      </c>
      <c r="F226" s="3"/>
      <c r="G226" s="3"/>
      <c r="H226" s="3"/>
      <c r="I226" s="1" t="s">
        <v>258</v>
      </c>
      <c r="J226" s="1" t="s">
        <v>100</v>
      </c>
      <c r="K226" s="1" t="s">
        <v>101</v>
      </c>
      <c r="L226" s="1" t="b">
        <v>0</v>
      </c>
      <c r="M226" s="4" t="s">
        <v>102</v>
      </c>
      <c r="N226" s="1" t="s">
        <v>1021</v>
      </c>
      <c r="O226" s="1">
        <v>594863.0</v>
      </c>
      <c r="P226" s="1">
        <v>594863.0</v>
      </c>
      <c r="Q226" s="1">
        <v>594863.0</v>
      </c>
      <c r="R226" s="1" t="s">
        <v>1022</v>
      </c>
      <c r="S226" s="1">
        <v>13288.0</v>
      </c>
      <c r="T226" s="1" t="s">
        <v>104</v>
      </c>
      <c r="U226" s="3"/>
      <c r="V226" s="3"/>
      <c r="W226" s="1" t="s">
        <v>118</v>
      </c>
      <c r="X226" s="3"/>
      <c r="Y226" s="1" t="s">
        <v>119</v>
      </c>
      <c r="Z226" s="3"/>
      <c r="AA226" s="1" t="b">
        <v>1</v>
      </c>
      <c r="AB226" s="1" t="b">
        <v>0</v>
      </c>
      <c r="AC226" s="1" t="b">
        <v>0</v>
      </c>
      <c r="AD226" s="1" t="b">
        <v>1</v>
      </c>
      <c r="AE226" s="1" t="b">
        <v>0</v>
      </c>
      <c r="AF226" s="5">
        <v>3.0</v>
      </c>
      <c r="AG226" s="5">
        <v>3.0</v>
      </c>
      <c r="AH226" s="3"/>
      <c r="AI226" s="3"/>
      <c r="AJ226" s="2">
        <v>46045.703055555554</v>
      </c>
      <c r="AK226" s="2">
        <v>46065.54722222222</v>
      </c>
      <c r="AL226" s="2">
        <v>46045.703055555554</v>
      </c>
      <c r="AM226" s="2">
        <v>46045.7030787037</v>
      </c>
      <c r="AO226" s="3"/>
      <c r="AP226" s="2">
        <v>46045.70353009259</v>
      </c>
      <c r="AR226" s="3"/>
      <c r="AS226" s="3"/>
      <c r="AT226" s="2">
        <v>46063.51405092593</v>
      </c>
      <c r="AU226" s="2">
        <v>46063.51405092593</v>
      </c>
      <c r="AW226" s="3"/>
      <c r="AX226" s="2">
        <v>46045.703148148146</v>
      </c>
      <c r="AY226" s="2">
        <v>46063.51405092593</v>
      </c>
      <c r="AZ226" s="2">
        <v>46063.51427083334</v>
      </c>
      <c r="BA226" s="2">
        <v>46063.579409722224</v>
      </c>
      <c r="BC226" s="2">
        <v>46065.50554398148</v>
      </c>
      <c r="BD226" s="2">
        <v>46065.50554398148</v>
      </c>
      <c r="BE226" s="5">
        <v>507.0</v>
      </c>
      <c r="BF226" s="5">
        <v>507.0</v>
      </c>
      <c r="BG226" s="5">
        <v>169.0</v>
      </c>
      <c r="BH226" s="5">
        <v>169.0</v>
      </c>
      <c r="BI226" s="3"/>
      <c r="BJ226" s="3"/>
      <c r="BK226" s="3"/>
      <c r="BL226" s="3"/>
      <c r="BM226" s="3"/>
      <c r="BN226" s="3"/>
      <c r="BO226" s="5">
        <v>18.0</v>
      </c>
      <c r="BP226" s="5">
        <v>18.0</v>
      </c>
      <c r="BQ226" s="5">
        <v>1538886.0</v>
      </c>
      <c r="BR226" s="5">
        <v>246486.0</v>
      </c>
      <c r="BS226" s="5">
        <v>1538881.0</v>
      </c>
      <c r="BT226" s="5">
        <v>246481.0</v>
      </c>
      <c r="BU226" s="5">
        <v>18.0</v>
      </c>
      <c r="BV226" s="5">
        <v>18.0</v>
      </c>
      <c r="BW226" s="5">
        <v>18.0</v>
      </c>
      <c r="BX226" s="5">
        <v>18.0</v>
      </c>
      <c r="BY226" s="5">
        <v>172064.0</v>
      </c>
      <c r="BZ226" s="5">
        <v>42464.0</v>
      </c>
      <c r="CA226" s="5">
        <v>172064.0</v>
      </c>
      <c r="CB226" s="5">
        <v>42464.0</v>
      </c>
      <c r="CC226" s="5">
        <v>1710933.0</v>
      </c>
      <c r="CD226" s="5">
        <v>288933.0</v>
      </c>
      <c r="CE226" s="5">
        <v>1710927.0</v>
      </c>
      <c r="CF226" s="5">
        <v>288927.0</v>
      </c>
      <c r="CG226" s="5">
        <v>172064.0</v>
      </c>
      <c r="CH226" s="5">
        <v>42464.0</v>
      </c>
      <c r="CI226" s="5">
        <v>172064.0</v>
      </c>
      <c r="CJ226" s="5">
        <v>42464.0</v>
      </c>
      <c r="CK226" s="5">
        <v>172064.0</v>
      </c>
      <c r="CL226" s="5">
        <v>42464.0</v>
      </c>
      <c r="CM226" s="5">
        <v>172064.0</v>
      </c>
      <c r="CN226" s="5">
        <v>42464.0</v>
      </c>
      <c r="CO226" s="5">
        <v>40.0</v>
      </c>
      <c r="CP226" s="3"/>
      <c r="CQ226" s="3"/>
      <c r="CR226" s="4" t="s">
        <v>1023</v>
      </c>
    </row>
    <row r="227">
      <c r="A227" s="1" t="s">
        <v>1024</v>
      </c>
      <c r="B227" s="2">
        <v>46063.51084490741</v>
      </c>
      <c r="C227" s="1" t="str">
        <f t="array" ref="C227">INDEX('User data'!E:E, MATCH(E227, 'User data'!B:B, 0))</f>
        <v>주식회사 탠덤스튜디오(Tandum Studio Co.,Ltd.)</v>
      </c>
      <c r="D227" s="1" t="str">
        <f t="array" ref="D227">INDEX('User data'!F:F, MATCH(C227, 'User data'!E:E, 0))</f>
        <v>270-88-02376</v>
      </c>
      <c r="E227" s="1" t="s">
        <v>1025</v>
      </c>
      <c r="F227" s="3"/>
      <c r="G227" s="3"/>
      <c r="H227" s="3"/>
      <c r="I227" s="3"/>
      <c r="J227" s="1" t="s">
        <v>100</v>
      </c>
      <c r="K227" s="1" t="s">
        <v>101</v>
      </c>
      <c r="L227" s="1" t="b">
        <v>0</v>
      </c>
      <c r="M227" s="4" t="s">
        <v>102</v>
      </c>
      <c r="N227" s="1" t="s">
        <v>1026</v>
      </c>
      <c r="P227" s="3"/>
      <c r="Q227" s="3"/>
      <c r="R227" s="3"/>
      <c r="S227" s="3"/>
      <c r="T227" s="1" t="s">
        <v>104</v>
      </c>
      <c r="U227" s="3"/>
      <c r="V227" s="3"/>
      <c r="W227" s="1" t="s">
        <v>105</v>
      </c>
      <c r="X227" s="3"/>
      <c r="Y227" s="1" t="s">
        <v>106</v>
      </c>
      <c r="Z227" s="3"/>
      <c r="AA227" s="1" t="b">
        <v>0</v>
      </c>
      <c r="AB227" s="1" t="b">
        <v>0</v>
      </c>
      <c r="AC227" s="1" t="b">
        <v>0</v>
      </c>
      <c r="AD227" s="1" t="b">
        <v>0</v>
      </c>
      <c r="AE227" s="1" t="b">
        <v>1</v>
      </c>
      <c r="AF227" s="3"/>
      <c r="AG227" s="3"/>
      <c r="AH227" s="3"/>
      <c r="AI227" s="3"/>
      <c r="AJ227" s="2">
        <v>46063.510613425926</v>
      </c>
      <c r="AK227" s="2">
        <v>46064.51090277778</v>
      </c>
      <c r="AM227" s="2">
        <v>46063.51084490741</v>
      </c>
      <c r="AN227" s="2">
        <v>46063.51084490741</v>
      </c>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5">
        <v>1.8</v>
      </c>
      <c r="CR227" s="4" t="s">
        <v>1027</v>
      </c>
    </row>
    <row r="228">
      <c r="A228" s="1" t="s">
        <v>1028</v>
      </c>
      <c r="B228" s="2">
        <v>46063.48799768519</v>
      </c>
      <c r="C228" s="1" t="str">
        <f t="array" ref="C228">INDEX('User data'!E:E, MATCH(E228, 'User data'!B:B, 0))</f>
        <v/>
      </c>
      <c r="D228" s="1" t="str">
        <f t="array" ref="D228">INDEX('User data'!F:F, MATCH(C228, 'User data'!E:E, 0))</f>
        <v>#N/A</v>
      </c>
      <c r="E228" s="1" t="s">
        <v>1029</v>
      </c>
      <c r="F228" s="3"/>
      <c r="G228" s="3"/>
      <c r="H228" s="3"/>
      <c r="I228" s="3"/>
      <c r="J228" s="1" t="s">
        <v>100</v>
      </c>
      <c r="K228" s="1" t="s">
        <v>101</v>
      </c>
      <c r="L228" s="1" t="b">
        <v>0</v>
      </c>
      <c r="M228" s="4" t="s">
        <v>102</v>
      </c>
      <c r="N228" s="1" t="s">
        <v>1030</v>
      </c>
      <c r="P228" s="3"/>
      <c r="Q228" s="3"/>
      <c r="R228" s="3"/>
      <c r="S228" s="3"/>
      <c r="T228" s="1" t="s">
        <v>104</v>
      </c>
      <c r="U228" s="3"/>
      <c r="V228" s="3"/>
      <c r="W228" s="1" t="s">
        <v>105</v>
      </c>
      <c r="X228" s="3"/>
      <c r="Y228" s="1" t="s">
        <v>106</v>
      </c>
      <c r="Z228" s="3"/>
      <c r="AA228" s="1" t="b">
        <v>0</v>
      </c>
      <c r="AB228" s="1" t="b">
        <v>0</v>
      </c>
      <c r="AC228" s="1" t="b">
        <v>0</v>
      </c>
      <c r="AD228" s="1" t="b">
        <v>0</v>
      </c>
      <c r="AE228" s="1" t="b">
        <v>1</v>
      </c>
      <c r="AF228" s="3"/>
      <c r="AG228" s="3"/>
      <c r="AH228" s="3"/>
      <c r="AI228" s="3"/>
      <c r="AJ228" s="2">
        <v>46063.48793981481</v>
      </c>
      <c r="AK228" s="2">
        <v>46065.42663194444</v>
      </c>
      <c r="AM228" s="2">
        <v>46063.48799768519</v>
      </c>
      <c r="AN228" s="2">
        <v>46063.48799768519</v>
      </c>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5">
        <v>5.0</v>
      </c>
      <c r="CR228" s="4" t="s">
        <v>1031</v>
      </c>
    </row>
    <row r="229">
      <c r="A229" s="1" t="s">
        <v>1032</v>
      </c>
      <c r="B229" s="2">
        <v>46063.486493055556</v>
      </c>
      <c r="C229" s="1" t="str">
        <f t="array" ref="C229">INDEX('User data'!E:E, MATCH(E229, 'User data'!B:B, 0))</f>
        <v>주식회사 라디우스랩</v>
      </c>
      <c r="D229" s="1" t="str">
        <f t="array" ref="D229">INDEX('User data'!F:F, MATCH(C229, 'User data'!E:E, 0))</f>
        <v>567-87-02875</v>
      </c>
      <c r="E229" s="1" t="s">
        <v>536</v>
      </c>
      <c r="F229" s="3"/>
      <c r="G229" s="3"/>
      <c r="H229" s="3"/>
      <c r="I229" s="1" t="s">
        <v>1033</v>
      </c>
      <c r="J229" s="1" t="s">
        <v>100</v>
      </c>
      <c r="K229" s="1" t="s">
        <v>173</v>
      </c>
      <c r="L229" s="1" t="b">
        <v>0</v>
      </c>
      <c r="M229" s="4" t="s">
        <v>102</v>
      </c>
      <c r="N229" s="1" t="s">
        <v>537</v>
      </c>
      <c r="O229" s="1">
        <v>574085.0</v>
      </c>
      <c r="P229" s="1">
        <v>574085.0</v>
      </c>
      <c r="Q229" s="1">
        <v>574085.0</v>
      </c>
      <c r="R229" s="1" t="s">
        <v>145</v>
      </c>
      <c r="S229" s="1">
        <v>13285.0</v>
      </c>
      <c r="T229" s="1" t="s">
        <v>104</v>
      </c>
      <c r="U229" s="3"/>
      <c r="V229" s="3"/>
      <c r="W229" s="1" t="s">
        <v>118</v>
      </c>
      <c r="X229" s="3"/>
      <c r="Y229" s="1" t="s">
        <v>119</v>
      </c>
      <c r="Z229" s="3"/>
      <c r="AA229" s="1" t="b">
        <v>1</v>
      </c>
      <c r="AB229" s="1" t="b">
        <v>0</v>
      </c>
      <c r="AC229" s="1" t="b">
        <v>0</v>
      </c>
      <c r="AD229" s="1" t="b">
        <v>1</v>
      </c>
      <c r="AE229" s="1" t="b">
        <v>0</v>
      </c>
      <c r="AF229" s="5">
        <v>3.0</v>
      </c>
      <c r="AG229" s="5">
        <v>3.0</v>
      </c>
      <c r="AH229" s="3"/>
      <c r="AI229" s="3"/>
      <c r="AJ229" s="2">
        <v>46055.60203703704</v>
      </c>
      <c r="AK229" s="2">
        <v>46063.53870370371</v>
      </c>
      <c r="AL229" s="2">
        <v>46056.583344907405</v>
      </c>
      <c r="AM229" s="2">
        <v>46056.583402777775</v>
      </c>
      <c r="AO229" s="3"/>
      <c r="AP229" s="2">
        <v>46063.486446759256</v>
      </c>
      <c r="AQ229" s="2">
        <v>46063.486493055556</v>
      </c>
      <c r="AS229" s="2">
        <v>46063.48650462963</v>
      </c>
      <c r="AT229" s="2">
        <v>46063.486493055556</v>
      </c>
      <c r="AU229" s="2">
        <v>46063.48650462963</v>
      </c>
      <c r="AW229" s="3"/>
      <c r="AX229" s="2">
        <v>46063.48650462963</v>
      </c>
      <c r="AY229" s="2">
        <v>46063.48650462963</v>
      </c>
      <c r="AZ229" s="2">
        <v>46063.48947916667</v>
      </c>
      <c r="BA229" s="2">
        <v>46063.496979166666</v>
      </c>
      <c r="BC229" s="2">
        <v>46063.497025462966</v>
      </c>
      <c r="BD229" s="2">
        <v>46063.497025462966</v>
      </c>
      <c r="BE229" s="5">
        <v>410.0</v>
      </c>
      <c r="BF229" s="5">
        <v>410.0</v>
      </c>
      <c r="BG229" s="5">
        <v>136.0</v>
      </c>
      <c r="BH229" s="5">
        <v>136.0</v>
      </c>
      <c r="BI229" s="3"/>
      <c r="BJ229" s="3"/>
      <c r="BK229" s="5">
        <v>1.0</v>
      </c>
      <c r="BL229" s="5">
        <v>1.0</v>
      </c>
      <c r="BM229" s="5">
        <v>0.0</v>
      </c>
      <c r="BN229" s="5">
        <v>0.0</v>
      </c>
      <c r="BO229" s="5">
        <v>258.0</v>
      </c>
      <c r="BP229" s="5">
        <v>258.0</v>
      </c>
      <c r="BQ229" s="5">
        <v>596685.0</v>
      </c>
      <c r="BR229" s="5">
        <v>103485.0</v>
      </c>
      <c r="BS229" s="5">
        <v>257.0</v>
      </c>
      <c r="BT229" s="5">
        <v>257.0</v>
      </c>
      <c r="BU229" s="5">
        <v>257.0</v>
      </c>
      <c r="BV229" s="5">
        <v>257.0</v>
      </c>
      <c r="BW229" s="5">
        <v>258.0</v>
      </c>
      <c r="BX229" s="5">
        <v>258.0</v>
      </c>
      <c r="BY229" s="5">
        <v>910.0</v>
      </c>
      <c r="BZ229" s="5">
        <v>910.0</v>
      </c>
      <c r="CA229" s="5">
        <v>910.0</v>
      </c>
      <c r="CB229" s="5">
        <v>910.0</v>
      </c>
      <c r="CC229" s="5">
        <v>597336.0</v>
      </c>
      <c r="CD229" s="5">
        <v>104136.0</v>
      </c>
      <c r="CE229" s="5">
        <v>909.0</v>
      </c>
      <c r="CF229" s="5">
        <v>909.0</v>
      </c>
      <c r="CG229" s="5">
        <v>909.0</v>
      </c>
      <c r="CH229" s="5">
        <v>909.0</v>
      </c>
      <c r="CI229" s="5">
        <v>910.0</v>
      </c>
      <c r="CJ229" s="5">
        <v>910.0</v>
      </c>
      <c r="CK229" s="5">
        <v>909.0</v>
      </c>
      <c r="CL229" s="5">
        <v>909.0</v>
      </c>
      <c r="CM229" s="5">
        <v>909.0</v>
      </c>
      <c r="CN229" s="5">
        <v>909.0</v>
      </c>
      <c r="CO229" s="5">
        <v>596427.0</v>
      </c>
      <c r="CP229" s="3"/>
      <c r="CQ229" s="3"/>
      <c r="CR229" s="4" t="s">
        <v>1034</v>
      </c>
    </row>
    <row r="230">
      <c r="A230" s="1" t="s">
        <v>1035</v>
      </c>
      <c r="B230" s="2">
        <v>46063.475381944445</v>
      </c>
      <c r="C230" s="1" t="str">
        <f t="array" ref="C230">INDEX('User data'!E:E, MATCH(E230, 'User data'!B:B, 0))</f>
        <v>렌즈아이메디칼주식회사</v>
      </c>
      <c r="D230" s="1" t="str">
        <f t="array" ref="D230">INDEX('User data'!F:F, MATCH(C230, 'User data'!E:E, 0))</f>
        <v>581-88-01336</v>
      </c>
      <c r="E230" s="1" t="s">
        <v>1036</v>
      </c>
      <c r="F230" s="3"/>
      <c r="G230" s="3"/>
      <c r="H230" s="3"/>
      <c r="I230" s="3"/>
      <c r="J230" s="1" t="s">
        <v>100</v>
      </c>
      <c r="K230" s="1" t="s">
        <v>101</v>
      </c>
      <c r="L230" s="1" t="b">
        <v>0</v>
      </c>
      <c r="M230" s="4" t="s">
        <v>102</v>
      </c>
      <c r="N230" s="1" t="s">
        <v>1037</v>
      </c>
      <c r="P230" s="3"/>
      <c r="Q230" s="3"/>
      <c r="R230" s="3"/>
      <c r="S230" s="3"/>
      <c r="T230" s="1" t="s">
        <v>104</v>
      </c>
      <c r="U230" s="3"/>
      <c r="V230" s="3"/>
      <c r="W230" s="1" t="s">
        <v>105</v>
      </c>
      <c r="X230" s="3"/>
      <c r="Y230" s="1" t="s">
        <v>106</v>
      </c>
      <c r="Z230" s="3"/>
      <c r="AA230" s="1" t="b">
        <v>0</v>
      </c>
      <c r="AB230" s="1" t="b">
        <v>0</v>
      </c>
      <c r="AC230" s="1" t="b">
        <v>0</v>
      </c>
      <c r="AD230" s="1" t="b">
        <v>0</v>
      </c>
      <c r="AE230" s="1" t="b">
        <v>1</v>
      </c>
      <c r="AF230" s="3"/>
      <c r="AG230" s="3"/>
      <c r="AH230" s="3"/>
      <c r="AI230" s="3"/>
      <c r="AJ230" s="2">
        <v>46063.47534722222</v>
      </c>
      <c r="AK230" s="2">
        <v>46064.47636574074</v>
      </c>
      <c r="AM230" s="2">
        <v>46063.475381944445</v>
      </c>
      <c r="AN230" s="2">
        <v>46063.475381944445</v>
      </c>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5">
        <v>4.4</v>
      </c>
      <c r="CR230" s="4" t="s">
        <v>1038</v>
      </c>
    </row>
    <row r="231">
      <c r="A231" s="1" t="s">
        <v>1039</v>
      </c>
      <c r="B231" s="2">
        <v>46063.46052083333</v>
      </c>
      <c r="C231" s="1" t="str">
        <f t="array" ref="C231">INDEX('User data'!E:E, MATCH(E231, 'User data'!B:B, 0))</f>
        <v>(주)쏘타컬렉션</v>
      </c>
      <c r="D231" s="1" t="str">
        <f t="array" ref="D231">INDEX('User data'!F:F, MATCH(C231, 'User data'!E:E, 0))</f>
        <v>699-87-00849</v>
      </c>
      <c r="E231" s="1" t="s">
        <v>1040</v>
      </c>
      <c r="F231" s="3"/>
      <c r="G231" s="3"/>
      <c r="H231" s="1" t="s">
        <v>1041</v>
      </c>
      <c r="I231" s="1" t="s">
        <v>624</v>
      </c>
      <c r="J231" s="1" t="s">
        <v>100</v>
      </c>
      <c r="K231" s="1" t="s">
        <v>101</v>
      </c>
      <c r="L231" s="1" t="b">
        <v>0</v>
      </c>
      <c r="M231" s="4" t="s">
        <v>102</v>
      </c>
      <c r="N231" s="1" t="s">
        <v>1042</v>
      </c>
      <c r="O231" s="1">
        <v>574085.0</v>
      </c>
      <c r="P231" s="1">
        <v>574085.0</v>
      </c>
      <c r="Q231" s="1">
        <v>574085.0</v>
      </c>
      <c r="R231" s="1">
        <v>574085.0</v>
      </c>
      <c r="S231" s="3"/>
      <c r="T231" s="1" t="s">
        <v>104</v>
      </c>
      <c r="U231" s="3"/>
      <c r="V231" s="3"/>
      <c r="W231" s="1" t="s">
        <v>118</v>
      </c>
      <c r="X231" s="3"/>
      <c r="Y231" s="1" t="s">
        <v>106</v>
      </c>
      <c r="Z231" s="3"/>
      <c r="AA231" s="1" t="b">
        <v>1</v>
      </c>
      <c r="AB231" s="1" t="b">
        <v>0</v>
      </c>
      <c r="AC231" s="1" t="b">
        <v>0</v>
      </c>
      <c r="AD231" s="1" t="b">
        <v>1</v>
      </c>
      <c r="AE231" s="1" t="b">
        <v>1</v>
      </c>
      <c r="AF231" s="5">
        <v>2.0</v>
      </c>
      <c r="AG231" s="5">
        <v>2.0</v>
      </c>
      <c r="AH231" s="3"/>
      <c r="AI231" s="3"/>
      <c r="AJ231" s="2">
        <v>46063.460381944446</v>
      </c>
      <c r="AK231" s="2">
        <v>46072.44613425926</v>
      </c>
      <c r="AL231" s="2">
        <v>46072.40445601852</v>
      </c>
      <c r="AM231" s="2">
        <v>46063.46052083333</v>
      </c>
      <c r="AN231" s="2">
        <v>46063.46052083333</v>
      </c>
      <c r="AO231" s="2">
        <v>46063.47761574074</v>
      </c>
      <c r="AQ231" s="3"/>
      <c r="AR231" s="3"/>
      <c r="AS231" s="3"/>
      <c r="AT231" s="2">
        <v>46063.47761574074</v>
      </c>
      <c r="AU231" s="2">
        <v>46069.375451388885</v>
      </c>
      <c r="AW231" s="3"/>
      <c r="AX231" s="2">
        <v>46063.477372685185</v>
      </c>
      <c r="AY231" s="2">
        <v>46063.47761574074</v>
      </c>
      <c r="AZ231" s="2">
        <v>46063.47761574074</v>
      </c>
      <c r="BA231" s="2">
        <v>46063.51537037037</v>
      </c>
      <c r="BB231" s="2">
        <v>46072.35461805556</v>
      </c>
      <c r="BC231" s="2">
        <v>46072.40445601852</v>
      </c>
      <c r="BD231" s="2">
        <v>46072.40445601852</v>
      </c>
      <c r="BE231" s="5">
        <v>884.0</v>
      </c>
      <c r="BF231" s="5">
        <v>884.0</v>
      </c>
      <c r="BG231" s="5">
        <v>442.0</v>
      </c>
      <c r="BH231" s="5">
        <v>442.0</v>
      </c>
      <c r="BI231" s="5">
        <v>343835.0</v>
      </c>
      <c r="BJ231" s="5">
        <v>40690.0</v>
      </c>
      <c r="BK231" s="3"/>
      <c r="BL231" s="3"/>
      <c r="BM231" s="5">
        <v>1456.0</v>
      </c>
      <c r="BN231" s="5">
        <v>1456.0</v>
      </c>
      <c r="BO231" s="5">
        <v>1476.0</v>
      </c>
      <c r="BP231" s="5">
        <v>1476.0</v>
      </c>
      <c r="BQ231" s="5">
        <v>1476.0</v>
      </c>
      <c r="BR231" s="5">
        <v>1476.0</v>
      </c>
      <c r="BS231" s="5">
        <v>20.0</v>
      </c>
      <c r="BT231" s="5">
        <v>20.0</v>
      </c>
      <c r="BU231" s="3"/>
      <c r="BV231" s="3"/>
      <c r="BW231" s="5">
        <v>0.0</v>
      </c>
      <c r="BX231" s="3"/>
      <c r="BY231" s="5">
        <v>772755.0</v>
      </c>
      <c r="BZ231" s="5">
        <v>147410.0</v>
      </c>
      <c r="CA231" s="5">
        <v>772755.0</v>
      </c>
      <c r="CB231" s="5">
        <v>147410.0</v>
      </c>
      <c r="CC231" s="5">
        <v>772755.0</v>
      </c>
      <c r="CD231" s="5">
        <v>147410.0</v>
      </c>
      <c r="CE231" s="5">
        <v>771299.0</v>
      </c>
      <c r="CF231" s="5">
        <v>145954.0</v>
      </c>
      <c r="CG231" s="5">
        <v>771279.0</v>
      </c>
      <c r="CH231" s="5">
        <v>145933.0</v>
      </c>
      <c r="CI231" s="5">
        <v>771279.0</v>
      </c>
      <c r="CJ231" s="5">
        <v>145933.0</v>
      </c>
      <c r="CK231" s="5">
        <v>431749.0</v>
      </c>
      <c r="CL231" s="5">
        <v>105243.0</v>
      </c>
      <c r="CM231" s="5">
        <v>431749.0</v>
      </c>
      <c r="CN231" s="5">
        <v>105243.0</v>
      </c>
      <c r="CO231" s="3"/>
      <c r="CP231" s="5">
        <v>1476.0</v>
      </c>
      <c r="CQ231" s="3"/>
      <c r="CR231" s="4" t="s">
        <v>1043</v>
      </c>
    </row>
    <row r="232">
      <c r="A232" s="1" t="s">
        <v>1044</v>
      </c>
      <c r="B232" s="2">
        <v>46063.45914351852</v>
      </c>
      <c r="C232" s="1" t="str">
        <f t="array" ref="C232">INDEX('User data'!E:E, MATCH(E232, 'User data'!B:B, 0))</f>
        <v>(주)아이엠디티</v>
      </c>
      <c r="D232" s="1" t="str">
        <f t="array" ref="D232">INDEX('User data'!F:F, MATCH(C232, 'User data'!E:E, 0))</f>
        <v>677-86-02118</v>
      </c>
      <c r="E232" s="1" t="s">
        <v>1045</v>
      </c>
      <c r="F232" s="3"/>
      <c r="G232" s="3"/>
      <c r="H232" s="3"/>
      <c r="I232" s="1" t="s">
        <v>258</v>
      </c>
      <c r="J232" s="1" t="s">
        <v>100</v>
      </c>
      <c r="K232" s="1" t="s">
        <v>101</v>
      </c>
      <c r="L232" s="1" t="b">
        <v>0</v>
      </c>
      <c r="M232" s="4" t="s">
        <v>102</v>
      </c>
      <c r="N232" s="1" t="s">
        <v>1046</v>
      </c>
      <c r="O232" s="1">
        <v>594863.0</v>
      </c>
      <c r="P232" s="1">
        <v>607950.0</v>
      </c>
      <c r="Q232" s="1">
        <v>594863.0</v>
      </c>
      <c r="R232" s="1" t="s">
        <v>117</v>
      </c>
      <c r="S232" s="1">
        <v>13288.0</v>
      </c>
      <c r="T232" s="1" t="s">
        <v>104</v>
      </c>
      <c r="U232" s="3"/>
      <c r="V232" s="3"/>
      <c r="W232" s="1" t="s">
        <v>118</v>
      </c>
      <c r="X232" s="3"/>
      <c r="Y232" s="1" t="s">
        <v>119</v>
      </c>
      <c r="Z232" s="3"/>
      <c r="AA232" s="1" t="b">
        <v>1</v>
      </c>
      <c r="AB232" s="1" t="b">
        <v>0</v>
      </c>
      <c r="AC232" s="1" t="b">
        <v>0</v>
      </c>
      <c r="AD232" s="1" t="b">
        <v>1</v>
      </c>
      <c r="AE232" s="1" t="b">
        <v>1</v>
      </c>
      <c r="AF232" s="5">
        <v>2.0</v>
      </c>
      <c r="AG232" s="5">
        <v>2.0</v>
      </c>
      <c r="AH232" s="3"/>
      <c r="AI232" s="3"/>
      <c r="AJ232" s="2">
        <v>46063.45903935185</v>
      </c>
      <c r="AK232" s="2">
        <v>46063.53350694444</v>
      </c>
      <c r="AL232" s="2">
        <v>46063.473703703705</v>
      </c>
      <c r="AM232" s="2">
        <v>46063.459131944444</v>
      </c>
      <c r="AN232" s="2">
        <v>46063.45914351852</v>
      </c>
      <c r="AO232" s="2">
        <v>46063.472662037035</v>
      </c>
      <c r="AP232" s="2">
        <v>46063.47373842593</v>
      </c>
      <c r="AQ232" s="2">
        <v>46063.47298611111</v>
      </c>
      <c r="AS232" s="2">
        <v>46063.47299768519</v>
      </c>
      <c r="AT232" s="2">
        <v>46063.472662037035</v>
      </c>
      <c r="AU232" s="2">
        <v>46063.47299768519</v>
      </c>
      <c r="AW232" s="3"/>
      <c r="AX232" s="2">
        <v>46063.47273148148</v>
      </c>
      <c r="AY232" s="2">
        <v>46063.472662037035</v>
      </c>
      <c r="AZ232" s="2">
        <v>46063.47284722222</v>
      </c>
      <c r="BA232" s="2">
        <v>46063.47394675926</v>
      </c>
      <c r="BC232" s="2">
        <v>46063.49182870371</v>
      </c>
      <c r="BD232" s="2">
        <v>46063.49182870371</v>
      </c>
      <c r="BE232" s="5">
        <v>99.0</v>
      </c>
      <c r="BF232" s="5">
        <v>99.0</v>
      </c>
      <c r="BG232" s="5">
        <v>49.0</v>
      </c>
      <c r="BH232" s="5">
        <v>49.0</v>
      </c>
      <c r="BI232" s="3"/>
      <c r="BJ232" s="3"/>
      <c r="BK232" s="5">
        <v>1.0</v>
      </c>
      <c r="BL232" s="5">
        <v>1.0</v>
      </c>
      <c r="BM232" s="5">
        <v>1174.0</v>
      </c>
      <c r="BN232" s="5">
        <v>1174.0</v>
      </c>
      <c r="BO232" s="5">
        <v>1184.0</v>
      </c>
      <c r="BP232" s="5">
        <v>1184.0</v>
      </c>
      <c r="BQ232" s="5">
        <v>1184.0</v>
      </c>
      <c r="BR232" s="5">
        <v>1184.0</v>
      </c>
      <c r="BS232" s="5">
        <v>9.0</v>
      </c>
      <c r="BT232" s="5">
        <v>9.0</v>
      </c>
      <c r="BU232" s="5">
        <v>16.0</v>
      </c>
      <c r="BV232" s="5">
        <v>16.0</v>
      </c>
      <c r="BW232" s="5">
        <v>16.0</v>
      </c>
      <c r="BX232" s="5">
        <v>16.0</v>
      </c>
      <c r="BY232" s="5">
        <v>2824.0</v>
      </c>
      <c r="BZ232" s="5">
        <v>2824.0</v>
      </c>
      <c r="CA232" s="5">
        <v>2824.0</v>
      </c>
      <c r="CB232" s="5">
        <v>2824.0</v>
      </c>
      <c r="CC232" s="5">
        <v>2824.0</v>
      </c>
      <c r="CD232" s="5">
        <v>2824.0</v>
      </c>
      <c r="CE232" s="5">
        <v>1649.0</v>
      </c>
      <c r="CF232" s="5">
        <v>1649.0</v>
      </c>
      <c r="CG232" s="5">
        <v>1655.0</v>
      </c>
      <c r="CH232" s="5">
        <v>1655.0</v>
      </c>
      <c r="CI232" s="5">
        <v>1655.0</v>
      </c>
      <c r="CJ232" s="5">
        <v>1655.0</v>
      </c>
      <c r="CK232" s="5">
        <v>1655.0</v>
      </c>
      <c r="CL232" s="5">
        <v>1655.0</v>
      </c>
      <c r="CM232" s="5">
        <v>1655.0</v>
      </c>
      <c r="CN232" s="5">
        <v>1655.0</v>
      </c>
      <c r="CO232" s="5">
        <v>3.0</v>
      </c>
      <c r="CP232" s="5">
        <v>1168.0</v>
      </c>
      <c r="CQ232" s="3"/>
      <c r="CR232" s="4" t="s">
        <v>1047</v>
      </c>
    </row>
    <row r="233">
      <c r="A233" s="1" t="s">
        <v>1048</v>
      </c>
      <c r="B233" s="2">
        <v>46063.44783564815</v>
      </c>
      <c r="C233" s="1" t="str">
        <f t="array" ref="C233">INDEX('User data'!E:E, MATCH(E233, 'User data'!B:B, 0))</f>
        <v>주식회사 에디트콜렉티브</v>
      </c>
      <c r="D233" s="1" t="str">
        <f t="array" ref="D233">INDEX('User data'!F:F, MATCH(C233, 'User data'!E:E, 0))</f>
        <v>318-81-09139</v>
      </c>
      <c r="E233" s="1" t="s">
        <v>1049</v>
      </c>
      <c r="F233" s="3"/>
      <c r="G233" s="3"/>
      <c r="H233" s="3"/>
      <c r="I233" s="3"/>
      <c r="J233" s="1" t="s">
        <v>100</v>
      </c>
      <c r="K233" s="1" t="s">
        <v>101</v>
      </c>
      <c r="L233" s="1" t="b">
        <v>0</v>
      </c>
      <c r="M233" s="4" t="s">
        <v>102</v>
      </c>
      <c r="N233" s="1" t="s">
        <v>1050</v>
      </c>
      <c r="P233" s="3"/>
      <c r="Q233" s="3"/>
      <c r="R233" s="3"/>
      <c r="S233" s="3"/>
      <c r="T233" s="1" t="s">
        <v>104</v>
      </c>
      <c r="U233" s="3"/>
      <c r="V233" s="3"/>
      <c r="W233" s="1" t="s">
        <v>105</v>
      </c>
      <c r="X233" s="3"/>
      <c r="Y233" s="1" t="s">
        <v>106</v>
      </c>
      <c r="Z233" s="3"/>
      <c r="AA233" s="1" t="b">
        <v>0</v>
      </c>
      <c r="AB233" s="1" t="b">
        <v>0</v>
      </c>
      <c r="AC233" s="1" t="b">
        <v>0</v>
      </c>
      <c r="AD233" s="1" t="b">
        <v>0</v>
      </c>
      <c r="AE233" s="1" t="b">
        <v>1</v>
      </c>
      <c r="AF233" s="3"/>
      <c r="AG233" s="3"/>
      <c r="AH233" s="3"/>
      <c r="AI233" s="3"/>
      <c r="AJ233" s="2">
        <v>46063.44739583333</v>
      </c>
      <c r="AK233" s="2">
        <v>46064.45255787037</v>
      </c>
      <c r="AM233" s="2">
        <v>46063.44783564815</v>
      </c>
      <c r="AN233" s="2">
        <v>46063.44783564815</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5">
        <v>5.0</v>
      </c>
      <c r="CR233" s="4" t="s">
        <v>1051</v>
      </c>
    </row>
    <row r="234">
      <c r="A234" s="1" t="s">
        <v>1052</v>
      </c>
      <c r="B234" s="2">
        <v>46063.42996527778</v>
      </c>
      <c r="C234" s="1" t="str">
        <f t="array" ref="C234">INDEX('User data'!E:E, MATCH(E234, 'User data'!B:B, 0))</f>
        <v>주식회사 스튜디오오피큐알</v>
      </c>
      <c r="D234" s="1" t="str">
        <f t="array" ref="D234">INDEX('User data'!F:F, MATCH(C234, 'User data'!E:E, 0))</f>
        <v>880-86-03111</v>
      </c>
      <c r="E234" s="1" t="s">
        <v>1053</v>
      </c>
      <c r="F234" s="3"/>
      <c r="G234" s="3"/>
      <c r="H234" s="3"/>
      <c r="I234" s="3"/>
      <c r="J234" s="1" t="s">
        <v>100</v>
      </c>
      <c r="K234" s="1" t="s">
        <v>101</v>
      </c>
      <c r="L234" s="1" t="b">
        <v>0</v>
      </c>
      <c r="M234" s="4" t="s">
        <v>102</v>
      </c>
      <c r="N234" s="1" t="s">
        <v>1054</v>
      </c>
      <c r="P234" s="3"/>
      <c r="Q234" s="3"/>
      <c r="R234" s="3"/>
      <c r="S234" s="3"/>
      <c r="T234" s="1" t="s">
        <v>104</v>
      </c>
      <c r="U234" s="3"/>
      <c r="V234" s="3"/>
      <c r="W234" s="1" t="s">
        <v>105</v>
      </c>
      <c r="X234" s="3"/>
      <c r="Y234" s="1" t="s">
        <v>106</v>
      </c>
      <c r="Z234" s="3"/>
      <c r="AA234" s="1" t="b">
        <v>0</v>
      </c>
      <c r="AB234" s="1" t="b">
        <v>0</v>
      </c>
      <c r="AC234" s="1" t="b">
        <v>0</v>
      </c>
      <c r="AD234" s="1" t="b">
        <v>0</v>
      </c>
      <c r="AE234" s="1" t="b">
        <v>1</v>
      </c>
      <c r="AF234" s="3"/>
      <c r="AG234" s="3"/>
      <c r="AH234" s="3"/>
      <c r="AI234" s="3"/>
      <c r="AJ234" s="2">
        <v>46063.42989583333</v>
      </c>
      <c r="AK234" s="2">
        <v>46064.43002314815</v>
      </c>
      <c r="AM234" s="2">
        <v>46063.42996527778</v>
      </c>
      <c r="AN234" s="2">
        <v>46063.42996527778</v>
      </c>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5">
        <v>3.4</v>
      </c>
      <c r="CR234" s="4" t="s">
        <v>1055</v>
      </c>
    </row>
    <row r="235">
      <c r="A235" s="1" t="s">
        <v>1056</v>
      </c>
      <c r="B235" s="2">
        <v>46063.42193287037</v>
      </c>
      <c r="C235" s="1" t="str">
        <f t="array" ref="C235">INDEX('User data'!E:E, MATCH(E235, 'User data'!B:B, 0))</f>
        <v>주식회사 글로랑</v>
      </c>
      <c r="D235" s="1" t="str">
        <f t="array" ref="D235">INDEX('User data'!F:F, MATCH(C235, 'User data'!E:E, 0))</f>
        <v>596-81-00999</v>
      </c>
      <c r="E235" s="1" t="s">
        <v>1057</v>
      </c>
      <c r="F235" s="3"/>
      <c r="G235" s="3"/>
      <c r="H235" s="3"/>
      <c r="I235" s="3"/>
      <c r="J235" s="1" t="s">
        <v>100</v>
      </c>
      <c r="K235" s="1" t="s">
        <v>101</v>
      </c>
      <c r="L235" s="1" t="b">
        <v>0</v>
      </c>
      <c r="M235" s="4" t="s">
        <v>102</v>
      </c>
      <c r="N235" s="1" t="s">
        <v>1058</v>
      </c>
      <c r="P235" s="3"/>
      <c r="Q235" s="3"/>
      <c r="R235" s="3"/>
      <c r="S235" s="3"/>
      <c r="T235" s="1" t="s">
        <v>104</v>
      </c>
      <c r="U235" s="3"/>
      <c r="V235" s="3"/>
      <c r="W235" s="1" t="s">
        <v>105</v>
      </c>
      <c r="X235" s="3"/>
      <c r="Y235" s="1" t="s">
        <v>106</v>
      </c>
      <c r="Z235" s="3"/>
      <c r="AA235" s="1" t="b">
        <v>0</v>
      </c>
      <c r="AB235" s="1" t="b">
        <v>0</v>
      </c>
      <c r="AC235" s="1" t="b">
        <v>0</v>
      </c>
      <c r="AD235" s="1" t="b">
        <v>0</v>
      </c>
      <c r="AE235" s="1" t="b">
        <v>1</v>
      </c>
      <c r="AF235" s="3"/>
      <c r="AG235" s="3"/>
      <c r="AH235" s="3"/>
      <c r="AI235" s="3"/>
      <c r="AJ235" s="2">
        <v>46063.42175925926</v>
      </c>
      <c r="AK235" s="2">
        <v>46064.424363425926</v>
      </c>
      <c r="AM235" s="2">
        <v>46063.42193287037</v>
      </c>
      <c r="AN235" s="2">
        <v>46063.42193287037</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5">
        <v>3.0</v>
      </c>
      <c r="CR235" s="4" t="s">
        <v>1059</v>
      </c>
    </row>
    <row r="236">
      <c r="A236" s="1" t="s">
        <v>1060</v>
      </c>
      <c r="B236" s="2">
        <v>46063.41746527778</v>
      </c>
      <c r="C236" s="1" t="str">
        <f t="array" ref="C236">INDEX('User data'!E:E, MATCH(E236, 'User data'!B:B, 0))</f>
        <v>주식회사 비멕스 (BMEKS Co., Ltd.)</v>
      </c>
      <c r="D236" s="1" t="str">
        <f t="array" ref="D236">INDEX('User data'!F:F, MATCH(C236, 'User data'!E:E, 0))</f>
        <v>691-88-01889</v>
      </c>
      <c r="E236" s="1" t="s">
        <v>1061</v>
      </c>
      <c r="F236" s="3"/>
      <c r="G236" s="3"/>
      <c r="H236" s="3"/>
      <c r="I236" s="3"/>
      <c r="J236" s="1" t="s">
        <v>100</v>
      </c>
      <c r="K236" s="1" t="s">
        <v>101</v>
      </c>
      <c r="L236" s="1" t="b">
        <v>0</v>
      </c>
      <c r="M236" s="4" t="s">
        <v>102</v>
      </c>
      <c r="N236" s="1" t="s">
        <v>1062</v>
      </c>
      <c r="P236" s="3"/>
      <c r="Q236" s="3"/>
      <c r="R236" s="3"/>
      <c r="S236" s="3"/>
      <c r="T236" s="1" t="s">
        <v>104</v>
      </c>
      <c r="U236" s="3"/>
      <c r="V236" s="3"/>
      <c r="W236" s="1" t="s">
        <v>105</v>
      </c>
      <c r="X236" s="3"/>
      <c r="Y236" s="1" t="s">
        <v>106</v>
      </c>
      <c r="Z236" s="3"/>
      <c r="AA236" s="1" t="b">
        <v>0</v>
      </c>
      <c r="AB236" s="1" t="b">
        <v>0</v>
      </c>
      <c r="AC236" s="1" t="b">
        <v>0</v>
      </c>
      <c r="AD236" s="1" t="b">
        <v>0</v>
      </c>
      <c r="AE236" s="1" t="b">
        <v>1</v>
      </c>
      <c r="AF236" s="3"/>
      <c r="AG236" s="3"/>
      <c r="AH236" s="3"/>
      <c r="AI236" s="3"/>
      <c r="AJ236" s="2">
        <v>46063.417395833334</v>
      </c>
      <c r="AK236" s="2">
        <v>46064.41752314815</v>
      </c>
      <c r="AM236" s="2">
        <v>46063.4174537037</v>
      </c>
      <c r="AN236" s="2">
        <v>46063.41746527778</v>
      </c>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5">
        <v>5.0</v>
      </c>
      <c r="CR236" s="4" t="s">
        <v>1063</v>
      </c>
    </row>
    <row r="237">
      <c r="A237" s="1" t="s">
        <v>1064</v>
      </c>
      <c r="B237" s="2">
        <v>46062.813472222224</v>
      </c>
      <c r="C237" s="1" t="str">
        <f t="array" ref="C237">INDEX('User data'!E:E, MATCH(E237, 'User data'!B:B, 0))</f>
        <v>주식회사 아란푸드랩</v>
      </c>
      <c r="D237" s="1" t="str">
        <f t="array" ref="D237">INDEX('User data'!F:F, MATCH(C237, 'User data'!E:E, 0))</f>
        <v>471-81-03381</v>
      </c>
      <c r="E237" s="1" t="s">
        <v>714</v>
      </c>
      <c r="F237" s="3"/>
      <c r="G237" s="3"/>
      <c r="H237" s="3"/>
      <c r="I237" s="3"/>
      <c r="J237" s="1" t="s">
        <v>100</v>
      </c>
      <c r="K237" s="1" t="s">
        <v>101</v>
      </c>
      <c r="L237" s="1" t="b">
        <v>0</v>
      </c>
      <c r="M237" s="4" t="s">
        <v>102</v>
      </c>
      <c r="N237" s="1" t="s">
        <v>717</v>
      </c>
      <c r="P237" s="3"/>
      <c r="Q237" s="3"/>
      <c r="R237" s="3"/>
      <c r="S237" s="3"/>
      <c r="T237" s="1" t="s">
        <v>104</v>
      </c>
      <c r="U237" s="3"/>
      <c r="V237" s="3"/>
      <c r="W237" s="1" t="s">
        <v>105</v>
      </c>
      <c r="X237" s="3"/>
      <c r="Y237" s="1" t="s">
        <v>106</v>
      </c>
      <c r="Z237" s="3"/>
      <c r="AA237" s="1" t="b">
        <v>0</v>
      </c>
      <c r="AB237" s="1" t="b">
        <v>0</v>
      </c>
      <c r="AC237" s="1" t="b">
        <v>0</v>
      </c>
      <c r="AD237" s="1" t="b">
        <v>0</v>
      </c>
      <c r="AE237" s="1" t="b">
        <v>1</v>
      </c>
      <c r="AF237" s="3"/>
      <c r="AG237" s="3"/>
      <c r="AH237" s="3"/>
      <c r="AI237" s="3"/>
      <c r="AJ237" s="2">
        <v>46062.81333333333</v>
      </c>
      <c r="AK237" s="2">
        <v>46063.8153125</v>
      </c>
      <c r="AM237" s="2">
        <v>46062.813472222224</v>
      </c>
      <c r="AN237" s="2">
        <v>46062.813472222224</v>
      </c>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5">
        <v>3.2</v>
      </c>
      <c r="CR237" s="4" t="s">
        <v>1065</v>
      </c>
    </row>
    <row r="238">
      <c r="A238" s="1" t="s">
        <v>1066</v>
      </c>
      <c r="B238" s="2">
        <v>46062.80987268518</v>
      </c>
      <c r="C238" s="1" t="str">
        <f t="array" ref="C238">INDEX('User data'!E:E, MATCH(E238, 'User data'!B:B, 0))</f>
        <v>주식회사 비즈니스캔버스</v>
      </c>
      <c r="D238" s="1" t="str">
        <f t="array" ref="D238">INDEX('User data'!F:F, MATCH(C238, 'User data'!E:E, 0))</f>
        <v>714-86-01927</v>
      </c>
      <c r="E238" s="1" t="s">
        <v>1067</v>
      </c>
      <c r="F238" s="3"/>
      <c r="G238" s="3"/>
      <c r="H238" s="3"/>
      <c r="I238" s="3"/>
      <c r="J238" s="1" t="s">
        <v>100</v>
      </c>
      <c r="K238" s="1" t="s">
        <v>101</v>
      </c>
      <c r="L238" s="1" t="b">
        <v>0</v>
      </c>
      <c r="M238" s="4" t="s">
        <v>102</v>
      </c>
      <c r="N238" s="1" t="s">
        <v>1068</v>
      </c>
      <c r="P238" s="3"/>
      <c r="Q238" s="3"/>
      <c r="R238" s="3"/>
      <c r="S238" s="3"/>
      <c r="T238" s="1" t="s">
        <v>104</v>
      </c>
      <c r="U238" s="3"/>
      <c r="V238" s="3"/>
      <c r="W238" s="1" t="s">
        <v>105</v>
      </c>
      <c r="X238" s="3"/>
      <c r="Y238" s="1" t="s">
        <v>106</v>
      </c>
      <c r="Z238" s="3"/>
      <c r="AA238" s="1" t="b">
        <v>0</v>
      </c>
      <c r="AB238" s="1" t="b">
        <v>0</v>
      </c>
      <c r="AC238" s="1" t="b">
        <v>0</v>
      </c>
      <c r="AD238" s="1" t="b">
        <v>0</v>
      </c>
      <c r="AE238" s="1" t="b">
        <v>1</v>
      </c>
      <c r="AF238" s="3"/>
      <c r="AG238" s="3"/>
      <c r="AH238" s="3"/>
      <c r="AI238" s="3"/>
      <c r="AJ238" s="2">
        <v>46062.797951388886</v>
      </c>
      <c r="AK238" s="2">
        <v>46063.81449074074</v>
      </c>
      <c r="AM238" s="2">
        <v>46062.80987268518</v>
      </c>
      <c r="AN238" s="2">
        <v>46062.80987268518</v>
      </c>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5">
        <v>4.2</v>
      </c>
      <c r="CR238" s="4" t="s">
        <v>1069</v>
      </c>
    </row>
    <row r="239">
      <c r="A239" s="1" t="s">
        <v>1070</v>
      </c>
      <c r="B239" s="2">
        <v>46062.79790509259</v>
      </c>
      <c r="C239" s="1" t="str">
        <f t="array" ref="C239">INDEX('User data'!E:E, MATCH(E239, 'User data'!B:B, 0))</f>
        <v>유한책임회사 에이브스</v>
      </c>
      <c r="D239" s="1" t="str">
        <f t="array" ref="D239">INDEX('User data'!F:F, MATCH(C239, 'User data'!E:E, 0))</f>
        <v>186-81-02349</v>
      </c>
      <c r="E239" s="1" t="s">
        <v>1071</v>
      </c>
      <c r="F239" s="3"/>
      <c r="G239" s="3"/>
      <c r="H239" s="3"/>
      <c r="I239" s="3"/>
      <c r="J239" s="1" t="s">
        <v>100</v>
      </c>
      <c r="K239" s="1" t="s">
        <v>101</v>
      </c>
      <c r="L239" s="1" t="b">
        <v>0</v>
      </c>
      <c r="M239" s="4" t="s">
        <v>102</v>
      </c>
      <c r="N239" s="1" t="s">
        <v>1072</v>
      </c>
      <c r="P239" s="3"/>
      <c r="Q239" s="3"/>
      <c r="R239" s="3"/>
      <c r="S239" s="3"/>
      <c r="T239" s="1" t="s">
        <v>104</v>
      </c>
      <c r="U239" s="3"/>
      <c r="V239" s="3"/>
      <c r="W239" s="1" t="s">
        <v>105</v>
      </c>
      <c r="X239" s="3"/>
      <c r="Y239" s="1" t="s">
        <v>106</v>
      </c>
      <c r="Z239" s="3"/>
      <c r="AA239" s="1" t="b">
        <v>0</v>
      </c>
      <c r="AB239" s="1" t="b">
        <v>0</v>
      </c>
      <c r="AC239" s="1" t="b">
        <v>0</v>
      </c>
      <c r="AD239" s="1" t="b">
        <v>0</v>
      </c>
      <c r="AE239" s="1" t="b">
        <v>1</v>
      </c>
      <c r="AF239" s="3"/>
      <c r="AG239" s="3"/>
      <c r="AH239" s="3"/>
      <c r="AI239" s="3"/>
      <c r="AJ239" s="2">
        <v>46062.797534722224</v>
      </c>
      <c r="AK239" s="2">
        <v>46063.79857638889</v>
      </c>
      <c r="AM239" s="2">
        <v>46062.79790509259</v>
      </c>
      <c r="AN239" s="2">
        <v>46062.79790509259</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5">
        <v>1.0</v>
      </c>
      <c r="CR239" s="4" t="s">
        <v>1073</v>
      </c>
    </row>
    <row r="240">
      <c r="A240" s="1" t="s">
        <v>1074</v>
      </c>
      <c r="B240" s="2">
        <v>46062.796875</v>
      </c>
      <c r="C240" s="1" t="str">
        <f t="array" ref="C240">INDEX('User data'!E:E, MATCH(E240, 'User data'!B:B, 0))</f>
        <v>주식회사 밀크코퍼레이션 (Milk Corporation Corp.)</v>
      </c>
      <c r="D240" s="1" t="str">
        <f t="array" ref="D240">INDEX('User data'!F:F, MATCH(C240, 'User data'!E:E, 0))</f>
        <v>755-81-02029</v>
      </c>
      <c r="E240" s="1" t="s">
        <v>1075</v>
      </c>
      <c r="F240" s="3"/>
      <c r="G240" s="3"/>
      <c r="H240" s="3"/>
      <c r="I240" s="3"/>
      <c r="J240" s="1" t="s">
        <v>100</v>
      </c>
      <c r="K240" s="1" t="s">
        <v>101</v>
      </c>
      <c r="L240" s="1" t="b">
        <v>0</v>
      </c>
      <c r="M240" s="4" t="s">
        <v>102</v>
      </c>
      <c r="N240" s="1" t="s">
        <v>1076</v>
      </c>
      <c r="P240" s="3"/>
      <c r="Q240" s="3"/>
      <c r="R240" s="3"/>
      <c r="S240" s="3"/>
      <c r="T240" s="1" t="s">
        <v>104</v>
      </c>
      <c r="U240" s="3"/>
      <c r="V240" s="3"/>
      <c r="W240" s="1" t="s">
        <v>118</v>
      </c>
      <c r="X240" s="3"/>
      <c r="Y240" s="1" t="s">
        <v>106</v>
      </c>
      <c r="Z240" s="3"/>
      <c r="AA240" s="1" t="b">
        <v>0</v>
      </c>
      <c r="AB240" s="1" t="b">
        <v>0</v>
      </c>
      <c r="AC240" s="1" t="b">
        <v>0</v>
      </c>
      <c r="AD240" s="1" t="b">
        <v>0</v>
      </c>
      <c r="AE240" s="1" t="b">
        <v>1</v>
      </c>
      <c r="AF240" s="3"/>
      <c r="AG240" s="3"/>
      <c r="AH240" s="3"/>
      <c r="AI240" s="3"/>
      <c r="AJ240" s="2">
        <v>46062.796805555554</v>
      </c>
      <c r="AK240" s="2">
        <v>46063.79722222222</v>
      </c>
      <c r="AM240" s="2">
        <v>46062.796875</v>
      </c>
      <c r="AN240" s="2">
        <v>46062.796875</v>
      </c>
      <c r="AP240" s="3"/>
      <c r="AQ240" s="3"/>
      <c r="AR240" s="3"/>
      <c r="AS240" s="3"/>
      <c r="AT240" s="3"/>
      <c r="AU240" s="3"/>
      <c r="AV240" s="3"/>
      <c r="AW240" s="3"/>
      <c r="AX240" s="3"/>
      <c r="AY240" s="3"/>
      <c r="AZ240" s="3"/>
      <c r="BA240" s="3"/>
      <c r="BB240" s="3"/>
      <c r="BC240" s="2">
        <v>46062.798854166664</v>
      </c>
      <c r="BD240" s="2">
        <v>46062.798854166664</v>
      </c>
      <c r="BF240" s="3"/>
      <c r="BG240" s="3"/>
      <c r="BH240" s="3"/>
      <c r="BI240" s="3"/>
      <c r="BJ240" s="3"/>
      <c r="BK240" s="3"/>
      <c r="BL240" s="3"/>
      <c r="BM240" s="3"/>
      <c r="BN240" s="3"/>
      <c r="BO240" s="3"/>
      <c r="BP240" s="3"/>
      <c r="BQ240" s="3"/>
      <c r="BR240" s="3"/>
      <c r="BS240" s="3"/>
      <c r="BT240" s="3"/>
      <c r="BU240" s="3"/>
      <c r="BV240" s="3"/>
      <c r="BW240" s="3"/>
      <c r="BX240" s="3"/>
      <c r="BY240" s="5">
        <v>171.0</v>
      </c>
      <c r="BZ240" s="5">
        <v>0.0</v>
      </c>
      <c r="CA240" s="5">
        <v>171.0</v>
      </c>
      <c r="CB240" s="5">
        <v>0.0</v>
      </c>
      <c r="CC240" s="5">
        <v>171.0</v>
      </c>
      <c r="CD240" s="5">
        <v>0.0</v>
      </c>
      <c r="CE240" s="3"/>
      <c r="CF240" s="3"/>
      <c r="CG240" s="3"/>
      <c r="CH240" s="3"/>
      <c r="CI240" s="3"/>
      <c r="CJ240" s="3"/>
      <c r="CK240" s="3"/>
      <c r="CL240" s="3"/>
      <c r="CM240" s="3"/>
      <c r="CN240" s="3"/>
      <c r="CO240" s="3"/>
      <c r="CP240" s="3"/>
      <c r="CQ240" s="5">
        <v>2.0</v>
      </c>
      <c r="CR240" s="4" t="s">
        <v>1077</v>
      </c>
    </row>
    <row r="241">
      <c r="A241" s="1" t="s">
        <v>1078</v>
      </c>
      <c r="B241" s="2">
        <v>46062.78238425926</v>
      </c>
      <c r="C241" s="1" t="str">
        <f t="array" ref="C241">INDEX('User data'!E:E, MATCH(E241, 'User data'!B:B, 0))</f>
        <v>주식회사 스위트스팟</v>
      </c>
      <c r="D241" s="1" t="str">
        <f t="array" ref="D241">INDEX('User data'!F:F, MATCH(C241, 'User data'!E:E, 0))</f>
        <v>846-86-00225</v>
      </c>
      <c r="E241" s="1" t="s">
        <v>1079</v>
      </c>
      <c r="F241" s="3"/>
      <c r="G241" s="3"/>
      <c r="H241" s="3"/>
      <c r="I241" s="3"/>
      <c r="J241" s="1" t="s">
        <v>100</v>
      </c>
      <c r="K241" s="1" t="s">
        <v>101</v>
      </c>
      <c r="L241" s="1" t="b">
        <v>0</v>
      </c>
      <c r="M241" s="4" t="s">
        <v>180</v>
      </c>
      <c r="N241" s="1" t="s">
        <v>1080</v>
      </c>
      <c r="O241" s="1">
        <v>574085.0</v>
      </c>
      <c r="P241" s="1">
        <v>574085.0</v>
      </c>
      <c r="Q241" s="3"/>
      <c r="R241" s="1">
        <v>574085.0</v>
      </c>
      <c r="S241" s="3"/>
      <c r="T241" s="1" t="s">
        <v>104</v>
      </c>
      <c r="U241" s="3"/>
      <c r="V241" s="3"/>
      <c r="W241" s="1" t="s">
        <v>105</v>
      </c>
      <c r="X241" s="3"/>
      <c r="Y241" s="1" t="s">
        <v>106</v>
      </c>
      <c r="Z241" s="3"/>
      <c r="AA241" s="1" t="b">
        <v>0</v>
      </c>
      <c r="AB241" s="1" t="b">
        <v>0</v>
      </c>
      <c r="AC241" s="1" t="b">
        <v>0</v>
      </c>
      <c r="AD241" s="1" t="b">
        <v>0</v>
      </c>
      <c r="AE241" s="1" t="b">
        <v>1</v>
      </c>
      <c r="AF241" s="3"/>
      <c r="AG241" s="3"/>
      <c r="AH241" s="3"/>
      <c r="AI241" s="3"/>
      <c r="AJ241" s="2">
        <v>46062.78172453704</v>
      </c>
      <c r="AK241" s="2">
        <v>46063.7824537037</v>
      </c>
      <c r="AM241" s="2">
        <v>46062.78238425926</v>
      </c>
      <c r="AN241" s="2">
        <v>46062.78238425926</v>
      </c>
      <c r="AP241" s="3"/>
      <c r="AQ241" s="3"/>
      <c r="AR241" s="3"/>
      <c r="AS241" s="3"/>
      <c r="AT241" s="3"/>
      <c r="AU241" s="3"/>
      <c r="AV241" s="3"/>
      <c r="AW241" s="3"/>
      <c r="AX241" s="2">
        <v>46063.47790509259</v>
      </c>
      <c r="AZ241" s="3"/>
      <c r="BA241" s="3"/>
      <c r="BB241" s="3"/>
      <c r="BC241" s="3"/>
      <c r="BD241" s="3"/>
      <c r="BE241" s="3"/>
      <c r="BF241" s="3"/>
      <c r="BG241" s="3"/>
      <c r="BH241" s="3"/>
      <c r="BI241" s="3"/>
      <c r="BJ241" s="3"/>
      <c r="BK241" s="3"/>
      <c r="BL241" s="3"/>
      <c r="BM241" s="5">
        <v>60093.0</v>
      </c>
      <c r="BN241" s="5">
        <v>5291.0</v>
      </c>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5">
        <v>2.6</v>
      </c>
      <c r="CR241" s="4" t="s">
        <v>1081</v>
      </c>
    </row>
    <row r="242">
      <c r="A242" s="1" t="s">
        <v>1082</v>
      </c>
      <c r="B242" s="2">
        <v>46062.72497685185</v>
      </c>
      <c r="C242" s="1" t="str">
        <f t="array" ref="C242">INDEX('User data'!E:E, MATCH(E242, 'User data'!B:B, 0))</f>
        <v>래티스 주식회사(Lattice Inc.)</v>
      </c>
      <c r="D242" s="1" t="str">
        <f t="array" ref="D242">INDEX('User data'!F:F, MATCH(C242, 'User data'!E:E, 0))</f>
        <v>575-81-02914</v>
      </c>
      <c r="E242" s="1" t="s">
        <v>1083</v>
      </c>
      <c r="F242" s="3"/>
      <c r="G242" s="3"/>
      <c r="H242" s="3"/>
      <c r="I242" s="1" t="s">
        <v>258</v>
      </c>
      <c r="J242" s="1" t="s">
        <v>100</v>
      </c>
      <c r="K242" s="1" t="s">
        <v>101</v>
      </c>
      <c r="L242" s="1" t="b">
        <v>0</v>
      </c>
      <c r="M242" s="4" t="s">
        <v>102</v>
      </c>
      <c r="N242" s="1" t="s">
        <v>1084</v>
      </c>
      <c r="O242" s="1">
        <v>594863.0</v>
      </c>
      <c r="P242" s="1">
        <v>574085.0</v>
      </c>
      <c r="Q242" s="1">
        <v>594863.0</v>
      </c>
      <c r="R242" s="1" t="s">
        <v>703</v>
      </c>
      <c r="S242" s="1">
        <v>13285.0</v>
      </c>
      <c r="T242" s="1" t="s">
        <v>104</v>
      </c>
      <c r="U242" s="3"/>
      <c r="V242" s="3"/>
      <c r="W242" s="1" t="s">
        <v>118</v>
      </c>
      <c r="X242" s="3"/>
      <c r="Y242" s="1" t="s">
        <v>119</v>
      </c>
      <c r="Z242" s="3"/>
      <c r="AA242" s="1" t="b">
        <v>1</v>
      </c>
      <c r="AB242" s="1" t="b">
        <v>0</v>
      </c>
      <c r="AC242" s="1" t="b">
        <v>1</v>
      </c>
      <c r="AD242" s="1" t="b">
        <v>1</v>
      </c>
      <c r="AE242" s="1" t="b">
        <v>1</v>
      </c>
      <c r="AF242" s="5">
        <v>3.0</v>
      </c>
      <c r="AG242" s="5">
        <v>1.0</v>
      </c>
      <c r="AH242" s="3"/>
      <c r="AI242" s="5">
        <v>1.0</v>
      </c>
      <c r="AJ242" s="2">
        <v>46062.72489583334</v>
      </c>
      <c r="AK242" s="2">
        <v>46063.61498842593</v>
      </c>
      <c r="AL242" s="2">
        <v>46062.72855324074</v>
      </c>
      <c r="AM242" s="2">
        <v>46062.72497685185</v>
      </c>
      <c r="AN242" s="2">
        <v>46062.72497685185</v>
      </c>
      <c r="AO242" s="2">
        <v>46062.72855324074</v>
      </c>
      <c r="AP242" s="2">
        <v>46062.72857638889</v>
      </c>
      <c r="AQ242" s="2">
        <v>46062.72855324074</v>
      </c>
      <c r="AS242" s="2">
        <v>46062.72856481482</v>
      </c>
      <c r="AT242" s="2">
        <v>46062.72855324074</v>
      </c>
      <c r="AU242" s="2">
        <v>46062.72856481482</v>
      </c>
      <c r="AW242" s="3"/>
      <c r="AX242" s="2">
        <v>46062.72856481482</v>
      </c>
      <c r="AY242" s="2">
        <v>46062.72856481482</v>
      </c>
      <c r="AZ242" s="2">
        <v>46063.43675925926</v>
      </c>
      <c r="BA242" s="2">
        <v>46063.57326388889</v>
      </c>
      <c r="BC242" s="2">
        <v>46063.57331018519</v>
      </c>
      <c r="BD242" s="2">
        <v>46063.57331018519</v>
      </c>
      <c r="BE242" s="5">
        <v>64362.0</v>
      </c>
      <c r="BF242" s="5">
        <v>278.0</v>
      </c>
      <c r="BG242" s="5">
        <v>21454.0</v>
      </c>
      <c r="BH242" s="5">
        <v>278.0</v>
      </c>
      <c r="BI242" s="3"/>
      <c r="BJ242" s="3"/>
      <c r="BK242" s="5">
        <v>1.0</v>
      </c>
      <c r="BL242" s="5">
        <v>0.0</v>
      </c>
      <c r="BM242" s="5">
        <v>309.0</v>
      </c>
      <c r="BN242" s="5">
        <v>0.0</v>
      </c>
      <c r="BO242" s="5">
        <v>61497.0</v>
      </c>
      <c r="BP242" s="5">
        <v>1736.0</v>
      </c>
      <c r="BQ242" s="5">
        <v>61497.0</v>
      </c>
      <c r="BR242" s="5">
        <v>1736.0</v>
      </c>
      <c r="BS242" s="5">
        <v>61188.0</v>
      </c>
      <c r="BT242" s="5">
        <v>1736.0</v>
      </c>
      <c r="BU242" s="5">
        <v>61188.0</v>
      </c>
      <c r="BV242" s="5">
        <v>1736.0</v>
      </c>
      <c r="BW242" s="5">
        <v>61189.0</v>
      </c>
      <c r="BX242" s="5">
        <v>1736.0</v>
      </c>
      <c r="BY242" s="5">
        <v>73296.0</v>
      </c>
      <c r="BZ242" s="5">
        <v>9934.0</v>
      </c>
      <c r="CA242" s="5">
        <v>73296.0</v>
      </c>
      <c r="CB242" s="5">
        <v>9934.0</v>
      </c>
      <c r="CC242" s="5">
        <v>73296.0</v>
      </c>
      <c r="CD242" s="5">
        <v>9934.0</v>
      </c>
      <c r="CE242" s="5">
        <v>72986.0</v>
      </c>
      <c r="CF242" s="5">
        <v>9934.0</v>
      </c>
      <c r="CG242" s="5">
        <v>72986.0</v>
      </c>
      <c r="CH242" s="5">
        <v>9934.0</v>
      </c>
      <c r="CI242" s="5">
        <v>72987.0</v>
      </c>
      <c r="CJ242" s="5">
        <v>9934.0</v>
      </c>
      <c r="CK242" s="5">
        <v>72986.0</v>
      </c>
      <c r="CL242" s="5">
        <v>9934.0</v>
      </c>
      <c r="CM242" s="5">
        <v>72986.0</v>
      </c>
      <c r="CN242" s="5">
        <v>9934.0</v>
      </c>
      <c r="CO242" s="5">
        <v>2.0</v>
      </c>
      <c r="CP242" s="5">
        <v>308.0</v>
      </c>
      <c r="CQ242" s="3"/>
      <c r="CR242" s="4" t="s">
        <v>1085</v>
      </c>
      <c r="CS242" s="5">
        <v>5.0</v>
      </c>
      <c r="CT242" s="3"/>
    </row>
    <row r="243">
      <c r="A243" s="1" t="s">
        <v>1086</v>
      </c>
      <c r="B243" s="2">
        <v>46062.712430555555</v>
      </c>
      <c r="C243" s="1" t="str">
        <f t="array" ref="C243">INDEX('User data'!E:E, MATCH(E243, 'User data'!B:B, 0))</f>
        <v>주식회사 무촌</v>
      </c>
      <c r="D243" s="1" t="str">
        <f t="array" ref="D243">INDEX('User data'!F:F, MATCH(C243, 'User data'!E:E, 0))</f>
        <v>547-87-02245</v>
      </c>
      <c r="E243" s="1" t="s">
        <v>1087</v>
      </c>
      <c r="F243" s="3"/>
      <c r="G243" s="3"/>
      <c r="H243" s="3"/>
      <c r="I243" s="3"/>
      <c r="J243" s="1" t="s">
        <v>100</v>
      </c>
      <c r="K243" s="1" t="s">
        <v>101</v>
      </c>
      <c r="L243" s="1" t="b">
        <v>0</v>
      </c>
      <c r="M243" s="4" t="s">
        <v>102</v>
      </c>
      <c r="N243" s="1" t="s">
        <v>1088</v>
      </c>
      <c r="P243" s="3"/>
      <c r="Q243" s="3"/>
      <c r="R243" s="3"/>
      <c r="S243" s="3"/>
      <c r="T243" s="1" t="s">
        <v>104</v>
      </c>
      <c r="U243" s="3"/>
      <c r="V243" s="3"/>
      <c r="W243" s="1" t="s">
        <v>105</v>
      </c>
      <c r="X243" s="3"/>
      <c r="Y243" s="1" t="s">
        <v>106</v>
      </c>
      <c r="Z243" s="3"/>
      <c r="AA243" s="1" t="b">
        <v>0</v>
      </c>
      <c r="AB243" s="1" t="b">
        <v>0</v>
      </c>
      <c r="AC243" s="1" t="b">
        <v>0</v>
      </c>
      <c r="AD243" s="1" t="b">
        <v>0</v>
      </c>
      <c r="AE243" s="1" t="b">
        <v>1</v>
      </c>
      <c r="AF243" s="3"/>
      <c r="AG243" s="3"/>
      <c r="AH243" s="3"/>
      <c r="AI243" s="3"/>
      <c r="AJ243" s="2">
        <v>46062.71234953704</v>
      </c>
      <c r="AK243" s="2">
        <v>46063.712476851855</v>
      </c>
      <c r="AM243" s="2">
        <v>46062.712430555555</v>
      </c>
      <c r="AN243" s="2">
        <v>46062.712430555555</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5">
        <v>5.0</v>
      </c>
      <c r="CR243" s="4" t="s">
        <v>1089</v>
      </c>
    </row>
    <row r="244">
      <c r="A244" s="1" t="s">
        <v>1090</v>
      </c>
      <c r="B244" s="2">
        <v>46062.70688657407</v>
      </c>
      <c r="C244" s="1" t="str">
        <f t="array" ref="C244">INDEX('User data'!E:E, MATCH(E244, 'User data'!B:B, 0))</f>
        <v/>
      </c>
      <c r="D244" s="1" t="str">
        <f t="array" ref="D244">INDEX('User data'!F:F, MATCH(C244, 'User data'!E:E, 0))</f>
        <v>#N/A</v>
      </c>
      <c r="E244" s="1" t="s">
        <v>1091</v>
      </c>
      <c r="F244" s="3"/>
      <c r="G244" s="3"/>
      <c r="H244" s="3"/>
      <c r="I244" s="3"/>
      <c r="J244" s="1" t="s">
        <v>100</v>
      </c>
      <c r="K244" s="1" t="s">
        <v>101</v>
      </c>
      <c r="L244" s="1" t="b">
        <v>0</v>
      </c>
      <c r="M244" s="4" t="s">
        <v>102</v>
      </c>
      <c r="N244" s="1" t="s">
        <v>1092</v>
      </c>
      <c r="P244" s="3"/>
      <c r="Q244" s="3"/>
      <c r="R244" s="3"/>
      <c r="S244" s="3"/>
      <c r="T244" s="1" t="s">
        <v>104</v>
      </c>
      <c r="U244" s="3"/>
      <c r="V244" s="3"/>
      <c r="W244" s="1" t="s">
        <v>105</v>
      </c>
      <c r="X244" s="3"/>
      <c r="Y244" s="1" t="s">
        <v>106</v>
      </c>
      <c r="Z244" s="3"/>
      <c r="AA244" s="1" t="b">
        <v>0</v>
      </c>
      <c r="AB244" s="1" t="b">
        <v>0</v>
      </c>
      <c r="AC244" s="1" t="b">
        <v>0</v>
      </c>
      <c r="AD244" s="1" t="b">
        <v>0</v>
      </c>
      <c r="AE244" s="1" t="b">
        <v>1</v>
      </c>
      <c r="AF244" s="3"/>
      <c r="AG244" s="3"/>
      <c r="AH244" s="3"/>
      <c r="AI244" s="3"/>
      <c r="AJ244" s="2">
        <v>46062.70685185185</v>
      </c>
      <c r="AK244" s="2">
        <v>46063.70694444444</v>
      </c>
      <c r="AM244" s="2">
        <v>46062.70688657407</v>
      </c>
      <c r="AN244" s="2">
        <v>46062.70688657407</v>
      </c>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5">
        <v>5.0</v>
      </c>
      <c r="CR244" s="4" t="s">
        <v>1093</v>
      </c>
    </row>
    <row r="245">
      <c r="A245" s="1" t="s">
        <v>1094</v>
      </c>
      <c r="B245" s="2">
        <v>46062.66908564815</v>
      </c>
      <c r="C245" s="1" t="str">
        <f t="array" ref="C245">INDEX('User data'!E:E, MATCH(E245, 'User data'!B:B, 0))</f>
        <v>주식회사 플랜바이테크놀로지스</v>
      </c>
      <c r="D245" s="1" t="str">
        <f t="array" ref="D245">INDEX('User data'!F:F, MATCH(C245, 'User data'!E:E, 0))</f>
        <v>328-87-02983</v>
      </c>
      <c r="E245" s="1" t="s">
        <v>1095</v>
      </c>
      <c r="F245" s="3"/>
      <c r="G245" s="3"/>
      <c r="H245" s="3"/>
      <c r="I245" s="3"/>
      <c r="J245" s="1" t="s">
        <v>100</v>
      </c>
      <c r="K245" s="1" t="s">
        <v>101</v>
      </c>
      <c r="L245" s="1" t="b">
        <v>0</v>
      </c>
      <c r="M245" s="4" t="s">
        <v>102</v>
      </c>
      <c r="N245" s="1" t="s">
        <v>1096</v>
      </c>
      <c r="P245" s="3"/>
      <c r="Q245" s="3"/>
      <c r="R245" s="3"/>
      <c r="S245" s="3"/>
      <c r="T245" s="1" t="s">
        <v>104</v>
      </c>
      <c r="U245" s="3"/>
      <c r="V245" s="3"/>
      <c r="W245" s="1" t="s">
        <v>105</v>
      </c>
      <c r="X245" s="3"/>
      <c r="Y245" s="1" t="s">
        <v>106</v>
      </c>
      <c r="Z245" s="3"/>
      <c r="AA245" s="1" t="b">
        <v>0</v>
      </c>
      <c r="AB245" s="1" t="b">
        <v>0</v>
      </c>
      <c r="AC245" s="1" t="b">
        <v>0</v>
      </c>
      <c r="AD245" s="1" t="b">
        <v>0</v>
      </c>
      <c r="AE245" s="1" t="b">
        <v>1</v>
      </c>
      <c r="AF245" s="3"/>
      <c r="AG245" s="3"/>
      <c r="AH245" s="3"/>
      <c r="AI245" s="3"/>
      <c r="AJ245" s="2">
        <v>46062.66900462963</v>
      </c>
      <c r="AK245" s="2">
        <v>46063.66929398148</v>
      </c>
      <c r="AM245" s="2">
        <v>46062.66908564815</v>
      </c>
      <c r="AN245" s="2">
        <v>46062.66908564815</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5">
        <v>5.0</v>
      </c>
      <c r="CR245" s="4" t="s">
        <v>1097</v>
      </c>
    </row>
    <row r="246">
      <c r="A246" s="1" t="s">
        <v>1098</v>
      </c>
      <c r="B246" s="2">
        <v>46062.66782407407</v>
      </c>
      <c r="C246" s="1" t="str">
        <f t="array" ref="C246">INDEX('User data'!E:E, MATCH(E246, 'User data'!B:B, 0))</f>
        <v>주식회사 플랜바이테크놀로지스</v>
      </c>
      <c r="D246" s="1" t="str">
        <f t="array" ref="D246">INDEX('User data'!F:F, MATCH(C246, 'User data'!E:E, 0))</f>
        <v>328-87-02983</v>
      </c>
      <c r="E246" s="1" t="s">
        <v>1095</v>
      </c>
      <c r="F246" s="3"/>
      <c r="G246" s="3"/>
      <c r="H246" s="3"/>
      <c r="I246" s="3"/>
      <c r="J246" s="1" t="s">
        <v>100</v>
      </c>
      <c r="K246" s="1" t="s">
        <v>101</v>
      </c>
      <c r="L246" s="1" t="b">
        <v>0</v>
      </c>
      <c r="M246" s="4" t="s">
        <v>102</v>
      </c>
      <c r="N246" s="1" t="s">
        <v>1096</v>
      </c>
      <c r="P246" s="3"/>
      <c r="Q246" s="3"/>
      <c r="R246" s="3"/>
      <c r="S246" s="3"/>
      <c r="T246" s="1" t="s">
        <v>104</v>
      </c>
      <c r="U246" s="3"/>
      <c r="V246" s="3"/>
      <c r="W246" s="1" t="s">
        <v>118</v>
      </c>
      <c r="X246" s="3"/>
      <c r="Y246" s="1" t="s">
        <v>106</v>
      </c>
      <c r="Z246" s="3"/>
      <c r="AA246" s="1" t="b">
        <v>0</v>
      </c>
      <c r="AB246" s="1" t="b">
        <v>0</v>
      </c>
      <c r="AC246" s="1" t="b">
        <v>0</v>
      </c>
      <c r="AD246" s="1" t="b">
        <v>0</v>
      </c>
      <c r="AE246" s="1" t="b">
        <v>1</v>
      </c>
      <c r="AF246" s="3"/>
      <c r="AG246" s="3"/>
      <c r="AH246" s="3"/>
      <c r="AI246" s="3"/>
      <c r="AJ246" s="2">
        <v>46062.66778935185</v>
      </c>
      <c r="AK246" s="2">
        <v>46063.66853009259</v>
      </c>
      <c r="AM246" s="2">
        <v>46062.66782407407</v>
      </c>
      <c r="AN246" s="2">
        <v>46062.66782407407</v>
      </c>
      <c r="AP246" s="3"/>
      <c r="AQ246" s="3"/>
      <c r="AR246" s="3"/>
      <c r="AS246" s="3"/>
      <c r="AT246" s="3"/>
      <c r="AU246" s="3"/>
      <c r="AV246" s="3"/>
      <c r="AW246" s="3"/>
      <c r="AX246" s="3"/>
      <c r="AY246" s="3"/>
      <c r="AZ246" s="3"/>
      <c r="BA246" s="3"/>
      <c r="BB246" s="3"/>
      <c r="BC246" s="2">
        <v>46062.668703703705</v>
      </c>
      <c r="BD246" s="2">
        <v>46062.668703703705</v>
      </c>
      <c r="BF246" s="3"/>
      <c r="BG246" s="3"/>
      <c r="BH246" s="3"/>
      <c r="BI246" s="3"/>
      <c r="BJ246" s="3"/>
      <c r="BK246" s="3"/>
      <c r="BL246" s="3"/>
      <c r="BM246" s="3"/>
      <c r="BN246" s="3"/>
      <c r="BO246" s="3"/>
      <c r="BP246" s="3"/>
      <c r="BQ246" s="3"/>
      <c r="BR246" s="3"/>
      <c r="BS246" s="3"/>
      <c r="BT246" s="3"/>
      <c r="BU246" s="3"/>
      <c r="BV246" s="3"/>
      <c r="BW246" s="3"/>
      <c r="BX246" s="3"/>
      <c r="BY246" s="5">
        <v>76.0</v>
      </c>
      <c r="BZ246" s="5">
        <v>76.0</v>
      </c>
      <c r="CA246" s="5">
        <v>76.0</v>
      </c>
      <c r="CB246" s="5">
        <v>76.0</v>
      </c>
      <c r="CC246" s="5">
        <v>76.0</v>
      </c>
      <c r="CD246" s="5">
        <v>76.0</v>
      </c>
      <c r="CE246" s="3"/>
      <c r="CF246" s="3"/>
      <c r="CG246" s="3"/>
      <c r="CH246" s="3"/>
      <c r="CI246" s="3"/>
      <c r="CJ246" s="3"/>
      <c r="CK246" s="3"/>
      <c r="CL246" s="3"/>
      <c r="CM246" s="3"/>
      <c r="CN246" s="3"/>
      <c r="CO246" s="3"/>
      <c r="CP246" s="3"/>
      <c r="CQ246" s="5">
        <v>2.8</v>
      </c>
      <c r="CR246" s="4" t="s">
        <v>1099</v>
      </c>
    </row>
    <row r="247">
      <c r="A247" s="1" t="s">
        <v>1100</v>
      </c>
      <c r="B247" s="2">
        <v>46062.66680555556</v>
      </c>
      <c r="C247" s="1" t="str">
        <f t="array" ref="C247">INDEX('User data'!E:E, MATCH(E247, 'User data'!B:B, 0))</f>
        <v>(주)스타리치에이치알</v>
      </c>
      <c r="D247" s="1" t="str">
        <f t="array" ref="D247">INDEX('User data'!F:F, MATCH(C247, 'User data'!E:E, 0))</f>
        <v>474-86-00321</v>
      </c>
      <c r="E247" s="1" t="s">
        <v>1101</v>
      </c>
      <c r="F247" s="3"/>
      <c r="G247" s="3"/>
      <c r="H247" s="3"/>
      <c r="I247" s="3"/>
      <c r="J247" s="1" t="s">
        <v>100</v>
      </c>
      <c r="K247" s="1" t="s">
        <v>101</v>
      </c>
      <c r="L247" s="1" t="b">
        <v>0</v>
      </c>
      <c r="M247" s="4" t="s">
        <v>102</v>
      </c>
      <c r="N247" s="1" t="s">
        <v>1102</v>
      </c>
      <c r="P247" s="3"/>
      <c r="Q247" s="3"/>
      <c r="R247" s="3"/>
      <c r="S247" s="3"/>
      <c r="T247" s="1" t="s">
        <v>104</v>
      </c>
      <c r="U247" s="3"/>
      <c r="V247" s="3"/>
      <c r="W247" s="1" t="s">
        <v>105</v>
      </c>
      <c r="X247" s="3"/>
      <c r="Y247" s="1" t="s">
        <v>106</v>
      </c>
      <c r="Z247" s="3"/>
      <c r="AA247" s="1" t="b">
        <v>0</v>
      </c>
      <c r="AB247" s="1" t="b">
        <v>0</v>
      </c>
      <c r="AC247" s="1" t="b">
        <v>0</v>
      </c>
      <c r="AD247" s="1" t="b">
        <v>0</v>
      </c>
      <c r="AE247" s="1" t="b">
        <v>1</v>
      </c>
      <c r="AF247" s="3"/>
      <c r="AG247" s="3"/>
      <c r="AH247" s="3"/>
      <c r="AI247" s="3"/>
      <c r="AJ247" s="2">
        <v>46062.66667824074</v>
      </c>
      <c r="AK247" s="2">
        <v>46063.666863425926</v>
      </c>
      <c r="AM247" s="2">
        <v>46062.66680555556</v>
      </c>
      <c r="AN247" s="2">
        <v>46062.66680555556</v>
      </c>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5">
        <v>5.0</v>
      </c>
      <c r="CR247" s="4" t="s">
        <v>1103</v>
      </c>
    </row>
    <row r="248">
      <c r="A248" s="1" t="s">
        <v>1104</v>
      </c>
      <c r="B248" s="2">
        <v>46062.649513888886</v>
      </c>
      <c r="C248" s="1" t="str">
        <f t="array" ref="C248">INDEX('User data'!E:E, MATCH(E248, 'User data'!B:B, 0))</f>
        <v>주식회사 오아페(OAFE Inc.)</v>
      </c>
      <c r="D248" s="1" t="str">
        <f t="array" ref="D248">INDEX('User data'!F:F, MATCH(C248, 'User data'!E:E, 0))</f>
        <v>353-88-02803</v>
      </c>
      <c r="E248" s="1" t="s">
        <v>1105</v>
      </c>
      <c r="F248" s="3"/>
      <c r="G248" s="3"/>
      <c r="H248" s="3"/>
      <c r="I248" s="3"/>
      <c r="J248" s="1" t="s">
        <v>100</v>
      </c>
      <c r="K248" s="1" t="s">
        <v>101</v>
      </c>
      <c r="L248" s="1" t="b">
        <v>0</v>
      </c>
      <c r="M248" s="4" t="s">
        <v>102</v>
      </c>
      <c r="N248" s="1" t="s">
        <v>1106</v>
      </c>
      <c r="P248" s="3"/>
      <c r="Q248" s="3"/>
      <c r="R248" s="3"/>
      <c r="S248" s="3"/>
      <c r="T248" s="1" t="s">
        <v>104</v>
      </c>
      <c r="U248" s="3"/>
      <c r="V248" s="3"/>
      <c r="W248" s="1" t="s">
        <v>105</v>
      </c>
      <c r="X248" s="3"/>
      <c r="Y248" s="1" t="s">
        <v>106</v>
      </c>
      <c r="Z248" s="3"/>
      <c r="AA248" s="1" t="b">
        <v>0</v>
      </c>
      <c r="AB248" s="1" t="b">
        <v>0</v>
      </c>
      <c r="AC248" s="1" t="b">
        <v>0</v>
      </c>
      <c r="AD248" s="1" t="b">
        <v>0</v>
      </c>
      <c r="AE248" s="1" t="b">
        <v>1</v>
      </c>
      <c r="AF248" s="3"/>
      <c r="AG248" s="3"/>
      <c r="AH248" s="3"/>
      <c r="AI248" s="3"/>
      <c r="AJ248" s="2">
        <v>46062.64922453704</v>
      </c>
      <c r="AK248" s="2">
        <v>46063.65017361111</v>
      </c>
      <c r="AM248" s="2">
        <v>46062.649513888886</v>
      </c>
      <c r="AN248" s="2">
        <v>46062.649513888886</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5">
        <v>2.4</v>
      </c>
      <c r="CR248" s="4" t="s">
        <v>1107</v>
      </c>
    </row>
    <row r="249">
      <c r="A249" s="1" t="s">
        <v>1108</v>
      </c>
      <c r="B249" s="2">
        <v>46062.647997685184</v>
      </c>
      <c r="C249" s="1" t="str">
        <f t="array" ref="C249">INDEX('User data'!E:E, MATCH(E249, 'User data'!B:B, 0))</f>
        <v>요모랩스 주식회사</v>
      </c>
      <c r="D249" s="1" t="str">
        <f t="array" ref="D249">INDEX('User data'!F:F, MATCH(C249, 'User data'!E:E, 0))</f>
        <v>750-87-02176</v>
      </c>
      <c r="E249" s="1" t="s">
        <v>1109</v>
      </c>
      <c r="F249" s="3"/>
      <c r="G249" s="3"/>
      <c r="H249" s="3"/>
      <c r="I249" s="1" t="s">
        <v>1110</v>
      </c>
      <c r="J249" s="1" t="s">
        <v>100</v>
      </c>
      <c r="K249" s="1" t="s">
        <v>101</v>
      </c>
      <c r="L249" s="1" t="b">
        <v>0</v>
      </c>
      <c r="M249" s="4" t="s">
        <v>102</v>
      </c>
      <c r="N249" s="1" t="s">
        <v>1111</v>
      </c>
      <c r="O249" s="1">
        <v>574085.0</v>
      </c>
      <c r="P249" s="1">
        <v>574085.0</v>
      </c>
      <c r="Q249" s="1">
        <v>574085.0</v>
      </c>
      <c r="R249" s="1" t="s">
        <v>145</v>
      </c>
      <c r="S249" s="1">
        <v>13285.0</v>
      </c>
      <c r="T249" s="1" t="s">
        <v>104</v>
      </c>
      <c r="U249" s="3"/>
      <c r="V249" s="3"/>
      <c r="W249" s="1" t="s">
        <v>118</v>
      </c>
      <c r="X249" s="3"/>
      <c r="Y249" s="1" t="s">
        <v>119</v>
      </c>
      <c r="Z249" s="3"/>
      <c r="AA249" s="1" t="b">
        <v>1</v>
      </c>
      <c r="AB249" s="1" t="b">
        <v>0</v>
      </c>
      <c r="AC249" s="1" t="b">
        <v>0</v>
      </c>
      <c r="AD249" s="1" t="b">
        <v>1</v>
      </c>
      <c r="AE249" s="1" t="b">
        <v>0</v>
      </c>
      <c r="AF249" s="5">
        <v>3.0</v>
      </c>
      <c r="AG249" s="5">
        <v>3.0</v>
      </c>
      <c r="AH249" s="3"/>
      <c r="AI249" s="3"/>
      <c r="AJ249" s="2">
        <v>46058.71119212963</v>
      </c>
      <c r="AK249" s="2">
        <v>46062.70112268518</v>
      </c>
      <c r="AL249" s="2">
        <v>46058.71119212963</v>
      </c>
      <c r="AM249" s="2">
        <v>46058.7112037037</v>
      </c>
      <c r="AO249" s="3"/>
      <c r="AP249" s="2">
        <v>46058.71165509259</v>
      </c>
      <c r="AQ249" s="2">
        <v>46062.647997685184</v>
      </c>
      <c r="AS249" s="2">
        <v>46062.64800925926</v>
      </c>
      <c r="AT249" s="2">
        <v>46062.647997685184</v>
      </c>
      <c r="AU249" s="2">
        <v>46062.64800925926</v>
      </c>
      <c r="AW249" s="3"/>
      <c r="AX249" s="2">
        <v>46062.64800925926</v>
      </c>
      <c r="AY249" s="2">
        <v>46062.64800925926</v>
      </c>
      <c r="AZ249" s="2">
        <v>46062.64844907408</v>
      </c>
      <c r="BA249" s="2">
        <v>46062.65645833333</v>
      </c>
      <c r="BC249" s="2">
        <v>46062.65944444444</v>
      </c>
      <c r="BD249" s="2">
        <v>46062.65944444444</v>
      </c>
      <c r="BE249" s="5">
        <v>383.0</v>
      </c>
      <c r="BF249" s="5">
        <v>383.0</v>
      </c>
      <c r="BG249" s="5">
        <v>127.0</v>
      </c>
      <c r="BH249" s="5">
        <v>127.0</v>
      </c>
      <c r="BI249" s="3"/>
      <c r="BJ249" s="3"/>
      <c r="BK249" s="5">
        <v>1.0</v>
      </c>
      <c r="BL249" s="5">
        <v>1.0</v>
      </c>
      <c r="BM249" s="5">
        <v>1.0</v>
      </c>
      <c r="BN249" s="5">
        <v>1.0</v>
      </c>
      <c r="BO249" s="5">
        <v>39.0</v>
      </c>
      <c r="BP249" s="5">
        <v>39.0</v>
      </c>
      <c r="BQ249" s="5">
        <v>340177.0</v>
      </c>
      <c r="BR249" s="5">
        <v>38026.0</v>
      </c>
      <c r="BS249" s="5">
        <v>37.0</v>
      </c>
      <c r="BT249" s="5">
        <v>37.0</v>
      </c>
      <c r="BU249" s="5">
        <v>37.0</v>
      </c>
      <c r="BV249" s="5">
        <v>37.0</v>
      </c>
      <c r="BW249" s="5">
        <v>39.0</v>
      </c>
      <c r="BX249" s="5">
        <v>39.0</v>
      </c>
      <c r="BY249" s="5">
        <v>989.0</v>
      </c>
      <c r="BZ249" s="5">
        <v>989.0</v>
      </c>
      <c r="CA249" s="5">
        <v>989.0</v>
      </c>
      <c r="CB249" s="5">
        <v>989.0</v>
      </c>
      <c r="CC249" s="5">
        <v>341127.0</v>
      </c>
      <c r="CD249" s="5">
        <v>38976.0</v>
      </c>
      <c r="CE249" s="5">
        <v>988.0</v>
      </c>
      <c r="CF249" s="5">
        <v>988.0</v>
      </c>
      <c r="CG249" s="5">
        <v>988.0</v>
      </c>
      <c r="CH249" s="5">
        <v>988.0</v>
      </c>
      <c r="CI249" s="5">
        <v>989.0</v>
      </c>
      <c r="CJ249" s="5">
        <v>989.0</v>
      </c>
      <c r="CK249" s="5">
        <v>988.0</v>
      </c>
      <c r="CL249" s="5">
        <v>988.0</v>
      </c>
      <c r="CM249" s="5">
        <v>988.0</v>
      </c>
      <c r="CN249" s="5">
        <v>988.0</v>
      </c>
      <c r="CO249" s="5">
        <v>39.0</v>
      </c>
      <c r="CP249" s="3"/>
      <c r="CQ249" s="3"/>
      <c r="CR249" s="4" t="s">
        <v>1112</v>
      </c>
    </row>
    <row r="250">
      <c r="A250" s="1" t="s">
        <v>1113</v>
      </c>
      <c r="B250" s="2">
        <v>46062.64188657407</v>
      </c>
      <c r="C250" s="1" t="str">
        <f t="array" ref="C250">INDEX('User data'!E:E, MATCH(E250, 'User data'!B:B, 0))</f>
        <v>주식회사 글로랑</v>
      </c>
      <c r="D250" s="1" t="str">
        <f t="array" ref="D250">INDEX('User data'!F:F, MATCH(C250, 'User data'!E:E, 0))</f>
        <v>596-81-00999</v>
      </c>
      <c r="E250" s="1" t="s">
        <v>1057</v>
      </c>
      <c r="F250" s="3"/>
      <c r="G250" s="3"/>
      <c r="H250" s="3"/>
      <c r="I250" s="1" t="s">
        <v>1114</v>
      </c>
      <c r="J250" s="1" t="s">
        <v>100</v>
      </c>
      <c r="K250" s="1" t="s">
        <v>101</v>
      </c>
      <c r="L250" s="1" t="b">
        <v>0</v>
      </c>
      <c r="M250" s="4" t="s">
        <v>102</v>
      </c>
      <c r="N250" s="1" t="s">
        <v>1058</v>
      </c>
      <c r="O250" s="1">
        <v>574085.0</v>
      </c>
      <c r="P250" s="1">
        <v>574085.0</v>
      </c>
      <c r="Q250" s="1">
        <v>574085.0</v>
      </c>
      <c r="R250" s="1" t="s">
        <v>1115</v>
      </c>
      <c r="S250" s="1">
        <v>13285.0</v>
      </c>
      <c r="T250" s="1" t="s">
        <v>104</v>
      </c>
      <c r="U250" s="3"/>
      <c r="V250" s="3"/>
      <c r="W250" s="1" t="s">
        <v>118</v>
      </c>
      <c r="X250" s="3"/>
      <c r="Y250" s="1" t="s">
        <v>119</v>
      </c>
      <c r="Z250" s="3"/>
      <c r="AA250" s="1" t="b">
        <v>1</v>
      </c>
      <c r="AB250" s="1" t="b">
        <v>0</v>
      </c>
      <c r="AC250" s="1" t="b">
        <v>0</v>
      </c>
      <c r="AD250" s="1" t="b">
        <v>1</v>
      </c>
      <c r="AE250" s="1" t="b">
        <v>0</v>
      </c>
      <c r="AF250" s="5">
        <v>7.0</v>
      </c>
      <c r="AG250" s="5">
        <v>7.0</v>
      </c>
      <c r="AH250" s="3"/>
      <c r="AI250" s="3"/>
      <c r="AJ250" s="2">
        <v>46058.58173611111</v>
      </c>
      <c r="AK250" s="2">
        <v>46062.70077546296</v>
      </c>
      <c r="AL250" s="2">
        <v>46058.58173611111</v>
      </c>
      <c r="AM250" s="2">
        <v>46058.581770833334</v>
      </c>
      <c r="AO250" s="3"/>
      <c r="AP250" s="2">
        <v>46058.581979166665</v>
      </c>
      <c r="AQ250" s="2">
        <v>46062.64188657407</v>
      </c>
      <c r="AS250" s="2">
        <v>46062.64189814815</v>
      </c>
      <c r="AT250" s="2">
        <v>46062.64188657407</v>
      </c>
      <c r="AU250" s="2">
        <v>46062.64189814815</v>
      </c>
      <c r="AW250" s="3"/>
      <c r="AX250" s="2">
        <v>46062.64189814815</v>
      </c>
      <c r="AY250" s="2">
        <v>46062.64189814815</v>
      </c>
      <c r="AZ250" s="2">
        <v>46062.6425</v>
      </c>
      <c r="BA250" s="2">
        <v>46062.659050925926</v>
      </c>
      <c r="BC250" s="2">
        <v>46062.659097222226</v>
      </c>
      <c r="BD250" s="2">
        <v>46062.659097222226</v>
      </c>
      <c r="BE250" s="5">
        <v>969.0</v>
      </c>
      <c r="BF250" s="5">
        <v>969.0</v>
      </c>
      <c r="BG250" s="5">
        <v>138.0</v>
      </c>
      <c r="BH250" s="5">
        <v>138.0</v>
      </c>
      <c r="BI250" s="3"/>
      <c r="BJ250" s="3"/>
      <c r="BK250" s="5">
        <v>0.0</v>
      </c>
      <c r="BL250" s="5">
        <v>0.0</v>
      </c>
      <c r="BM250" s="5">
        <v>0.0</v>
      </c>
      <c r="BN250" s="5">
        <v>0.0</v>
      </c>
      <c r="BO250" s="5">
        <v>52.0</v>
      </c>
      <c r="BP250" s="5">
        <v>52.0</v>
      </c>
      <c r="BQ250" s="5">
        <v>350846.0</v>
      </c>
      <c r="BR250" s="5">
        <v>48446.0</v>
      </c>
      <c r="BS250" s="5">
        <v>52.0</v>
      </c>
      <c r="BT250" s="5">
        <v>52.0</v>
      </c>
      <c r="BU250" s="5">
        <v>52.0</v>
      </c>
      <c r="BV250" s="5">
        <v>52.0</v>
      </c>
      <c r="BW250" s="5">
        <v>52.0</v>
      </c>
      <c r="BX250" s="5">
        <v>52.0</v>
      </c>
      <c r="BY250" s="5">
        <v>1486.0</v>
      </c>
      <c r="BZ250" s="5">
        <v>1486.0</v>
      </c>
      <c r="CA250" s="5">
        <v>1486.0</v>
      </c>
      <c r="CB250" s="5">
        <v>1486.0</v>
      </c>
      <c r="CC250" s="5">
        <v>352281.0</v>
      </c>
      <c r="CD250" s="5">
        <v>49881.0</v>
      </c>
      <c r="CE250" s="5">
        <v>1486.0</v>
      </c>
      <c r="CF250" s="5">
        <v>1486.0</v>
      </c>
      <c r="CG250" s="5">
        <v>1486.0</v>
      </c>
      <c r="CH250" s="5">
        <v>1486.0</v>
      </c>
      <c r="CI250" s="5">
        <v>1486.0</v>
      </c>
      <c r="CJ250" s="5">
        <v>1486.0</v>
      </c>
      <c r="CK250" s="5">
        <v>1486.0</v>
      </c>
      <c r="CL250" s="5">
        <v>1486.0</v>
      </c>
      <c r="CM250" s="5">
        <v>1486.0</v>
      </c>
      <c r="CN250" s="5">
        <v>1486.0</v>
      </c>
      <c r="CO250" s="5">
        <v>20.0</v>
      </c>
      <c r="CP250" s="3"/>
      <c r="CQ250" s="3"/>
      <c r="CR250" s="4" t="s">
        <v>1116</v>
      </c>
    </row>
    <row r="251">
      <c r="A251" s="1" t="s">
        <v>1117</v>
      </c>
      <c r="B251" s="2">
        <v>46062.62228009259</v>
      </c>
      <c r="C251" s="1" t="str">
        <f t="array" ref="C251">INDEX('User data'!E:E, MATCH(E251, 'User data'!B:B, 0))</f>
        <v>(주）TGWP</v>
      </c>
      <c r="D251" s="1" t="str">
        <f t="array" ref="D251">INDEX('User data'!F:F, MATCH(C251, 'User data'!E:E, 0))</f>
        <v>211-88-10839</v>
      </c>
      <c r="E251" s="1" t="s">
        <v>1118</v>
      </c>
      <c r="F251" s="3"/>
      <c r="G251" s="3"/>
      <c r="H251" s="3"/>
      <c r="I251" s="3"/>
      <c r="J251" s="1" t="s">
        <v>100</v>
      </c>
      <c r="K251" s="1" t="s">
        <v>173</v>
      </c>
      <c r="L251" s="1" t="b">
        <v>0</v>
      </c>
      <c r="M251" s="4" t="s">
        <v>102</v>
      </c>
      <c r="N251" s="1" t="s">
        <v>1119</v>
      </c>
      <c r="P251" s="3"/>
      <c r="Q251" s="3"/>
      <c r="R251" s="3"/>
      <c r="S251" s="1">
        <v>13285.0</v>
      </c>
      <c r="T251" s="1" t="s">
        <v>104</v>
      </c>
      <c r="U251" s="3"/>
      <c r="V251" s="3"/>
      <c r="W251" s="1" t="s">
        <v>105</v>
      </c>
      <c r="X251" s="3"/>
      <c r="Y251" s="1" t="s">
        <v>106</v>
      </c>
      <c r="Z251" s="3"/>
      <c r="AA251" s="1" t="b">
        <v>0</v>
      </c>
      <c r="AB251" s="1" t="b">
        <v>0</v>
      </c>
      <c r="AC251" s="1" t="b">
        <v>0</v>
      </c>
      <c r="AD251" s="1" t="b">
        <v>1</v>
      </c>
      <c r="AE251" s="1" t="b">
        <v>1</v>
      </c>
      <c r="AF251" s="3"/>
      <c r="AG251" s="3"/>
      <c r="AH251" s="3"/>
      <c r="AI251" s="3"/>
      <c r="AJ251" s="2">
        <v>46062.619791666664</v>
      </c>
      <c r="AK251" s="2">
        <v>46063.62232638889</v>
      </c>
      <c r="AL251" s="2">
        <v>46062.62048611111</v>
      </c>
      <c r="AM251" s="2">
        <v>46062.62054398148</v>
      </c>
      <c r="AN251" s="2">
        <v>46062.62228009259</v>
      </c>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5">
        <v>5.0</v>
      </c>
      <c r="CR251" s="4" t="s">
        <v>1120</v>
      </c>
    </row>
    <row r="252">
      <c r="A252" s="1" t="s">
        <v>1121</v>
      </c>
      <c r="B252" s="2">
        <v>46062.607465277775</v>
      </c>
      <c r="C252" s="1" t="str">
        <f t="array" ref="C252">INDEX('User data'!E:E, MATCH(E252, 'User data'!B:B, 0))</f>
        <v>헬로스킨 주식회사(HELLO SKIN Co.,Ltd.)</v>
      </c>
      <c r="D252" s="1" t="str">
        <f t="array" ref="D252">INDEX('User data'!F:F, MATCH(C252, 'User data'!E:E, 0))</f>
        <v>888-88-00596</v>
      </c>
      <c r="E252" s="1" t="s">
        <v>280</v>
      </c>
      <c r="F252" s="3"/>
      <c r="G252" s="3"/>
      <c r="H252" s="3"/>
      <c r="I252" s="1" t="s">
        <v>115</v>
      </c>
      <c r="J252" s="1" t="s">
        <v>100</v>
      </c>
      <c r="K252" s="1" t="s">
        <v>101</v>
      </c>
      <c r="L252" s="1" t="b">
        <v>0</v>
      </c>
      <c r="M252" s="4" t="s">
        <v>102</v>
      </c>
      <c r="N252" s="1" t="s">
        <v>281</v>
      </c>
      <c r="O252" s="1">
        <v>574085.0</v>
      </c>
      <c r="P252" s="1">
        <v>574085.0</v>
      </c>
      <c r="Q252" s="1">
        <v>574085.0</v>
      </c>
      <c r="R252" s="1" t="s">
        <v>145</v>
      </c>
      <c r="S252" s="1">
        <v>13285.0</v>
      </c>
      <c r="T252" s="1" t="s">
        <v>104</v>
      </c>
      <c r="U252" s="3"/>
      <c r="V252" s="3"/>
      <c r="W252" s="1" t="s">
        <v>118</v>
      </c>
      <c r="X252" s="3"/>
      <c r="Y252" s="1" t="s">
        <v>119</v>
      </c>
      <c r="Z252" s="3"/>
      <c r="AA252" s="1" t="b">
        <v>1</v>
      </c>
      <c r="AB252" s="1" t="b">
        <v>0</v>
      </c>
      <c r="AC252" s="1" t="b">
        <v>0</v>
      </c>
      <c r="AD252" s="1" t="b">
        <v>1</v>
      </c>
      <c r="AE252" s="1" t="b">
        <v>1</v>
      </c>
      <c r="AF252" s="5">
        <v>3.0</v>
      </c>
      <c r="AG252" s="5">
        <v>2.0</v>
      </c>
      <c r="AH252" s="3"/>
      <c r="AI252" s="3"/>
      <c r="AJ252" s="2">
        <v>46062.607407407406</v>
      </c>
      <c r="AK252" s="2">
        <v>46063.45428240741</v>
      </c>
      <c r="AL252" s="2">
        <v>46062.60832175926</v>
      </c>
      <c r="AM252" s="2">
        <v>46062.607465277775</v>
      </c>
      <c r="AN252" s="2">
        <v>46062.607465277775</v>
      </c>
      <c r="AO252" s="2">
        <v>46062.60760416667</v>
      </c>
      <c r="AP252" s="2">
        <v>46062.60835648148</v>
      </c>
      <c r="AQ252" s="2">
        <v>46062.60760416667</v>
      </c>
      <c r="AS252" s="2">
        <v>46062.607615740744</v>
      </c>
      <c r="AT252" s="2">
        <v>46062.60760416667</v>
      </c>
      <c r="AU252" s="2">
        <v>46062.9209375</v>
      </c>
      <c r="AW252" s="3"/>
      <c r="AX252" s="2">
        <v>46062.607615740744</v>
      </c>
      <c r="AY252" s="2">
        <v>46062.607615740744</v>
      </c>
      <c r="AZ252" s="2">
        <v>46062.61027777778</v>
      </c>
      <c r="BA252" s="2">
        <v>46063.412569444445</v>
      </c>
      <c r="BB252" s="2">
        <v>46062.754282407404</v>
      </c>
      <c r="BC252" s="2">
        <v>46063.41260416667</v>
      </c>
      <c r="BD252" s="2">
        <v>46063.41260416667</v>
      </c>
      <c r="BE252" s="5">
        <v>42800.0</v>
      </c>
      <c r="BF252" s="5">
        <v>323.0</v>
      </c>
      <c r="BG252" s="5">
        <v>14266.0</v>
      </c>
      <c r="BH252" s="5">
        <v>161.0</v>
      </c>
      <c r="BI252" s="5">
        <v>14399.0</v>
      </c>
      <c r="BJ252" s="5">
        <v>0.0</v>
      </c>
      <c r="BK252" s="5">
        <v>0.0</v>
      </c>
      <c r="BL252" s="5">
        <v>0.0</v>
      </c>
      <c r="BM252" s="5">
        <v>12.0</v>
      </c>
      <c r="BN252" s="5">
        <v>12.0</v>
      </c>
      <c r="BO252" s="5">
        <v>243.0</v>
      </c>
      <c r="BP252" s="5">
        <v>243.0</v>
      </c>
      <c r="BQ252" s="5">
        <v>243.0</v>
      </c>
      <c r="BR252" s="5">
        <v>243.0</v>
      </c>
      <c r="BS252" s="5">
        <v>230.0</v>
      </c>
      <c r="BT252" s="5">
        <v>230.0</v>
      </c>
      <c r="BU252" s="5">
        <v>230.0</v>
      </c>
      <c r="BV252" s="5">
        <v>230.0</v>
      </c>
      <c r="BW252" s="5">
        <v>231.0</v>
      </c>
      <c r="BX252" s="5">
        <v>231.0</v>
      </c>
      <c r="BY252" s="5">
        <v>69564.0</v>
      </c>
      <c r="BZ252" s="5">
        <v>8714.0</v>
      </c>
      <c r="CA252" s="5">
        <v>69564.0</v>
      </c>
      <c r="CB252" s="5">
        <v>8714.0</v>
      </c>
      <c r="CC252" s="5">
        <v>69564.0</v>
      </c>
      <c r="CD252" s="5">
        <v>8714.0</v>
      </c>
      <c r="CE252" s="5">
        <v>69551.0</v>
      </c>
      <c r="CF252" s="5">
        <v>8701.0</v>
      </c>
      <c r="CG252" s="5">
        <v>69551.0</v>
      </c>
      <c r="CH252" s="5">
        <v>8701.0</v>
      </c>
      <c r="CI252" s="5">
        <v>69552.0</v>
      </c>
      <c r="CJ252" s="5">
        <v>8702.0</v>
      </c>
      <c r="CK252" s="5">
        <v>55151.0</v>
      </c>
      <c r="CL252" s="5">
        <v>8701.0</v>
      </c>
      <c r="CM252" s="5">
        <v>55151.0</v>
      </c>
      <c r="CN252" s="5">
        <v>8701.0</v>
      </c>
      <c r="CO252" s="5">
        <v>3.0</v>
      </c>
      <c r="CP252" s="5">
        <v>11.0</v>
      </c>
      <c r="CQ252" s="3"/>
      <c r="CR252" s="4" t="s">
        <v>1122</v>
      </c>
    </row>
    <row r="253">
      <c r="A253" s="1" t="s">
        <v>1123</v>
      </c>
      <c r="B253" s="2">
        <v>46062.606041666666</v>
      </c>
      <c r="C253" s="1" t="str">
        <f t="array" ref="C253">INDEX('User data'!E:E, MATCH(E253, 'User data'!B:B, 0))</f>
        <v>주식회사 한국공간데이터</v>
      </c>
      <c r="D253" s="1" t="str">
        <f t="array" ref="D253">INDEX('User data'!F:F, MATCH(C253, 'User data'!E:E, 0))</f>
        <v>416-87-01054</v>
      </c>
      <c r="E253" s="1" t="s">
        <v>1124</v>
      </c>
      <c r="F253" s="3"/>
      <c r="G253" s="3"/>
      <c r="H253" s="3"/>
      <c r="I253" s="3"/>
      <c r="J253" s="1" t="s">
        <v>100</v>
      </c>
      <c r="K253" s="1" t="s">
        <v>101</v>
      </c>
      <c r="L253" s="1" t="b">
        <v>0</v>
      </c>
      <c r="M253" s="4" t="s">
        <v>102</v>
      </c>
      <c r="N253" s="1" t="s">
        <v>1125</v>
      </c>
      <c r="P253" s="3"/>
      <c r="Q253" s="3"/>
      <c r="R253" s="3"/>
      <c r="S253" s="3"/>
      <c r="T253" s="1" t="s">
        <v>104</v>
      </c>
      <c r="U253" s="3"/>
      <c r="V253" s="3"/>
      <c r="W253" s="1" t="s">
        <v>105</v>
      </c>
      <c r="X253" s="3"/>
      <c r="Y253" s="1" t="s">
        <v>106</v>
      </c>
      <c r="Z253" s="3"/>
      <c r="AA253" s="1" t="b">
        <v>0</v>
      </c>
      <c r="AB253" s="1" t="b">
        <v>0</v>
      </c>
      <c r="AC253" s="1" t="b">
        <v>0</v>
      </c>
      <c r="AD253" s="1" t="b">
        <v>0</v>
      </c>
      <c r="AE253" s="1" t="b">
        <v>1</v>
      </c>
      <c r="AF253" s="3"/>
      <c r="AG253" s="3"/>
      <c r="AH253" s="3"/>
      <c r="AI253" s="3"/>
      <c r="AJ253" s="2">
        <v>46062.605891203704</v>
      </c>
      <c r="AK253" s="2">
        <v>46063.60625</v>
      </c>
      <c r="AM253" s="2">
        <v>46062.606041666666</v>
      </c>
      <c r="AN253" s="2">
        <v>46062.606041666666</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5">
        <v>5.0</v>
      </c>
      <c r="CR253" s="4" t="s">
        <v>1126</v>
      </c>
    </row>
    <row r="254">
      <c r="A254" s="1" t="s">
        <v>1127</v>
      </c>
      <c r="B254" s="2">
        <v>46062.59469907408</v>
      </c>
      <c r="C254" s="1" t="str">
        <f t="array" ref="C254">INDEX('User data'!E:E, MATCH(E254, 'User data'!B:B, 0))</f>
        <v>로지스핏 주식회사</v>
      </c>
      <c r="D254" s="1" t="str">
        <f t="array" ref="D254">INDEX('User data'!F:F, MATCH(C254, 'User data'!E:E, 0))</f>
        <v>186-88-02334</v>
      </c>
      <c r="E254" s="1" t="s">
        <v>564</v>
      </c>
      <c r="F254" s="3"/>
      <c r="G254" s="3"/>
      <c r="H254" s="3"/>
      <c r="I254" s="3"/>
      <c r="J254" s="1" t="s">
        <v>100</v>
      </c>
      <c r="K254" s="1" t="s">
        <v>101</v>
      </c>
      <c r="L254" s="1" t="b">
        <v>0</v>
      </c>
      <c r="M254" s="4" t="s">
        <v>102</v>
      </c>
      <c r="N254" s="1" t="s">
        <v>566</v>
      </c>
      <c r="P254" s="3"/>
      <c r="Q254" s="3"/>
      <c r="R254" s="3"/>
      <c r="S254" s="3"/>
      <c r="T254" s="1" t="s">
        <v>104</v>
      </c>
      <c r="U254" s="3"/>
      <c r="V254" s="3"/>
      <c r="W254" s="1" t="s">
        <v>105</v>
      </c>
      <c r="X254" s="3"/>
      <c r="Y254" s="1" t="s">
        <v>106</v>
      </c>
      <c r="Z254" s="3"/>
      <c r="AA254" s="1" t="b">
        <v>0</v>
      </c>
      <c r="AB254" s="1" t="b">
        <v>0</v>
      </c>
      <c r="AC254" s="1" t="b">
        <v>0</v>
      </c>
      <c r="AD254" s="1" t="b">
        <v>0</v>
      </c>
      <c r="AE254" s="1" t="b">
        <v>1</v>
      </c>
      <c r="AF254" s="3"/>
      <c r="AG254" s="3"/>
      <c r="AH254" s="3"/>
      <c r="AI254" s="3"/>
      <c r="AJ254" s="2">
        <v>46062.59460648148</v>
      </c>
      <c r="AK254" s="2">
        <v>46063.59496527778</v>
      </c>
      <c r="AM254" s="2">
        <v>46062.59469907408</v>
      </c>
      <c r="AN254" s="2">
        <v>46062.59469907408</v>
      </c>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5">
        <v>5.0</v>
      </c>
      <c r="CR254" s="4" t="s">
        <v>1128</v>
      </c>
    </row>
    <row r="255">
      <c r="A255" s="1" t="s">
        <v>1129</v>
      </c>
      <c r="B255" s="2">
        <v>46062.59018518519</v>
      </c>
      <c r="C255" s="1" t="str">
        <f t="array" ref="C255">INDEX('User data'!E:E, MATCH(E255, 'User data'!B:B, 0))</f>
        <v/>
      </c>
      <c r="D255" s="1" t="str">
        <f t="array" ref="D255">INDEX('User data'!F:F, MATCH(C255, 'User data'!E:E, 0))</f>
        <v>#N/A</v>
      </c>
      <c r="E255" s="1" t="s">
        <v>1130</v>
      </c>
      <c r="F255" s="3"/>
      <c r="G255" s="3"/>
      <c r="H255" s="3"/>
      <c r="I255" s="3"/>
      <c r="J255" s="1" t="s">
        <v>100</v>
      </c>
      <c r="K255" s="1" t="s">
        <v>101</v>
      </c>
      <c r="L255" s="1" t="b">
        <v>0</v>
      </c>
      <c r="M255" s="4" t="s">
        <v>180</v>
      </c>
      <c r="N255" s="1" t="s">
        <v>1131</v>
      </c>
      <c r="P255" s="3"/>
      <c r="Q255" s="3"/>
      <c r="R255" s="3"/>
      <c r="S255" s="3"/>
      <c r="T255" s="1" t="s">
        <v>104</v>
      </c>
      <c r="U255" s="3"/>
      <c r="V255" s="3"/>
      <c r="W255" s="1" t="s">
        <v>105</v>
      </c>
      <c r="X255" s="3"/>
      <c r="Y255" s="1" t="s">
        <v>106</v>
      </c>
      <c r="Z255" s="3"/>
      <c r="AA255" s="1" t="b">
        <v>0</v>
      </c>
      <c r="AB255" s="1" t="b">
        <v>0</v>
      </c>
      <c r="AC255" s="1" t="b">
        <v>0</v>
      </c>
      <c r="AD255" s="1" t="b">
        <v>0</v>
      </c>
      <c r="AE255" s="1" t="b">
        <v>1</v>
      </c>
      <c r="AF255" s="3"/>
      <c r="AG255" s="3"/>
      <c r="AH255" s="3"/>
      <c r="AI255" s="3"/>
      <c r="AJ255" s="2">
        <v>46062.589907407404</v>
      </c>
      <c r="AK255" s="2">
        <v>46063.593819444446</v>
      </c>
      <c r="AM255" s="2">
        <v>46062.59018518519</v>
      </c>
      <c r="AN255" s="2">
        <v>46062.59018518519</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5">
        <v>3.4</v>
      </c>
      <c r="CR255" s="4" t="s">
        <v>1132</v>
      </c>
    </row>
    <row r="256">
      <c r="A256" s="1" t="s">
        <v>1133</v>
      </c>
      <c r="B256" s="2">
        <v>46062.57809027778</v>
      </c>
      <c r="C256" s="1" t="str">
        <f t="array" ref="C256">INDEX('User data'!E:E, MATCH(E256, 'User data'!B:B, 0))</f>
        <v>피아스페이스(주)</v>
      </c>
      <c r="D256" s="1" t="str">
        <f t="array" ref="D256">INDEX('User data'!F:F, MATCH(C256, 'User data'!E:E, 0))</f>
        <v>802-87-02235</v>
      </c>
      <c r="E256" s="1" t="s">
        <v>1134</v>
      </c>
      <c r="F256" s="3"/>
      <c r="G256" s="3"/>
      <c r="H256" s="3"/>
      <c r="I256" s="1" t="s">
        <v>1135</v>
      </c>
      <c r="J256" s="1" t="s">
        <v>100</v>
      </c>
      <c r="K256" s="1" t="s">
        <v>101</v>
      </c>
      <c r="L256" s="1" t="b">
        <v>0</v>
      </c>
      <c r="M256" s="4" t="s">
        <v>102</v>
      </c>
      <c r="N256" s="1" t="s">
        <v>1136</v>
      </c>
      <c r="O256" s="1">
        <v>574085.0</v>
      </c>
      <c r="P256" s="1">
        <v>574085.0</v>
      </c>
      <c r="Q256" s="1">
        <v>574085.0</v>
      </c>
      <c r="R256" s="1" t="s">
        <v>145</v>
      </c>
      <c r="S256" s="1">
        <v>13285.0</v>
      </c>
      <c r="T256" s="1" t="s">
        <v>104</v>
      </c>
      <c r="U256" s="3"/>
      <c r="V256" s="3"/>
      <c r="W256" s="1" t="s">
        <v>118</v>
      </c>
      <c r="X256" s="3"/>
      <c r="Y256" s="1" t="s">
        <v>119</v>
      </c>
      <c r="Z256" s="3"/>
      <c r="AA256" s="1" t="b">
        <v>1</v>
      </c>
      <c r="AB256" s="1" t="b">
        <v>0</v>
      </c>
      <c r="AC256" s="1" t="b">
        <v>0</v>
      </c>
      <c r="AD256" s="1" t="b">
        <v>1</v>
      </c>
      <c r="AE256" s="1" t="b">
        <v>1</v>
      </c>
      <c r="AF256" s="5">
        <v>4.0</v>
      </c>
      <c r="AG256" s="5">
        <v>4.0</v>
      </c>
      <c r="AH256" s="3"/>
      <c r="AI256" s="3"/>
      <c r="AJ256" s="2">
        <v>46062.57798611111</v>
      </c>
      <c r="AK256" s="2">
        <v>46062.692777777775</v>
      </c>
      <c r="AL256" s="2">
        <v>46062.65109953703</v>
      </c>
      <c r="AM256" s="2">
        <v>46062.57809027778</v>
      </c>
      <c r="AN256" s="2">
        <v>46062.57809027778</v>
      </c>
      <c r="AO256" s="2">
        <v>46062.58246527778</v>
      </c>
      <c r="AQ256" s="2">
        <v>46062.58246527778</v>
      </c>
      <c r="AS256" s="2">
        <v>46062.58247685185</v>
      </c>
      <c r="AT256" s="2">
        <v>46062.58246527778</v>
      </c>
      <c r="AU256" s="2">
        <v>46062.58247685185</v>
      </c>
      <c r="AW256" s="3"/>
      <c r="AX256" s="2">
        <v>46062.58247685185</v>
      </c>
      <c r="AY256" s="2">
        <v>46062.58247685185</v>
      </c>
      <c r="AZ256" s="2">
        <v>46062.582650462966</v>
      </c>
      <c r="BA256" s="2">
        <v>46062.65106481482</v>
      </c>
      <c r="BC256" s="2">
        <v>46062.65109953703</v>
      </c>
      <c r="BD256" s="2">
        <v>46062.65109953703</v>
      </c>
      <c r="BE256" s="5">
        <v>535.0</v>
      </c>
      <c r="BF256" s="5">
        <v>535.0</v>
      </c>
      <c r="BG256" s="5">
        <v>133.0</v>
      </c>
      <c r="BH256" s="5">
        <v>133.0</v>
      </c>
      <c r="BI256" s="3"/>
      <c r="BJ256" s="3"/>
      <c r="BK256" s="5">
        <v>1.0</v>
      </c>
      <c r="BL256" s="5">
        <v>1.0</v>
      </c>
      <c r="BM256" s="5">
        <v>378.0</v>
      </c>
      <c r="BN256" s="5">
        <v>378.0</v>
      </c>
      <c r="BO256" s="5">
        <v>394.0</v>
      </c>
      <c r="BP256" s="5">
        <v>394.0</v>
      </c>
      <c r="BQ256" s="5">
        <v>394.0</v>
      </c>
      <c r="BR256" s="5">
        <v>394.0</v>
      </c>
      <c r="BS256" s="5">
        <v>15.0</v>
      </c>
      <c r="BT256" s="5">
        <v>15.0</v>
      </c>
      <c r="BU256" s="5">
        <v>15.0</v>
      </c>
      <c r="BV256" s="5">
        <v>15.0</v>
      </c>
      <c r="BW256" s="5">
        <v>16.0</v>
      </c>
      <c r="BX256" s="5">
        <v>16.0</v>
      </c>
      <c r="BY256" s="5">
        <v>6308.0</v>
      </c>
      <c r="BZ256" s="5">
        <v>6308.0</v>
      </c>
      <c r="CA256" s="5">
        <v>6308.0</v>
      </c>
      <c r="CB256" s="5">
        <v>6308.0</v>
      </c>
      <c r="CC256" s="5">
        <v>6308.0</v>
      </c>
      <c r="CD256" s="5">
        <v>6308.0</v>
      </c>
      <c r="CE256" s="5">
        <v>5929.0</v>
      </c>
      <c r="CF256" s="5">
        <v>5929.0</v>
      </c>
      <c r="CG256" s="5">
        <v>5929.0</v>
      </c>
      <c r="CH256" s="5">
        <v>5929.0</v>
      </c>
      <c r="CI256" s="5">
        <v>5930.0</v>
      </c>
      <c r="CJ256" s="5">
        <v>5930.0</v>
      </c>
      <c r="CK256" s="5">
        <v>5929.0</v>
      </c>
      <c r="CL256" s="5">
        <v>5929.0</v>
      </c>
      <c r="CM256" s="5">
        <v>5929.0</v>
      </c>
      <c r="CN256" s="5">
        <v>5929.0</v>
      </c>
      <c r="CO256" s="3"/>
      <c r="CP256" s="5">
        <v>377.0</v>
      </c>
      <c r="CQ256" s="3"/>
      <c r="CR256" s="4" t="s">
        <v>1137</v>
      </c>
    </row>
    <row r="257">
      <c r="A257" s="1" t="s">
        <v>1138</v>
      </c>
      <c r="B257" s="2">
        <v>46062.56728009259</v>
      </c>
      <c r="C257" s="1" t="str">
        <f t="array" ref="C257">INDEX('User data'!E:E, MATCH(E257, 'User data'!B:B, 0))</f>
        <v>주식회사 웨이비인터내셔널</v>
      </c>
      <c r="D257" s="1" t="str">
        <f t="array" ref="D257">INDEX('User data'!F:F, MATCH(C257, 'User data'!E:E, 0))</f>
        <v>689-88-03545</v>
      </c>
      <c r="E257" s="1" t="s">
        <v>1139</v>
      </c>
      <c r="F257" s="3"/>
      <c r="G257" s="3"/>
      <c r="H257" s="3"/>
      <c r="I257" s="1" t="s">
        <v>258</v>
      </c>
      <c r="J257" s="1" t="s">
        <v>100</v>
      </c>
      <c r="K257" s="1" t="s">
        <v>101</v>
      </c>
      <c r="L257" s="1" t="b">
        <v>0</v>
      </c>
      <c r="M257" s="4" t="s">
        <v>102</v>
      </c>
      <c r="N257" s="1" t="s">
        <v>1140</v>
      </c>
      <c r="O257" s="1">
        <v>574085.0</v>
      </c>
      <c r="P257" s="1">
        <v>574085.0</v>
      </c>
      <c r="Q257" s="1">
        <v>574085.0</v>
      </c>
      <c r="R257" s="1" t="s">
        <v>703</v>
      </c>
      <c r="S257" s="1">
        <v>13285.0</v>
      </c>
      <c r="T257" s="1" t="s">
        <v>104</v>
      </c>
      <c r="U257" s="3"/>
      <c r="V257" s="3"/>
      <c r="W257" s="1" t="s">
        <v>118</v>
      </c>
      <c r="X257" s="3"/>
      <c r="Y257" s="1" t="s">
        <v>119</v>
      </c>
      <c r="Z257" s="3"/>
      <c r="AA257" s="1" t="b">
        <v>1</v>
      </c>
      <c r="AB257" s="1" t="b">
        <v>0</v>
      </c>
      <c r="AC257" s="1" t="b">
        <v>0</v>
      </c>
      <c r="AD257" s="1" t="b">
        <v>1</v>
      </c>
      <c r="AE257" s="1" t="b">
        <v>1</v>
      </c>
      <c r="AF257" s="5">
        <v>3.0</v>
      </c>
      <c r="AG257" s="5">
        <v>3.0</v>
      </c>
      <c r="AH257" s="3"/>
      <c r="AI257" s="3"/>
      <c r="AJ257" s="2">
        <v>46062.5672337963</v>
      </c>
      <c r="AK257" s="2">
        <v>46062.7609375</v>
      </c>
      <c r="AL257" s="2">
        <v>46062.5681712963</v>
      </c>
      <c r="AM257" s="2">
        <v>46062.56728009259</v>
      </c>
      <c r="AN257" s="2">
        <v>46062.56728009259</v>
      </c>
      <c r="AO257" s="2">
        <v>46062.56744212963</v>
      </c>
      <c r="AP257" s="2">
        <v>46062.56820601852</v>
      </c>
      <c r="AQ257" s="2">
        <v>46062.56744212963</v>
      </c>
      <c r="AS257" s="2">
        <v>46062.567465277774</v>
      </c>
      <c r="AT257" s="2">
        <v>46062.56744212963</v>
      </c>
      <c r="AU257" s="2">
        <v>46062.567465277774</v>
      </c>
      <c r="AW257" s="3"/>
      <c r="AX257" s="2">
        <v>46062.567465277774</v>
      </c>
      <c r="AY257" s="2">
        <v>46062.567465277774</v>
      </c>
      <c r="AZ257" s="2">
        <v>46062.568344907406</v>
      </c>
      <c r="BA257" s="2">
        <v>46062.684641203705</v>
      </c>
      <c r="BC257" s="2">
        <v>46062.71925925926</v>
      </c>
      <c r="BD257" s="2">
        <v>46062.71925925926</v>
      </c>
      <c r="BE257" s="5">
        <v>9839.0</v>
      </c>
      <c r="BF257" s="5">
        <v>9839.0</v>
      </c>
      <c r="BG257" s="5">
        <v>3279.0</v>
      </c>
      <c r="BH257" s="5">
        <v>3279.0</v>
      </c>
      <c r="BI257" s="3"/>
      <c r="BJ257" s="3"/>
      <c r="BK257" s="5">
        <v>1.0</v>
      </c>
      <c r="BL257" s="5">
        <v>1.0</v>
      </c>
      <c r="BM257" s="5">
        <v>15.0</v>
      </c>
      <c r="BN257" s="5">
        <v>15.0</v>
      </c>
      <c r="BO257" s="5">
        <v>91.0</v>
      </c>
      <c r="BP257" s="5">
        <v>91.0</v>
      </c>
      <c r="BQ257" s="5">
        <v>91.0</v>
      </c>
      <c r="BR257" s="5">
        <v>91.0</v>
      </c>
      <c r="BS257" s="5">
        <v>76.0</v>
      </c>
      <c r="BT257" s="5">
        <v>76.0</v>
      </c>
      <c r="BU257" s="5">
        <v>76.0</v>
      </c>
      <c r="BV257" s="5">
        <v>76.0</v>
      </c>
      <c r="BW257" s="5">
        <v>77.0</v>
      </c>
      <c r="BX257" s="5">
        <v>77.0</v>
      </c>
      <c r="BY257" s="5">
        <v>13130.0</v>
      </c>
      <c r="BZ257" s="5">
        <v>12186.0</v>
      </c>
      <c r="CA257" s="5">
        <v>13130.0</v>
      </c>
      <c r="CB257" s="5">
        <v>12186.0</v>
      </c>
      <c r="CC257" s="5">
        <v>13130.0</v>
      </c>
      <c r="CD257" s="5">
        <v>12186.0</v>
      </c>
      <c r="CE257" s="5">
        <v>13115.0</v>
      </c>
      <c r="CF257" s="5">
        <v>12170.0</v>
      </c>
      <c r="CG257" s="5">
        <v>13115.0</v>
      </c>
      <c r="CH257" s="5">
        <v>12170.0</v>
      </c>
      <c r="CI257" s="5">
        <v>13117.0</v>
      </c>
      <c r="CJ257" s="5">
        <v>12172.0</v>
      </c>
      <c r="CK257" s="5">
        <v>13115.0</v>
      </c>
      <c r="CL257" s="5">
        <v>12170.0</v>
      </c>
      <c r="CM257" s="5">
        <v>13115.0</v>
      </c>
      <c r="CN257" s="5">
        <v>12170.0</v>
      </c>
      <c r="CO257" s="5">
        <v>3.0</v>
      </c>
      <c r="CP257" s="5">
        <v>13.0</v>
      </c>
      <c r="CQ257" s="3"/>
      <c r="CR257" s="4" t="s">
        <v>1141</v>
      </c>
    </row>
    <row r="258">
      <c r="A258" s="1" t="s">
        <v>1142</v>
      </c>
      <c r="B258" s="2">
        <v>46062.55096064815</v>
      </c>
      <c r="C258" s="1" t="str">
        <f t="array" ref="C258">INDEX('User data'!E:E, MATCH(E258, 'User data'!B:B, 0))</f>
        <v/>
      </c>
      <c r="D258" s="1" t="str">
        <f t="array" ref="D258">INDEX('User data'!F:F, MATCH(C258, 'User data'!E:E, 0))</f>
        <v>#N/A</v>
      </c>
      <c r="E258" s="1" t="s">
        <v>630</v>
      </c>
      <c r="F258" s="3"/>
      <c r="G258" s="3"/>
      <c r="H258" s="3"/>
      <c r="I258" s="3"/>
      <c r="J258" s="1" t="s">
        <v>100</v>
      </c>
      <c r="K258" s="1" t="s">
        <v>101</v>
      </c>
      <c r="L258" s="1" t="b">
        <v>0</v>
      </c>
      <c r="M258" s="4" t="s">
        <v>102</v>
      </c>
      <c r="N258" s="1" t="s">
        <v>631</v>
      </c>
      <c r="P258" s="3"/>
      <c r="Q258" s="3"/>
      <c r="R258" s="3"/>
      <c r="S258" s="3"/>
      <c r="T258" s="1" t="s">
        <v>104</v>
      </c>
      <c r="U258" s="3"/>
      <c r="V258" s="3"/>
      <c r="W258" s="1" t="s">
        <v>105</v>
      </c>
      <c r="X258" s="3"/>
      <c r="Y258" s="1" t="s">
        <v>106</v>
      </c>
      <c r="Z258" s="3"/>
      <c r="AA258" s="1" t="b">
        <v>0</v>
      </c>
      <c r="AB258" s="1" t="b">
        <v>0</v>
      </c>
      <c r="AC258" s="1" t="b">
        <v>0</v>
      </c>
      <c r="AD258" s="1" t="b">
        <v>0</v>
      </c>
      <c r="AE258" s="1" t="b">
        <v>1</v>
      </c>
      <c r="AF258" s="3"/>
      <c r="AG258" s="3"/>
      <c r="AH258" s="3"/>
      <c r="AI258" s="3"/>
      <c r="AJ258" s="2">
        <v>46062.550625</v>
      </c>
      <c r="AK258" s="2">
        <v>46063.554560185185</v>
      </c>
      <c r="AM258" s="2">
        <v>46062.55096064815</v>
      </c>
      <c r="AN258" s="2">
        <v>46062.55096064815</v>
      </c>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5">
        <v>5.0</v>
      </c>
      <c r="CR258" s="4" t="s">
        <v>1143</v>
      </c>
    </row>
    <row r="259">
      <c r="A259" s="1" t="s">
        <v>1144</v>
      </c>
      <c r="B259" s="2">
        <v>46062.4846412037</v>
      </c>
      <c r="C259" s="1" t="str">
        <f t="array" ref="C259">INDEX('User data'!E:E, MATCH(E259, 'User data'!B:B, 0))</f>
        <v>주식회사 외식인</v>
      </c>
      <c r="D259" s="1" t="str">
        <f t="array" ref="D259">INDEX('User data'!F:F, MATCH(C259, 'User data'!E:E, 0))</f>
        <v>875-88-00682</v>
      </c>
      <c r="E259" s="1" t="s">
        <v>1145</v>
      </c>
      <c r="F259" s="3"/>
      <c r="G259" s="3"/>
      <c r="H259" s="3"/>
      <c r="I259" s="3"/>
      <c r="J259" s="1" t="s">
        <v>100</v>
      </c>
      <c r="K259" s="1" t="s">
        <v>101</v>
      </c>
      <c r="L259" s="1" t="b">
        <v>0</v>
      </c>
      <c r="M259" s="4" t="s">
        <v>102</v>
      </c>
      <c r="N259" s="1" t="s">
        <v>1146</v>
      </c>
      <c r="O259" s="1">
        <v>594863.0</v>
      </c>
      <c r="P259" s="1">
        <v>607950.0</v>
      </c>
      <c r="Q259" s="3"/>
      <c r="R259" s="1" t="s">
        <v>877</v>
      </c>
      <c r="S259" s="1">
        <v>13288.0</v>
      </c>
      <c r="T259" s="1" t="s">
        <v>104</v>
      </c>
      <c r="U259" s="3"/>
      <c r="V259" s="3"/>
      <c r="W259" s="1" t="s">
        <v>105</v>
      </c>
      <c r="X259" s="3"/>
      <c r="Y259" s="1" t="s">
        <v>106</v>
      </c>
      <c r="Z259" s="3"/>
      <c r="AA259" s="1" t="b">
        <v>0</v>
      </c>
      <c r="AB259" s="1" t="b">
        <v>0</v>
      </c>
      <c r="AC259" s="1" t="b">
        <v>1</v>
      </c>
      <c r="AD259" s="1" t="b">
        <v>0</v>
      </c>
      <c r="AE259" s="1" t="b">
        <v>1</v>
      </c>
      <c r="AF259" s="3"/>
      <c r="AG259" s="3"/>
      <c r="AH259" s="3"/>
      <c r="AI259" s="5">
        <v>1.0</v>
      </c>
      <c r="AJ259" s="2">
        <v>46062.48459490741</v>
      </c>
      <c r="AK259" s="2">
        <v>46063.484976851854</v>
      </c>
      <c r="AM259" s="2">
        <v>46062.4846412037</v>
      </c>
      <c r="AN259" s="2">
        <v>46062.4846412037</v>
      </c>
      <c r="AP259" s="3"/>
      <c r="AQ259" s="3"/>
      <c r="AR259" s="3"/>
      <c r="AS259" s="3"/>
      <c r="AT259" s="3"/>
      <c r="AU259" s="3"/>
      <c r="AV259" s="3"/>
      <c r="AW259" s="3"/>
      <c r="AX259" s="2">
        <v>46062.5000462963</v>
      </c>
      <c r="AZ259" s="3"/>
      <c r="BA259" s="3"/>
      <c r="BB259" s="3"/>
      <c r="BC259" s="3"/>
      <c r="BD259" s="3"/>
      <c r="BE259" s="3"/>
      <c r="BF259" s="3"/>
      <c r="BG259" s="3"/>
      <c r="BH259" s="3"/>
      <c r="BI259" s="3"/>
      <c r="BJ259" s="3"/>
      <c r="BK259" s="3"/>
      <c r="BL259" s="3"/>
      <c r="BM259" s="5">
        <v>1331.0</v>
      </c>
      <c r="BN259" s="5">
        <v>1331.0</v>
      </c>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5">
        <v>5.0</v>
      </c>
      <c r="CR259" s="4" t="s">
        <v>1147</v>
      </c>
    </row>
    <row r="260">
      <c r="A260" s="1" t="s">
        <v>1148</v>
      </c>
      <c r="B260" s="2">
        <v>46062.47494212963</v>
      </c>
      <c r="C260" s="1" t="str">
        <f t="array" ref="C260">INDEX('User data'!E:E, MATCH(E260, 'User data'!B:B, 0))</f>
        <v>주식회사 봄담아</v>
      </c>
      <c r="D260" s="1" t="str">
        <f t="array" ref="D260">INDEX('User data'!F:F, MATCH(C260, 'User data'!E:E, 0))</f>
        <v>857-81-01423</v>
      </c>
      <c r="E260" s="1" t="s">
        <v>816</v>
      </c>
      <c r="F260" s="3"/>
      <c r="G260" s="3"/>
      <c r="H260" s="3"/>
      <c r="I260" s="3"/>
      <c r="J260" s="1" t="s">
        <v>100</v>
      </c>
      <c r="K260" s="1" t="s">
        <v>101</v>
      </c>
      <c r="L260" s="1" t="b">
        <v>0</v>
      </c>
      <c r="M260" s="4" t="s">
        <v>102</v>
      </c>
      <c r="N260" s="1" t="s">
        <v>817</v>
      </c>
      <c r="P260" s="3"/>
      <c r="Q260" s="3"/>
      <c r="R260" s="3"/>
      <c r="S260" s="3"/>
      <c r="T260" s="1" t="s">
        <v>104</v>
      </c>
      <c r="U260" s="3"/>
      <c r="V260" s="3"/>
      <c r="W260" s="1" t="s">
        <v>105</v>
      </c>
      <c r="X260" s="3"/>
      <c r="Y260" s="1" t="s">
        <v>106</v>
      </c>
      <c r="Z260" s="3"/>
      <c r="AA260" s="1" t="b">
        <v>0</v>
      </c>
      <c r="AB260" s="1" t="b">
        <v>0</v>
      </c>
      <c r="AC260" s="1" t="b">
        <v>0</v>
      </c>
      <c r="AD260" s="1" t="b">
        <v>0</v>
      </c>
      <c r="AE260" s="1" t="b">
        <v>1</v>
      </c>
      <c r="AF260" s="3"/>
      <c r="AG260" s="3"/>
      <c r="AH260" s="3"/>
      <c r="AI260" s="3"/>
      <c r="AJ260" s="2">
        <v>46062.474907407406</v>
      </c>
      <c r="AK260" s="2">
        <v>46063.47528935185</v>
      </c>
      <c r="AM260" s="2">
        <v>46062.47494212963</v>
      </c>
      <c r="AN260" s="2">
        <v>46062.47494212963</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5">
        <v>3.4</v>
      </c>
      <c r="CR260" s="4" t="s">
        <v>1149</v>
      </c>
    </row>
    <row r="261">
      <c r="A261" s="1" t="s">
        <v>1150</v>
      </c>
      <c r="B261" s="2">
        <v>46062.474375</v>
      </c>
      <c r="C261" s="1" t="str">
        <f t="array" ref="C261">INDEX('User data'!E:E, MATCH(E261, 'User data'!B:B, 0))</f>
        <v>하이퍼브레인 주식회사(HYPERBRAIN Co., Ltd.)</v>
      </c>
      <c r="D261" s="1" t="str">
        <f t="array" ref="D261">INDEX('User data'!F:F, MATCH(C261, 'User data'!E:E, 0))</f>
        <v>453-81-03495</v>
      </c>
      <c r="E261" s="1" t="s">
        <v>1151</v>
      </c>
      <c r="F261" s="3"/>
      <c r="G261" s="3"/>
      <c r="H261" s="3"/>
      <c r="I261" s="3"/>
      <c r="J261" s="1" t="s">
        <v>100</v>
      </c>
      <c r="K261" s="1" t="s">
        <v>101</v>
      </c>
      <c r="L261" s="1" t="b">
        <v>0</v>
      </c>
      <c r="M261" s="4" t="s">
        <v>102</v>
      </c>
      <c r="N261" s="1" t="s">
        <v>1152</v>
      </c>
      <c r="P261" s="3"/>
      <c r="Q261" s="3"/>
      <c r="R261" s="3"/>
      <c r="S261" s="3"/>
      <c r="T261" s="1" t="s">
        <v>104</v>
      </c>
      <c r="U261" s="3"/>
      <c r="V261" s="3"/>
      <c r="W261" s="1" t="s">
        <v>105</v>
      </c>
      <c r="X261" s="3"/>
      <c r="Y261" s="1" t="s">
        <v>106</v>
      </c>
      <c r="Z261" s="3"/>
      <c r="AA261" s="1" t="b">
        <v>0</v>
      </c>
      <c r="AB261" s="1" t="b">
        <v>0</v>
      </c>
      <c r="AC261" s="1" t="b">
        <v>0</v>
      </c>
      <c r="AD261" s="1" t="b">
        <v>0</v>
      </c>
      <c r="AE261" s="1" t="b">
        <v>1</v>
      </c>
      <c r="AF261" s="3"/>
      <c r="AG261" s="3"/>
      <c r="AH261" s="3"/>
      <c r="AI261" s="3"/>
      <c r="AJ261" s="2">
        <v>46062.474340277775</v>
      </c>
      <c r="AK261" s="2">
        <v>46063.47489583334</v>
      </c>
      <c r="AM261" s="2">
        <v>46062.474375</v>
      </c>
      <c r="AN261" s="2">
        <v>46062.474375</v>
      </c>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5">
        <v>5.0</v>
      </c>
      <c r="CR261" s="4" t="s">
        <v>1153</v>
      </c>
    </row>
    <row r="262">
      <c r="A262" s="1" t="s">
        <v>1154</v>
      </c>
      <c r="B262" s="2">
        <v>46062.47194444444</v>
      </c>
      <c r="C262" s="1" t="str">
        <f t="array" ref="C262">INDEX('User data'!E:E, MATCH(E262, 'User data'!B:B, 0))</f>
        <v>주식회사 크리에이즈컴퍼니</v>
      </c>
      <c r="D262" s="1" t="str">
        <f t="array" ref="D262">INDEX('User data'!F:F, MATCH(C262, 'User data'!E:E, 0))</f>
        <v>475-86-03530</v>
      </c>
      <c r="E262" s="1" t="s">
        <v>1155</v>
      </c>
      <c r="F262" s="3"/>
      <c r="G262" s="3"/>
      <c r="H262" s="3"/>
      <c r="I262" s="3"/>
      <c r="J262" s="1" t="s">
        <v>100</v>
      </c>
      <c r="K262" s="1" t="s">
        <v>101</v>
      </c>
      <c r="L262" s="1" t="b">
        <v>0</v>
      </c>
      <c r="M262" s="4" t="s">
        <v>102</v>
      </c>
      <c r="N262" s="1" t="s">
        <v>1156</v>
      </c>
      <c r="P262" s="3"/>
      <c r="Q262" s="3"/>
      <c r="R262" s="3"/>
      <c r="S262" s="3"/>
      <c r="T262" s="1" t="s">
        <v>104</v>
      </c>
      <c r="U262" s="3"/>
      <c r="V262" s="3"/>
      <c r="W262" s="1" t="s">
        <v>105</v>
      </c>
      <c r="X262" s="3"/>
      <c r="Y262" s="1" t="s">
        <v>106</v>
      </c>
      <c r="Z262" s="3"/>
      <c r="AA262" s="1" t="b">
        <v>0</v>
      </c>
      <c r="AB262" s="1" t="b">
        <v>0</v>
      </c>
      <c r="AC262" s="1" t="b">
        <v>0</v>
      </c>
      <c r="AD262" s="1" t="b">
        <v>0</v>
      </c>
      <c r="AE262" s="1" t="b">
        <v>1</v>
      </c>
      <c r="AF262" s="3"/>
      <c r="AG262" s="3"/>
      <c r="AH262" s="3"/>
      <c r="AI262" s="3"/>
      <c r="AJ262" s="2">
        <v>46062.47190972222</v>
      </c>
      <c r="AK262" s="2">
        <v>46063.472233796296</v>
      </c>
      <c r="AM262" s="2">
        <v>46062.47194444444</v>
      </c>
      <c r="AN262" s="2">
        <v>46062.47194444444</v>
      </c>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5">
        <v>3.4</v>
      </c>
      <c r="CR262" s="4" t="s">
        <v>1157</v>
      </c>
    </row>
    <row r="263">
      <c r="A263" s="1" t="s">
        <v>1158</v>
      </c>
      <c r="B263" s="2">
        <v>46062.46989583333</v>
      </c>
      <c r="C263" s="1" t="str">
        <f t="array" ref="C263">INDEX('User data'!E:E, MATCH(E263, 'User data'!B:B, 0))</f>
        <v/>
      </c>
      <c r="D263" s="1" t="str">
        <f t="array" ref="D263">INDEX('User data'!F:F, MATCH(C263, 'User data'!E:E, 0))</f>
        <v>#N/A</v>
      </c>
      <c r="E263" s="1" t="s">
        <v>1159</v>
      </c>
      <c r="F263" s="3"/>
      <c r="G263" s="3"/>
      <c r="H263" s="3"/>
      <c r="I263" s="3"/>
      <c r="J263" s="1" t="s">
        <v>100</v>
      </c>
      <c r="K263" s="1" t="s">
        <v>101</v>
      </c>
      <c r="L263" s="1" t="b">
        <v>0</v>
      </c>
      <c r="M263" s="4" t="s">
        <v>180</v>
      </c>
      <c r="N263" s="1" t="s">
        <v>1160</v>
      </c>
      <c r="P263" s="3"/>
      <c r="Q263" s="3"/>
      <c r="R263" s="3"/>
      <c r="S263" s="3"/>
      <c r="T263" s="1" t="s">
        <v>104</v>
      </c>
      <c r="U263" s="3"/>
      <c r="V263" s="3"/>
      <c r="W263" s="1" t="s">
        <v>105</v>
      </c>
      <c r="X263" s="3"/>
      <c r="Y263" s="1" t="s">
        <v>106</v>
      </c>
      <c r="Z263" s="3"/>
      <c r="AA263" s="1" t="b">
        <v>0</v>
      </c>
      <c r="AB263" s="1" t="b">
        <v>0</v>
      </c>
      <c r="AC263" s="1" t="b">
        <v>0</v>
      </c>
      <c r="AD263" s="1" t="b">
        <v>0</v>
      </c>
      <c r="AE263" s="1" t="b">
        <v>1</v>
      </c>
      <c r="AF263" s="3"/>
      <c r="AG263" s="3"/>
      <c r="AH263" s="3"/>
      <c r="AI263" s="3"/>
      <c r="AJ263" s="2">
        <v>46062.46979166667</v>
      </c>
      <c r="AK263" s="2">
        <v>46063.47052083333</v>
      </c>
      <c r="AM263" s="2">
        <v>46062.46989583333</v>
      </c>
      <c r="AN263" s="2">
        <v>46062.46989583333</v>
      </c>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5">
        <v>1.4</v>
      </c>
      <c r="CR263" s="4" t="s">
        <v>1161</v>
      </c>
    </row>
    <row r="264">
      <c r="A264" s="1" t="s">
        <v>1162</v>
      </c>
      <c r="B264" s="2">
        <v>46062.44479166667</v>
      </c>
      <c r="C264" s="1" t="str">
        <f t="array" ref="C264">INDEX('User data'!E:E, MATCH(E264, 'User data'!B:B, 0))</f>
        <v>주식회사 한국공간데이터</v>
      </c>
      <c r="D264" s="1" t="str">
        <f t="array" ref="D264">INDEX('User data'!F:F, MATCH(C264, 'User data'!E:E, 0))</f>
        <v>416-87-01054</v>
      </c>
      <c r="E264" s="1" t="s">
        <v>1163</v>
      </c>
      <c r="F264" s="3"/>
      <c r="G264" s="3"/>
      <c r="H264" s="3"/>
      <c r="I264" s="1" t="s">
        <v>553</v>
      </c>
      <c r="J264" s="1" t="s">
        <v>100</v>
      </c>
      <c r="K264" s="1" t="s">
        <v>101</v>
      </c>
      <c r="L264" s="1" t="b">
        <v>0</v>
      </c>
      <c r="M264" s="4" t="s">
        <v>102</v>
      </c>
      <c r="N264" s="1" t="s">
        <v>1164</v>
      </c>
      <c r="O264" s="1">
        <v>574085.0</v>
      </c>
      <c r="P264" s="1">
        <v>574085.0</v>
      </c>
      <c r="Q264" s="1">
        <v>574085.0</v>
      </c>
      <c r="R264" s="1" t="s">
        <v>145</v>
      </c>
      <c r="S264" s="1">
        <v>13285.0</v>
      </c>
      <c r="T264" s="1" t="s">
        <v>104</v>
      </c>
      <c r="U264" s="3"/>
      <c r="V264" s="3"/>
      <c r="W264" s="1" t="s">
        <v>118</v>
      </c>
      <c r="X264" s="3"/>
      <c r="Y264" s="1" t="s">
        <v>119</v>
      </c>
      <c r="Z264" s="3"/>
      <c r="AA264" s="1" t="b">
        <v>1</v>
      </c>
      <c r="AB264" s="1" t="b">
        <v>0</v>
      </c>
      <c r="AC264" s="1" t="b">
        <v>0</v>
      </c>
      <c r="AD264" s="1" t="b">
        <v>1</v>
      </c>
      <c r="AE264" s="1" t="b">
        <v>1</v>
      </c>
      <c r="AF264" s="5">
        <v>3.0</v>
      </c>
      <c r="AG264" s="5">
        <v>3.0</v>
      </c>
      <c r="AH264" s="3"/>
      <c r="AI264" s="3"/>
      <c r="AJ264" s="2">
        <v>46062.44462962963</v>
      </c>
      <c r="AK264" s="2">
        <v>46062.53587962963</v>
      </c>
      <c r="AL264" s="2">
        <v>46062.49420138889</v>
      </c>
      <c r="AM264" s="2">
        <v>46062.44478009259</v>
      </c>
      <c r="AN264" s="2">
        <v>46062.44479166667</v>
      </c>
      <c r="AO264" s="2">
        <v>46062.453252314815</v>
      </c>
      <c r="AQ264" s="2">
        <v>46062.453252314815</v>
      </c>
      <c r="AS264" s="2">
        <v>46062.45326388889</v>
      </c>
      <c r="AT264" s="2">
        <v>46062.453252314815</v>
      </c>
      <c r="AU264" s="2">
        <v>46062.45326388889</v>
      </c>
      <c r="AW264" s="3"/>
      <c r="AX264" s="2">
        <v>46062.45326388889</v>
      </c>
      <c r="AY264" s="2">
        <v>46062.45326388889</v>
      </c>
      <c r="AZ264" s="2">
        <v>46062.453368055554</v>
      </c>
      <c r="BA264" s="2">
        <v>46062.456145833334</v>
      </c>
      <c r="BC264" s="2">
        <v>46062.49420138889</v>
      </c>
      <c r="BD264" s="2">
        <v>46062.49420138889</v>
      </c>
      <c r="BE264" s="5">
        <v>220.0</v>
      </c>
      <c r="BF264" s="5">
        <v>220.0</v>
      </c>
      <c r="BG264" s="5">
        <v>73.0</v>
      </c>
      <c r="BH264" s="5">
        <v>73.0</v>
      </c>
      <c r="BI264" s="3"/>
      <c r="BJ264" s="3"/>
      <c r="BK264" s="5">
        <v>1.0</v>
      </c>
      <c r="BL264" s="5">
        <v>1.0</v>
      </c>
      <c r="BM264" s="5">
        <v>732.0</v>
      </c>
      <c r="BN264" s="5">
        <v>732.0</v>
      </c>
      <c r="BO264" s="5">
        <v>741.0</v>
      </c>
      <c r="BP264" s="5">
        <v>741.0</v>
      </c>
      <c r="BQ264" s="5">
        <v>741.0</v>
      </c>
      <c r="BR264" s="5">
        <v>741.0</v>
      </c>
      <c r="BS264" s="5">
        <v>8.0</v>
      </c>
      <c r="BT264" s="5">
        <v>8.0</v>
      </c>
      <c r="BU264" s="5">
        <v>8.0</v>
      </c>
      <c r="BV264" s="5">
        <v>8.0</v>
      </c>
      <c r="BW264" s="5">
        <v>10.0</v>
      </c>
      <c r="BX264" s="5">
        <v>10.0</v>
      </c>
      <c r="BY264" s="5">
        <v>4269.0</v>
      </c>
      <c r="BZ264" s="5">
        <v>4269.0</v>
      </c>
      <c r="CA264" s="5">
        <v>4269.0</v>
      </c>
      <c r="CB264" s="5">
        <v>4269.0</v>
      </c>
      <c r="CC264" s="5">
        <v>4269.0</v>
      </c>
      <c r="CD264" s="5">
        <v>4269.0</v>
      </c>
      <c r="CE264" s="5">
        <v>3536.0</v>
      </c>
      <c r="CF264" s="5">
        <v>3536.0</v>
      </c>
      <c r="CG264" s="5">
        <v>3536.0</v>
      </c>
      <c r="CH264" s="5">
        <v>3536.0</v>
      </c>
      <c r="CI264" s="5">
        <v>3538.0</v>
      </c>
      <c r="CJ264" s="5">
        <v>3538.0</v>
      </c>
      <c r="CK264" s="5">
        <v>3536.0</v>
      </c>
      <c r="CL264" s="5">
        <v>3536.0</v>
      </c>
      <c r="CM264" s="5">
        <v>3536.0</v>
      </c>
      <c r="CN264" s="5">
        <v>3536.0</v>
      </c>
      <c r="CO264" s="3"/>
      <c r="CP264" s="5">
        <v>731.0</v>
      </c>
      <c r="CQ264" s="3"/>
      <c r="CR264" s="4" t="s">
        <v>1165</v>
      </c>
    </row>
    <row r="265">
      <c r="A265" s="1" t="s">
        <v>1166</v>
      </c>
      <c r="B265" s="2">
        <v>46062.442974537036</v>
      </c>
      <c r="C265" s="1" t="str">
        <f t="array" ref="C265">INDEX('User data'!E:E, MATCH(E265, 'User data'!B:B, 0))</f>
        <v>에버엑스 주식회사(EverEx)</v>
      </c>
      <c r="D265" s="1" t="str">
        <f t="array" ref="D265">INDEX('User data'!F:F, MATCH(C265, 'User data'!E:E, 0))</f>
        <v>751-87-01409</v>
      </c>
      <c r="E265" s="1" t="s">
        <v>1167</v>
      </c>
      <c r="F265" s="3"/>
      <c r="G265" s="1" t="s">
        <v>1168</v>
      </c>
      <c r="J265" s="1" t="s">
        <v>100</v>
      </c>
      <c r="K265" s="1" t="s">
        <v>101</v>
      </c>
      <c r="L265" s="1" t="b">
        <v>0</v>
      </c>
      <c r="M265" s="4" t="s">
        <v>102</v>
      </c>
      <c r="N265" s="1" t="s">
        <v>1169</v>
      </c>
      <c r="O265" s="1">
        <v>607950.0</v>
      </c>
      <c r="P265" s="1">
        <v>607950.0</v>
      </c>
      <c r="Q265" s="3"/>
      <c r="R265" s="1">
        <v>607950.0</v>
      </c>
      <c r="S265" s="3"/>
      <c r="T265" s="1" t="s">
        <v>104</v>
      </c>
      <c r="U265" s="3"/>
      <c r="V265" s="3"/>
      <c r="W265" s="1" t="s">
        <v>105</v>
      </c>
      <c r="X265" s="3"/>
      <c r="Y265" s="1" t="s">
        <v>106</v>
      </c>
      <c r="Z265" s="3"/>
      <c r="AA265" s="1" t="b">
        <v>0</v>
      </c>
      <c r="AB265" s="1" t="b">
        <v>0</v>
      </c>
      <c r="AC265" s="1" t="b">
        <v>0</v>
      </c>
      <c r="AD265" s="1" t="b">
        <v>0</v>
      </c>
      <c r="AE265" s="1" t="b">
        <v>1</v>
      </c>
      <c r="AF265" s="3"/>
      <c r="AG265" s="3"/>
      <c r="AH265" s="3"/>
      <c r="AI265" s="3"/>
      <c r="AJ265" s="2">
        <v>46062.442777777775</v>
      </c>
      <c r="AK265" s="2">
        <v>46063.443020833336</v>
      </c>
      <c r="AM265" s="2">
        <v>46062.44296296296</v>
      </c>
      <c r="AN265" s="2">
        <v>46062.442974537036</v>
      </c>
      <c r="AP265" s="3"/>
      <c r="AQ265" s="3"/>
      <c r="AR265" s="3"/>
      <c r="AS265" s="3"/>
      <c r="AT265" s="3"/>
      <c r="AU265" s="3"/>
      <c r="AV265" s="3"/>
      <c r="AW265" s="3"/>
      <c r="AX265" s="2">
        <v>46062.59119212963</v>
      </c>
      <c r="AZ265" s="3"/>
      <c r="BA265" s="3"/>
      <c r="BB265" s="3"/>
      <c r="BC265" s="3"/>
      <c r="BD265" s="3"/>
      <c r="BE265" s="3"/>
      <c r="BF265" s="3"/>
      <c r="BG265" s="3"/>
      <c r="BH265" s="3"/>
      <c r="BI265" s="3"/>
      <c r="BJ265" s="3"/>
      <c r="BK265" s="3"/>
      <c r="BL265" s="3"/>
      <c r="BM265" s="5">
        <v>12806.0</v>
      </c>
      <c r="BN265" s="5">
        <v>9206.0</v>
      </c>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5">
        <v>3.4</v>
      </c>
      <c r="CR265" s="4" t="s">
        <v>1170</v>
      </c>
    </row>
    <row r="266">
      <c r="A266" s="1" t="s">
        <v>1171</v>
      </c>
      <c r="B266" s="2">
        <v>46062.442465277774</v>
      </c>
      <c r="C266" s="1" t="str">
        <f t="array" ref="C266">INDEX('User data'!E:E, MATCH(E266, 'User data'!B:B, 0))</f>
        <v>주식회사 모두의연구소</v>
      </c>
      <c r="D266" s="1" t="str">
        <f t="array" ref="D266">INDEX('User data'!F:F, MATCH(C266, 'User data'!E:E, 0))</f>
        <v>517-88-00184</v>
      </c>
      <c r="E266" s="1" t="s">
        <v>1172</v>
      </c>
      <c r="F266" s="3"/>
      <c r="G266" s="3"/>
      <c r="H266" s="3"/>
      <c r="I266" s="3"/>
      <c r="J266" s="1" t="s">
        <v>100</v>
      </c>
      <c r="K266" s="1" t="s">
        <v>101</v>
      </c>
      <c r="L266" s="1" t="b">
        <v>0</v>
      </c>
      <c r="M266" s="4" t="s">
        <v>102</v>
      </c>
      <c r="N266" s="1" t="s">
        <v>1173</v>
      </c>
      <c r="P266" s="3"/>
      <c r="Q266" s="3"/>
      <c r="R266" s="3"/>
      <c r="S266" s="3"/>
      <c r="T266" s="1" t="s">
        <v>104</v>
      </c>
      <c r="U266" s="3"/>
      <c r="V266" s="3"/>
      <c r="W266" s="1" t="s">
        <v>105</v>
      </c>
      <c r="X266" s="3"/>
      <c r="Y266" s="1" t="s">
        <v>106</v>
      </c>
      <c r="Z266" s="3"/>
      <c r="AA266" s="1" t="b">
        <v>0</v>
      </c>
      <c r="AB266" s="1" t="b">
        <v>0</v>
      </c>
      <c r="AC266" s="1" t="b">
        <v>0</v>
      </c>
      <c r="AD266" s="1" t="b">
        <v>0</v>
      </c>
      <c r="AE266" s="1" t="b">
        <v>1</v>
      </c>
      <c r="AF266" s="3"/>
      <c r="AG266" s="3"/>
      <c r="AH266" s="3"/>
      <c r="AI266" s="3"/>
      <c r="AJ266" s="2">
        <v>46062.44113425926</v>
      </c>
      <c r="AK266" s="2">
        <v>46063.44252314815</v>
      </c>
      <c r="AM266" s="2">
        <v>46062.442465277774</v>
      </c>
      <c r="AN266" s="2">
        <v>46062.442465277774</v>
      </c>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5">
        <v>5.0</v>
      </c>
      <c r="CR266" s="4" t="s">
        <v>1174</v>
      </c>
    </row>
    <row r="267">
      <c r="A267" s="1" t="s">
        <v>1175</v>
      </c>
      <c r="B267" s="2">
        <v>46062.43829861111</v>
      </c>
      <c r="C267" s="1" t="str">
        <f t="array" ref="C267">INDEX('User data'!E:E, MATCH(E267, 'User data'!B:B, 0))</f>
        <v>（주）한백</v>
      </c>
      <c r="D267" s="1" t="str">
        <f t="array" ref="D267">INDEX('User data'!F:F, MATCH(C267, 'User data'!E:E, 0))</f>
        <v>410-81-32391</v>
      </c>
      <c r="E267" s="1" t="s">
        <v>1176</v>
      </c>
      <c r="F267" s="3"/>
      <c r="G267" s="3"/>
      <c r="H267" s="3"/>
      <c r="I267" s="3"/>
      <c r="J267" s="1" t="s">
        <v>100</v>
      </c>
      <c r="K267" s="1" t="s">
        <v>101</v>
      </c>
      <c r="L267" s="1" t="b">
        <v>0</v>
      </c>
      <c r="M267" s="4" t="s">
        <v>102</v>
      </c>
      <c r="N267" s="1" t="s">
        <v>1177</v>
      </c>
      <c r="P267" s="3"/>
      <c r="Q267" s="3"/>
      <c r="R267" s="3"/>
      <c r="S267" s="3"/>
      <c r="T267" s="1" t="s">
        <v>104</v>
      </c>
      <c r="U267" s="3"/>
      <c r="V267" s="3"/>
      <c r="W267" s="1" t="s">
        <v>105</v>
      </c>
      <c r="X267" s="3"/>
      <c r="Y267" s="1" t="s">
        <v>106</v>
      </c>
      <c r="Z267" s="3"/>
      <c r="AA267" s="1" t="b">
        <v>0</v>
      </c>
      <c r="AB267" s="1" t="b">
        <v>0</v>
      </c>
      <c r="AC267" s="1" t="b">
        <v>0</v>
      </c>
      <c r="AD267" s="1" t="b">
        <v>0</v>
      </c>
      <c r="AE267" s="1" t="b">
        <v>1</v>
      </c>
      <c r="AF267" s="3"/>
      <c r="AG267" s="3"/>
      <c r="AH267" s="3"/>
      <c r="AI267" s="3"/>
      <c r="AJ267" s="2">
        <v>46062.438252314816</v>
      </c>
      <c r="AK267" s="2">
        <v>46063.45679398148</v>
      </c>
      <c r="AM267" s="2">
        <v>46062.43829861111</v>
      </c>
      <c r="AN267" s="2">
        <v>46062.43829861111</v>
      </c>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5">
        <v>5.0</v>
      </c>
      <c r="CR267" s="4" t="s">
        <v>1178</v>
      </c>
    </row>
    <row r="268">
      <c r="A268" s="1" t="s">
        <v>1179</v>
      </c>
      <c r="B268" s="2">
        <v>46062.434537037036</v>
      </c>
      <c r="C268" s="1" t="str">
        <f t="array" ref="C268">INDEX('User data'!E:E, MATCH(E268, 'User data'!B:B, 0))</f>
        <v/>
      </c>
      <c r="D268" s="1" t="str">
        <f t="array" ref="D268">INDEX('User data'!F:F, MATCH(C268, 'User data'!E:E, 0))</f>
        <v>#N/A</v>
      </c>
      <c r="E268" s="1" t="s">
        <v>1180</v>
      </c>
      <c r="F268" s="3"/>
      <c r="G268" s="3"/>
      <c r="H268" s="3"/>
      <c r="I268" s="3"/>
      <c r="J268" s="1" t="s">
        <v>100</v>
      </c>
      <c r="K268" s="1" t="s">
        <v>101</v>
      </c>
      <c r="L268" s="1" t="b">
        <v>0</v>
      </c>
      <c r="M268" s="4" t="s">
        <v>102</v>
      </c>
      <c r="N268" s="1" t="s">
        <v>1181</v>
      </c>
      <c r="P268" s="3"/>
      <c r="Q268" s="3"/>
      <c r="R268" s="3"/>
      <c r="S268" s="3"/>
      <c r="T268" s="1" t="s">
        <v>104</v>
      </c>
      <c r="U268" s="3"/>
      <c r="V268" s="3"/>
      <c r="W268" s="1" t="s">
        <v>105</v>
      </c>
      <c r="X268" s="3"/>
      <c r="Y268" s="1" t="s">
        <v>106</v>
      </c>
      <c r="Z268" s="3"/>
      <c r="AA268" s="1" t="b">
        <v>0</v>
      </c>
      <c r="AB268" s="1" t="b">
        <v>0</v>
      </c>
      <c r="AC268" s="1" t="b">
        <v>0</v>
      </c>
      <c r="AD268" s="1" t="b">
        <v>0</v>
      </c>
      <c r="AE268" s="1" t="b">
        <v>1</v>
      </c>
      <c r="AF268" s="3"/>
      <c r="AG268" s="3"/>
      <c r="AH268" s="3"/>
      <c r="AI268" s="3"/>
      <c r="AJ268" s="2">
        <v>46062.43450231481</v>
      </c>
      <c r="AK268" s="2">
        <v>46063.43471064815</v>
      </c>
      <c r="AM268" s="2">
        <v>46062.434537037036</v>
      </c>
      <c r="AN268" s="2">
        <v>46062.434537037036</v>
      </c>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5">
        <v>4.4</v>
      </c>
      <c r="CR268" s="4" t="s">
        <v>1182</v>
      </c>
    </row>
    <row r="269">
      <c r="A269" s="1" t="s">
        <v>1183</v>
      </c>
      <c r="B269" s="2">
        <v>46062.431921296295</v>
      </c>
      <c r="C269" s="1" t="str">
        <f t="array" ref="C269">INDEX('User data'!E:E, MATCH(E269, 'User data'!B:B, 0))</f>
        <v>주식회사 스위트스팟</v>
      </c>
      <c r="D269" s="1" t="str">
        <f t="array" ref="D269">INDEX('User data'!F:F, MATCH(C269, 'User data'!E:E, 0))</f>
        <v>846-86-00225</v>
      </c>
      <c r="E269" s="1" t="s">
        <v>1079</v>
      </c>
      <c r="F269" s="3"/>
      <c r="G269" s="3"/>
      <c r="H269" s="3"/>
      <c r="I269" s="3"/>
      <c r="J269" s="1" t="s">
        <v>100</v>
      </c>
      <c r="K269" s="1" t="s">
        <v>101</v>
      </c>
      <c r="L269" s="1" t="b">
        <v>0</v>
      </c>
      <c r="M269" s="4" t="s">
        <v>102</v>
      </c>
      <c r="N269" s="1" t="s">
        <v>1080</v>
      </c>
      <c r="P269" s="3"/>
      <c r="Q269" s="3"/>
      <c r="R269" s="3"/>
      <c r="S269" s="3"/>
      <c r="T269" s="1" t="s">
        <v>104</v>
      </c>
      <c r="U269" s="3"/>
      <c r="V269" s="3"/>
      <c r="W269" s="1" t="s">
        <v>105</v>
      </c>
      <c r="X269" s="3"/>
      <c r="Y269" s="1" t="s">
        <v>106</v>
      </c>
      <c r="Z269" s="3"/>
      <c r="AA269" s="1" t="b">
        <v>0</v>
      </c>
      <c r="AB269" s="1" t="b">
        <v>0</v>
      </c>
      <c r="AC269" s="1" t="b">
        <v>0</v>
      </c>
      <c r="AD269" s="1" t="b">
        <v>0</v>
      </c>
      <c r="AE269" s="1" t="b">
        <v>1</v>
      </c>
      <c r="AF269" s="3"/>
      <c r="AG269" s="3"/>
      <c r="AH269" s="3"/>
      <c r="AI269" s="3"/>
      <c r="AJ269" s="2">
        <v>46062.431666666664</v>
      </c>
      <c r="AK269" s="2">
        <v>46063.78068287037</v>
      </c>
      <c r="AM269" s="2">
        <v>46062.431921296295</v>
      </c>
      <c r="AN269" s="2">
        <v>46062.431921296295</v>
      </c>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5">
        <v>4.6</v>
      </c>
      <c r="CR269" s="4" t="s">
        <v>1184</v>
      </c>
    </row>
    <row r="270">
      <c r="A270" s="1" t="s">
        <v>1185</v>
      </c>
      <c r="B270" s="2">
        <v>46062.42244212963</v>
      </c>
      <c r="C270" s="1" t="str">
        <f t="array" ref="C270">INDEX('User data'!E:E, MATCH(E270, 'User data'!B:B, 0))</f>
        <v>주식회사 리우</v>
      </c>
      <c r="D270" s="1" t="str">
        <f t="array" ref="D270">INDEX('User data'!F:F, MATCH(C270, 'User data'!E:E, 0))</f>
        <v>257-81-01545</v>
      </c>
      <c r="E270" s="1" t="s">
        <v>1186</v>
      </c>
      <c r="F270" s="3"/>
      <c r="G270" s="3"/>
      <c r="H270" s="3"/>
      <c r="I270" s="3"/>
      <c r="J270" s="1" t="s">
        <v>100</v>
      </c>
      <c r="K270" s="1" t="s">
        <v>101</v>
      </c>
      <c r="L270" s="1" t="b">
        <v>0</v>
      </c>
      <c r="M270" s="4" t="s">
        <v>102</v>
      </c>
      <c r="N270" s="1" t="s">
        <v>1187</v>
      </c>
      <c r="P270" s="3"/>
      <c r="Q270" s="3"/>
      <c r="R270" s="3"/>
      <c r="S270" s="3"/>
      <c r="T270" s="1" t="s">
        <v>104</v>
      </c>
      <c r="U270" s="3"/>
      <c r="V270" s="3"/>
      <c r="W270" s="1" t="s">
        <v>105</v>
      </c>
      <c r="X270" s="3"/>
      <c r="Y270" s="1" t="s">
        <v>106</v>
      </c>
      <c r="Z270" s="3"/>
      <c r="AA270" s="1" t="b">
        <v>0</v>
      </c>
      <c r="AB270" s="1" t="b">
        <v>0</v>
      </c>
      <c r="AC270" s="1" t="b">
        <v>0</v>
      </c>
      <c r="AD270" s="1" t="b">
        <v>0</v>
      </c>
      <c r="AE270" s="1" t="b">
        <v>1</v>
      </c>
      <c r="AF270" s="3"/>
      <c r="AG270" s="3"/>
      <c r="AH270" s="3"/>
      <c r="AI270" s="3"/>
      <c r="AJ270" s="2">
        <v>46062.42224537037</v>
      </c>
      <c r="AK270" s="2">
        <v>46063.422488425924</v>
      </c>
      <c r="AM270" s="2">
        <v>46062.42244212963</v>
      </c>
      <c r="AN270" s="2">
        <v>46062.42244212963</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5">
        <v>3.4</v>
      </c>
      <c r="CR270" s="4" t="s">
        <v>1188</v>
      </c>
    </row>
    <row r="271">
      <c r="A271" s="1" t="s">
        <v>1189</v>
      </c>
      <c r="B271" s="2">
        <v>46062.41951388889</v>
      </c>
      <c r="C271" s="1" t="str">
        <f t="array" ref="C271">INDEX('User data'!E:E, MATCH(E271, 'User data'!B:B, 0))</f>
        <v>주식회사 코스모스랩(COSMOS LAB Co. ,Ltd.)</v>
      </c>
      <c r="D271" s="1" t="str">
        <f t="array" ref="D271">INDEX('User data'!F:F, MATCH(C271, 'User data'!E:E, 0))</f>
        <v>188-81-02234</v>
      </c>
      <c r="E271" s="1" t="s">
        <v>1190</v>
      </c>
      <c r="F271" s="3"/>
      <c r="G271" s="3"/>
      <c r="H271" s="3"/>
      <c r="I271" s="3"/>
      <c r="J271" s="1" t="s">
        <v>100</v>
      </c>
      <c r="K271" s="1" t="s">
        <v>101</v>
      </c>
      <c r="L271" s="1" t="b">
        <v>0</v>
      </c>
      <c r="M271" s="4" t="s">
        <v>102</v>
      </c>
      <c r="N271" s="1" t="s">
        <v>1191</v>
      </c>
      <c r="P271" s="3"/>
      <c r="Q271" s="3"/>
      <c r="R271" s="3"/>
      <c r="S271" s="3"/>
      <c r="T271" s="1" t="s">
        <v>104</v>
      </c>
      <c r="U271" s="3"/>
      <c r="V271" s="3"/>
      <c r="W271" s="1" t="s">
        <v>105</v>
      </c>
      <c r="X271" s="3"/>
      <c r="Y271" s="1" t="s">
        <v>106</v>
      </c>
      <c r="Z271" s="3"/>
      <c r="AA271" s="1" t="b">
        <v>0</v>
      </c>
      <c r="AB271" s="1" t="b">
        <v>0</v>
      </c>
      <c r="AC271" s="1" t="b">
        <v>0</v>
      </c>
      <c r="AD271" s="1" t="b">
        <v>0</v>
      </c>
      <c r="AE271" s="1" t="b">
        <v>1</v>
      </c>
      <c r="AF271" s="3"/>
      <c r="AG271" s="3"/>
      <c r="AH271" s="3"/>
      <c r="AI271" s="3"/>
      <c r="AJ271" s="2">
        <v>46062.41939814815</v>
      </c>
      <c r="AK271" s="2">
        <v>46063.41966435185</v>
      </c>
      <c r="AM271" s="2">
        <v>46062.41951388889</v>
      </c>
      <c r="AN271" s="2">
        <v>46062.41951388889</v>
      </c>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5">
        <v>5.0</v>
      </c>
      <c r="CR271" s="4" t="s">
        <v>1192</v>
      </c>
    </row>
    <row r="272">
      <c r="A272" s="1" t="s">
        <v>1193</v>
      </c>
      <c r="B272" s="2">
        <v>46062.41185185185</v>
      </c>
      <c r="C272" s="1" t="str">
        <f t="array" ref="C272">INDEX('User data'!E:E, MATCH(E272, 'User data'!B:B, 0))</f>
        <v>문카데미 주식회사 (Mooncademy Inc.)</v>
      </c>
      <c r="D272" s="1" t="str">
        <f t="array" ref="D272">INDEX('User data'!F:F, MATCH(C272, 'User data'!E:E, 0))</f>
        <v>194-86-01797</v>
      </c>
      <c r="E272" s="1" t="s">
        <v>1194</v>
      </c>
      <c r="F272" s="3"/>
      <c r="G272" s="3"/>
      <c r="H272" s="3"/>
      <c r="I272" s="3"/>
      <c r="J272" s="1" t="s">
        <v>100</v>
      </c>
      <c r="K272" s="1" t="s">
        <v>101</v>
      </c>
      <c r="L272" s="1" t="b">
        <v>0</v>
      </c>
      <c r="M272" s="4" t="s">
        <v>102</v>
      </c>
      <c r="N272" s="1" t="s">
        <v>1195</v>
      </c>
      <c r="P272" s="3"/>
      <c r="Q272" s="3"/>
      <c r="R272" s="3"/>
      <c r="S272" s="3"/>
      <c r="T272" s="1" t="s">
        <v>104</v>
      </c>
      <c r="U272" s="3"/>
      <c r="V272" s="3"/>
      <c r="W272" s="1" t="s">
        <v>118</v>
      </c>
      <c r="X272" s="3"/>
      <c r="Y272" s="1" t="s">
        <v>106</v>
      </c>
      <c r="Z272" s="3"/>
      <c r="AA272" s="1" t="b">
        <v>0</v>
      </c>
      <c r="AB272" s="1" t="b">
        <v>0</v>
      </c>
      <c r="AC272" s="1" t="b">
        <v>0</v>
      </c>
      <c r="AD272" s="1" t="b">
        <v>0</v>
      </c>
      <c r="AE272" s="1" t="b">
        <v>1</v>
      </c>
      <c r="AF272" s="3"/>
      <c r="AG272" s="3"/>
      <c r="AH272" s="3"/>
      <c r="AI272" s="3"/>
      <c r="AJ272" s="2">
        <v>46062.41164351852</v>
      </c>
      <c r="AK272" s="2">
        <v>46063.41238425926</v>
      </c>
      <c r="AM272" s="2">
        <v>46062.41185185185</v>
      </c>
      <c r="AN272" s="2">
        <v>46062.41185185185</v>
      </c>
      <c r="AP272" s="3"/>
      <c r="AQ272" s="3"/>
      <c r="AR272" s="3"/>
      <c r="AS272" s="3"/>
      <c r="AT272" s="3"/>
      <c r="AU272" s="3"/>
      <c r="AV272" s="3"/>
      <c r="AW272" s="3"/>
      <c r="AX272" s="3"/>
      <c r="AY272" s="3"/>
      <c r="AZ272" s="3"/>
      <c r="BA272" s="3"/>
      <c r="BB272" s="3"/>
      <c r="BC272" s="2">
        <v>46062.41243055555</v>
      </c>
      <c r="BD272" s="2">
        <v>46062.41243055555</v>
      </c>
      <c r="BF272" s="3"/>
      <c r="BG272" s="3"/>
      <c r="BH272" s="3"/>
      <c r="BI272" s="3"/>
      <c r="BJ272" s="3"/>
      <c r="BK272" s="3"/>
      <c r="BL272" s="3"/>
      <c r="BM272" s="3"/>
      <c r="BN272" s="3"/>
      <c r="BO272" s="3"/>
      <c r="BP272" s="3"/>
      <c r="BQ272" s="3"/>
      <c r="BR272" s="3"/>
      <c r="BS272" s="3"/>
      <c r="BT272" s="3"/>
      <c r="BU272" s="3"/>
      <c r="BV272" s="3"/>
      <c r="BW272" s="3"/>
      <c r="BX272" s="3"/>
      <c r="BY272" s="5">
        <v>50.0</v>
      </c>
      <c r="BZ272" s="5">
        <v>0.0</v>
      </c>
      <c r="CA272" s="5">
        <v>50.0</v>
      </c>
      <c r="CB272" s="5">
        <v>0.0</v>
      </c>
      <c r="CC272" s="5">
        <v>50.0</v>
      </c>
      <c r="CD272" s="5">
        <v>0.0</v>
      </c>
      <c r="CE272" s="3"/>
      <c r="CF272" s="3"/>
      <c r="CG272" s="3"/>
      <c r="CH272" s="3"/>
      <c r="CI272" s="3"/>
      <c r="CJ272" s="3"/>
      <c r="CK272" s="3"/>
      <c r="CL272" s="3"/>
      <c r="CM272" s="3"/>
      <c r="CN272" s="3"/>
      <c r="CO272" s="3"/>
      <c r="CP272" s="3"/>
      <c r="CQ272" s="5">
        <v>1.6</v>
      </c>
      <c r="CR272" s="4" t="s">
        <v>1196</v>
      </c>
    </row>
    <row r="273">
      <c r="A273" s="1" t="s">
        <v>1197</v>
      </c>
      <c r="B273" s="2">
        <v>46062.401354166665</v>
      </c>
      <c r="C273" s="1" t="str">
        <f t="array" ref="C273">INDEX('User data'!E:E, MATCH(E273, 'User data'!B:B, 0))</f>
        <v>사이오닉에이아이 주식회사</v>
      </c>
      <c r="D273" s="1" t="str">
        <f t="array" ref="D273">INDEX('User data'!F:F, MATCH(C273, 'User data'!E:E, 0))</f>
        <v>245-86-02885</v>
      </c>
      <c r="E273" s="1" t="s">
        <v>1198</v>
      </c>
      <c r="F273" s="3"/>
      <c r="G273" s="3"/>
      <c r="H273" s="1" t="s">
        <v>1199</v>
      </c>
      <c r="J273" s="1" t="s">
        <v>100</v>
      </c>
      <c r="K273" s="1" t="s">
        <v>173</v>
      </c>
      <c r="L273" s="1" t="b">
        <v>0</v>
      </c>
      <c r="M273" s="3"/>
      <c r="N273" s="1" t="s">
        <v>1200</v>
      </c>
      <c r="O273" s="1">
        <v>607950.0</v>
      </c>
      <c r="P273" s="1">
        <v>607950.0</v>
      </c>
      <c r="Q273" s="3"/>
      <c r="R273" s="1" t="s">
        <v>1201</v>
      </c>
      <c r="T273" s="1" t="s">
        <v>175</v>
      </c>
      <c r="U273" s="1" t="s">
        <v>175</v>
      </c>
      <c r="V273" s="3"/>
      <c r="W273" s="1" t="s">
        <v>176</v>
      </c>
      <c r="X273" s="3"/>
      <c r="Y273" s="1" t="s">
        <v>106</v>
      </c>
      <c r="Z273" s="3"/>
      <c r="AA273" s="1" t="b">
        <v>1</v>
      </c>
      <c r="AB273" s="1" t="b">
        <v>0</v>
      </c>
      <c r="AC273" s="1" t="b">
        <v>0</v>
      </c>
      <c r="AD273" s="1" t="b">
        <v>0</v>
      </c>
      <c r="AE273" s="1" t="b">
        <v>0</v>
      </c>
      <c r="AF273" s="5">
        <v>2.0</v>
      </c>
      <c r="AG273" s="3"/>
      <c r="AH273" s="3"/>
      <c r="AI273" s="3"/>
      <c r="AJ273" s="2">
        <v>46062.38570601852</v>
      </c>
      <c r="AK273" s="2">
        <v>46073.420115740744</v>
      </c>
      <c r="AM273" s="2">
        <v>46062.401354166665</v>
      </c>
      <c r="AO273" s="3"/>
      <c r="AP273" s="3"/>
      <c r="AQ273" s="3"/>
      <c r="AR273" s="3"/>
      <c r="AS273" s="3"/>
      <c r="AT273" s="2">
        <v>46062.401354166665</v>
      </c>
      <c r="AU273" s="2">
        <v>46073.37527777778</v>
      </c>
      <c r="AW273" s="3"/>
      <c r="AX273" s="2">
        <v>46062.38570601852</v>
      </c>
      <c r="AY273" s="2">
        <v>46062.401354166665</v>
      </c>
      <c r="AZ273" s="2">
        <v>46062.403125</v>
      </c>
      <c r="BA273" s="2">
        <v>46064.41956018518</v>
      </c>
      <c r="BB273" s="2">
        <v>46073.420115740744</v>
      </c>
      <c r="BD273" s="3"/>
      <c r="BE273" s="5">
        <v>3977.0</v>
      </c>
      <c r="BF273" s="3"/>
      <c r="BG273" s="5">
        <v>1988.0</v>
      </c>
      <c r="BH273" s="3"/>
      <c r="BI273" s="5">
        <v>589931.0</v>
      </c>
      <c r="BJ273" s="5">
        <v>104395.0</v>
      </c>
      <c r="BK273" s="3"/>
      <c r="BL273" s="3"/>
      <c r="BM273" s="3"/>
      <c r="BN273" s="3"/>
      <c r="BO273" s="5">
        <v>153.0</v>
      </c>
      <c r="BP273" s="5">
        <v>0.0</v>
      </c>
      <c r="BQ273" s="5">
        <v>153.0</v>
      </c>
      <c r="BR273" s="5">
        <v>0.0</v>
      </c>
      <c r="BS273" s="5">
        <v>1505.0</v>
      </c>
      <c r="BT273" s="5">
        <v>0.0</v>
      </c>
      <c r="BU273" s="5">
        <v>153.0</v>
      </c>
      <c r="BV273" s="5">
        <v>0.0</v>
      </c>
      <c r="BW273" s="5">
        <v>153.0</v>
      </c>
      <c r="BX273" s="5">
        <v>0.0</v>
      </c>
      <c r="BY273" s="3"/>
      <c r="BZ273" s="3"/>
      <c r="CA273" s="3"/>
      <c r="CB273" s="3"/>
      <c r="CC273" s="3"/>
      <c r="CD273" s="3"/>
      <c r="CE273" s="3"/>
      <c r="CF273" s="3"/>
      <c r="CG273" s="3"/>
      <c r="CH273" s="3"/>
      <c r="CI273" s="3"/>
      <c r="CJ273" s="3"/>
      <c r="CK273" s="3"/>
      <c r="CL273" s="3"/>
      <c r="CM273" s="3"/>
      <c r="CN273" s="3"/>
      <c r="CO273" s="3"/>
      <c r="CP273" s="3"/>
      <c r="CQ273" s="3"/>
      <c r="CR273" s="4" t="s">
        <v>1202</v>
      </c>
    </row>
    <row r="274">
      <c r="A274" s="1" t="s">
        <v>1203</v>
      </c>
      <c r="B274" s="2">
        <v>46062.38545138889</v>
      </c>
      <c r="C274" s="1" t="str">
        <f t="array" ref="C274">INDEX('User data'!E:E, MATCH(E274, 'User data'!B:B, 0))</f>
        <v>주식회사 엔투이머트리얼즈</v>
      </c>
      <c r="D274" s="1" t="str">
        <f t="array" ref="D274">INDEX('User data'!F:F, MATCH(C274, 'User data'!E:E, 0))</f>
        <v>624-88-03077</v>
      </c>
      <c r="E274" s="1" t="s">
        <v>1204</v>
      </c>
      <c r="F274" s="3"/>
      <c r="G274" s="3"/>
      <c r="H274" s="3"/>
      <c r="I274" s="3"/>
      <c r="J274" s="1" t="s">
        <v>100</v>
      </c>
      <c r="K274" s="1" t="s">
        <v>101</v>
      </c>
      <c r="L274" s="1" t="b">
        <v>0</v>
      </c>
      <c r="M274" s="4" t="s">
        <v>570</v>
      </c>
      <c r="N274" s="1" t="s">
        <v>1205</v>
      </c>
      <c r="P274" s="3"/>
      <c r="Q274" s="3"/>
      <c r="R274" s="3"/>
      <c r="S274" s="3"/>
      <c r="T274" s="1" t="s">
        <v>104</v>
      </c>
      <c r="U274" s="3"/>
      <c r="V274" s="3"/>
      <c r="W274" s="1" t="s">
        <v>105</v>
      </c>
      <c r="X274" s="3"/>
      <c r="Y274" s="1" t="s">
        <v>106</v>
      </c>
      <c r="Z274" s="3"/>
      <c r="AA274" s="1" t="b">
        <v>0</v>
      </c>
      <c r="AB274" s="1" t="b">
        <v>0</v>
      </c>
      <c r="AC274" s="1" t="b">
        <v>0</v>
      </c>
      <c r="AD274" s="1" t="b">
        <v>0</v>
      </c>
      <c r="AE274" s="1" t="b">
        <v>1</v>
      </c>
      <c r="AF274" s="3"/>
      <c r="AG274" s="3"/>
      <c r="AH274" s="3"/>
      <c r="AI274" s="3"/>
      <c r="AJ274" s="2">
        <v>46062.3853125</v>
      </c>
      <c r="AK274" s="2">
        <v>46063.38550925926</v>
      </c>
      <c r="AM274" s="2">
        <v>46062.38545138889</v>
      </c>
      <c r="AN274" s="2">
        <v>46062.38545138889</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5">
        <v>3.4</v>
      </c>
      <c r="CR274" s="4" t="s">
        <v>1206</v>
      </c>
    </row>
    <row r="275">
      <c r="A275" s="1" t="s">
        <v>1207</v>
      </c>
      <c r="B275" s="2">
        <v>46061.925208333334</v>
      </c>
      <c r="C275" s="1" t="str">
        <f t="array" ref="C275">INDEX('User data'!E:E, MATCH(E275, 'User data'!B:B, 0))</f>
        <v/>
      </c>
      <c r="D275" s="1" t="str">
        <f t="array" ref="D275">INDEX('User data'!F:F, MATCH(C275, 'User data'!E:E, 0))</f>
        <v>#N/A</v>
      </c>
      <c r="E275" s="1" t="s">
        <v>1208</v>
      </c>
      <c r="F275" s="3"/>
      <c r="G275" s="3"/>
      <c r="H275" s="3"/>
      <c r="I275" s="3"/>
      <c r="J275" s="1" t="s">
        <v>100</v>
      </c>
      <c r="K275" s="1" t="s">
        <v>101</v>
      </c>
      <c r="L275" s="1" t="b">
        <v>0</v>
      </c>
      <c r="M275" s="4" t="s">
        <v>102</v>
      </c>
      <c r="N275" s="1" t="s">
        <v>1209</v>
      </c>
      <c r="P275" s="3"/>
      <c r="Q275" s="3"/>
      <c r="R275" s="3"/>
      <c r="S275" s="3"/>
      <c r="T275" s="1" t="s">
        <v>104</v>
      </c>
      <c r="U275" s="3"/>
      <c r="V275" s="3"/>
      <c r="W275" s="1" t="s">
        <v>105</v>
      </c>
      <c r="X275" s="3"/>
      <c r="Y275" s="1" t="s">
        <v>106</v>
      </c>
      <c r="Z275" s="3"/>
      <c r="AA275" s="1" t="b">
        <v>0</v>
      </c>
      <c r="AB275" s="1" t="b">
        <v>0</v>
      </c>
      <c r="AC275" s="1" t="b">
        <v>0</v>
      </c>
      <c r="AD275" s="1" t="b">
        <v>0</v>
      </c>
      <c r="AE275" s="1" t="b">
        <v>1</v>
      </c>
      <c r="AF275" s="3"/>
      <c r="AG275" s="3"/>
      <c r="AH275" s="3"/>
      <c r="AI275" s="3"/>
      <c r="AJ275" s="2">
        <v>46061.925162037034</v>
      </c>
      <c r="AK275" s="2">
        <v>46062.92527777778</v>
      </c>
      <c r="AM275" s="2">
        <v>46061.925208333334</v>
      </c>
      <c r="AN275" s="2">
        <v>46061.925208333334</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5">
        <v>1.6</v>
      </c>
      <c r="CR275" s="4" t="s">
        <v>1210</v>
      </c>
    </row>
    <row r="276">
      <c r="A276" s="1" t="s">
        <v>1211</v>
      </c>
      <c r="B276" s="2">
        <v>46061.42136574074</v>
      </c>
      <c r="C276" s="1" t="str">
        <f t="array" ref="C276">INDEX('User data'!E:E, MATCH(E276, 'User data'!B:B, 0))</f>
        <v/>
      </c>
      <c r="D276" s="1" t="str">
        <f t="array" ref="D276">INDEX('User data'!F:F, MATCH(C276, 'User data'!E:E, 0))</f>
        <v>#N/A</v>
      </c>
      <c r="E276" s="1" t="s">
        <v>1212</v>
      </c>
      <c r="F276" s="3"/>
      <c r="G276" s="3"/>
      <c r="H276" s="3"/>
      <c r="I276" s="3"/>
      <c r="J276" s="1" t="s">
        <v>100</v>
      </c>
      <c r="K276" s="1" t="s">
        <v>101</v>
      </c>
      <c r="L276" s="1" t="b">
        <v>0</v>
      </c>
      <c r="M276" s="4" t="s">
        <v>102</v>
      </c>
      <c r="N276" s="1" t="s">
        <v>1213</v>
      </c>
      <c r="P276" s="3"/>
      <c r="Q276" s="3"/>
      <c r="R276" s="3"/>
      <c r="S276" s="3"/>
      <c r="T276" s="1" t="s">
        <v>104</v>
      </c>
      <c r="U276" s="3"/>
      <c r="V276" s="3"/>
      <c r="W276" s="1" t="s">
        <v>105</v>
      </c>
      <c r="X276" s="3"/>
      <c r="Y276" s="1" t="s">
        <v>106</v>
      </c>
      <c r="Z276" s="3"/>
      <c r="AA276" s="1" t="b">
        <v>0</v>
      </c>
      <c r="AB276" s="1" t="b">
        <v>0</v>
      </c>
      <c r="AC276" s="1" t="b">
        <v>0</v>
      </c>
      <c r="AD276" s="1" t="b">
        <v>0</v>
      </c>
      <c r="AE276" s="1" t="b">
        <v>1</v>
      </c>
      <c r="AF276" s="3"/>
      <c r="AG276" s="3"/>
      <c r="AH276" s="3"/>
      <c r="AI276" s="3"/>
      <c r="AJ276" s="2">
        <v>46061.421331018515</v>
      </c>
      <c r="AK276" s="2">
        <v>46062.421435185184</v>
      </c>
      <c r="AM276" s="2">
        <v>46061.42136574074</v>
      </c>
      <c r="AN276" s="2">
        <v>46061.42136574074</v>
      </c>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5">
        <v>1.4</v>
      </c>
      <c r="CR276" s="4" t="s">
        <v>1214</v>
      </c>
    </row>
    <row r="277">
      <c r="A277" s="1" t="s">
        <v>1215</v>
      </c>
      <c r="B277" s="2">
        <v>46060.71760416667</v>
      </c>
      <c r="C277" s="1" t="str">
        <f t="array" ref="C277">INDEX('User data'!E:E, MATCH(E277, 'User data'!B:B, 0))</f>
        <v>주식회사 엑스와이지 (XYZ, Inc.)</v>
      </c>
      <c r="D277" s="1" t="str">
        <f t="array" ref="D277">INDEX('User data'!F:F, MATCH(C277, 'User data'!E:E, 0))</f>
        <v>105-88-16839</v>
      </c>
      <c r="E277" s="1" t="s">
        <v>1216</v>
      </c>
      <c r="F277" s="3"/>
      <c r="G277" s="3"/>
      <c r="H277" s="3"/>
      <c r="I277" s="3"/>
      <c r="J277" s="1" t="s">
        <v>100</v>
      </c>
      <c r="K277" s="1" t="s">
        <v>101</v>
      </c>
      <c r="L277" s="1" t="b">
        <v>0</v>
      </c>
      <c r="M277" s="4" t="s">
        <v>102</v>
      </c>
      <c r="N277" s="1" t="s">
        <v>1217</v>
      </c>
      <c r="P277" s="3"/>
      <c r="Q277" s="3"/>
      <c r="R277" s="3"/>
      <c r="S277" s="3"/>
      <c r="T277" s="1" t="s">
        <v>104</v>
      </c>
      <c r="U277" s="3"/>
      <c r="V277" s="3"/>
      <c r="W277" s="1" t="s">
        <v>105</v>
      </c>
      <c r="X277" s="3"/>
      <c r="Y277" s="1" t="s">
        <v>106</v>
      </c>
      <c r="Z277" s="3"/>
      <c r="AA277" s="1" t="b">
        <v>0</v>
      </c>
      <c r="AB277" s="1" t="b">
        <v>0</v>
      </c>
      <c r="AC277" s="1" t="b">
        <v>0</v>
      </c>
      <c r="AD277" s="1" t="b">
        <v>0</v>
      </c>
      <c r="AE277" s="1" t="b">
        <v>1</v>
      </c>
      <c r="AF277" s="3"/>
      <c r="AG277" s="3"/>
      <c r="AH277" s="3"/>
      <c r="AI277" s="3"/>
      <c r="AJ277" s="2">
        <v>46060.717511574076</v>
      </c>
      <c r="AK277" s="2">
        <v>46061.71766203704</v>
      </c>
      <c r="AM277" s="2">
        <v>46060.71760416667</v>
      </c>
      <c r="AN277" s="2">
        <v>46060.71760416667</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5">
        <v>4.4</v>
      </c>
      <c r="CR277" s="4" t="s">
        <v>1218</v>
      </c>
    </row>
    <row r="278">
      <c r="A278" s="1" t="s">
        <v>1219</v>
      </c>
      <c r="B278" s="2">
        <v>46060.70306712963</v>
      </c>
      <c r="C278" s="1" t="str">
        <f t="array" ref="C278">INDEX('User data'!E:E, MATCH(E278, 'User data'!B:B, 0))</f>
        <v/>
      </c>
      <c r="D278" s="1" t="str">
        <f t="array" ref="D278">INDEX('User data'!F:F, MATCH(C278, 'User data'!E:E, 0))</f>
        <v>#N/A</v>
      </c>
      <c r="E278" s="1" t="s">
        <v>1220</v>
      </c>
      <c r="F278" s="3"/>
      <c r="G278" s="3"/>
      <c r="H278" s="3"/>
      <c r="I278" s="3"/>
      <c r="J278" s="1" t="s">
        <v>100</v>
      </c>
      <c r="K278" s="1" t="s">
        <v>101</v>
      </c>
      <c r="L278" s="1" t="b">
        <v>0</v>
      </c>
      <c r="M278" s="4" t="s">
        <v>102</v>
      </c>
      <c r="N278" s="1" t="s">
        <v>1221</v>
      </c>
      <c r="P278" s="3"/>
      <c r="Q278" s="3"/>
      <c r="R278" s="3"/>
      <c r="S278" s="3"/>
      <c r="T278" s="1" t="s">
        <v>104</v>
      </c>
      <c r="U278" s="3"/>
      <c r="V278" s="3"/>
      <c r="W278" s="1" t="s">
        <v>105</v>
      </c>
      <c r="X278" s="3"/>
      <c r="Y278" s="1" t="s">
        <v>106</v>
      </c>
      <c r="Z278" s="3"/>
      <c r="AA278" s="1" t="b">
        <v>0</v>
      </c>
      <c r="AB278" s="1" t="b">
        <v>0</v>
      </c>
      <c r="AC278" s="1" t="b">
        <v>0</v>
      </c>
      <c r="AD278" s="1" t="b">
        <v>0</v>
      </c>
      <c r="AE278" s="1" t="b">
        <v>1</v>
      </c>
      <c r="AF278" s="3"/>
      <c r="AG278" s="3"/>
      <c r="AH278" s="3"/>
      <c r="AI278" s="3"/>
      <c r="AJ278" s="2">
        <v>46060.70302083333</v>
      </c>
      <c r="AK278" s="2">
        <v>46061.70311342592</v>
      </c>
      <c r="AM278" s="2">
        <v>46060.70306712963</v>
      </c>
      <c r="AN278" s="2">
        <v>46060.70306712963</v>
      </c>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5">
        <v>3.6</v>
      </c>
      <c r="CR278" s="4" t="s">
        <v>1222</v>
      </c>
    </row>
    <row r="279">
      <c r="A279" s="1" t="s">
        <v>1223</v>
      </c>
      <c r="B279" s="2">
        <v>46060.41855324074</v>
      </c>
      <c r="C279" s="1" t="str">
        <f t="array" ref="C279">INDEX('User data'!E:E, MATCH(E279, 'User data'!B:B, 0))</f>
        <v>주식회사 똑똑홀딩스</v>
      </c>
      <c r="D279" s="1" t="str">
        <f t="array" ref="D279">INDEX('User data'!F:F, MATCH(C279, 'User data'!E:E, 0))</f>
        <v>570-81-03825</v>
      </c>
      <c r="E279" s="1" t="s">
        <v>1224</v>
      </c>
      <c r="F279" s="3"/>
      <c r="G279" s="3"/>
      <c r="H279" s="3"/>
      <c r="I279" s="3"/>
      <c r="J279" s="1" t="s">
        <v>100</v>
      </c>
      <c r="K279" s="1" t="s">
        <v>101</v>
      </c>
      <c r="L279" s="1" t="b">
        <v>0</v>
      </c>
      <c r="M279" s="4" t="s">
        <v>102</v>
      </c>
      <c r="N279" s="1" t="s">
        <v>1225</v>
      </c>
      <c r="P279" s="3"/>
      <c r="Q279" s="3"/>
      <c r="R279" s="3"/>
      <c r="S279" s="3"/>
      <c r="T279" s="1" t="s">
        <v>104</v>
      </c>
      <c r="U279" s="3"/>
      <c r="V279" s="3"/>
      <c r="W279" s="1" t="s">
        <v>105</v>
      </c>
      <c r="X279" s="3"/>
      <c r="Y279" s="1" t="s">
        <v>106</v>
      </c>
      <c r="Z279" s="3"/>
      <c r="AA279" s="1" t="b">
        <v>0</v>
      </c>
      <c r="AB279" s="1" t="b">
        <v>0</v>
      </c>
      <c r="AC279" s="1" t="b">
        <v>0</v>
      </c>
      <c r="AD279" s="1" t="b">
        <v>0</v>
      </c>
      <c r="AE279" s="1" t="b">
        <v>1</v>
      </c>
      <c r="AF279" s="3"/>
      <c r="AG279" s="3"/>
      <c r="AH279" s="3"/>
      <c r="AI279" s="3"/>
      <c r="AJ279" s="2">
        <v>46060.41811342593</v>
      </c>
      <c r="AK279" s="2">
        <v>46061.4218287037</v>
      </c>
      <c r="AM279" s="2">
        <v>46060.41855324074</v>
      </c>
      <c r="AN279" s="2">
        <v>46060.41855324074</v>
      </c>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5">
        <v>5.0</v>
      </c>
      <c r="CR279" s="4" t="s">
        <v>1226</v>
      </c>
    </row>
    <row r="280">
      <c r="A280" s="1" t="s">
        <v>1227</v>
      </c>
      <c r="B280" s="2">
        <v>46060.415868055556</v>
      </c>
      <c r="C280" s="1" t="str">
        <f t="array" ref="C280">INDEX('User data'!E:E, MATCH(E280, 'User data'!B:B, 0))</f>
        <v/>
      </c>
      <c r="D280" s="1" t="str">
        <f t="array" ref="D280">INDEX('User data'!F:F, MATCH(C280, 'User data'!E:E, 0))</f>
        <v>#N/A</v>
      </c>
      <c r="E280" s="1" t="s">
        <v>1228</v>
      </c>
      <c r="F280" s="3"/>
      <c r="G280" s="3"/>
      <c r="H280" s="3"/>
      <c r="I280" s="3"/>
      <c r="J280" s="1" t="s">
        <v>100</v>
      </c>
      <c r="K280" s="1" t="s">
        <v>101</v>
      </c>
      <c r="L280" s="1" t="b">
        <v>0</v>
      </c>
      <c r="M280" s="1" t="s">
        <v>522</v>
      </c>
      <c r="N280" s="1" t="s">
        <v>1229</v>
      </c>
      <c r="P280" s="3"/>
      <c r="Q280" s="3"/>
      <c r="R280" s="3"/>
      <c r="S280" s="3"/>
      <c r="T280" s="1" t="s">
        <v>104</v>
      </c>
      <c r="U280" s="3"/>
      <c r="V280" s="3"/>
      <c r="W280" s="1" t="s">
        <v>105</v>
      </c>
      <c r="X280" s="3"/>
      <c r="Y280" s="1" t="s">
        <v>106</v>
      </c>
      <c r="Z280" s="3"/>
      <c r="AA280" s="1" t="b">
        <v>0</v>
      </c>
      <c r="AB280" s="1" t="b">
        <v>0</v>
      </c>
      <c r="AC280" s="1" t="b">
        <v>0</v>
      </c>
      <c r="AD280" s="1" t="b">
        <v>0</v>
      </c>
      <c r="AE280" s="1" t="b">
        <v>1</v>
      </c>
      <c r="AF280" s="3"/>
      <c r="AG280" s="3"/>
      <c r="AH280" s="3"/>
      <c r="AI280" s="3"/>
      <c r="AJ280" s="2">
        <v>46060.415717592594</v>
      </c>
      <c r="AK280" s="2">
        <v>46061.415914351855</v>
      </c>
      <c r="AM280" s="2">
        <v>46060.415868055556</v>
      </c>
      <c r="AN280" s="2">
        <v>46060.415868055556</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5">
        <v>5.0</v>
      </c>
      <c r="CR280" s="4" t="s">
        <v>1230</v>
      </c>
    </row>
    <row r="281">
      <c r="A281" s="1" t="s">
        <v>1231</v>
      </c>
      <c r="B281" s="2">
        <v>46060.41305555555</v>
      </c>
      <c r="C281" s="1" t="str">
        <f t="array" ref="C281">INDEX('User data'!E:E, MATCH(E281, 'User data'!B:B, 0))</f>
        <v>주식회사 똑똑홀딩스</v>
      </c>
      <c r="D281" s="1" t="str">
        <f t="array" ref="D281">INDEX('User data'!F:F, MATCH(C281, 'User data'!E:E, 0))</f>
        <v>570-81-03825</v>
      </c>
      <c r="E281" s="1" t="s">
        <v>1224</v>
      </c>
      <c r="F281" s="3"/>
      <c r="G281" s="3"/>
      <c r="H281" s="3"/>
      <c r="I281" s="3"/>
      <c r="J281" s="1" t="s">
        <v>100</v>
      </c>
      <c r="K281" s="1" t="s">
        <v>101</v>
      </c>
      <c r="L281" s="1" t="b">
        <v>0</v>
      </c>
      <c r="M281" s="4" t="s">
        <v>102</v>
      </c>
      <c r="N281" s="1" t="s">
        <v>1225</v>
      </c>
      <c r="P281" s="3"/>
      <c r="Q281" s="3"/>
      <c r="R281" s="3"/>
      <c r="S281" s="3"/>
      <c r="T281" s="1" t="s">
        <v>104</v>
      </c>
      <c r="U281" s="3"/>
      <c r="V281" s="3"/>
      <c r="W281" s="1" t="s">
        <v>118</v>
      </c>
      <c r="X281" s="3"/>
      <c r="Y281" s="1" t="s">
        <v>106</v>
      </c>
      <c r="Z281" s="3"/>
      <c r="AA281" s="1" t="b">
        <v>0</v>
      </c>
      <c r="AB281" s="1" t="b">
        <v>0</v>
      </c>
      <c r="AC281" s="1" t="b">
        <v>0</v>
      </c>
      <c r="AD281" s="1" t="b">
        <v>0</v>
      </c>
      <c r="AE281" s="1" t="b">
        <v>1</v>
      </c>
      <c r="AF281" s="3"/>
      <c r="AG281" s="3"/>
      <c r="AH281" s="3"/>
      <c r="AI281" s="3"/>
      <c r="AJ281" s="2">
        <v>46060.41296296296</v>
      </c>
      <c r="AK281" s="2">
        <v>46061.41710648148</v>
      </c>
      <c r="AM281" s="2">
        <v>46060.41305555555</v>
      </c>
      <c r="AN281" s="2">
        <v>46060.41305555555</v>
      </c>
      <c r="AP281" s="3"/>
      <c r="AQ281" s="3"/>
      <c r="AR281" s="3"/>
      <c r="AS281" s="3"/>
      <c r="AT281" s="3"/>
      <c r="AU281" s="3"/>
      <c r="AV281" s="3"/>
      <c r="AW281" s="3"/>
      <c r="AX281" s="3"/>
      <c r="AY281" s="3"/>
      <c r="AZ281" s="3"/>
      <c r="BA281" s="3"/>
      <c r="BB281" s="3"/>
      <c r="BC281" s="2">
        <v>46060.41746527778</v>
      </c>
      <c r="BD281" s="2">
        <v>46060.41746527778</v>
      </c>
      <c r="BF281" s="3"/>
      <c r="BG281" s="3"/>
      <c r="BH281" s="3"/>
      <c r="BI281" s="3"/>
      <c r="BJ281" s="3"/>
      <c r="BK281" s="3"/>
      <c r="BL281" s="3"/>
      <c r="BM281" s="3"/>
      <c r="BN281" s="3"/>
      <c r="BO281" s="3"/>
      <c r="BP281" s="3"/>
      <c r="BQ281" s="3"/>
      <c r="BR281" s="3"/>
      <c r="BS281" s="3"/>
      <c r="BT281" s="3"/>
      <c r="BU281" s="3"/>
      <c r="BV281" s="3"/>
      <c r="BW281" s="3"/>
      <c r="BX281" s="3"/>
      <c r="BY281" s="5">
        <v>380.0</v>
      </c>
      <c r="BZ281" s="5">
        <v>0.0</v>
      </c>
      <c r="CA281" s="5">
        <v>380.0</v>
      </c>
      <c r="CB281" s="5">
        <v>0.0</v>
      </c>
      <c r="CC281" s="5">
        <v>380.0</v>
      </c>
      <c r="CD281" s="5">
        <v>0.0</v>
      </c>
      <c r="CE281" s="3"/>
      <c r="CF281" s="3"/>
      <c r="CG281" s="3"/>
      <c r="CH281" s="3"/>
      <c r="CI281" s="3"/>
      <c r="CJ281" s="3"/>
      <c r="CK281" s="3"/>
      <c r="CL281" s="3"/>
      <c r="CM281" s="3"/>
      <c r="CN281" s="3"/>
      <c r="CO281" s="3"/>
      <c r="CP281" s="3"/>
      <c r="CQ281" s="5">
        <v>5.0</v>
      </c>
      <c r="CR281" s="4" t="s">
        <v>1232</v>
      </c>
    </row>
    <row r="282">
      <c r="A282" s="1" t="s">
        <v>1233</v>
      </c>
      <c r="B282" s="2">
        <v>46059.912465277775</v>
      </c>
      <c r="C282" s="1" t="str">
        <f t="array" ref="C282">INDEX('User data'!E:E, MATCH(E282, 'User data'!B:B, 0))</f>
        <v>주식회사 크리에이트립</v>
      </c>
      <c r="D282" s="1" t="str">
        <f t="array" ref="D282">INDEX('User data'!F:F, MATCH(C282, 'User data'!E:E, 0))</f>
        <v>531-86-00338</v>
      </c>
      <c r="E282" s="1" t="s">
        <v>987</v>
      </c>
      <c r="F282" s="3"/>
      <c r="G282" s="3"/>
      <c r="H282" s="3"/>
      <c r="I282" s="3"/>
      <c r="J282" s="1" t="s">
        <v>100</v>
      </c>
      <c r="K282" s="1" t="s">
        <v>101</v>
      </c>
      <c r="L282" s="1" t="b">
        <v>0</v>
      </c>
      <c r="M282" s="4" t="s">
        <v>102</v>
      </c>
      <c r="N282" s="1" t="s">
        <v>988</v>
      </c>
      <c r="P282" s="3"/>
      <c r="Q282" s="3"/>
      <c r="R282" s="3"/>
      <c r="S282" s="3"/>
      <c r="T282" s="1" t="s">
        <v>104</v>
      </c>
      <c r="U282" s="3"/>
      <c r="V282" s="3"/>
      <c r="W282" s="1" t="s">
        <v>105</v>
      </c>
      <c r="X282" s="3"/>
      <c r="Y282" s="1" t="s">
        <v>106</v>
      </c>
      <c r="Z282" s="3"/>
      <c r="AA282" s="1" t="b">
        <v>0</v>
      </c>
      <c r="AB282" s="1" t="b">
        <v>0</v>
      </c>
      <c r="AC282" s="1" t="b">
        <v>0</v>
      </c>
      <c r="AD282" s="1" t="b">
        <v>0</v>
      </c>
      <c r="AE282" s="1" t="b">
        <v>1</v>
      </c>
      <c r="AF282" s="3"/>
      <c r="AG282" s="3"/>
      <c r="AH282" s="3"/>
      <c r="AI282" s="3"/>
      <c r="AJ282" s="2">
        <v>46059.91239583334</v>
      </c>
      <c r="AK282" s="2">
        <v>46060.91332175926</v>
      </c>
      <c r="AM282" s="2">
        <v>46059.912465277775</v>
      </c>
      <c r="AN282" s="2">
        <v>46059.912465277775</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5">
        <v>5.0</v>
      </c>
      <c r="CR282" s="4" t="s">
        <v>1234</v>
      </c>
    </row>
    <row r="283">
      <c r="A283" s="1" t="s">
        <v>1235</v>
      </c>
      <c r="B283" s="2">
        <v>46059.89530092593</v>
      </c>
      <c r="C283" s="1" t="str">
        <f t="array" ref="C283">INDEX('User data'!E:E, MATCH(E283, 'User data'!B:B, 0))</f>
        <v/>
      </c>
      <c r="D283" s="1" t="str">
        <f t="array" ref="D283">INDEX('User data'!F:F, MATCH(C283, 'User data'!E:E, 0))</f>
        <v>#N/A</v>
      </c>
      <c r="E283" s="1" t="s">
        <v>1236</v>
      </c>
      <c r="F283" s="3"/>
      <c r="G283" s="3"/>
      <c r="H283" s="3"/>
      <c r="I283" s="3"/>
      <c r="J283" s="1" t="s">
        <v>100</v>
      </c>
      <c r="K283" s="1" t="s">
        <v>101</v>
      </c>
      <c r="L283" s="1" t="b">
        <v>0</v>
      </c>
      <c r="M283" s="4" t="s">
        <v>102</v>
      </c>
      <c r="N283" s="1" t="s">
        <v>1237</v>
      </c>
      <c r="P283" s="3"/>
      <c r="Q283" s="3"/>
      <c r="R283" s="3"/>
      <c r="S283" s="3"/>
      <c r="T283" s="1" t="s">
        <v>104</v>
      </c>
      <c r="U283" s="3"/>
      <c r="V283" s="3"/>
      <c r="W283" s="1" t="s">
        <v>105</v>
      </c>
      <c r="X283" s="3"/>
      <c r="Y283" s="1" t="s">
        <v>106</v>
      </c>
      <c r="Z283" s="3"/>
      <c r="AA283" s="1" t="b">
        <v>0</v>
      </c>
      <c r="AB283" s="1" t="b">
        <v>0</v>
      </c>
      <c r="AC283" s="1" t="b">
        <v>0</v>
      </c>
      <c r="AD283" s="1" t="b">
        <v>0</v>
      </c>
      <c r="AE283" s="1" t="b">
        <v>1</v>
      </c>
      <c r="AF283" s="3"/>
      <c r="AG283" s="3"/>
      <c r="AH283" s="3"/>
      <c r="AI283" s="3"/>
      <c r="AJ283" s="2">
        <v>46059.89487268519</v>
      </c>
      <c r="AK283" s="2">
        <v>46060.895902777775</v>
      </c>
      <c r="AM283" s="2">
        <v>46059.89530092593</v>
      </c>
      <c r="AN283" s="2">
        <v>46059.89530092593</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5">
        <v>5.0</v>
      </c>
      <c r="CR283" s="4" t="s">
        <v>1238</v>
      </c>
    </row>
    <row r="284">
      <c r="A284" s="1" t="s">
        <v>1239</v>
      </c>
      <c r="B284" s="2">
        <v>46059.88648148148</v>
      </c>
      <c r="C284" s="1" t="str">
        <f t="array" ref="C284">INDEX('User data'!E:E, MATCH(E284, 'User data'!B:B, 0))</f>
        <v/>
      </c>
      <c r="D284" s="1" t="str">
        <f t="array" ref="D284">INDEX('User data'!F:F, MATCH(C284, 'User data'!E:E, 0))</f>
        <v>#N/A</v>
      </c>
      <c r="E284" s="1" t="s">
        <v>1240</v>
      </c>
      <c r="F284" s="3"/>
      <c r="G284" s="3"/>
      <c r="H284" s="3"/>
      <c r="I284" s="3"/>
      <c r="J284" s="1" t="s">
        <v>100</v>
      </c>
      <c r="K284" s="1" t="s">
        <v>101</v>
      </c>
      <c r="L284" s="1" t="b">
        <v>0</v>
      </c>
      <c r="M284" s="4" t="s">
        <v>102</v>
      </c>
      <c r="N284" s="1" t="s">
        <v>1241</v>
      </c>
      <c r="P284" s="3"/>
      <c r="Q284" s="3"/>
      <c r="R284" s="3"/>
      <c r="S284" s="3"/>
      <c r="T284" s="1" t="s">
        <v>104</v>
      </c>
      <c r="U284" s="3"/>
      <c r="V284" s="3"/>
      <c r="W284" s="1" t="s">
        <v>105</v>
      </c>
      <c r="X284" s="3"/>
      <c r="Y284" s="1" t="s">
        <v>106</v>
      </c>
      <c r="Z284" s="3"/>
      <c r="AA284" s="1" t="b">
        <v>0</v>
      </c>
      <c r="AB284" s="1" t="b">
        <v>0</v>
      </c>
      <c r="AC284" s="1" t="b">
        <v>0</v>
      </c>
      <c r="AD284" s="1" t="b">
        <v>0</v>
      </c>
      <c r="AE284" s="1" t="b">
        <v>1</v>
      </c>
      <c r="AF284" s="3"/>
      <c r="AG284" s="3"/>
      <c r="AH284" s="3"/>
      <c r="AI284" s="3"/>
      <c r="AJ284" s="2">
        <v>46059.886412037034</v>
      </c>
      <c r="AK284" s="2">
        <v>46060.88652777778</v>
      </c>
      <c r="AM284" s="2">
        <v>46059.88648148148</v>
      </c>
      <c r="AN284" s="2">
        <v>46059.88648148148</v>
      </c>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5">
        <v>3.8</v>
      </c>
      <c r="CR284" s="4" t="s">
        <v>1242</v>
      </c>
    </row>
    <row r="285">
      <c r="A285" s="1" t="s">
        <v>1243</v>
      </c>
      <c r="B285" s="2">
        <v>46059.77326388889</v>
      </c>
      <c r="C285" s="1" t="str">
        <f t="array" ref="C285">INDEX('User data'!E:E, MATCH(E285, 'User data'!B:B, 0))</f>
        <v>주식회사 모두의연구소</v>
      </c>
      <c r="D285" s="1" t="str">
        <f t="array" ref="D285">INDEX('User data'!F:F, MATCH(C285, 'User data'!E:E, 0))</f>
        <v>517-88-00184</v>
      </c>
      <c r="E285" s="1" t="s">
        <v>1172</v>
      </c>
      <c r="F285" s="3"/>
      <c r="G285" s="3"/>
      <c r="H285" s="3"/>
      <c r="I285" s="3"/>
      <c r="J285" s="1" t="s">
        <v>100</v>
      </c>
      <c r="K285" s="1" t="s">
        <v>101</v>
      </c>
      <c r="L285" s="1" t="b">
        <v>0</v>
      </c>
      <c r="M285" s="1" t="s">
        <v>522</v>
      </c>
      <c r="N285" s="1" t="s">
        <v>1173</v>
      </c>
      <c r="P285" s="3"/>
      <c r="Q285" s="3"/>
      <c r="R285" s="3"/>
      <c r="S285" s="3"/>
      <c r="T285" s="1" t="s">
        <v>104</v>
      </c>
      <c r="U285" s="3"/>
      <c r="V285" s="3"/>
      <c r="W285" s="1" t="s">
        <v>105</v>
      </c>
      <c r="X285" s="3"/>
      <c r="Y285" s="1" t="s">
        <v>106</v>
      </c>
      <c r="Z285" s="3"/>
      <c r="AA285" s="1" t="b">
        <v>0</v>
      </c>
      <c r="AB285" s="1" t="b">
        <v>0</v>
      </c>
      <c r="AC285" s="1" t="b">
        <v>0</v>
      </c>
      <c r="AD285" s="1" t="b">
        <v>0</v>
      </c>
      <c r="AE285" s="1" t="b">
        <v>1</v>
      </c>
      <c r="AF285" s="3"/>
      <c r="AG285" s="3"/>
      <c r="AH285" s="3"/>
      <c r="AI285" s="3"/>
      <c r="AJ285" s="2">
        <v>46059.76733796296</v>
      </c>
      <c r="AK285" s="2">
        <v>46060.773310185185</v>
      </c>
      <c r="AM285" s="2">
        <v>46059.77326388889</v>
      </c>
      <c r="AN285" s="2">
        <v>46059.77326388889</v>
      </c>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5">
        <v>5.0</v>
      </c>
      <c r="CR285" s="4" t="s">
        <v>1244</v>
      </c>
    </row>
    <row r="286">
      <c r="A286" s="1" t="s">
        <v>1245</v>
      </c>
      <c r="B286" s="2">
        <v>46059.75256944444</v>
      </c>
      <c r="C286" s="1" t="str">
        <f t="array" ref="C286">INDEX('User data'!E:E, MATCH(E286, 'User data'!B:B, 0))</f>
        <v>주식회사 엔투이머트리얼즈</v>
      </c>
      <c r="D286" s="1" t="str">
        <f t="array" ref="D286">INDEX('User data'!F:F, MATCH(C286, 'User data'!E:E, 0))</f>
        <v>624-88-03077</v>
      </c>
      <c r="E286" s="1" t="s">
        <v>1204</v>
      </c>
      <c r="F286" s="3"/>
      <c r="G286" s="3"/>
      <c r="H286" s="3"/>
      <c r="I286" s="3"/>
      <c r="J286" s="1" t="s">
        <v>100</v>
      </c>
      <c r="K286" s="1" t="s">
        <v>101</v>
      </c>
      <c r="L286" s="1" t="b">
        <v>0</v>
      </c>
      <c r="M286" s="1" t="s">
        <v>522</v>
      </c>
      <c r="N286" s="1" t="s">
        <v>1205</v>
      </c>
      <c r="P286" s="3"/>
      <c r="Q286" s="3"/>
      <c r="R286" s="3"/>
      <c r="S286" s="3"/>
      <c r="T286" s="1" t="s">
        <v>104</v>
      </c>
      <c r="U286" s="3"/>
      <c r="V286" s="3"/>
      <c r="W286" s="1" t="s">
        <v>105</v>
      </c>
      <c r="X286" s="3"/>
      <c r="Y286" s="1" t="s">
        <v>106</v>
      </c>
      <c r="Z286" s="3"/>
      <c r="AA286" s="1" t="b">
        <v>0</v>
      </c>
      <c r="AB286" s="1" t="b">
        <v>0</v>
      </c>
      <c r="AC286" s="1" t="b">
        <v>0</v>
      </c>
      <c r="AD286" s="1" t="b">
        <v>0</v>
      </c>
      <c r="AE286" s="1" t="b">
        <v>1</v>
      </c>
      <c r="AF286" s="3"/>
      <c r="AG286" s="3"/>
      <c r="AH286" s="3"/>
      <c r="AI286" s="3"/>
      <c r="AJ286" s="2">
        <v>46059.7524537037</v>
      </c>
      <c r="AK286" s="2">
        <v>46060.75261574074</v>
      </c>
      <c r="AM286" s="2">
        <v>46059.75256944444</v>
      </c>
      <c r="AN286" s="2">
        <v>46059.75256944444</v>
      </c>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5">
        <v>1.6</v>
      </c>
      <c r="CR286" s="4" t="s">
        <v>1246</v>
      </c>
    </row>
    <row r="287">
      <c r="A287" s="1" t="s">
        <v>1247</v>
      </c>
      <c r="B287" s="2">
        <v>46059.745104166665</v>
      </c>
      <c r="C287" s="1" t="str">
        <f t="array" ref="C287">INDEX('User data'!E:E, MATCH(E287, 'User data'!B:B, 0))</f>
        <v>사이오닉에이아이 주식회사</v>
      </c>
      <c r="D287" s="1" t="str">
        <f t="array" ref="D287">INDEX('User data'!F:F, MATCH(C287, 'User data'!E:E, 0))</f>
        <v>245-86-02885</v>
      </c>
      <c r="E287" s="1" t="s">
        <v>1198</v>
      </c>
      <c r="F287" s="3"/>
      <c r="G287" s="3"/>
      <c r="H287" s="3"/>
      <c r="I287" s="3"/>
      <c r="J287" s="1" t="s">
        <v>100</v>
      </c>
      <c r="K287" s="1" t="s">
        <v>173</v>
      </c>
      <c r="L287" s="1" t="b">
        <v>0</v>
      </c>
      <c r="M287" s="3"/>
      <c r="N287" s="1" t="s">
        <v>1200</v>
      </c>
      <c r="O287" s="1">
        <v>607950.0</v>
      </c>
      <c r="P287" s="1">
        <v>607950.0</v>
      </c>
      <c r="Q287" s="1">
        <v>607950.0</v>
      </c>
      <c r="R287" s="1" t="s">
        <v>145</v>
      </c>
      <c r="S287" s="3"/>
      <c r="T287" s="1" t="s">
        <v>175</v>
      </c>
      <c r="U287" s="1" t="s">
        <v>175</v>
      </c>
      <c r="V287" s="3"/>
      <c r="W287" s="1" t="s">
        <v>118</v>
      </c>
      <c r="X287" s="3"/>
      <c r="Y287" s="1" t="s">
        <v>106</v>
      </c>
      <c r="Z287" s="3"/>
      <c r="AA287" s="1" t="b">
        <v>1</v>
      </c>
      <c r="AB287" s="1" t="b">
        <v>0</v>
      </c>
      <c r="AC287" s="1" t="b">
        <v>0</v>
      </c>
      <c r="AD287" s="1" t="b">
        <v>1</v>
      </c>
      <c r="AE287" s="1" t="b">
        <v>0</v>
      </c>
      <c r="AF287" s="5">
        <v>2.0</v>
      </c>
      <c r="AG287" s="3"/>
      <c r="AH287" s="3"/>
      <c r="AI287" s="3"/>
      <c r="AJ287" s="2">
        <v>46059.74185185185</v>
      </c>
      <c r="AK287" s="2">
        <v>46065.43722222222</v>
      </c>
      <c r="AL287" s="2">
        <v>46063.63113425926</v>
      </c>
      <c r="AM287" s="2">
        <v>46059.745104166665</v>
      </c>
      <c r="AO287" s="3"/>
      <c r="AP287" s="2">
        <v>46063.63116898148</v>
      </c>
      <c r="AR287" s="3"/>
      <c r="AS287" s="3"/>
      <c r="AT287" s="2">
        <v>46059.745104166665</v>
      </c>
      <c r="AU287" s="2">
        <v>46065.37513888889</v>
      </c>
      <c r="AW287" s="3"/>
      <c r="AX287" s="2">
        <v>46059.74185185185</v>
      </c>
      <c r="AY287" s="2">
        <v>46059.745104166665</v>
      </c>
      <c r="AZ287" s="2">
        <v>46059.7487962963</v>
      </c>
      <c r="BA287" s="2">
        <v>46063.43748842592</v>
      </c>
      <c r="BB287" s="2">
        <v>46064.41971064815</v>
      </c>
      <c r="BC287" s="2">
        <v>46065.39554398148</v>
      </c>
      <c r="BD287" s="2">
        <v>46065.39554398148</v>
      </c>
      <c r="BE287" s="5">
        <v>5694.0</v>
      </c>
      <c r="BF287" s="3"/>
      <c r="BG287" s="5">
        <v>2847.0</v>
      </c>
      <c r="BH287" s="3"/>
      <c r="BI287" s="5">
        <v>174764.0</v>
      </c>
      <c r="BJ287" s="5">
        <v>48727.0</v>
      </c>
      <c r="BK287" s="3"/>
      <c r="BL287" s="3"/>
      <c r="BM287" s="3"/>
      <c r="BN287" s="3"/>
      <c r="BO287" s="5">
        <v>319.0</v>
      </c>
      <c r="BP287" s="5">
        <v>0.0</v>
      </c>
      <c r="BQ287" s="5">
        <v>319.0</v>
      </c>
      <c r="BR287" s="5">
        <v>0.0</v>
      </c>
      <c r="BS287" s="5">
        <v>600.0</v>
      </c>
      <c r="BT287" s="5">
        <v>0.0</v>
      </c>
      <c r="BU287" s="5">
        <v>319.0</v>
      </c>
      <c r="BV287" s="5">
        <v>0.0</v>
      </c>
      <c r="BW287" s="5">
        <v>319.0</v>
      </c>
      <c r="BX287" s="5">
        <v>0.0</v>
      </c>
      <c r="BY287" s="5">
        <v>488198.0</v>
      </c>
      <c r="BZ287" s="5">
        <v>64800.0</v>
      </c>
      <c r="CA287" s="5">
        <v>488198.0</v>
      </c>
      <c r="CB287" s="5">
        <v>64800.0</v>
      </c>
      <c r="CC287" s="5">
        <v>488198.0</v>
      </c>
      <c r="CD287" s="5">
        <v>64800.0</v>
      </c>
      <c r="CE287" s="5">
        <v>488479.0</v>
      </c>
      <c r="CF287" s="5">
        <v>64800.0</v>
      </c>
      <c r="CG287" s="5">
        <v>488198.0</v>
      </c>
      <c r="CH287" s="5">
        <v>64800.0</v>
      </c>
      <c r="CI287" s="5">
        <v>488198.0</v>
      </c>
      <c r="CJ287" s="5">
        <v>64800.0</v>
      </c>
      <c r="CK287" s="5">
        <v>313433.0</v>
      </c>
      <c r="CL287" s="5">
        <v>16072.0</v>
      </c>
      <c r="CM287" s="5">
        <v>313433.0</v>
      </c>
      <c r="CN287" s="5">
        <v>16072.0</v>
      </c>
      <c r="CO287" s="5">
        <v>3.0</v>
      </c>
      <c r="CP287" s="3"/>
      <c r="CQ287" s="3"/>
      <c r="CR287" s="4" t="s">
        <v>1248</v>
      </c>
    </row>
    <row r="288">
      <c r="A288" s="1" t="s">
        <v>1249</v>
      </c>
      <c r="B288" s="2">
        <v>46059.74300925926</v>
      </c>
      <c r="C288" s="1" t="str">
        <f t="array" ref="C288">INDEX('User data'!E:E, MATCH(E288, 'User data'!B:B, 0))</f>
        <v>래티스 주식회사(Lattice Inc.)</v>
      </c>
      <c r="D288" s="1" t="str">
        <f t="array" ref="D288">INDEX('User data'!F:F, MATCH(C288, 'User data'!E:E, 0))</f>
        <v>575-81-02914</v>
      </c>
      <c r="E288" s="1" t="s">
        <v>1083</v>
      </c>
      <c r="F288" s="3"/>
      <c r="G288" s="3"/>
      <c r="H288" s="3"/>
      <c r="I288" s="1" t="s">
        <v>258</v>
      </c>
      <c r="J288" s="1" t="s">
        <v>100</v>
      </c>
      <c r="K288" s="1" t="s">
        <v>101</v>
      </c>
      <c r="L288" s="1" t="b">
        <v>0</v>
      </c>
      <c r="M288" s="4" t="s">
        <v>102</v>
      </c>
      <c r="N288" s="1" t="s">
        <v>1084</v>
      </c>
      <c r="O288" s="1">
        <v>574085.0</v>
      </c>
      <c r="P288" s="1">
        <v>574085.0</v>
      </c>
      <c r="Q288" s="1">
        <v>574085.0</v>
      </c>
      <c r="R288" s="1" t="s">
        <v>703</v>
      </c>
      <c r="S288" s="1">
        <v>13285.0</v>
      </c>
      <c r="T288" s="1" t="s">
        <v>104</v>
      </c>
      <c r="U288" s="3"/>
      <c r="V288" s="3"/>
      <c r="W288" s="1" t="s">
        <v>118</v>
      </c>
      <c r="X288" s="3"/>
      <c r="Y288" s="1" t="s">
        <v>119</v>
      </c>
      <c r="Z288" s="3"/>
      <c r="AA288" s="1" t="b">
        <v>1</v>
      </c>
      <c r="AB288" s="1" t="b">
        <v>0</v>
      </c>
      <c r="AC288" s="1" t="b">
        <v>0</v>
      </c>
      <c r="AD288" s="1" t="b">
        <v>1</v>
      </c>
      <c r="AE288" s="1" t="b">
        <v>1</v>
      </c>
      <c r="AF288" s="5">
        <v>5.0</v>
      </c>
      <c r="AG288" s="5">
        <v>4.0</v>
      </c>
      <c r="AH288" s="3"/>
      <c r="AI288" s="3"/>
      <c r="AJ288" s="2">
        <v>46059.74292824074</v>
      </c>
      <c r="AK288" s="2">
        <v>46062.48564814815</v>
      </c>
      <c r="AL288" s="2">
        <v>46059.746979166666</v>
      </c>
      <c r="AM288" s="2">
        <v>46059.74300925926</v>
      </c>
      <c r="AN288" s="2">
        <v>46059.74300925926</v>
      </c>
      <c r="AO288" s="2">
        <v>46059.746979166666</v>
      </c>
      <c r="AP288" s="2">
        <v>46059.74701388889</v>
      </c>
      <c r="AQ288" s="2">
        <v>46059.746979166666</v>
      </c>
      <c r="AS288" s="2">
        <v>46059.74699074074</v>
      </c>
      <c r="AT288" s="2">
        <v>46059.746979166666</v>
      </c>
      <c r="AU288" s="2">
        <v>46059.74699074074</v>
      </c>
      <c r="AW288" s="3"/>
      <c r="AX288" s="2">
        <v>46059.74699074074</v>
      </c>
      <c r="AY288" s="2">
        <v>46059.74699074074</v>
      </c>
      <c r="AZ288" s="2">
        <v>46062.42221064815</v>
      </c>
      <c r="BA288" s="2">
        <v>46062.435266203705</v>
      </c>
      <c r="BC288" s="2">
        <v>46062.43568287037</v>
      </c>
      <c r="BD288" s="2">
        <v>46062.43568287037</v>
      </c>
      <c r="BE288" s="5">
        <v>231967.0</v>
      </c>
      <c r="BF288" s="5">
        <v>827.0</v>
      </c>
      <c r="BG288" s="5">
        <v>46393.0</v>
      </c>
      <c r="BH288" s="5">
        <v>206.0</v>
      </c>
      <c r="BI288" s="3"/>
      <c r="BJ288" s="3"/>
      <c r="BK288" s="5">
        <v>0.0</v>
      </c>
      <c r="BL288" s="5">
        <v>0.0</v>
      </c>
      <c r="BM288" s="5">
        <v>343.0</v>
      </c>
      <c r="BN288" s="5">
        <v>0.0</v>
      </c>
      <c r="BO288" s="5">
        <v>231482.0</v>
      </c>
      <c r="BP288" s="5">
        <v>479.0</v>
      </c>
      <c r="BQ288" s="5">
        <v>231482.0</v>
      </c>
      <c r="BR288" s="5">
        <v>479.0</v>
      </c>
      <c r="BS288" s="5">
        <v>231139.0</v>
      </c>
      <c r="BT288" s="5">
        <v>479.0</v>
      </c>
      <c r="BU288" s="5">
        <v>231139.0</v>
      </c>
      <c r="BV288" s="5">
        <v>479.0</v>
      </c>
      <c r="BW288" s="5">
        <v>231139.0</v>
      </c>
      <c r="BX288" s="5">
        <v>479.0</v>
      </c>
      <c r="BY288" s="5">
        <v>232647.0</v>
      </c>
      <c r="BZ288" s="5">
        <v>1643.0</v>
      </c>
      <c r="CA288" s="5">
        <v>232647.0</v>
      </c>
      <c r="CB288" s="5">
        <v>1643.0</v>
      </c>
      <c r="CC288" s="5">
        <v>232647.0</v>
      </c>
      <c r="CD288" s="5">
        <v>1643.0</v>
      </c>
      <c r="CE288" s="5">
        <v>232303.0</v>
      </c>
      <c r="CF288" s="5">
        <v>1643.0</v>
      </c>
      <c r="CG288" s="5">
        <v>232303.0</v>
      </c>
      <c r="CH288" s="5">
        <v>1643.0</v>
      </c>
      <c r="CI288" s="5">
        <v>232304.0</v>
      </c>
      <c r="CJ288" s="5">
        <v>1643.0</v>
      </c>
      <c r="CK288" s="5">
        <v>232303.0</v>
      </c>
      <c r="CL288" s="5">
        <v>1643.0</v>
      </c>
      <c r="CM288" s="5">
        <v>232303.0</v>
      </c>
      <c r="CN288" s="5">
        <v>1643.0</v>
      </c>
      <c r="CO288" s="5">
        <v>2.0</v>
      </c>
      <c r="CP288" s="5">
        <v>342.0</v>
      </c>
      <c r="CQ288" s="3"/>
      <c r="CR288" s="4" t="s">
        <v>1250</v>
      </c>
      <c r="CS288" s="5">
        <v>5.0</v>
      </c>
      <c r="CT288" s="3"/>
    </row>
    <row r="289">
      <c r="A289" s="1" t="s">
        <v>1251</v>
      </c>
      <c r="B289" s="2">
        <v>46059.74217592592</v>
      </c>
      <c r="C289" s="1" t="str">
        <f t="array" ref="C289">INDEX('User data'!E:E, MATCH(E289, 'User data'!B:B, 0))</f>
        <v>데브헤드 주식회사(DEV.HEAD Co., Ltd.)</v>
      </c>
      <c r="D289" s="1" t="str">
        <f t="array" ref="D289">INDEX('User data'!F:F, MATCH(C289, 'User data'!E:E, 0))</f>
        <v>259-87-01543</v>
      </c>
      <c r="E289" s="1" t="s">
        <v>1252</v>
      </c>
      <c r="F289" s="3"/>
      <c r="G289" s="3"/>
      <c r="H289" s="3"/>
      <c r="I289" s="1" t="s">
        <v>1253</v>
      </c>
      <c r="J289" s="1" t="s">
        <v>100</v>
      </c>
      <c r="K289" s="1" t="s">
        <v>101</v>
      </c>
      <c r="L289" s="1" t="b">
        <v>0</v>
      </c>
      <c r="M289" s="4" t="s">
        <v>102</v>
      </c>
      <c r="N289" s="1" t="s">
        <v>1254</v>
      </c>
      <c r="O289" s="1">
        <v>574085.0</v>
      </c>
      <c r="P289" s="1">
        <v>574085.0</v>
      </c>
      <c r="Q289" s="1">
        <v>574085.0</v>
      </c>
      <c r="R289" s="1">
        <v>574085.0</v>
      </c>
      <c r="S289" s="3"/>
      <c r="T289" s="1" t="s">
        <v>104</v>
      </c>
      <c r="U289" s="3"/>
      <c r="V289" s="3"/>
      <c r="W289" s="1" t="s">
        <v>118</v>
      </c>
      <c r="X289" s="3"/>
      <c r="Y289" s="1" t="s">
        <v>119</v>
      </c>
      <c r="Z289" s="3"/>
      <c r="AA289" s="1" t="b">
        <v>1</v>
      </c>
      <c r="AB289" s="1" t="b">
        <v>0</v>
      </c>
      <c r="AC289" s="1" t="b">
        <v>0</v>
      </c>
      <c r="AD289" s="1" t="b">
        <v>1</v>
      </c>
      <c r="AE289" s="1" t="b">
        <v>1</v>
      </c>
      <c r="AF289" s="5">
        <v>4.0</v>
      </c>
      <c r="AG289" s="3"/>
      <c r="AH289" s="3"/>
      <c r="AI289" s="3"/>
      <c r="AJ289" s="2">
        <v>46059.74209490741</v>
      </c>
      <c r="AK289" s="2">
        <v>46063.52172453704</v>
      </c>
      <c r="AL289" s="2">
        <v>46059.74260416667</v>
      </c>
      <c r="AM289" s="2">
        <v>46059.74217592592</v>
      </c>
      <c r="AN289" s="2">
        <v>46059.74217592592</v>
      </c>
      <c r="AO289" s="2">
        <v>46059.74260416667</v>
      </c>
      <c r="AP289" s="2">
        <v>46059.742638888885</v>
      </c>
      <c r="AR289" s="3"/>
      <c r="AS289" s="3"/>
      <c r="AT289" s="2">
        <v>46059.74260416667</v>
      </c>
      <c r="AU289" s="2">
        <v>46063.37510416667</v>
      </c>
      <c r="AW289" s="3"/>
      <c r="AX289" s="2">
        <v>46059.74270833333</v>
      </c>
      <c r="AY289" s="2">
        <v>46059.74260416667</v>
      </c>
      <c r="AZ289" s="2">
        <v>46059.74351851852</v>
      </c>
      <c r="BA289" s="2">
        <v>46063.48001157407</v>
      </c>
      <c r="BB289" s="2">
        <v>46062.49078703704</v>
      </c>
      <c r="BC289" s="2">
        <v>46063.480046296296</v>
      </c>
      <c r="BD289" s="2">
        <v>46063.480046296296</v>
      </c>
      <c r="BE289" s="5">
        <v>11088.0</v>
      </c>
      <c r="BF289" s="3"/>
      <c r="BG289" s="5">
        <v>2772.0</v>
      </c>
      <c r="BH289" s="3"/>
      <c r="BI289" s="5">
        <v>301305.0</v>
      </c>
      <c r="BJ289" s="5">
        <v>15195.0</v>
      </c>
      <c r="BK289" s="3"/>
      <c r="BL289" s="3"/>
      <c r="BM289" s="5">
        <v>46.0</v>
      </c>
      <c r="BN289" s="5">
        <v>0.0</v>
      </c>
      <c r="BO289" s="5">
        <v>116.0</v>
      </c>
      <c r="BP289" s="5">
        <v>0.0</v>
      </c>
      <c r="BQ289" s="5">
        <v>116.0</v>
      </c>
      <c r="BR289" s="5">
        <v>0.0</v>
      </c>
      <c r="BS289" s="5">
        <v>70.0</v>
      </c>
      <c r="BT289" s="5">
        <v>0.0</v>
      </c>
      <c r="BU289" s="5">
        <v>79.0</v>
      </c>
      <c r="BV289" s="5">
        <v>0.0</v>
      </c>
      <c r="BW289" s="5">
        <v>79.0</v>
      </c>
      <c r="BX289" s="5">
        <v>0.0</v>
      </c>
      <c r="BY289" s="5">
        <v>322952.0</v>
      </c>
      <c r="BZ289" s="5">
        <v>27076.0</v>
      </c>
      <c r="CA289" s="5">
        <v>322952.0</v>
      </c>
      <c r="CB289" s="5">
        <v>27076.0</v>
      </c>
      <c r="CC289" s="5">
        <v>322952.0</v>
      </c>
      <c r="CD289" s="5">
        <v>27076.0</v>
      </c>
      <c r="CE289" s="5">
        <v>322905.0</v>
      </c>
      <c r="CF289" s="5">
        <v>27076.0</v>
      </c>
      <c r="CG289" s="5">
        <v>322915.0</v>
      </c>
      <c r="CH289" s="5">
        <v>27076.0</v>
      </c>
      <c r="CI289" s="5">
        <v>322915.0</v>
      </c>
      <c r="CJ289" s="5">
        <v>27076.0</v>
      </c>
      <c r="CK289" s="5">
        <v>21609.0</v>
      </c>
      <c r="CL289" s="5">
        <v>11881.0</v>
      </c>
      <c r="CM289" s="5">
        <v>21609.0</v>
      </c>
      <c r="CN289" s="5">
        <v>11881.0</v>
      </c>
      <c r="CO289" s="5">
        <v>2.0</v>
      </c>
      <c r="CP289" s="5">
        <v>36.0</v>
      </c>
      <c r="CQ289" s="3"/>
      <c r="CR289" s="4" t="s">
        <v>1255</v>
      </c>
    </row>
    <row r="290">
      <c r="A290" s="1" t="s">
        <v>1256</v>
      </c>
      <c r="B290" s="2">
        <v>46059.722962962966</v>
      </c>
      <c r="C290" s="1" t="str">
        <f t="array" ref="C290">INDEX('User data'!E:E, MATCH(E290, 'User data'!B:B, 0))</f>
        <v>(주)링글잉글리시에듀케이션서비스</v>
      </c>
      <c r="D290" s="1" t="str">
        <f t="array" ref="D290">INDEX('User data'!F:F, MATCH(C290, 'User data'!E:E, 0))</f>
        <v>876-81-00110</v>
      </c>
      <c r="E290" s="1" t="s">
        <v>1257</v>
      </c>
      <c r="F290" s="3"/>
      <c r="G290" s="3"/>
      <c r="H290" s="3"/>
      <c r="I290" s="3"/>
      <c r="J290" s="1" t="s">
        <v>100</v>
      </c>
      <c r="K290" s="1" t="s">
        <v>101</v>
      </c>
      <c r="L290" s="1" t="b">
        <v>0</v>
      </c>
      <c r="M290" s="4" t="s">
        <v>102</v>
      </c>
      <c r="N290" s="1" t="s">
        <v>1258</v>
      </c>
      <c r="P290" s="3"/>
      <c r="Q290" s="3"/>
      <c r="R290" s="3"/>
      <c r="S290" s="3"/>
      <c r="T290" s="1" t="s">
        <v>104</v>
      </c>
      <c r="U290" s="3"/>
      <c r="V290" s="3"/>
      <c r="W290" s="1" t="s">
        <v>105</v>
      </c>
      <c r="X290" s="3"/>
      <c r="Y290" s="1" t="s">
        <v>106</v>
      </c>
      <c r="Z290" s="3"/>
      <c r="AA290" s="1" t="b">
        <v>0</v>
      </c>
      <c r="AB290" s="1" t="b">
        <v>0</v>
      </c>
      <c r="AC290" s="1" t="b">
        <v>0</v>
      </c>
      <c r="AD290" s="1" t="b">
        <v>0</v>
      </c>
      <c r="AE290" s="1" t="b">
        <v>1</v>
      </c>
      <c r="AF290" s="3"/>
      <c r="AG290" s="3"/>
      <c r="AH290" s="3"/>
      <c r="AI290" s="3"/>
      <c r="AJ290" s="2">
        <v>46059.72283564815</v>
      </c>
      <c r="AK290" s="2">
        <v>46060.723275462966</v>
      </c>
      <c r="AM290" s="2">
        <v>46059.722962962966</v>
      </c>
      <c r="AN290" s="2">
        <v>46059.722962962966</v>
      </c>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5">
        <v>2.8</v>
      </c>
      <c r="CR290" s="4" t="s">
        <v>1259</v>
      </c>
    </row>
    <row r="291">
      <c r="A291" s="1" t="s">
        <v>1260</v>
      </c>
      <c r="B291" s="2">
        <v>46059.71429398148</v>
      </c>
      <c r="C291" s="1" t="str">
        <f t="array" ref="C291">INDEX('User data'!E:E, MATCH(E291, 'User data'!B:B, 0))</f>
        <v/>
      </c>
      <c r="D291" s="1" t="str">
        <f t="array" ref="D291">INDEX('User data'!F:F, MATCH(C291, 'User data'!E:E, 0))</f>
        <v>#N/A</v>
      </c>
      <c r="E291" s="1" t="s">
        <v>1261</v>
      </c>
      <c r="F291" s="3"/>
      <c r="G291" s="3"/>
      <c r="H291" s="3"/>
      <c r="I291" s="3"/>
      <c r="J291" s="1" t="s">
        <v>100</v>
      </c>
      <c r="K291" s="1" t="s">
        <v>101</v>
      </c>
      <c r="L291" s="1" t="b">
        <v>0</v>
      </c>
      <c r="M291" s="4" t="s">
        <v>102</v>
      </c>
      <c r="N291" s="1" t="s">
        <v>1262</v>
      </c>
      <c r="P291" s="3"/>
      <c r="Q291" s="3"/>
      <c r="R291" s="3"/>
      <c r="S291" s="3"/>
      <c r="T291" s="1" t="s">
        <v>104</v>
      </c>
      <c r="U291" s="3"/>
      <c r="V291" s="3"/>
      <c r="W291" s="1" t="s">
        <v>105</v>
      </c>
      <c r="X291" s="3"/>
      <c r="Y291" s="1" t="s">
        <v>106</v>
      </c>
      <c r="Z291" s="3"/>
      <c r="AA291" s="1" t="b">
        <v>0</v>
      </c>
      <c r="AB291" s="1" t="b">
        <v>0</v>
      </c>
      <c r="AC291" s="1" t="b">
        <v>0</v>
      </c>
      <c r="AD291" s="1" t="b">
        <v>0</v>
      </c>
      <c r="AE291" s="1" t="b">
        <v>1</v>
      </c>
      <c r="AF291" s="3"/>
      <c r="AG291" s="3"/>
      <c r="AH291" s="3"/>
      <c r="AI291" s="3"/>
      <c r="AJ291" s="2">
        <v>46059.71417824074</v>
      </c>
      <c r="AK291" s="2">
        <v>46060.71434027778</v>
      </c>
      <c r="AM291" s="2">
        <v>46059.71429398148</v>
      </c>
      <c r="AN291" s="2">
        <v>46059.71429398148</v>
      </c>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5">
        <v>5.0</v>
      </c>
      <c r="CR291" s="4" t="s">
        <v>1263</v>
      </c>
    </row>
    <row r="292">
      <c r="A292" s="1" t="s">
        <v>1264</v>
      </c>
      <c r="B292" s="2">
        <v>46059.71115740741</v>
      </c>
      <c r="C292" s="1" t="str">
        <f t="array" ref="C292">INDEX('User data'!E:E, MATCH(E292, 'User data'!B:B, 0))</f>
        <v>주식회사 닷어스</v>
      </c>
      <c r="D292" s="1" t="str">
        <f t="array" ref="D292">INDEX('User data'!F:F, MATCH(C292, 'User data'!E:E, 0))</f>
        <v>535-81-02842</v>
      </c>
      <c r="E292" s="1" t="s">
        <v>1265</v>
      </c>
      <c r="F292" s="3"/>
      <c r="G292" s="3"/>
      <c r="H292" s="3"/>
      <c r="I292" s="3"/>
      <c r="J292" s="1" t="s">
        <v>100</v>
      </c>
      <c r="K292" s="1" t="s">
        <v>101</v>
      </c>
      <c r="L292" s="1" t="b">
        <v>0</v>
      </c>
      <c r="M292" s="4" t="s">
        <v>102</v>
      </c>
      <c r="N292" s="1" t="s">
        <v>1266</v>
      </c>
      <c r="P292" s="3"/>
      <c r="Q292" s="3"/>
      <c r="R292" s="3"/>
      <c r="S292" s="3"/>
      <c r="T292" s="1" t="s">
        <v>104</v>
      </c>
      <c r="U292" s="3"/>
      <c r="V292" s="3"/>
      <c r="W292" s="1" t="s">
        <v>105</v>
      </c>
      <c r="X292" s="3"/>
      <c r="Y292" s="1" t="s">
        <v>106</v>
      </c>
      <c r="Z292" s="3"/>
      <c r="AA292" s="1" t="b">
        <v>0</v>
      </c>
      <c r="AB292" s="1" t="b">
        <v>0</v>
      </c>
      <c r="AC292" s="1" t="b">
        <v>0</v>
      </c>
      <c r="AD292" s="1" t="b">
        <v>0</v>
      </c>
      <c r="AE292" s="1" t="b">
        <v>1</v>
      </c>
      <c r="AF292" s="3"/>
      <c r="AG292" s="3"/>
      <c r="AH292" s="3"/>
      <c r="AI292" s="3"/>
      <c r="AJ292" s="2">
        <v>46059.71092592592</v>
      </c>
      <c r="AK292" s="2">
        <v>46060.71127314815</v>
      </c>
      <c r="AM292" s="2">
        <v>46059.71115740741</v>
      </c>
      <c r="AN292" s="2">
        <v>46059.71115740741</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5">
        <v>5.0</v>
      </c>
      <c r="CR292" s="4" t="s">
        <v>1267</v>
      </c>
    </row>
    <row r="293">
      <c r="A293" s="1" t="s">
        <v>1268</v>
      </c>
      <c r="B293" s="2">
        <v>46059.6946875</v>
      </c>
      <c r="C293" s="1" t="str">
        <f t="array" ref="C293">INDEX('User data'!E:E, MATCH(E293, 'User data'!B:B, 0))</f>
        <v>주식회사 마티니 아이오</v>
      </c>
      <c r="D293" s="1" t="str">
        <f t="array" ref="D293">INDEX('User data'!F:F, MATCH(C293, 'User data'!E:E, 0))</f>
        <v>111-81-35910</v>
      </c>
      <c r="E293" s="1" t="s">
        <v>1269</v>
      </c>
      <c r="F293" s="3"/>
      <c r="G293" s="3"/>
      <c r="H293" s="3"/>
      <c r="I293" s="3"/>
      <c r="J293" s="1" t="s">
        <v>100</v>
      </c>
      <c r="K293" s="1" t="s">
        <v>101</v>
      </c>
      <c r="L293" s="1" t="b">
        <v>0</v>
      </c>
      <c r="M293" s="4" t="s">
        <v>102</v>
      </c>
      <c r="N293" s="1" t="s">
        <v>1270</v>
      </c>
      <c r="P293" s="3"/>
      <c r="Q293" s="3"/>
      <c r="R293" s="3"/>
      <c r="S293" s="3"/>
      <c r="T293" s="1" t="s">
        <v>104</v>
      </c>
      <c r="U293" s="3"/>
      <c r="V293" s="3"/>
      <c r="W293" s="1" t="s">
        <v>105</v>
      </c>
      <c r="X293" s="3"/>
      <c r="Y293" s="1" t="s">
        <v>106</v>
      </c>
      <c r="Z293" s="3"/>
      <c r="AA293" s="1" t="b">
        <v>0</v>
      </c>
      <c r="AB293" s="1" t="b">
        <v>0</v>
      </c>
      <c r="AC293" s="1" t="b">
        <v>0</v>
      </c>
      <c r="AD293" s="1" t="b">
        <v>0</v>
      </c>
      <c r="AE293" s="1" t="b">
        <v>1</v>
      </c>
      <c r="AF293" s="3"/>
      <c r="AG293" s="3"/>
      <c r="AH293" s="3"/>
      <c r="AI293" s="3"/>
      <c r="AJ293" s="2">
        <v>46059.694548611114</v>
      </c>
      <c r="AK293" s="2">
        <v>46060.69631944445</v>
      </c>
      <c r="AM293" s="2">
        <v>46059.6946875</v>
      </c>
      <c r="AN293" s="2">
        <v>46059.6946875</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5">
        <v>3.6</v>
      </c>
      <c r="CR293" s="4" t="s">
        <v>1271</v>
      </c>
    </row>
    <row r="294">
      <c r="A294" s="1" t="s">
        <v>1272</v>
      </c>
      <c r="B294" s="2">
        <v>46059.686840277776</v>
      </c>
      <c r="C294" s="1" t="str">
        <f t="array" ref="C294">INDEX('User data'!E:E, MATCH(E294, 'User data'!B:B, 0))</f>
        <v>씨그로 주식회사</v>
      </c>
      <c r="D294" s="1" t="str">
        <f t="array" ref="D294">INDEX('User data'!F:F, MATCH(C294, 'User data'!E:E, 0))</f>
        <v>119-87-09475</v>
      </c>
      <c r="E294" s="1" t="s">
        <v>1273</v>
      </c>
      <c r="F294" s="3"/>
      <c r="G294" s="3"/>
      <c r="H294" s="3"/>
      <c r="I294" s="3"/>
      <c r="J294" s="1" t="s">
        <v>100</v>
      </c>
      <c r="K294" s="1" t="s">
        <v>101</v>
      </c>
      <c r="L294" s="1" t="b">
        <v>0</v>
      </c>
      <c r="M294" s="4" t="s">
        <v>102</v>
      </c>
      <c r="N294" s="1" t="s">
        <v>1274</v>
      </c>
      <c r="P294" s="3"/>
      <c r="Q294" s="3"/>
      <c r="R294" s="3"/>
      <c r="S294" s="3"/>
      <c r="T294" s="1" t="s">
        <v>104</v>
      </c>
      <c r="U294" s="3"/>
      <c r="V294" s="3"/>
      <c r="W294" s="1" t="s">
        <v>105</v>
      </c>
      <c r="X294" s="3"/>
      <c r="Y294" s="1" t="s">
        <v>106</v>
      </c>
      <c r="Z294" s="3"/>
      <c r="AA294" s="1" t="b">
        <v>0</v>
      </c>
      <c r="AB294" s="1" t="b">
        <v>0</v>
      </c>
      <c r="AC294" s="1" t="b">
        <v>0</v>
      </c>
      <c r="AD294" s="1" t="b">
        <v>0</v>
      </c>
      <c r="AE294" s="1" t="b">
        <v>1</v>
      </c>
      <c r="AF294" s="3"/>
      <c r="AG294" s="3"/>
      <c r="AH294" s="3"/>
      <c r="AI294" s="3"/>
      <c r="AJ294" s="2">
        <v>46059.68672453704</v>
      </c>
      <c r="AK294" s="2">
        <v>46060.686875</v>
      </c>
      <c r="AM294" s="2">
        <v>46059.686840277776</v>
      </c>
      <c r="AN294" s="2">
        <v>46059.686840277776</v>
      </c>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5">
        <v>5.0</v>
      </c>
      <c r="CR294" s="4" t="s">
        <v>1275</v>
      </c>
    </row>
    <row r="295">
      <c r="A295" s="1" t="s">
        <v>1276</v>
      </c>
      <c r="B295" s="2">
        <v>46059.68543981481</v>
      </c>
      <c r="C295" s="1" t="str">
        <f t="array" ref="C295">INDEX('User data'!E:E, MATCH(E295, 'User data'!B:B, 0))</f>
        <v/>
      </c>
      <c r="D295" s="1" t="str">
        <f t="array" ref="D295">INDEX('User data'!F:F, MATCH(C295, 'User data'!E:E, 0))</f>
        <v>#N/A</v>
      </c>
      <c r="E295" s="1" t="s">
        <v>630</v>
      </c>
      <c r="F295" s="3"/>
      <c r="G295" s="3"/>
      <c r="H295" s="3"/>
      <c r="I295" s="3"/>
      <c r="J295" s="1" t="s">
        <v>100</v>
      </c>
      <c r="K295" s="1" t="s">
        <v>101</v>
      </c>
      <c r="L295" s="1" t="b">
        <v>0</v>
      </c>
      <c r="M295" s="4" t="s">
        <v>102</v>
      </c>
      <c r="N295" s="1" t="s">
        <v>631</v>
      </c>
      <c r="P295" s="3"/>
      <c r="Q295" s="3"/>
      <c r="R295" s="3"/>
      <c r="S295" s="3"/>
      <c r="T295" s="1" t="s">
        <v>104</v>
      </c>
      <c r="U295" s="3"/>
      <c r="V295" s="3"/>
      <c r="W295" s="1" t="s">
        <v>105</v>
      </c>
      <c r="X295" s="3"/>
      <c r="Y295" s="1" t="s">
        <v>106</v>
      </c>
      <c r="Z295" s="3"/>
      <c r="AA295" s="1" t="b">
        <v>0</v>
      </c>
      <c r="AB295" s="1" t="b">
        <v>0</v>
      </c>
      <c r="AC295" s="1" t="b">
        <v>0</v>
      </c>
      <c r="AD295" s="1" t="b">
        <v>0</v>
      </c>
      <c r="AE295" s="1" t="b">
        <v>1</v>
      </c>
      <c r="AF295" s="3"/>
      <c r="AG295" s="3"/>
      <c r="AH295" s="3"/>
      <c r="AI295" s="3"/>
      <c r="AJ295" s="2">
        <v>46059.685277777775</v>
      </c>
      <c r="AK295" s="2">
        <v>46060.68561342593</v>
      </c>
      <c r="AM295" s="2">
        <v>46059.68543981481</v>
      </c>
      <c r="AN295" s="2">
        <v>46059.68543981481</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5">
        <v>3.4</v>
      </c>
      <c r="CR295" s="4" t="s">
        <v>1277</v>
      </c>
    </row>
    <row r="296">
      <c r="A296" s="1" t="s">
        <v>1278</v>
      </c>
      <c r="B296" s="2">
        <v>46059.67600694444</v>
      </c>
      <c r="C296" s="1" t="str">
        <f t="array" ref="C296">INDEX('User data'!E:E, MATCH(E296, 'User data'!B:B, 0))</f>
        <v>주식회사 유니콘유니언</v>
      </c>
      <c r="D296" s="1" t="str">
        <f t="array" ref="D296">INDEX('User data'!F:F, MATCH(C296, 'User data'!E:E, 0))</f>
        <v>798-81-02405</v>
      </c>
      <c r="E296" s="1" t="s">
        <v>1279</v>
      </c>
      <c r="F296" s="3"/>
      <c r="G296" s="3"/>
      <c r="H296" s="3"/>
      <c r="I296" s="1" t="s">
        <v>1280</v>
      </c>
      <c r="J296" s="1" t="s">
        <v>100</v>
      </c>
      <c r="K296" s="1" t="s">
        <v>101</v>
      </c>
      <c r="L296" s="1" t="b">
        <v>0</v>
      </c>
      <c r="M296" s="4" t="s">
        <v>102</v>
      </c>
      <c r="N296" s="1" t="s">
        <v>1281</v>
      </c>
      <c r="O296" s="1">
        <v>574085.0</v>
      </c>
      <c r="P296" s="1">
        <v>574085.0</v>
      </c>
      <c r="Q296" s="1">
        <v>574085.0</v>
      </c>
      <c r="R296" s="1" t="s">
        <v>145</v>
      </c>
      <c r="S296" s="1">
        <v>13285.0</v>
      </c>
      <c r="T296" s="1" t="s">
        <v>104</v>
      </c>
      <c r="U296" s="3"/>
      <c r="V296" s="3"/>
      <c r="W296" s="1" t="s">
        <v>118</v>
      </c>
      <c r="X296" s="3"/>
      <c r="Y296" s="1" t="s">
        <v>119</v>
      </c>
      <c r="Z296" s="3"/>
      <c r="AA296" s="1" t="b">
        <v>1</v>
      </c>
      <c r="AB296" s="1" t="b">
        <v>0</v>
      </c>
      <c r="AC296" s="1" t="b">
        <v>0</v>
      </c>
      <c r="AD296" s="1" t="b">
        <v>1</v>
      </c>
      <c r="AE296" s="1" t="b">
        <v>1</v>
      </c>
      <c r="AF296" s="5">
        <v>2.0</v>
      </c>
      <c r="AG296" s="5">
        <v>2.0</v>
      </c>
      <c r="AH296" s="3"/>
      <c r="AI296" s="3"/>
      <c r="AJ296" s="2">
        <v>46059.675532407404</v>
      </c>
      <c r="AK296" s="2">
        <v>46062.36728009259</v>
      </c>
      <c r="AL296" s="2">
        <v>46059.6775462963</v>
      </c>
      <c r="AM296" s="2">
        <v>46059.67600694444</v>
      </c>
      <c r="AN296" s="2">
        <v>46059.67600694444</v>
      </c>
      <c r="AO296" s="2">
        <v>46059.67681712963</v>
      </c>
      <c r="AP296" s="2">
        <v>46059.67758101852</v>
      </c>
      <c r="AQ296" s="2">
        <v>46059.67681712963</v>
      </c>
      <c r="AS296" s="2">
        <v>46059.676840277774</v>
      </c>
      <c r="AT296" s="2">
        <v>46059.67681712963</v>
      </c>
      <c r="AU296" s="2">
        <v>46059.676840277774</v>
      </c>
      <c r="AW296" s="3"/>
      <c r="AX296" s="2">
        <v>46059.676840277774</v>
      </c>
      <c r="AY296" s="2">
        <v>46059.676840277774</v>
      </c>
      <c r="AZ296" s="2">
        <v>46059.67983796296</v>
      </c>
      <c r="BA296" s="2">
        <v>46059.68087962963</v>
      </c>
      <c r="BC296" s="2">
        <v>46059.68113425926</v>
      </c>
      <c r="BD296" s="2">
        <v>46059.68113425926</v>
      </c>
      <c r="BE296" s="5">
        <v>324.0</v>
      </c>
      <c r="BF296" s="5">
        <v>324.0</v>
      </c>
      <c r="BG296" s="5">
        <v>162.0</v>
      </c>
      <c r="BH296" s="5">
        <v>162.0</v>
      </c>
      <c r="BI296" s="3"/>
      <c r="BJ296" s="3"/>
      <c r="BK296" s="5">
        <v>2.0</v>
      </c>
      <c r="BL296" s="5">
        <v>2.0</v>
      </c>
      <c r="BM296" s="5">
        <v>71.0</v>
      </c>
      <c r="BN296" s="5">
        <v>71.0</v>
      </c>
      <c r="BO296" s="5">
        <v>330.0</v>
      </c>
      <c r="BP296" s="5">
        <v>330.0</v>
      </c>
      <c r="BQ296" s="5">
        <v>330.0</v>
      </c>
      <c r="BR296" s="5">
        <v>330.0</v>
      </c>
      <c r="BS296" s="5">
        <v>258.0</v>
      </c>
      <c r="BT296" s="5">
        <v>258.0</v>
      </c>
      <c r="BU296" s="5">
        <v>258.0</v>
      </c>
      <c r="BV296" s="5">
        <v>258.0</v>
      </c>
      <c r="BW296" s="5">
        <v>261.0</v>
      </c>
      <c r="BX296" s="5">
        <v>261.0</v>
      </c>
      <c r="BY296" s="5">
        <v>442.0</v>
      </c>
      <c r="BZ296" s="5">
        <v>442.0</v>
      </c>
      <c r="CA296" s="5">
        <v>442.0</v>
      </c>
      <c r="CB296" s="5">
        <v>442.0</v>
      </c>
      <c r="CC296" s="5">
        <v>443.0</v>
      </c>
      <c r="CD296" s="5">
        <v>443.0</v>
      </c>
      <c r="CE296" s="5">
        <v>371.0</v>
      </c>
      <c r="CF296" s="5">
        <v>371.0</v>
      </c>
      <c r="CG296" s="5">
        <v>371.0</v>
      </c>
      <c r="CH296" s="5">
        <v>371.0</v>
      </c>
      <c r="CI296" s="5">
        <v>373.0</v>
      </c>
      <c r="CJ296" s="5">
        <v>373.0</v>
      </c>
      <c r="CK296" s="5">
        <v>371.0</v>
      </c>
      <c r="CL296" s="5">
        <v>371.0</v>
      </c>
      <c r="CM296" s="5">
        <v>371.0</v>
      </c>
      <c r="CN296" s="5">
        <v>371.0</v>
      </c>
      <c r="CO296" s="5">
        <v>3.0</v>
      </c>
      <c r="CP296" s="5">
        <v>69.0</v>
      </c>
      <c r="CQ296" s="3"/>
      <c r="CR296" s="4" t="s">
        <v>1282</v>
      </c>
      <c r="CS296" s="5">
        <v>4.0</v>
      </c>
      <c r="CT296" s="3"/>
    </row>
    <row r="297">
      <c r="A297" s="1" t="s">
        <v>1283</v>
      </c>
      <c r="B297" s="2">
        <v>46059.672638888886</v>
      </c>
      <c r="C297" s="1" t="str">
        <f t="array" ref="C297">INDEX('User data'!E:E, MATCH(E297, 'User data'!B:B, 0))</f>
        <v>알고케어 주식회사 (Algo Care)</v>
      </c>
      <c r="D297" s="1" t="str">
        <f t="array" ref="D297">INDEX('User data'!F:F, MATCH(C297, 'User data'!E:E, 0))</f>
        <v>592-88-01296</v>
      </c>
      <c r="E297" s="1" t="s">
        <v>1284</v>
      </c>
      <c r="F297" s="3"/>
      <c r="G297" s="3"/>
      <c r="H297" s="3"/>
      <c r="I297" s="3"/>
      <c r="J297" s="1" t="s">
        <v>100</v>
      </c>
      <c r="K297" s="1" t="s">
        <v>101</v>
      </c>
      <c r="L297" s="1" t="b">
        <v>0</v>
      </c>
      <c r="M297" s="4" t="s">
        <v>102</v>
      </c>
      <c r="N297" s="1" t="s">
        <v>1285</v>
      </c>
      <c r="P297" s="3"/>
      <c r="Q297" s="3"/>
      <c r="R297" s="3"/>
      <c r="S297" s="3"/>
      <c r="T297" s="1" t="s">
        <v>104</v>
      </c>
      <c r="U297" s="3"/>
      <c r="V297" s="3"/>
      <c r="W297" s="1" t="s">
        <v>118</v>
      </c>
      <c r="X297" s="3"/>
      <c r="Y297" s="1" t="s">
        <v>106</v>
      </c>
      <c r="Z297" s="3"/>
      <c r="AA297" s="1" t="b">
        <v>0</v>
      </c>
      <c r="AB297" s="1" t="b">
        <v>0</v>
      </c>
      <c r="AC297" s="1" t="b">
        <v>0</v>
      </c>
      <c r="AD297" s="1" t="b">
        <v>0</v>
      </c>
      <c r="AE297" s="1" t="b">
        <v>1</v>
      </c>
      <c r="AF297" s="3"/>
      <c r="AG297" s="3"/>
      <c r="AH297" s="3"/>
      <c r="AI297" s="3"/>
      <c r="AJ297" s="2">
        <v>46059.67236111111</v>
      </c>
      <c r="AK297" s="2">
        <v>46060.67267361111</v>
      </c>
      <c r="AM297" s="2">
        <v>46059.672638888886</v>
      </c>
      <c r="AN297" s="2">
        <v>46059.672638888886</v>
      </c>
      <c r="AP297" s="3"/>
      <c r="AQ297" s="3"/>
      <c r="AR297" s="3"/>
      <c r="AS297" s="3"/>
      <c r="AT297" s="3"/>
      <c r="AU297" s="3"/>
      <c r="AV297" s="3"/>
      <c r="AW297" s="3"/>
      <c r="AX297" s="3"/>
      <c r="AY297" s="3"/>
      <c r="AZ297" s="3"/>
      <c r="BA297" s="3"/>
      <c r="BB297" s="3"/>
      <c r="BC297" s="2">
        <v>46059.67289351852</v>
      </c>
      <c r="BD297" s="2">
        <v>46059.67289351852</v>
      </c>
      <c r="BF297" s="3"/>
      <c r="BG297" s="3"/>
      <c r="BH297" s="3"/>
      <c r="BI297" s="3"/>
      <c r="BJ297" s="3"/>
      <c r="BK297" s="3"/>
      <c r="BL297" s="3"/>
      <c r="BM297" s="3"/>
      <c r="BN297" s="3"/>
      <c r="BO297" s="3"/>
      <c r="BP297" s="3"/>
      <c r="BQ297" s="3"/>
      <c r="BR297" s="3"/>
      <c r="BS297" s="3"/>
      <c r="BT297" s="3"/>
      <c r="BU297" s="3"/>
      <c r="BV297" s="3"/>
      <c r="BW297" s="3"/>
      <c r="BX297" s="3"/>
      <c r="BY297" s="5">
        <v>21.0</v>
      </c>
      <c r="BZ297" s="5">
        <v>21.0</v>
      </c>
      <c r="CA297" s="5">
        <v>21.0</v>
      </c>
      <c r="CB297" s="5">
        <v>21.0</v>
      </c>
      <c r="CC297" s="5">
        <v>21.0</v>
      </c>
      <c r="CD297" s="5">
        <v>21.0</v>
      </c>
      <c r="CE297" s="3"/>
      <c r="CF297" s="3"/>
      <c r="CG297" s="3"/>
      <c r="CH297" s="3"/>
      <c r="CI297" s="3"/>
      <c r="CJ297" s="3"/>
      <c r="CK297" s="3"/>
      <c r="CL297" s="3"/>
      <c r="CM297" s="3"/>
      <c r="CN297" s="3"/>
      <c r="CO297" s="3"/>
      <c r="CP297" s="3"/>
      <c r="CQ297" s="5">
        <v>1.6</v>
      </c>
      <c r="CR297" s="4" t="s">
        <v>1286</v>
      </c>
    </row>
    <row r="298">
      <c r="A298" s="1" t="s">
        <v>1287</v>
      </c>
      <c r="B298" s="2">
        <v>46059.670486111114</v>
      </c>
      <c r="C298" s="1" t="str">
        <f t="array" ref="C298">INDEX('User data'!E:E, MATCH(E298, 'User data'!B:B, 0))</f>
        <v>주식회사 에이지온</v>
      </c>
      <c r="D298" s="1" t="str">
        <f t="array" ref="D298">INDEX('User data'!F:F, MATCH(C298, 'User data'!E:E, 0))</f>
        <v>694-86-03335</v>
      </c>
      <c r="E298" s="1" t="s">
        <v>1288</v>
      </c>
      <c r="F298" s="3"/>
      <c r="G298" s="3"/>
      <c r="H298" s="3"/>
      <c r="I298" s="3"/>
      <c r="J298" s="1" t="s">
        <v>100</v>
      </c>
      <c r="K298" s="1" t="s">
        <v>101</v>
      </c>
      <c r="L298" s="1" t="b">
        <v>0</v>
      </c>
      <c r="M298" s="4" t="s">
        <v>102</v>
      </c>
      <c r="N298" s="1" t="s">
        <v>1289</v>
      </c>
      <c r="P298" s="3"/>
      <c r="Q298" s="3"/>
      <c r="R298" s="3"/>
      <c r="S298" s="3"/>
      <c r="T298" s="1" t="s">
        <v>104</v>
      </c>
      <c r="U298" s="3"/>
      <c r="V298" s="3"/>
      <c r="W298" s="1" t="s">
        <v>105</v>
      </c>
      <c r="X298" s="3"/>
      <c r="Y298" s="1" t="s">
        <v>106</v>
      </c>
      <c r="Z298" s="3"/>
      <c r="AA298" s="1" t="b">
        <v>0</v>
      </c>
      <c r="AB298" s="1" t="b">
        <v>0</v>
      </c>
      <c r="AC298" s="1" t="b">
        <v>0</v>
      </c>
      <c r="AD298" s="1" t="b">
        <v>0</v>
      </c>
      <c r="AE298" s="1" t="b">
        <v>1</v>
      </c>
      <c r="AF298" s="3"/>
      <c r="AG298" s="3"/>
      <c r="AH298" s="3"/>
      <c r="AI298" s="3"/>
      <c r="AJ298" s="2">
        <v>46059.670277777775</v>
      </c>
      <c r="AK298" s="2">
        <v>46060.67054398148</v>
      </c>
      <c r="AM298" s="2">
        <v>46059.670486111114</v>
      </c>
      <c r="AN298" s="2">
        <v>46059.670486111114</v>
      </c>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5">
        <v>3.4</v>
      </c>
      <c r="CR298" s="4" t="s">
        <v>1290</v>
      </c>
    </row>
    <row r="299">
      <c r="A299" s="1" t="s">
        <v>1291</v>
      </c>
      <c r="B299" s="2">
        <v>46059.66887731481</v>
      </c>
      <c r="C299" s="1" t="str">
        <f t="array" ref="C299">INDEX('User data'!E:E, MATCH(E299, 'User data'!B:B, 0))</f>
        <v>알고케어 주식회사 (Algo Care)</v>
      </c>
      <c r="D299" s="1" t="str">
        <f t="array" ref="D299">INDEX('User data'!F:F, MATCH(C299, 'User data'!E:E, 0))</f>
        <v>592-88-01296</v>
      </c>
      <c r="E299" s="1" t="s">
        <v>1284</v>
      </c>
      <c r="F299" s="3"/>
      <c r="G299" s="3"/>
      <c r="H299" s="3"/>
      <c r="I299" s="1" t="s">
        <v>992</v>
      </c>
      <c r="J299" s="1" t="s">
        <v>100</v>
      </c>
      <c r="K299" s="1" t="s">
        <v>101</v>
      </c>
      <c r="L299" s="1" t="b">
        <v>0</v>
      </c>
      <c r="M299" s="4" t="s">
        <v>102</v>
      </c>
      <c r="N299" s="1" t="s">
        <v>1285</v>
      </c>
      <c r="O299" s="1">
        <v>607950.0</v>
      </c>
      <c r="P299" s="1">
        <v>607950.0</v>
      </c>
      <c r="Q299" s="1">
        <v>607950.0</v>
      </c>
      <c r="R299" s="1" t="s">
        <v>145</v>
      </c>
      <c r="S299" s="3"/>
      <c r="T299" s="1" t="s">
        <v>104</v>
      </c>
      <c r="U299" s="3"/>
      <c r="V299" s="3"/>
      <c r="W299" s="1" t="s">
        <v>118</v>
      </c>
      <c r="X299" s="3"/>
      <c r="Y299" s="1" t="s">
        <v>119</v>
      </c>
      <c r="Z299" s="3"/>
      <c r="AA299" s="1" t="b">
        <v>1</v>
      </c>
      <c r="AB299" s="1" t="b">
        <v>0</v>
      </c>
      <c r="AC299" s="1" t="b">
        <v>0</v>
      </c>
      <c r="AD299" s="1" t="b">
        <v>1</v>
      </c>
      <c r="AE299" s="1" t="b">
        <v>1</v>
      </c>
      <c r="AF299" s="5">
        <v>14.0</v>
      </c>
      <c r="AG299" s="5">
        <v>13.0</v>
      </c>
      <c r="AH299" s="3"/>
      <c r="AI299" s="3"/>
      <c r="AJ299" s="2">
        <v>46059.66826388889</v>
      </c>
      <c r="AK299" s="2">
        <v>46062.535462962966</v>
      </c>
      <c r="AL299" s="2">
        <v>46062.493784722225</v>
      </c>
      <c r="AM299" s="2">
        <v>46059.66887731481</v>
      </c>
      <c r="AN299" s="2">
        <v>46059.66887731481</v>
      </c>
      <c r="AO299" s="2">
        <v>46059.67412037037</v>
      </c>
      <c r="AQ299" s="3"/>
      <c r="AR299" s="3"/>
      <c r="AS299" s="3"/>
      <c r="AT299" s="2">
        <v>46059.67412037037</v>
      </c>
      <c r="AU299" s="2">
        <v>46060.375081018516</v>
      </c>
      <c r="AW299" s="3"/>
      <c r="AX299" s="2">
        <v>46059.674050925925</v>
      </c>
      <c r="AY299" s="2">
        <v>46059.67412037037</v>
      </c>
      <c r="AZ299" s="2">
        <v>46059.67412037037</v>
      </c>
      <c r="BA299" s="2">
        <v>46062.492210648146</v>
      </c>
      <c r="BB299" s="2">
        <v>46059.7559837963</v>
      </c>
      <c r="BC299" s="2">
        <v>46062.493784722225</v>
      </c>
      <c r="BD299" s="2">
        <v>46062.493784722225</v>
      </c>
      <c r="BE299" s="5">
        <v>178664.0</v>
      </c>
      <c r="BF299" s="5">
        <v>2330.0</v>
      </c>
      <c r="BG299" s="5">
        <v>12761.0</v>
      </c>
      <c r="BH299" s="5">
        <v>179.0</v>
      </c>
      <c r="BI299" s="5">
        <v>53489.0</v>
      </c>
      <c r="BJ299" s="5">
        <v>0.0</v>
      </c>
      <c r="BK299" s="3"/>
      <c r="BL299" s="3"/>
      <c r="BM299" s="5">
        <v>446.0</v>
      </c>
      <c r="BN299" s="5">
        <v>446.0</v>
      </c>
      <c r="BO299" s="5">
        <v>452.0</v>
      </c>
      <c r="BP299" s="5">
        <v>452.0</v>
      </c>
      <c r="BQ299" s="5">
        <v>452.0</v>
      </c>
      <c r="BR299" s="5">
        <v>452.0</v>
      </c>
      <c r="BS299" s="5">
        <v>5.0</v>
      </c>
      <c r="BT299" s="5">
        <v>5.0</v>
      </c>
      <c r="BU299" s="3"/>
      <c r="BV299" s="3"/>
      <c r="BW299" s="5">
        <v>0.0</v>
      </c>
      <c r="BX299" s="3"/>
      <c r="BY299" s="5">
        <v>244071.0</v>
      </c>
      <c r="BZ299" s="5">
        <v>10071.0</v>
      </c>
      <c r="CA299" s="5">
        <v>244071.0</v>
      </c>
      <c r="CB299" s="5">
        <v>10071.0</v>
      </c>
      <c r="CC299" s="5">
        <v>244071.0</v>
      </c>
      <c r="CD299" s="5">
        <v>10071.0</v>
      </c>
      <c r="CE299" s="5">
        <v>243624.0</v>
      </c>
      <c r="CF299" s="5">
        <v>9624.0</v>
      </c>
      <c r="CG299" s="5">
        <v>243619.0</v>
      </c>
      <c r="CH299" s="5">
        <v>9619.0</v>
      </c>
      <c r="CI299" s="5">
        <v>243619.0</v>
      </c>
      <c r="CJ299" s="5">
        <v>9619.0</v>
      </c>
      <c r="CK299" s="5">
        <v>190129.0</v>
      </c>
      <c r="CL299" s="5">
        <v>9619.0</v>
      </c>
      <c r="CM299" s="5">
        <v>190129.0</v>
      </c>
      <c r="CN299" s="5">
        <v>9619.0</v>
      </c>
      <c r="CO299" s="3"/>
      <c r="CP299" s="5">
        <v>452.0</v>
      </c>
      <c r="CQ299" s="3"/>
      <c r="CR299" s="4" t="s">
        <v>1292</v>
      </c>
    </row>
    <row r="300">
      <c r="A300" s="1" t="s">
        <v>1293</v>
      </c>
      <c r="B300" s="2">
        <v>46059.606782407405</v>
      </c>
      <c r="C300" s="1" t="str">
        <f t="array" ref="C300">INDEX('User data'!E:E, MATCH(E300, 'User data'!B:B, 0))</f>
        <v>주식회사 우대빵부동산중개센터</v>
      </c>
      <c r="D300" s="1" t="str">
        <f t="array" ref="D300">INDEX('User data'!F:F, MATCH(C300, 'User data'!E:E, 0))</f>
        <v>530-88-01793</v>
      </c>
      <c r="E300" s="1" t="s">
        <v>1294</v>
      </c>
      <c r="F300" s="3"/>
      <c r="G300" s="3"/>
      <c r="H300" s="3"/>
      <c r="I300" s="3"/>
      <c r="J300" s="1" t="s">
        <v>100</v>
      </c>
      <c r="K300" s="1" t="s">
        <v>101</v>
      </c>
      <c r="L300" s="1" t="b">
        <v>0</v>
      </c>
      <c r="M300" s="4" t="s">
        <v>102</v>
      </c>
      <c r="N300" s="1" t="s">
        <v>1295</v>
      </c>
      <c r="P300" s="3"/>
      <c r="Q300" s="3"/>
      <c r="R300" s="3"/>
      <c r="S300" s="3"/>
      <c r="T300" s="1" t="s">
        <v>104</v>
      </c>
      <c r="U300" s="3"/>
      <c r="V300" s="3"/>
      <c r="W300" s="1" t="s">
        <v>105</v>
      </c>
      <c r="X300" s="3"/>
      <c r="Y300" s="1" t="s">
        <v>106</v>
      </c>
      <c r="Z300" s="3"/>
      <c r="AA300" s="1" t="b">
        <v>0</v>
      </c>
      <c r="AB300" s="1" t="b">
        <v>0</v>
      </c>
      <c r="AC300" s="1" t="b">
        <v>0</v>
      </c>
      <c r="AD300" s="1" t="b">
        <v>0</v>
      </c>
      <c r="AE300" s="1" t="b">
        <v>1</v>
      </c>
      <c r="AF300" s="3"/>
      <c r="AG300" s="3"/>
      <c r="AH300" s="3"/>
      <c r="AI300" s="3"/>
      <c r="AJ300" s="2">
        <v>46059.60675925926</v>
      </c>
      <c r="AK300" s="2">
        <v>46060.608078703706</v>
      </c>
      <c r="AM300" s="2">
        <v>46059.606782407405</v>
      </c>
      <c r="AN300" s="2">
        <v>46059.606782407405</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5">
        <v>3.0</v>
      </c>
      <c r="CR300" s="4" t="s">
        <v>1296</v>
      </c>
    </row>
    <row r="301">
      <c r="A301" s="1" t="s">
        <v>1297</v>
      </c>
      <c r="B301" s="2">
        <v>46059.59138888889</v>
      </c>
      <c r="C301" s="1" t="str">
        <f t="array" ref="C301">INDEX('User data'!E:E, MATCH(E301, 'User data'!B:B, 0))</f>
        <v>닥터블릿헬스케어 주식회사</v>
      </c>
      <c r="D301" s="1" t="str">
        <f t="array" ref="D301">INDEX('User data'!F:F, MATCH(C301, 'User data'!E:E, 0))</f>
        <v>382-88-01869</v>
      </c>
      <c r="E301" s="1" t="s">
        <v>284</v>
      </c>
      <c r="F301" s="3"/>
      <c r="G301" s="3"/>
      <c r="H301" s="3"/>
      <c r="I301" s="1" t="s">
        <v>258</v>
      </c>
      <c r="J301" s="1" t="s">
        <v>100</v>
      </c>
      <c r="K301" s="1" t="s">
        <v>101</v>
      </c>
      <c r="L301" s="1" t="b">
        <v>0</v>
      </c>
      <c r="M301" s="4" t="s">
        <v>102</v>
      </c>
      <c r="N301" s="1" t="s">
        <v>976</v>
      </c>
      <c r="O301" s="1">
        <v>594863.0</v>
      </c>
      <c r="P301" s="1">
        <v>607950.0</v>
      </c>
      <c r="Q301" s="1">
        <v>594863.0</v>
      </c>
      <c r="R301" s="1" t="s">
        <v>117</v>
      </c>
      <c r="S301" s="1">
        <v>13288.0</v>
      </c>
      <c r="T301" s="1" t="s">
        <v>104</v>
      </c>
      <c r="U301" s="3"/>
      <c r="V301" s="3"/>
      <c r="W301" s="1" t="s">
        <v>118</v>
      </c>
      <c r="X301" s="3"/>
      <c r="Y301" s="1" t="s">
        <v>119</v>
      </c>
      <c r="Z301" s="3"/>
      <c r="AA301" s="1" t="b">
        <v>1</v>
      </c>
      <c r="AB301" s="1" t="b">
        <v>0</v>
      </c>
      <c r="AC301" s="1" t="b">
        <v>0</v>
      </c>
      <c r="AD301" s="1" t="b">
        <v>1</v>
      </c>
      <c r="AE301" s="1" t="b">
        <v>1</v>
      </c>
      <c r="AF301" s="5">
        <v>1.0</v>
      </c>
      <c r="AG301" s="5">
        <v>1.0</v>
      </c>
      <c r="AH301" s="3"/>
      <c r="AI301" s="3"/>
      <c r="AJ301" s="2">
        <v>46059.59133101852</v>
      </c>
      <c r="AK301" s="2">
        <v>46062.49496527778</v>
      </c>
      <c r="AL301" s="2">
        <v>46059.59244212963</v>
      </c>
      <c r="AM301" s="2">
        <v>46059.59138888889</v>
      </c>
      <c r="AN301" s="2">
        <v>46059.59138888889</v>
      </c>
      <c r="AO301" s="2">
        <v>46059.59173611111</v>
      </c>
      <c r="AP301" s="2">
        <v>46059.59247685185</v>
      </c>
      <c r="AQ301" s="2">
        <v>46059.59271990741</v>
      </c>
      <c r="AS301" s="2">
        <v>46059.59273148148</v>
      </c>
      <c r="AT301" s="2">
        <v>46059.59173611111</v>
      </c>
      <c r="AU301" s="2">
        <v>46059.59273148148</v>
      </c>
      <c r="AW301" s="3"/>
      <c r="AX301" s="2">
        <v>46059.59266203704</v>
      </c>
      <c r="AY301" s="2">
        <v>46059.59173611111</v>
      </c>
      <c r="AZ301" s="2">
        <v>46059.601747685185</v>
      </c>
      <c r="BA301" s="2">
        <v>46059.601747685185</v>
      </c>
      <c r="BC301" s="2">
        <v>46062.45328703704</v>
      </c>
      <c r="BD301" s="2">
        <v>46062.45328703704</v>
      </c>
      <c r="BE301" s="5">
        <v>780.0</v>
      </c>
      <c r="BF301" s="5">
        <v>780.0</v>
      </c>
      <c r="BG301" s="5">
        <v>780.0</v>
      </c>
      <c r="BH301" s="5">
        <v>780.0</v>
      </c>
      <c r="BI301" s="3"/>
      <c r="BJ301" s="3"/>
      <c r="BK301" s="5">
        <v>0.0</v>
      </c>
      <c r="BL301" s="5">
        <v>0.0</v>
      </c>
      <c r="BM301" s="5">
        <v>110.0</v>
      </c>
      <c r="BN301" s="5">
        <v>110.0</v>
      </c>
      <c r="BO301" s="5">
        <v>895.0</v>
      </c>
      <c r="BP301" s="5">
        <v>895.0</v>
      </c>
      <c r="BQ301" s="5">
        <v>895.0</v>
      </c>
      <c r="BR301" s="5">
        <v>895.0</v>
      </c>
      <c r="BS301" s="5">
        <v>784.0</v>
      </c>
      <c r="BT301" s="5">
        <v>784.0</v>
      </c>
      <c r="BU301" s="5">
        <v>865.0</v>
      </c>
      <c r="BV301" s="5">
        <v>865.0</v>
      </c>
      <c r="BW301" s="5">
        <v>865.0</v>
      </c>
      <c r="BX301" s="5">
        <v>865.0</v>
      </c>
      <c r="BY301" s="5">
        <v>247268.0</v>
      </c>
      <c r="BZ301" s="5">
        <v>13268.0</v>
      </c>
      <c r="CA301" s="5">
        <v>247268.0</v>
      </c>
      <c r="CB301" s="5">
        <v>13268.0</v>
      </c>
      <c r="CC301" s="5">
        <v>247268.0</v>
      </c>
      <c r="CD301" s="5">
        <v>13268.0</v>
      </c>
      <c r="CE301" s="5">
        <v>247157.0</v>
      </c>
      <c r="CF301" s="5">
        <v>13157.0</v>
      </c>
      <c r="CG301" s="5">
        <v>247238.0</v>
      </c>
      <c r="CH301" s="5">
        <v>13238.0</v>
      </c>
      <c r="CI301" s="5">
        <v>247238.0</v>
      </c>
      <c r="CJ301" s="5">
        <v>13238.0</v>
      </c>
      <c r="CK301" s="5">
        <v>247238.0</v>
      </c>
      <c r="CL301" s="5">
        <v>13238.0</v>
      </c>
      <c r="CM301" s="5">
        <v>247238.0</v>
      </c>
      <c r="CN301" s="5">
        <v>13238.0</v>
      </c>
      <c r="CO301" s="5">
        <v>3.0</v>
      </c>
      <c r="CP301" s="5">
        <v>30.0</v>
      </c>
      <c r="CQ301" s="3"/>
      <c r="CR301" s="4" t="s">
        <v>1298</v>
      </c>
    </row>
    <row r="302">
      <c r="A302" s="1" t="s">
        <v>1299</v>
      </c>
      <c r="B302" s="2">
        <v>46059.59075231481</v>
      </c>
      <c r="C302" s="1" t="str">
        <f t="array" ref="C302">INDEX('User data'!E:E, MATCH(E302, 'User data'!B:B, 0))</f>
        <v>닥터블릿헬스케어 주식회사</v>
      </c>
      <c r="D302" s="1" t="str">
        <f t="array" ref="D302">INDEX('User data'!F:F, MATCH(C302, 'User data'!E:E, 0))</f>
        <v>382-88-01869</v>
      </c>
      <c r="E302" s="1" t="s">
        <v>284</v>
      </c>
      <c r="F302" s="3"/>
      <c r="G302" s="3"/>
      <c r="H302" s="3"/>
      <c r="I302" s="1" t="s">
        <v>258</v>
      </c>
      <c r="J302" s="1" t="s">
        <v>100</v>
      </c>
      <c r="K302" s="1" t="s">
        <v>101</v>
      </c>
      <c r="L302" s="1" t="b">
        <v>0</v>
      </c>
      <c r="M302" s="1" t="s">
        <v>1300</v>
      </c>
      <c r="N302" s="1" t="s">
        <v>976</v>
      </c>
      <c r="O302" s="1">
        <v>594863.0</v>
      </c>
      <c r="P302" s="1">
        <v>607950.0</v>
      </c>
      <c r="Q302" s="1">
        <v>594863.0</v>
      </c>
      <c r="R302" s="1" t="s">
        <v>117</v>
      </c>
      <c r="S302" s="1">
        <v>13288.0</v>
      </c>
      <c r="T302" s="1" t="s">
        <v>104</v>
      </c>
      <c r="U302" s="3"/>
      <c r="V302" s="3"/>
      <c r="W302" s="1" t="s">
        <v>118</v>
      </c>
      <c r="X302" s="3"/>
      <c r="Y302" s="1" t="s">
        <v>119</v>
      </c>
      <c r="Z302" s="3"/>
      <c r="AA302" s="1" t="b">
        <v>1</v>
      </c>
      <c r="AB302" s="1" t="b">
        <v>0</v>
      </c>
      <c r="AC302" s="1" t="b">
        <v>0</v>
      </c>
      <c r="AD302" s="1" t="b">
        <v>1</v>
      </c>
      <c r="AE302" s="1" t="b">
        <v>1</v>
      </c>
      <c r="AF302" s="5">
        <v>2.0</v>
      </c>
      <c r="AG302" s="5">
        <v>2.0</v>
      </c>
      <c r="AH302" s="3"/>
      <c r="AI302" s="3"/>
      <c r="AJ302" s="2">
        <v>46059.59054398148</v>
      </c>
      <c r="AK302" s="2">
        <v>46059.649409722224</v>
      </c>
      <c r="AL302" s="2">
        <v>46059.60773148148</v>
      </c>
      <c r="AM302" s="2">
        <v>46059.59075231481</v>
      </c>
      <c r="AN302" s="2">
        <v>46059.59075231481</v>
      </c>
      <c r="AO302" s="2">
        <v>46059.591469907406</v>
      </c>
      <c r="AQ302" s="3"/>
      <c r="AR302" s="3"/>
      <c r="AS302" s="3"/>
      <c r="AT302" s="2">
        <v>46059.591469907406</v>
      </c>
      <c r="AU302" s="2">
        <v>46059.591469907406</v>
      </c>
      <c r="AW302" s="3"/>
      <c r="AX302" s="2">
        <v>46059.591261574074</v>
      </c>
      <c r="AY302" s="2">
        <v>46059.591469907406</v>
      </c>
      <c r="AZ302" s="2">
        <v>46059.591469907406</v>
      </c>
      <c r="BA302" s="2">
        <v>46059.60767361111</v>
      </c>
      <c r="BC302" s="2">
        <v>46059.60773148148</v>
      </c>
      <c r="BD302" s="2">
        <v>46059.60773148148</v>
      </c>
      <c r="BE302" s="5">
        <v>1321.0</v>
      </c>
      <c r="BF302" s="5">
        <v>1321.0</v>
      </c>
      <c r="BG302" s="5">
        <v>660.0</v>
      </c>
      <c r="BH302" s="5">
        <v>660.0</v>
      </c>
      <c r="BI302" s="3"/>
      <c r="BJ302" s="3"/>
      <c r="BK302" s="3"/>
      <c r="BL302" s="3"/>
      <c r="BM302" s="5">
        <v>43.0</v>
      </c>
      <c r="BN302" s="5">
        <v>43.0</v>
      </c>
      <c r="BO302" s="5">
        <v>61.0</v>
      </c>
      <c r="BP302" s="5">
        <v>61.0</v>
      </c>
      <c r="BQ302" s="5">
        <v>61.0</v>
      </c>
      <c r="BR302" s="5">
        <v>61.0</v>
      </c>
      <c r="BS302" s="5">
        <v>17.0</v>
      </c>
      <c r="BT302" s="5">
        <v>17.0</v>
      </c>
      <c r="BU302" s="3"/>
      <c r="BV302" s="3"/>
      <c r="BW302" s="5">
        <v>0.0</v>
      </c>
      <c r="BX302" s="3"/>
      <c r="BY302" s="5">
        <v>1466.0</v>
      </c>
      <c r="BZ302" s="5">
        <v>1466.0</v>
      </c>
      <c r="CA302" s="5">
        <v>1466.0</v>
      </c>
      <c r="CB302" s="5">
        <v>1466.0</v>
      </c>
      <c r="CC302" s="5">
        <v>1466.0</v>
      </c>
      <c r="CD302" s="5">
        <v>1466.0</v>
      </c>
      <c r="CE302" s="5">
        <v>1422.0</v>
      </c>
      <c r="CF302" s="5">
        <v>1422.0</v>
      </c>
      <c r="CG302" s="5">
        <v>1404.0</v>
      </c>
      <c r="CH302" s="5">
        <v>1404.0</v>
      </c>
      <c r="CI302" s="5">
        <v>1404.0</v>
      </c>
      <c r="CJ302" s="5">
        <v>1404.0</v>
      </c>
      <c r="CK302" s="5">
        <v>1404.0</v>
      </c>
      <c r="CL302" s="5">
        <v>1404.0</v>
      </c>
      <c r="CM302" s="5">
        <v>1404.0</v>
      </c>
      <c r="CN302" s="5">
        <v>1404.0</v>
      </c>
      <c r="CO302" s="3"/>
      <c r="CP302" s="5">
        <v>61.0</v>
      </c>
      <c r="CQ302" s="3"/>
      <c r="CR302" s="4" t="s">
        <v>1301</v>
      </c>
    </row>
    <row r="303">
      <c r="A303" s="1" t="s">
        <v>1302</v>
      </c>
      <c r="B303" s="2">
        <v>46059.581087962964</v>
      </c>
      <c r="C303" s="1" t="str">
        <f t="array" ref="C303">INDEX('User data'!E:E, MATCH(E303, 'User data'!B:B, 0))</f>
        <v>주식회사 스위트스팟</v>
      </c>
      <c r="D303" s="1" t="str">
        <f t="array" ref="D303">INDEX('User data'!F:F, MATCH(C303, 'User data'!E:E, 0))</f>
        <v>846-86-00225</v>
      </c>
      <c r="E303" s="1" t="s">
        <v>1079</v>
      </c>
      <c r="F303" s="3"/>
      <c r="G303" s="3"/>
      <c r="H303" s="3"/>
      <c r="I303" s="1" t="s">
        <v>716</v>
      </c>
      <c r="J303" s="1" t="s">
        <v>100</v>
      </c>
      <c r="K303" s="1" t="s">
        <v>101</v>
      </c>
      <c r="L303" s="1" t="b">
        <v>0</v>
      </c>
      <c r="M303" s="4" t="s">
        <v>102</v>
      </c>
      <c r="N303" s="1" t="s">
        <v>1080</v>
      </c>
      <c r="O303" s="1">
        <v>607950.0</v>
      </c>
      <c r="P303" s="1">
        <v>607950.0</v>
      </c>
      <c r="Q303" s="1">
        <v>607950.0</v>
      </c>
      <c r="R303" s="1" t="s">
        <v>145</v>
      </c>
      <c r="S303" s="3"/>
      <c r="T303" s="1" t="s">
        <v>104</v>
      </c>
      <c r="U303" s="3"/>
      <c r="V303" s="3"/>
      <c r="W303" s="1" t="s">
        <v>118</v>
      </c>
      <c r="X303" s="3"/>
      <c r="Y303" s="1" t="s">
        <v>119</v>
      </c>
      <c r="Z303" s="3"/>
      <c r="AA303" s="1" t="b">
        <v>1</v>
      </c>
      <c r="AB303" s="1" t="b">
        <v>0</v>
      </c>
      <c r="AC303" s="1" t="b">
        <v>0</v>
      </c>
      <c r="AD303" s="1" t="b">
        <v>1</v>
      </c>
      <c r="AE303" s="1" t="b">
        <v>1</v>
      </c>
      <c r="AF303" s="5">
        <v>2.0</v>
      </c>
      <c r="AG303" s="5">
        <v>2.0</v>
      </c>
      <c r="AH303" s="3"/>
      <c r="AI303" s="3"/>
      <c r="AJ303" s="2">
        <v>46059.58094907407</v>
      </c>
      <c r="AK303" s="2">
        <v>46062.781689814816</v>
      </c>
      <c r="AL303" s="2">
        <v>46059.61445601852</v>
      </c>
      <c r="AM303" s="2">
        <v>46059.581087962964</v>
      </c>
      <c r="AN303" s="2">
        <v>46059.581087962964</v>
      </c>
      <c r="AO303" s="2">
        <v>46059.58255787037</v>
      </c>
      <c r="AP303" s="2">
        <v>46062.781377314815</v>
      </c>
      <c r="AR303" s="3"/>
      <c r="AS303" s="3"/>
      <c r="AT303" s="2">
        <v>46059.58255787037</v>
      </c>
      <c r="AU303" s="2">
        <v>46059.58255787037</v>
      </c>
      <c r="AW303" s="3"/>
      <c r="AX303" s="2">
        <v>46059.58246527778</v>
      </c>
      <c r="AY303" s="2">
        <v>46059.58255787037</v>
      </c>
      <c r="AZ303" s="2">
        <v>46059.58255787037</v>
      </c>
      <c r="BA303" s="2">
        <v>46059.59473379629</v>
      </c>
      <c r="BC303" s="2">
        <v>46059.61445601852</v>
      </c>
      <c r="BD303" s="2">
        <v>46059.61445601852</v>
      </c>
      <c r="BE303" s="5">
        <v>178.0</v>
      </c>
      <c r="BF303" s="5">
        <v>178.0</v>
      </c>
      <c r="BG303" s="5">
        <v>89.0</v>
      </c>
      <c r="BH303" s="5">
        <v>89.0</v>
      </c>
      <c r="BI303" s="3"/>
      <c r="BJ303" s="3"/>
      <c r="BK303" s="3"/>
      <c r="BL303" s="3"/>
      <c r="BM303" s="5">
        <v>119.0</v>
      </c>
      <c r="BN303" s="5">
        <v>119.0</v>
      </c>
      <c r="BO303" s="5">
        <v>127.0</v>
      </c>
      <c r="BP303" s="5">
        <v>127.0</v>
      </c>
      <c r="BQ303" s="5">
        <v>127.0</v>
      </c>
      <c r="BR303" s="5">
        <v>127.0</v>
      </c>
      <c r="BS303" s="5">
        <v>7.0</v>
      </c>
      <c r="BT303" s="5">
        <v>7.0</v>
      </c>
      <c r="BU303" s="3"/>
      <c r="BV303" s="3"/>
      <c r="BW303" s="5">
        <v>0.0</v>
      </c>
      <c r="BX303" s="3"/>
      <c r="BY303" s="5">
        <v>2883.0</v>
      </c>
      <c r="BZ303" s="5">
        <v>2883.0</v>
      </c>
      <c r="CA303" s="5">
        <v>2883.0</v>
      </c>
      <c r="CB303" s="5">
        <v>2883.0</v>
      </c>
      <c r="CC303" s="5">
        <v>2883.0</v>
      </c>
      <c r="CD303" s="5">
        <v>2883.0</v>
      </c>
      <c r="CE303" s="5">
        <v>2763.0</v>
      </c>
      <c r="CF303" s="5">
        <v>2763.0</v>
      </c>
      <c r="CG303" s="5">
        <v>2755.0</v>
      </c>
      <c r="CH303" s="5">
        <v>2755.0</v>
      </c>
      <c r="CI303" s="5">
        <v>2755.0</v>
      </c>
      <c r="CJ303" s="5">
        <v>2755.0</v>
      </c>
      <c r="CK303" s="5">
        <v>2755.0</v>
      </c>
      <c r="CL303" s="5">
        <v>2755.0</v>
      </c>
      <c r="CM303" s="5">
        <v>2755.0</v>
      </c>
      <c r="CN303" s="5">
        <v>2755.0</v>
      </c>
      <c r="CO303" s="5">
        <v>273621.0</v>
      </c>
      <c r="CP303" s="5">
        <v>127.0</v>
      </c>
      <c r="CQ303" s="3"/>
      <c r="CR303" s="4" t="s">
        <v>1303</v>
      </c>
      <c r="CS303" s="5">
        <v>5.0</v>
      </c>
      <c r="CT303" s="1" t="s">
        <v>1304</v>
      </c>
    </row>
    <row r="304">
      <c r="A304" s="1" t="s">
        <v>1305</v>
      </c>
      <c r="B304" s="2">
        <v>46059.57481481481</v>
      </c>
      <c r="C304" s="1" t="str">
        <f t="array" ref="C304">INDEX('User data'!E:E, MATCH(E304, 'User data'!B:B, 0))</f>
        <v>주식회사 엑소스피어 랩스</v>
      </c>
      <c r="D304" s="1" t="str">
        <f t="array" ref="D304">INDEX('User data'!F:F, MATCH(C304, 'User data'!E:E, 0))</f>
        <v>565-81-01373</v>
      </c>
      <c r="E304" s="1" t="s">
        <v>1306</v>
      </c>
      <c r="F304" s="3"/>
      <c r="G304" s="3"/>
      <c r="H304" s="3"/>
      <c r="I304" s="1" t="s">
        <v>829</v>
      </c>
      <c r="J304" s="1" t="s">
        <v>100</v>
      </c>
      <c r="K304" s="1" t="s">
        <v>101</v>
      </c>
      <c r="L304" s="1" t="b">
        <v>0</v>
      </c>
      <c r="M304" s="4" t="s">
        <v>102</v>
      </c>
      <c r="N304" s="1" t="s">
        <v>1307</v>
      </c>
      <c r="O304" s="1">
        <v>607950.0</v>
      </c>
      <c r="P304" s="1">
        <v>607950.0</v>
      </c>
      <c r="Q304" s="1">
        <v>607950.0</v>
      </c>
      <c r="R304" s="1" t="s">
        <v>1201</v>
      </c>
      <c r="T304" s="1" t="s">
        <v>104</v>
      </c>
      <c r="U304" s="3"/>
      <c r="V304" s="3"/>
      <c r="W304" s="1" t="s">
        <v>118</v>
      </c>
      <c r="X304" s="3"/>
      <c r="Y304" s="1" t="s">
        <v>119</v>
      </c>
      <c r="Z304" s="3"/>
      <c r="AA304" s="1" t="b">
        <v>1</v>
      </c>
      <c r="AB304" s="1" t="b">
        <v>0</v>
      </c>
      <c r="AC304" s="1" t="b">
        <v>0</v>
      </c>
      <c r="AD304" s="1" t="b">
        <v>1</v>
      </c>
      <c r="AE304" s="1" t="b">
        <v>1</v>
      </c>
      <c r="AF304" s="5">
        <v>5.0</v>
      </c>
      <c r="AG304" s="5">
        <v>5.0</v>
      </c>
      <c r="AH304" s="3"/>
      <c r="AI304" s="3"/>
      <c r="AJ304" s="2">
        <v>46059.57471064815</v>
      </c>
      <c r="AK304" s="2">
        <v>46059.63425925926</v>
      </c>
      <c r="AL304" s="2">
        <v>46059.59258101852</v>
      </c>
      <c r="AM304" s="2">
        <v>46059.57481481481</v>
      </c>
      <c r="AN304" s="2">
        <v>46059.57481481481</v>
      </c>
      <c r="AO304" s="2">
        <v>46059.57545138889</v>
      </c>
      <c r="AQ304" s="3"/>
      <c r="AR304" s="3"/>
      <c r="AS304" s="3"/>
      <c r="AT304" s="2">
        <v>46059.57545138889</v>
      </c>
      <c r="AU304" s="2">
        <v>46059.57545138889</v>
      </c>
      <c r="AW304" s="3"/>
      <c r="AX304" s="2">
        <v>46059.57556712963</v>
      </c>
      <c r="AY304" s="2">
        <v>46059.57545138889</v>
      </c>
      <c r="AZ304" s="2">
        <v>46059.57561342593</v>
      </c>
      <c r="BA304" s="2">
        <v>46059.59204861111</v>
      </c>
      <c r="BC304" s="2">
        <v>46059.59258101852</v>
      </c>
      <c r="BD304" s="2">
        <v>46059.59258101852</v>
      </c>
      <c r="BE304" s="5">
        <v>1289.0</v>
      </c>
      <c r="BF304" s="5">
        <v>1289.0</v>
      </c>
      <c r="BG304" s="5">
        <v>257.0</v>
      </c>
      <c r="BH304" s="5">
        <v>257.0</v>
      </c>
      <c r="BI304" s="3"/>
      <c r="BJ304" s="3"/>
      <c r="BK304" s="3"/>
      <c r="BL304" s="3"/>
      <c r="BM304" s="5">
        <v>64.0</v>
      </c>
      <c r="BN304" s="5">
        <v>64.0</v>
      </c>
      <c r="BO304" s="5">
        <v>68.0</v>
      </c>
      <c r="BP304" s="5">
        <v>68.0</v>
      </c>
      <c r="BQ304" s="5">
        <v>68.0</v>
      </c>
      <c r="BR304" s="5">
        <v>68.0</v>
      </c>
      <c r="BS304" s="5">
        <v>3.0</v>
      </c>
      <c r="BT304" s="5">
        <v>3.0</v>
      </c>
      <c r="BU304" s="5">
        <v>13.0</v>
      </c>
      <c r="BV304" s="5">
        <v>13.0</v>
      </c>
      <c r="BW304" s="5">
        <v>13.0</v>
      </c>
      <c r="BX304" s="5">
        <v>13.0</v>
      </c>
      <c r="BY304" s="5">
        <v>1534.0</v>
      </c>
      <c r="BZ304" s="5">
        <v>1534.0</v>
      </c>
      <c r="CA304" s="5">
        <v>1534.0</v>
      </c>
      <c r="CB304" s="5">
        <v>1534.0</v>
      </c>
      <c r="CC304" s="5">
        <v>1534.0</v>
      </c>
      <c r="CD304" s="5">
        <v>1534.0</v>
      </c>
      <c r="CE304" s="5">
        <v>1469.0</v>
      </c>
      <c r="CF304" s="5">
        <v>1469.0</v>
      </c>
      <c r="CG304" s="5">
        <v>1480.0</v>
      </c>
      <c r="CH304" s="5">
        <v>1480.0</v>
      </c>
      <c r="CI304" s="5">
        <v>1480.0</v>
      </c>
      <c r="CJ304" s="5">
        <v>1480.0</v>
      </c>
      <c r="CK304" s="5">
        <v>1480.0</v>
      </c>
      <c r="CL304" s="5">
        <v>1480.0</v>
      </c>
      <c r="CM304" s="5">
        <v>1480.0</v>
      </c>
      <c r="CN304" s="5">
        <v>1480.0</v>
      </c>
      <c r="CO304" s="3"/>
      <c r="CP304" s="5">
        <v>54.0</v>
      </c>
      <c r="CQ304" s="3"/>
      <c r="CR304" s="4" t="s">
        <v>1308</v>
      </c>
    </row>
    <row r="305">
      <c r="A305" s="1" t="s">
        <v>1309</v>
      </c>
      <c r="B305" s="2">
        <v>46059.57167824074</v>
      </c>
      <c r="C305" s="1" t="str">
        <f t="array" ref="C305">INDEX('User data'!E:E, MATCH(E305, 'User data'!B:B, 0))</f>
        <v>주식회사 엄마의이유</v>
      </c>
      <c r="D305" s="1" t="str">
        <f t="array" ref="D305">INDEX('User data'!F:F, MATCH(C305, 'User data'!E:E, 0))</f>
        <v>703-86-03890</v>
      </c>
      <c r="E305" s="1" t="s">
        <v>1310</v>
      </c>
      <c r="F305" s="3"/>
      <c r="G305" s="3"/>
      <c r="H305" s="3"/>
      <c r="I305" s="3"/>
      <c r="J305" s="1" t="s">
        <v>100</v>
      </c>
      <c r="K305" s="1" t="s">
        <v>101</v>
      </c>
      <c r="L305" s="1" t="b">
        <v>0</v>
      </c>
      <c r="M305" s="4" t="s">
        <v>102</v>
      </c>
      <c r="N305" s="1" t="s">
        <v>1311</v>
      </c>
      <c r="P305" s="3"/>
      <c r="Q305" s="3"/>
      <c r="R305" s="3"/>
      <c r="S305" s="3"/>
      <c r="T305" s="1" t="s">
        <v>104</v>
      </c>
      <c r="U305" s="3"/>
      <c r="V305" s="3"/>
      <c r="W305" s="1" t="s">
        <v>105</v>
      </c>
      <c r="X305" s="3"/>
      <c r="Y305" s="1" t="s">
        <v>106</v>
      </c>
      <c r="Z305" s="3"/>
      <c r="AA305" s="1" t="b">
        <v>0</v>
      </c>
      <c r="AB305" s="1" t="b">
        <v>0</v>
      </c>
      <c r="AC305" s="1" t="b">
        <v>0</v>
      </c>
      <c r="AD305" s="1" t="b">
        <v>0</v>
      </c>
      <c r="AE305" s="1" t="b">
        <v>1</v>
      </c>
      <c r="AF305" s="3"/>
      <c r="AG305" s="3"/>
      <c r="AH305" s="3"/>
      <c r="AI305" s="3"/>
      <c r="AJ305" s="2">
        <v>46059.57114583333</v>
      </c>
      <c r="AK305" s="2">
        <v>46060.57172453704</v>
      </c>
      <c r="AM305" s="2">
        <v>46059.57167824074</v>
      </c>
      <c r="AN305" s="2">
        <v>46059.57167824074</v>
      </c>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5">
        <v>4.4</v>
      </c>
      <c r="CR305" s="4" t="s">
        <v>1312</v>
      </c>
    </row>
    <row r="306">
      <c r="A306" s="1" t="s">
        <v>1313</v>
      </c>
      <c r="B306" s="2">
        <v>46059.53962962963</v>
      </c>
      <c r="C306" s="1" t="str">
        <f t="array" ref="C306">INDEX('User data'!E:E, MATCH(E306, 'User data'!B:B, 0))</f>
        <v>주식회사 프리윌린</v>
      </c>
      <c r="D306" s="1" t="str">
        <f t="array" ref="D306">INDEX('User data'!F:F, MATCH(C306, 'User data'!E:E, 0))</f>
        <v>834-86-00713</v>
      </c>
      <c r="E306" s="1" t="s">
        <v>893</v>
      </c>
      <c r="F306" s="3"/>
      <c r="G306" s="3"/>
      <c r="H306" s="3"/>
      <c r="I306" s="3"/>
      <c r="J306" s="1" t="s">
        <v>100</v>
      </c>
      <c r="K306" s="1" t="s">
        <v>101</v>
      </c>
      <c r="L306" s="1" t="b">
        <v>0</v>
      </c>
      <c r="M306" s="4" t="s">
        <v>102</v>
      </c>
      <c r="N306" s="1" t="s">
        <v>894</v>
      </c>
      <c r="P306" s="3"/>
      <c r="Q306" s="3"/>
      <c r="R306" s="3"/>
      <c r="S306" s="3"/>
      <c r="T306" s="1" t="s">
        <v>104</v>
      </c>
      <c r="U306" s="3"/>
      <c r="V306" s="3"/>
      <c r="W306" s="1" t="s">
        <v>105</v>
      </c>
      <c r="X306" s="3"/>
      <c r="Y306" s="1" t="s">
        <v>106</v>
      </c>
      <c r="Z306" s="3"/>
      <c r="AA306" s="1" t="b">
        <v>0</v>
      </c>
      <c r="AB306" s="1" t="b">
        <v>0</v>
      </c>
      <c r="AC306" s="1" t="b">
        <v>0</v>
      </c>
      <c r="AD306" s="1" t="b">
        <v>0</v>
      </c>
      <c r="AE306" s="1" t="b">
        <v>1</v>
      </c>
      <c r="AF306" s="3"/>
      <c r="AG306" s="3"/>
      <c r="AH306" s="3"/>
      <c r="AI306" s="3"/>
      <c r="AJ306" s="2">
        <v>46059.539375</v>
      </c>
      <c r="AK306" s="2">
        <v>46060.61578703704</v>
      </c>
      <c r="AM306" s="2">
        <v>46059.53962962963</v>
      </c>
      <c r="AN306" s="2">
        <v>46059.53962962963</v>
      </c>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5">
        <v>3.6</v>
      </c>
      <c r="CR306" s="4" t="s">
        <v>1314</v>
      </c>
    </row>
    <row r="307">
      <c r="A307" s="1" t="s">
        <v>1315</v>
      </c>
      <c r="B307" s="2">
        <v>46059.538148148145</v>
      </c>
      <c r="C307" s="1" t="str">
        <f t="array" ref="C307">INDEX('User data'!E:E, MATCH(E307, 'User data'!B:B, 0))</f>
        <v>주식회사 파크로</v>
      </c>
      <c r="D307" s="1" t="str">
        <f t="array" ref="D307">INDEX('User data'!F:F, MATCH(C307, 'User data'!E:E, 0))</f>
        <v>701-88-02550</v>
      </c>
      <c r="E307" s="1" t="s">
        <v>1316</v>
      </c>
      <c r="F307" s="3"/>
      <c r="G307" s="1" t="s">
        <v>1317</v>
      </c>
      <c r="I307" s="1" t="s">
        <v>1253</v>
      </c>
      <c r="J307" s="1" t="s">
        <v>100</v>
      </c>
      <c r="K307" s="1" t="s">
        <v>101</v>
      </c>
      <c r="L307" s="1" t="b">
        <v>0</v>
      </c>
      <c r="M307" s="4" t="s">
        <v>102</v>
      </c>
      <c r="N307" s="1" t="s">
        <v>1318</v>
      </c>
      <c r="O307" s="1">
        <v>607950.0</v>
      </c>
      <c r="P307" s="1">
        <v>607950.0</v>
      </c>
      <c r="Q307" s="1">
        <v>607950.0</v>
      </c>
      <c r="R307" s="1">
        <v>607950.0</v>
      </c>
      <c r="S307" s="3"/>
      <c r="T307" s="1" t="s">
        <v>104</v>
      </c>
      <c r="U307" s="3"/>
      <c r="V307" s="3"/>
      <c r="W307" s="1" t="s">
        <v>118</v>
      </c>
      <c r="X307" s="3"/>
      <c r="Y307" s="1" t="s">
        <v>119</v>
      </c>
      <c r="Z307" s="3"/>
      <c r="AA307" s="1" t="b">
        <v>1</v>
      </c>
      <c r="AB307" s="1" t="b">
        <v>0</v>
      </c>
      <c r="AC307" s="1" t="b">
        <v>0</v>
      </c>
      <c r="AD307" s="1" t="b">
        <v>1</v>
      </c>
      <c r="AE307" s="1" t="b">
        <v>1</v>
      </c>
      <c r="AF307" s="5">
        <v>2.0</v>
      </c>
      <c r="AG307" s="5">
        <v>1.0</v>
      </c>
      <c r="AH307" s="3"/>
      <c r="AI307" s="3"/>
      <c r="AJ307" s="2">
        <v>46059.537766203706</v>
      </c>
      <c r="AK307" s="2">
        <v>46062.45842592593</v>
      </c>
      <c r="AL307" s="2">
        <v>46062.41674768519</v>
      </c>
      <c r="AM307" s="2">
        <v>46059.538148148145</v>
      </c>
      <c r="AN307" s="2">
        <v>46059.538148148145</v>
      </c>
      <c r="AO307" s="2">
        <v>46059.60189814815</v>
      </c>
      <c r="AQ307" s="3"/>
      <c r="AR307" s="3"/>
      <c r="AS307" s="3"/>
      <c r="AT307" s="2">
        <v>46059.60189814815</v>
      </c>
      <c r="AU307" s="2">
        <v>46060.37519675926</v>
      </c>
      <c r="AW307" s="3"/>
      <c r="AX307" s="2">
        <v>46059.601851851854</v>
      </c>
      <c r="AY307" s="2">
        <v>46059.60189814815</v>
      </c>
      <c r="AZ307" s="2">
        <v>46059.60189814815</v>
      </c>
      <c r="BA307" s="2">
        <v>46062.41662037037</v>
      </c>
      <c r="BB307" s="2">
        <v>46059.60524305556</v>
      </c>
      <c r="BC307" s="2">
        <v>46062.41674768519</v>
      </c>
      <c r="BD307" s="2">
        <v>46062.41674768519</v>
      </c>
      <c r="BE307" s="5">
        <v>176662.0</v>
      </c>
      <c r="BF307" s="5">
        <v>282.0</v>
      </c>
      <c r="BG307" s="5">
        <v>88331.0</v>
      </c>
      <c r="BH307" s="5">
        <v>282.0</v>
      </c>
      <c r="BI307" s="5">
        <v>66524.0</v>
      </c>
      <c r="BJ307" s="5">
        <v>8906.0</v>
      </c>
      <c r="BK307" s="3"/>
      <c r="BL307" s="3"/>
      <c r="BM307" s="5">
        <v>5503.0</v>
      </c>
      <c r="BN307" s="5">
        <v>3400.0</v>
      </c>
      <c r="BO307" s="5">
        <v>5507.0</v>
      </c>
      <c r="BP307" s="5">
        <v>3404.0</v>
      </c>
      <c r="BQ307" s="5">
        <v>5507.0</v>
      </c>
      <c r="BR307" s="5">
        <v>3404.0</v>
      </c>
      <c r="BS307" s="5">
        <v>4.0</v>
      </c>
      <c r="BT307" s="5">
        <v>4.0</v>
      </c>
      <c r="BU307" s="3"/>
      <c r="BV307" s="3"/>
      <c r="BW307" s="5">
        <v>0.0</v>
      </c>
      <c r="BX307" s="3"/>
      <c r="BY307" s="5">
        <v>248711.0</v>
      </c>
      <c r="BZ307" s="5">
        <v>12607.0</v>
      </c>
      <c r="CA307" s="5">
        <v>248711.0</v>
      </c>
      <c r="CB307" s="5">
        <v>12607.0</v>
      </c>
      <c r="CC307" s="5">
        <v>248711.0</v>
      </c>
      <c r="CD307" s="5">
        <v>12607.0</v>
      </c>
      <c r="CE307" s="5">
        <v>243207.0</v>
      </c>
      <c r="CF307" s="5">
        <v>9207.0</v>
      </c>
      <c r="CG307" s="5">
        <v>243203.0</v>
      </c>
      <c r="CH307" s="5">
        <v>9203.0</v>
      </c>
      <c r="CI307" s="5">
        <v>243203.0</v>
      </c>
      <c r="CJ307" s="5">
        <v>9203.0</v>
      </c>
      <c r="CK307" s="5">
        <v>176679.0</v>
      </c>
      <c r="CL307" s="5">
        <v>297.0</v>
      </c>
      <c r="CM307" s="5">
        <v>176679.0</v>
      </c>
      <c r="CN307" s="5">
        <v>297.0</v>
      </c>
      <c r="CO307" s="3"/>
      <c r="CP307" s="5">
        <v>5507.0</v>
      </c>
      <c r="CQ307" s="3"/>
      <c r="CR307" s="4" t="s">
        <v>1319</v>
      </c>
    </row>
    <row r="308">
      <c r="A308" s="1" t="s">
        <v>1320</v>
      </c>
      <c r="B308" s="2">
        <v>46059.52195601852</v>
      </c>
      <c r="C308" s="1" t="str">
        <f t="array" ref="C308">INDEX('User data'!E:E, MATCH(E308, 'User data'!B:B, 0))</f>
        <v>주식회사 아이리스브라이트</v>
      </c>
      <c r="D308" s="1" t="str">
        <f t="array" ref="D308">INDEX('User data'!F:F, MATCH(C308, 'User data'!E:E, 0))</f>
        <v>863-81-01831</v>
      </c>
      <c r="E308" s="1" t="s">
        <v>1321</v>
      </c>
      <c r="F308" s="3"/>
      <c r="G308" s="3"/>
      <c r="H308" s="3"/>
      <c r="I308" s="3"/>
      <c r="J308" s="1" t="s">
        <v>100</v>
      </c>
      <c r="K308" s="1" t="s">
        <v>101</v>
      </c>
      <c r="L308" s="1" t="b">
        <v>0</v>
      </c>
      <c r="M308" s="4" t="s">
        <v>102</v>
      </c>
      <c r="N308" s="1" t="s">
        <v>1322</v>
      </c>
      <c r="P308" s="3"/>
      <c r="Q308" s="3"/>
      <c r="R308" s="3"/>
      <c r="S308" s="3"/>
      <c r="T308" s="1" t="s">
        <v>104</v>
      </c>
      <c r="U308" s="3"/>
      <c r="V308" s="3"/>
      <c r="W308" s="1" t="s">
        <v>105</v>
      </c>
      <c r="X308" s="3"/>
      <c r="Y308" s="1" t="s">
        <v>106</v>
      </c>
      <c r="Z308" s="3"/>
      <c r="AA308" s="1" t="b">
        <v>0</v>
      </c>
      <c r="AB308" s="1" t="b">
        <v>0</v>
      </c>
      <c r="AC308" s="1" t="b">
        <v>0</v>
      </c>
      <c r="AD308" s="1" t="b">
        <v>0</v>
      </c>
      <c r="AE308" s="1" t="b">
        <v>1</v>
      </c>
      <c r="AF308" s="3"/>
      <c r="AG308" s="3"/>
      <c r="AH308" s="3"/>
      <c r="AI308" s="3"/>
      <c r="AJ308" s="2">
        <v>46059.52190972222</v>
      </c>
      <c r="AK308" s="2">
        <v>46060.52329861111</v>
      </c>
      <c r="AM308" s="2">
        <v>46059.52195601852</v>
      </c>
      <c r="AN308" s="2">
        <v>46059.52195601852</v>
      </c>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5">
        <v>3.4</v>
      </c>
      <c r="CR308" s="4" t="s">
        <v>1323</v>
      </c>
    </row>
    <row r="309">
      <c r="A309" s="1" t="s">
        <v>1324</v>
      </c>
      <c r="B309" s="2">
        <v>46059.5216087963</v>
      </c>
      <c r="C309" s="1" t="str">
        <f t="array" ref="C309">INDEX('User data'!E:E, MATCH(E309, 'User data'!B:B, 0))</f>
        <v>주식회사 아이리스브라이트</v>
      </c>
      <c r="D309" s="1" t="str">
        <f t="array" ref="D309">INDEX('User data'!F:F, MATCH(C309, 'User data'!E:E, 0))</f>
        <v>863-81-01831</v>
      </c>
      <c r="E309" s="1" t="s">
        <v>1321</v>
      </c>
      <c r="F309" s="3"/>
      <c r="G309" s="3"/>
      <c r="H309" s="3"/>
      <c r="I309" s="3"/>
      <c r="J309" s="1" t="s">
        <v>100</v>
      </c>
      <c r="K309" s="1" t="s">
        <v>101</v>
      </c>
      <c r="L309" s="1" t="b">
        <v>0</v>
      </c>
      <c r="M309" s="4" t="s">
        <v>102</v>
      </c>
      <c r="N309" s="1" t="s">
        <v>1322</v>
      </c>
      <c r="P309" s="3"/>
      <c r="Q309" s="3"/>
      <c r="R309" s="3"/>
      <c r="S309" s="3"/>
      <c r="T309" s="1" t="s">
        <v>104</v>
      </c>
      <c r="U309" s="3"/>
      <c r="V309" s="3"/>
      <c r="W309" s="1" t="s">
        <v>105</v>
      </c>
      <c r="X309" s="3"/>
      <c r="Y309" s="1" t="s">
        <v>106</v>
      </c>
      <c r="Z309" s="3"/>
      <c r="AA309" s="1" t="b">
        <v>0</v>
      </c>
      <c r="AB309" s="1" t="b">
        <v>0</v>
      </c>
      <c r="AC309" s="1" t="b">
        <v>0</v>
      </c>
      <c r="AD309" s="1" t="b">
        <v>0</v>
      </c>
      <c r="AE309" s="1" t="b">
        <v>1</v>
      </c>
      <c r="AF309" s="3"/>
      <c r="AG309" s="3"/>
      <c r="AH309" s="3"/>
      <c r="AI309" s="3"/>
      <c r="AJ309" s="2">
        <v>46059.521574074075</v>
      </c>
      <c r="AK309" s="2">
        <v>46060.52165509259</v>
      </c>
      <c r="AM309" s="2">
        <v>46059.5216087963</v>
      </c>
      <c r="AN309" s="2">
        <v>46059.5216087963</v>
      </c>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5">
        <v>4.4</v>
      </c>
      <c r="CR309" s="4" t="s">
        <v>1325</v>
      </c>
    </row>
    <row r="310">
      <c r="A310" s="1" t="s">
        <v>1326</v>
      </c>
      <c r="B310" s="2">
        <v>46059.48370370371</v>
      </c>
      <c r="C310" s="1" t="str">
        <f t="array" ref="C310">INDEX('User data'!E:E, MATCH(E310, 'User data'!B:B, 0))</f>
        <v>모비두 주식회사 (Mobidoo)</v>
      </c>
      <c r="D310" s="1" t="str">
        <f t="array" ref="D310">INDEX('User data'!F:F, MATCH(C310, 'User data'!E:E, 0))</f>
        <v>120-88-01596</v>
      </c>
      <c r="E310" s="1" t="s">
        <v>1327</v>
      </c>
      <c r="F310" s="3"/>
      <c r="G310" s="3"/>
      <c r="H310" s="3"/>
      <c r="I310" s="3"/>
      <c r="J310" s="1" t="s">
        <v>100</v>
      </c>
      <c r="K310" s="1" t="s">
        <v>101</v>
      </c>
      <c r="L310" s="1" t="b">
        <v>0</v>
      </c>
      <c r="M310" s="4" t="s">
        <v>102</v>
      </c>
      <c r="N310" s="1" t="s">
        <v>1328</v>
      </c>
      <c r="O310" s="1">
        <v>594863.0</v>
      </c>
      <c r="P310" s="1">
        <v>574085.0</v>
      </c>
      <c r="Q310" s="3"/>
      <c r="R310" s="1" t="s">
        <v>703</v>
      </c>
      <c r="S310" s="1">
        <v>13288.0</v>
      </c>
      <c r="T310" s="1" t="s">
        <v>104</v>
      </c>
      <c r="U310" s="3"/>
      <c r="V310" s="3"/>
      <c r="W310" s="1" t="s">
        <v>105</v>
      </c>
      <c r="X310" s="3"/>
      <c r="Y310" s="1" t="s">
        <v>106</v>
      </c>
      <c r="Z310" s="3"/>
      <c r="AA310" s="1" t="b">
        <v>0</v>
      </c>
      <c r="AB310" s="1" t="b">
        <v>0</v>
      </c>
      <c r="AC310" s="1" t="b">
        <v>0</v>
      </c>
      <c r="AD310" s="1" t="b">
        <v>0</v>
      </c>
      <c r="AE310" s="1" t="b">
        <v>1</v>
      </c>
      <c r="AF310" s="3"/>
      <c r="AG310" s="3"/>
      <c r="AH310" s="3"/>
      <c r="AI310" s="3"/>
      <c r="AJ310" s="2">
        <v>46059.483078703706</v>
      </c>
      <c r="AK310" s="2">
        <v>46060.484768518516</v>
      </c>
      <c r="AM310" s="2">
        <v>46059.48370370371</v>
      </c>
      <c r="AN310" s="2">
        <v>46059.48370370371</v>
      </c>
      <c r="AP310" s="3"/>
      <c r="AQ310" s="3"/>
      <c r="AR310" s="3"/>
      <c r="AS310" s="3"/>
      <c r="AT310" s="3"/>
      <c r="AU310" s="3"/>
      <c r="AV310" s="3"/>
      <c r="AW310" s="3"/>
      <c r="AX310" s="2">
        <v>46059.55365740741</v>
      </c>
      <c r="AZ310" s="3"/>
      <c r="BA310" s="3"/>
      <c r="BB310" s="3"/>
      <c r="BC310" s="3"/>
      <c r="BD310" s="3"/>
      <c r="BE310" s="3"/>
      <c r="BF310" s="3"/>
      <c r="BG310" s="3"/>
      <c r="BH310" s="3"/>
      <c r="BI310" s="3"/>
      <c r="BJ310" s="3"/>
      <c r="BK310" s="3"/>
      <c r="BL310" s="3"/>
      <c r="BM310" s="5">
        <v>6044.0</v>
      </c>
      <c r="BN310" s="5">
        <v>3207.0</v>
      </c>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5">
        <v>1.4</v>
      </c>
      <c r="CR310" s="4" t="s">
        <v>1329</v>
      </c>
    </row>
    <row r="311">
      <c r="A311" s="1" t="s">
        <v>1330</v>
      </c>
      <c r="B311" s="2">
        <v>46059.46003472222</v>
      </c>
      <c r="C311" s="1" t="str">
        <f t="array" ref="C311">INDEX('User data'!E:E, MATCH(E311, 'User data'!B:B, 0))</f>
        <v/>
      </c>
      <c r="D311" s="1" t="str">
        <f t="array" ref="D311">INDEX('User data'!F:F, MATCH(C311, 'User data'!E:E, 0))</f>
        <v>#N/A</v>
      </c>
      <c r="E311" s="1" t="s">
        <v>1331</v>
      </c>
      <c r="F311" s="3"/>
      <c r="G311" s="3"/>
      <c r="H311" s="3"/>
      <c r="I311" s="3"/>
      <c r="J311" s="1" t="s">
        <v>100</v>
      </c>
      <c r="K311" s="1" t="s">
        <v>101</v>
      </c>
      <c r="L311" s="1" t="b">
        <v>0</v>
      </c>
      <c r="M311" s="4" t="s">
        <v>180</v>
      </c>
      <c r="N311" s="1" t="s">
        <v>1332</v>
      </c>
      <c r="P311" s="3"/>
      <c r="Q311" s="3"/>
      <c r="R311" s="3"/>
      <c r="S311" s="3"/>
      <c r="T311" s="1" t="s">
        <v>104</v>
      </c>
      <c r="U311" s="3"/>
      <c r="V311" s="3"/>
      <c r="W311" s="1" t="s">
        <v>105</v>
      </c>
      <c r="X311" s="3"/>
      <c r="Y311" s="1" t="s">
        <v>106</v>
      </c>
      <c r="Z311" s="3"/>
      <c r="AA311" s="1" t="b">
        <v>0</v>
      </c>
      <c r="AB311" s="1" t="b">
        <v>0</v>
      </c>
      <c r="AC311" s="1" t="b">
        <v>0</v>
      </c>
      <c r="AD311" s="1" t="b">
        <v>0</v>
      </c>
      <c r="AE311" s="1" t="b">
        <v>1</v>
      </c>
      <c r="AF311" s="3"/>
      <c r="AG311" s="3"/>
      <c r="AH311" s="3"/>
      <c r="AI311" s="3"/>
      <c r="AJ311" s="2">
        <v>46059.45995370371</v>
      </c>
      <c r="AK311" s="2">
        <v>46060.46129629629</v>
      </c>
      <c r="AM311" s="2">
        <v>46059.46003472222</v>
      </c>
      <c r="AN311" s="2">
        <v>46059.46003472222</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5">
        <v>5.0</v>
      </c>
      <c r="CR311" s="4" t="s">
        <v>1333</v>
      </c>
    </row>
    <row r="312">
      <c r="A312" s="1" t="s">
        <v>1334</v>
      </c>
      <c r="B312" s="2">
        <v>46059.4584375</v>
      </c>
      <c r="C312" s="1" t="str">
        <f t="array" ref="C312">INDEX('User data'!E:E, MATCH(E312, 'User data'!B:B, 0))</f>
        <v/>
      </c>
      <c r="D312" s="1" t="str">
        <f t="array" ref="D312">INDEX('User data'!F:F, MATCH(C312, 'User data'!E:E, 0))</f>
        <v>#N/A</v>
      </c>
      <c r="E312" s="1" t="s">
        <v>1335</v>
      </c>
      <c r="F312" s="3"/>
      <c r="G312" s="3"/>
      <c r="H312" s="3"/>
      <c r="I312" s="3"/>
      <c r="J312" s="1" t="s">
        <v>100</v>
      </c>
      <c r="K312" s="1" t="s">
        <v>101</v>
      </c>
      <c r="L312" s="1" t="b">
        <v>0</v>
      </c>
      <c r="M312" s="4" t="s">
        <v>102</v>
      </c>
      <c r="N312" s="1" t="s">
        <v>1336</v>
      </c>
      <c r="P312" s="3"/>
      <c r="Q312" s="3"/>
      <c r="R312" s="3"/>
      <c r="S312" s="3"/>
      <c r="T312" s="1" t="s">
        <v>104</v>
      </c>
      <c r="U312" s="3"/>
      <c r="V312" s="3"/>
      <c r="W312" s="1" t="s">
        <v>105</v>
      </c>
      <c r="X312" s="3"/>
      <c r="Y312" s="1" t="s">
        <v>106</v>
      </c>
      <c r="Z312" s="3"/>
      <c r="AA312" s="1" t="b">
        <v>0</v>
      </c>
      <c r="AB312" s="1" t="b">
        <v>0</v>
      </c>
      <c r="AC312" s="1" t="b">
        <v>0</v>
      </c>
      <c r="AD312" s="1" t="b">
        <v>0</v>
      </c>
      <c r="AE312" s="1" t="b">
        <v>1</v>
      </c>
      <c r="AF312" s="3"/>
      <c r="AG312" s="3"/>
      <c r="AH312" s="3"/>
      <c r="AI312" s="3"/>
      <c r="AJ312" s="2">
        <v>46059.45822916667</v>
      </c>
      <c r="AK312" s="2">
        <v>46060.45849537037</v>
      </c>
      <c r="AM312" s="2">
        <v>46059.4584375</v>
      </c>
      <c r="AN312" s="2">
        <v>46059.4584375</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5">
        <v>5.0</v>
      </c>
      <c r="CR312" s="4" t="s">
        <v>1337</v>
      </c>
    </row>
    <row r="313">
      <c r="A313" s="1" t="s">
        <v>1338</v>
      </c>
      <c r="B313" s="2">
        <v>46059.45599537037</v>
      </c>
      <c r="C313" s="1" t="str">
        <f t="array" ref="C313">INDEX('User data'!E:E, MATCH(E313, 'User data'!B:B, 0))</f>
        <v>(주)제네시스네스트</v>
      </c>
      <c r="D313" s="1" t="str">
        <f t="array" ref="D313">INDEX('User data'!F:F, MATCH(C313, 'User data'!E:E, 0))</f>
        <v>744-88-02294</v>
      </c>
      <c r="E313" s="1" t="s">
        <v>1339</v>
      </c>
      <c r="F313" s="3"/>
      <c r="G313" s="3"/>
      <c r="H313" s="3"/>
      <c r="I313" s="3"/>
      <c r="J313" s="1" t="s">
        <v>100</v>
      </c>
      <c r="K313" s="1" t="s">
        <v>101</v>
      </c>
      <c r="L313" s="1" t="b">
        <v>0</v>
      </c>
      <c r="M313" s="4" t="s">
        <v>102</v>
      </c>
      <c r="N313" s="1" t="s">
        <v>1340</v>
      </c>
      <c r="P313" s="3"/>
      <c r="Q313" s="3"/>
      <c r="R313" s="3"/>
      <c r="S313" s="3"/>
      <c r="T313" s="1" t="s">
        <v>104</v>
      </c>
      <c r="U313" s="3"/>
      <c r="V313" s="3"/>
      <c r="W313" s="1" t="s">
        <v>105</v>
      </c>
      <c r="X313" s="3"/>
      <c r="Y313" s="1" t="s">
        <v>106</v>
      </c>
      <c r="Z313" s="3"/>
      <c r="AA313" s="1" t="b">
        <v>0</v>
      </c>
      <c r="AB313" s="1" t="b">
        <v>0</v>
      </c>
      <c r="AC313" s="1" t="b">
        <v>0</v>
      </c>
      <c r="AD313" s="1" t="b">
        <v>0</v>
      </c>
      <c r="AE313" s="1" t="b">
        <v>1</v>
      </c>
      <c r="AF313" s="3"/>
      <c r="AG313" s="3"/>
      <c r="AH313" s="3"/>
      <c r="AI313" s="3"/>
      <c r="AJ313" s="2">
        <v>46059.45576388889</v>
      </c>
      <c r="AK313" s="2">
        <v>46060.45991898148</v>
      </c>
      <c r="AM313" s="2">
        <v>46059.45599537037</v>
      </c>
      <c r="AN313" s="2">
        <v>46059.45599537037</v>
      </c>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5">
        <v>5.0</v>
      </c>
      <c r="CR313" s="4" t="s">
        <v>1341</v>
      </c>
    </row>
    <row r="314">
      <c r="A314" s="1" t="s">
        <v>1342</v>
      </c>
      <c r="B314" s="2">
        <v>46059.45270833333</v>
      </c>
      <c r="C314" s="1" t="str">
        <f t="array" ref="C314">INDEX('User data'!E:E, MATCH(E314, 'User data'!B:B, 0))</f>
        <v>주식회사 한국공간데이터</v>
      </c>
      <c r="D314" s="1" t="str">
        <f t="array" ref="D314">INDEX('User data'!F:F, MATCH(C314, 'User data'!E:E, 0))</f>
        <v>416-87-01054</v>
      </c>
      <c r="E314" s="1" t="s">
        <v>1163</v>
      </c>
      <c r="F314" s="3"/>
      <c r="G314" s="3"/>
      <c r="H314" s="3"/>
      <c r="I314" s="3"/>
      <c r="J314" s="1" t="s">
        <v>100</v>
      </c>
      <c r="K314" s="1" t="s">
        <v>101</v>
      </c>
      <c r="L314" s="1" t="b">
        <v>0</v>
      </c>
      <c r="M314" s="4" t="s">
        <v>102</v>
      </c>
      <c r="N314" s="1" t="s">
        <v>1164</v>
      </c>
      <c r="O314" s="1">
        <v>607950.0</v>
      </c>
      <c r="P314" s="1">
        <v>607950.0</v>
      </c>
      <c r="Q314" s="3"/>
      <c r="R314" s="1">
        <v>607950.0</v>
      </c>
      <c r="S314" s="3"/>
      <c r="T314" s="1" t="s">
        <v>104</v>
      </c>
      <c r="U314" s="3"/>
      <c r="V314" s="3"/>
      <c r="W314" s="1" t="s">
        <v>105</v>
      </c>
      <c r="X314" s="3"/>
      <c r="Y314" s="1" t="s">
        <v>106</v>
      </c>
      <c r="Z314" s="3"/>
      <c r="AA314" s="1" t="b">
        <v>0</v>
      </c>
      <c r="AB314" s="1" t="b">
        <v>0</v>
      </c>
      <c r="AC314" s="1" t="b">
        <v>0</v>
      </c>
      <c r="AD314" s="1" t="b">
        <v>0</v>
      </c>
      <c r="AE314" s="1" t="b">
        <v>1</v>
      </c>
      <c r="AF314" s="3"/>
      <c r="AG314" s="3"/>
      <c r="AH314" s="3"/>
      <c r="AI314" s="3"/>
      <c r="AJ314" s="2">
        <v>46059.44994212963</v>
      </c>
      <c r="AK314" s="2">
        <v>46060.45385416667</v>
      </c>
      <c r="AM314" s="2">
        <v>46059.45270833333</v>
      </c>
      <c r="AN314" s="2">
        <v>46059.45270833333</v>
      </c>
      <c r="AP314" s="3"/>
      <c r="AQ314" s="3"/>
      <c r="AR314" s="3"/>
      <c r="AS314" s="3"/>
      <c r="AT314" s="3"/>
      <c r="AU314" s="3"/>
      <c r="AV314" s="3"/>
      <c r="AW314" s="3"/>
      <c r="AX314" s="2">
        <v>46059.57472222222</v>
      </c>
      <c r="AZ314" s="3"/>
      <c r="BA314" s="3"/>
      <c r="BB314" s="3"/>
      <c r="BC314" s="3"/>
      <c r="BD314" s="3"/>
      <c r="BE314" s="3"/>
      <c r="BF314" s="3"/>
      <c r="BG314" s="3"/>
      <c r="BH314" s="3"/>
      <c r="BI314" s="3"/>
      <c r="BJ314" s="3"/>
      <c r="BK314" s="3"/>
      <c r="BL314" s="3"/>
      <c r="BM314" s="5">
        <v>10541.0</v>
      </c>
      <c r="BN314" s="5">
        <v>6941.0</v>
      </c>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5">
        <v>3.4</v>
      </c>
      <c r="CR314" s="4" t="s">
        <v>1343</v>
      </c>
    </row>
    <row r="315">
      <c r="A315" s="1" t="s">
        <v>1344</v>
      </c>
      <c r="B315" s="2">
        <v>46059.43369212963</v>
      </c>
      <c r="C315" s="1" t="str">
        <f t="array" ref="C315">INDEX('User data'!E:E, MATCH(E315, 'User data'!B:B, 0))</f>
        <v/>
      </c>
      <c r="D315" s="1" t="str">
        <f t="array" ref="D315">INDEX('User data'!F:F, MATCH(C315, 'User data'!E:E, 0))</f>
        <v>#N/A</v>
      </c>
      <c r="E315" s="1" t="s">
        <v>1345</v>
      </c>
      <c r="F315" s="3"/>
      <c r="G315" s="3"/>
      <c r="H315" s="3"/>
      <c r="I315" s="3"/>
      <c r="J315" s="1" t="s">
        <v>100</v>
      </c>
      <c r="K315" s="1" t="s">
        <v>101</v>
      </c>
      <c r="L315" s="1" t="b">
        <v>0</v>
      </c>
      <c r="M315" s="4" t="s">
        <v>102</v>
      </c>
      <c r="N315" s="1" t="s">
        <v>1346</v>
      </c>
      <c r="P315" s="3"/>
      <c r="Q315" s="3"/>
      <c r="R315" s="3"/>
      <c r="S315" s="3"/>
      <c r="T315" s="1" t="s">
        <v>104</v>
      </c>
      <c r="U315" s="3"/>
      <c r="V315" s="3"/>
      <c r="W315" s="1" t="s">
        <v>105</v>
      </c>
      <c r="X315" s="3"/>
      <c r="Y315" s="1" t="s">
        <v>106</v>
      </c>
      <c r="Z315" s="3"/>
      <c r="AA315" s="1" t="b">
        <v>0</v>
      </c>
      <c r="AB315" s="1" t="b">
        <v>0</v>
      </c>
      <c r="AC315" s="1" t="b">
        <v>0</v>
      </c>
      <c r="AD315" s="1" t="b">
        <v>0</v>
      </c>
      <c r="AE315" s="1" t="b">
        <v>1</v>
      </c>
      <c r="AF315" s="3"/>
      <c r="AG315" s="3"/>
      <c r="AH315" s="3"/>
      <c r="AI315" s="3"/>
      <c r="AJ315" s="2">
        <v>46059.43363425926</v>
      </c>
      <c r="AK315" s="2">
        <v>46060.433900462966</v>
      </c>
      <c r="AM315" s="2">
        <v>46059.43369212963</v>
      </c>
      <c r="AN315" s="2">
        <v>46059.43369212963</v>
      </c>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5">
        <v>5.0</v>
      </c>
      <c r="CR315" s="4" t="s">
        <v>1347</v>
      </c>
    </row>
    <row r="316">
      <c r="A316" s="1" t="s">
        <v>1348</v>
      </c>
      <c r="B316" s="2">
        <v>46059.43319444444</v>
      </c>
      <c r="C316" s="1" t="str">
        <f t="array" ref="C316">INDEX('User data'!E:E, MATCH(E316, 'User data'!B:B, 0))</f>
        <v>（주）한백자동차정비</v>
      </c>
      <c r="D316" s="1" t="str">
        <f t="array" ref="D316">INDEX('User data'!F:F, MATCH(C316, 'User data'!E:E, 0))</f>
        <v>410-81-95552</v>
      </c>
      <c r="E316" s="1" t="s">
        <v>1349</v>
      </c>
      <c r="F316" s="3"/>
      <c r="G316" s="3"/>
      <c r="H316" s="3"/>
      <c r="I316" s="3"/>
      <c r="J316" s="1" t="s">
        <v>100</v>
      </c>
      <c r="K316" s="1" t="s">
        <v>101</v>
      </c>
      <c r="L316" s="1" t="b">
        <v>0</v>
      </c>
      <c r="M316" s="4" t="s">
        <v>102</v>
      </c>
      <c r="N316" s="1" t="s">
        <v>1350</v>
      </c>
      <c r="P316" s="3"/>
      <c r="Q316" s="3"/>
      <c r="R316" s="3"/>
      <c r="S316" s="3"/>
      <c r="T316" s="1" t="s">
        <v>104</v>
      </c>
      <c r="U316" s="3"/>
      <c r="V316" s="3"/>
      <c r="W316" s="1" t="s">
        <v>105</v>
      </c>
      <c r="X316" s="3"/>
      <c r="Y316" s="1" t="s">
        <v>106</v>
      </c>
      <c r="Z316" s="3"/>
      <c r="AA316" s="1" t="b">
        <v>0</v>
      </c>
      <c r="AB316" s="1" t="b">
        <v>0</v>
      </c>
      <c r="AC316" s="1" t="b">
        <v>0</v>
      </c>
      <c r="AD316" s="1" t="b">
        <v>0</v>
      </c>
      <c r="AE316" s="1" t="b">
        <v>1</v>
      </c>
      <c r="AF316" s="3"/>
      <c r="AG316" s="3"/>
      <c r="AH316" s="3"/>
      <c r="AI316" s="3"/>
      <c r="AJ316" s="2">
        <v>46059.43289351852</v>
      </c>
      <c r="AK316" s="2">
        <v>46060.43325231481</v>
      </c>
      <c r="AM316" s="2">
        <v>46059.43319444444</v>
      </c>
      <c r="AN316" s="2">
        <v>46059.43319444444</v>
      </c>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5">
        <v>5.0</v>
      </c>
      <c r="CR316" s="4" t="s">
        <v>1351</v>
      </c>
    </row>
    <row r="317">
      <c r="A317" s="1" t="s">
        <v>1352</v>
      </c>
      <c r="B317" s="2">
        <v>46059.4315625</v>
      </c>
      <c r="C317" s="1" t="str">
        <f t="array" ref="C317">INDEX('User data'!E:E, MATCH(E317, 'User data'!B:B, 0))</f>
        <v/>
      </c>
      <c r="D317" s="1" t="str">
        <f t="array" ref="D317">INDEX('User data'!F:F, MATCH(C317, 'User data'!E:E, 0))</f>
        <v>#N/A</v>
      </c>
      <c r="E317" s="1" t="s">
        <v>1353</v>
      </c>
      <c r="F317" s="3"/>
      <c r="G317" s="3"/>
      <c r="H317" s="3"/>
      <c r="I317" s="3"/>
      <c r="J317" s="1" t="s">
        <v>100</v>
      </c>
      <c r="K317" s="1" t="s">
        <v>101</v>
      </c>
      <c r="L317" s="1" t="b">
        <v>0</v>
      </c>
      <c r="M317" s="4" t="s">
        <v>102</v>
      </c>
      <c r="N317" s="1" t="s">
        <v>1354</v>
      </c>
      <c r="P317" s="3"/>
      <c r="Q317" s="3"/>
      <c r="R317" s="3"/>
      <c r="S317" s="3"/>
      <c r="T317" s="1" t="s">
        <v>104</v>
      </c>
      <c r="U317" s="3"/>
      <c r="V317" s="3"/>
      <c r="W317" s="1" t="s">
        <v>105</v>
      </c>
      <c r="X317" s="3"/>
      <c r="Y317" s="1" t="s">
        <v>106</v>
      </c>
      <c r="Z317" s="3"/>
      <c r="AA317" s="1" t="b">
        <v>0</v>
      </c>
      <c r="AB317" s="1" t="b">
        <v>0</v>
      </c>
      <c r="AC317" s="1" t="b">
        <v>0</v>
      </c>
      <c r="AD317" s="1" t="b">
        <v>0</v>
      </c>
      <c r="AE317" s="1" t="b">
        <v>1</v>
      </c>
      <c r="AF317" s="3"/>
      <c r="AG317" s="3"/>
      <c r="AH317" s="3"/>
      <c r="AI317" s="3"/>
      <c r="AJ317" s="2">
        <v>46059.43145833333</v>
      </c>
      <c r="AK317" s="2">
        <v>46060.43230324074</v>
      </c>
      <c r="AM317" s="2">
        <v>46059.4315625</v>
      </c>
      <c r="AN317" s="2">
        <v>46059.4315625</v>
      </c>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5">
        <v>5.0</v>
      </c>
      <c r="CR317" s="4" t="s">
        <v>1355</v>
      </c>
    </row>
    <row r="318">
      <c r="A318" s="1" t="s">
        <v>1356</v>
      </c>
      <c r="B318" s="2">
        <v>46059.42878472222</v>
      </c>
      <c r="C318" s="1" t="str">
        <f t="array" ref="C318">INDEX('User data'!E:E, MATCH(E318, 'User data'!B:B, 0))</f>
        <v>주식회사 고위드(GOWID Inc)</v>
      </c>
      <c r="D318" s="1" t="str">
        <f t="array" ref="D318">INDEX('User data'!F:F, MATCH(C318, 'User data'!E:E, 0))</f>
        <v>261-81-25793</v>
      </c>
      <c r="E318" s="1" t="s">
        <v>580</v>
      </c>
      <c r="F318" s="3"/>
      <c r="G318" s="3"/>
      <c r="H318" s="3"/>
      <c r="I318" s="3"/>
      <c r="J318" s="1" t="s">
        <v>100</v>
      </c>
      <c r="K318" s="1" t="s">
        <v>101</v>
      </c>
      <c r="L318" s="1" t="b">
        <v>0</v>
      </c>
      <c r="M318" s="4" t="s">
        <v>102</v>
      </c>
      <c r="N318" s="1" t="s">
        <v>581</v>
      </c>
      <c r="P318" s="3"/>
      <c r="Q318" s="3"/>
      <c r="R318" s="3"/>
      <c r="S318" s="3"/>
      <c r="T318" s="1" t="s">
        <v>104</v>
      </c>
      <c r="U318" s="3"/>
      <c r="V318" s="3"/>
      <c r="W318" s="1" t="s">
        <v>105</v>
      </c>
      <c r="X318" s="3"/>
      <c r="Y318" s="1" t="s">
        <v>106</v>
      </c>
      <c r="Z318" s="3"/>
      <c r="AA318" s="1" t="b">
        <v>0</v>
      </c>
      <c r="AB318" s="1" t="b">
        <v>0</v>
      </c>
      <c r="AC318" s="1" t="b">
        <v>0</v>
      </c>
      <c r="AD318" s="1" t="b">
        <v>0</v>
      </c>
      <c r="AE318" s="1" t="b">
        <v>1</v>
      </c>
      <c r="AF318" s="3"/>
      <c r="AG318" s="3"/>
      <c r="AH318" s="3"/>
      <c r="AI318" s="3"/>
      <c r="AJ318" s="2">
        <v>46059.428761574076</v>
      </c>
      <c r="AK318" s="2">
        <v>46060.42883101852</v>
      </c>
      <c r="AM318" s="2">
        <v>46059.42878472222</v>
      </c>
      <c r="AN318" s="2">
        <v>46059.42878472222</v>
      </c>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5">
        <v>3.8</v>
      </c>
      <c r="CR318" s="4" t="s">
        <v>1357</v>
      </c>
    </row>
    <row r="319">
      <c r="A319" s="1" t="s">
        <v>1358</v>
      </c>
      <c r="B319" s="2">
        <v>46059.428773148145</v>
      </c>
      <c r="C319" s="1" t="str">
        <f t="array" ref="C319">INDEX('User data'!E:E, MATCH(E319, 'User data'!B:B, 0))</f>
        <v/>
      </c>
      <c r="D319" s="1" t="str">
        <f t="array" ref="D319">INDEX('User data'!F:F, MATCH(C319, 'User data'!E:E, 0))</f>
        <v>#N/A</v>
      </c>
      <c r="E319" s="1" t="s">
        <v>1359</v>
      </c>
      <c r="F319" s="3"/>
      <c r="G319" s="3"/>
      <c r="H319" s="3"/>
      <c r="I319" s="3"/>
      <c r="J319" s="1" t="s">
        <v>100</v>
      </c>
      <c r="K319" s="1" t="s">
        <v>101</v>
      </c>
      <c r="L319" s="1" t="b">
        <v>0</v>
      </c>
      <c r="M319" s="4" t="s">
        <v>102</v>
      </c>
      <c r="N319" s="1" t="s">
        <v>1360</v>
      </c>
      <c r="P319" s="3"/>
      <c r="Q319" s="3"/>
      <c r="R319" s="3"/>
      <c r="S319" s="3"/>
      <c r="T319" s="1" t="s">
        <v>104</v>
      </c>
      <c r="U319" s="3"/>
      <c r="V319" s="3"/>
      <c r="W319" s="1" t="s">
        <v>118</v>
      </c>
      <c r="X319" s="3"/>
      <c r="Y319" s="1" t="s">
        <v>106</v>
      </c>
      <c r="Z319" s="3"/>
      <c r="AA319" s="1" t="b">
        <v>0</v>
      </c>
      <c r="AB319" s="1" t="b">
        <v>0</v>
      </c>
      <c r="AC319" s="1" t="b">
        <v>0</v>
      </c>
      <c r="AD319" s="1" t="b">
        <v>0</v>
      </c>
      <c r="AE319" s="1" t="b">
        <v>1</v>
      </c>
      <c r="AF319" s="3"/>
      <c r="AG319" s="3"/>
      <c r="AH319" s="3"/>
      <c r="AI319" s="3"/>
      <c r="AJ319" s="2">
        <v>46059.42868055555</v>
      </c>
      <c r="AK319" s="2">
        <v>46060.42883101852</v>
      </c>
      <c r="AM319" s="2">
        <v>46059.428773148145</v>
      </c>
      <c r="AN319" s="2">
        <v>46059.428773148145</v>
      </c>
      <c r="AP319" s="3"/>
      <c r="AQ319" s="3"/>
      <c r="AR319" s="3"/>
      <c r="AS319" s="3"/>
      <c r="AT319" s="3"/>
      <c r="AU319" s="3"/>
      <c r="AV319" s="3"/>
      <c r="AW319" s="3"/>
      <c r="AX319" s="3"/>
      <c r="AY319" s="3"/>
      <c r="AZ319" s="3"/>
      <c r="BA319" s="3"/>
      <c r="BB319" s="3"/>
      <c r="BC319" s="2">
        <v>46059.42903935185</v>
      </c>
      <c r="BD319" s="2">
        <v>46059.42903935185</v>
      </c>
      <c r="BF319" s="3"/>
      <c r="BG319" s="3"/>
      <c r="BH319" s="3"/>
      <c r="BI319" s="3"/>
      <c r="BJ319" s="3"/>
      <c r="BK319" s="3"/>
      <c r="BL319" s="3"/>
      <c r="BM319" s="3"/>
      <c r="BN319" s="3"/>
      <c r="BO319" s="3"/>
      <c r="BP319" s="3"/>
      <c r="BQ319" s="3"/>
      <c r="BR319" s="3"/>
      <c r="BS319" s="3"/>
      <c r="BT319" s="3"/>
      <c r="BU319" s="3"/>
      <c r="BV319" s="3"/>
      <c r="BW319" s="3"/>
      <c r="BX319" s="3"/>
      <c r="BY319" s="5">
        <v>23.0</v>
      </c>
      <c r="BZ319" s="5">
        <v>23.0</v>
      </c>
      <c r="CA319" s="5">
        <v>23.0</v>
      </c>
      <c r="CB319" s="5">
        <v>23.0</v>
      </c>
      <c r="CC319" s="5">
        <v>23.0</v>
      </c>
      <c r="CD319" s="5">
        <v>23.0</v>
      </c>
      <c r="CE319" s="3"/>
      <c r="CF319" s="3"/>
      <c r="CG319" s="3"/>
      <c r="CH319" s="3"/>
      <c r="CI319" s="3"/>
      <c r="CJ319" s="3"/>
      <c r="CK319" s="3"/>
      <c r="CL319" s="3"/>
      <c r="CM319" s="3"/>
      <c r="CN319" s="3"/>
      <c r="CO319" s="3"/>
      <c r="CP319" s="3"/>
      <c r="CQ319" s="5">
        <v>5.0</v>
      </c>
      <c r="CR319" s="4" t="s">
        <v>1361</v>
      </c>
    </row>
    <row r="320">
      <c r="A320" s="1" t="s">
        <v>1362</v>
      </c>
      <c r="B320" s="2">
        <v>46059.39100694445</v>
      </c>
      <c r="C320" s="1" t="str">
        <f t="array" ref="C320">INDEX('User data'!E:E, MATCH(E320, 'User data'!B:B, 0))</f>
        <v>사이오닉에이아이 주식회사</v>
      </c>
      <c r="D320" s="1" t="str">
        <f t="array" ref="D320">INDEX('User data'!F:F, MATCH(C320, 'User data'!E:E, 0))</f>
        <v>245-86-02885</v>
      </c>
      <c r="E320" s="1" t="s">
        <v>1198</v>
      </c>
      <c r="F320" s="3"/>
      <c r="G320" s="3"/>
      <c r="H320" s="1" t="s">
        <v>1363</v>
      </c>
      <c r="I320" s="1" t="s">
        <v>730</v>
      </c>
      <c r="J320" s="1" t="s">
        <v>100</v>
      </c>
      <c r="K320" s="1" t="s">
        <v>101</v>
      </c>
      <c r="L320" s="1" t="b">
        <v>0</v>
      </c>
      <c r="M320" s="4" t="s">
        <v>102</v>
      </c>
      <c r="N320" s="1" t="s">
        <v>1200</v>
      </c>
      <c r="O320" s="1">
        <v>607950.0</v>
      </c>
      <c r="P320" s="1">
        <v>607950.0</v>
      </c>
      <c r="Q320" s="3"/>
      <c r="R320" s="1" t="s">
        <v>145</v>
      </c>
      <c r="S320" s="3"/>
      <c r="T320" s="1" t="s">
        <v>104</v>
      </c>
      <c r="U320" s="3"/>
      <c r="V320" s="3"/>
      <c r="W320" s="1" t="s">
        <v>176</v>
      </c>
      <c r="X320" s="3"/>
      <c r="Y320" s="1" t="s">
        <v>106</v>
      </c>
      <c r="Z320" s="3"/>
      <c r="AA320" s="1" t="b">
        <v>1</v>
      </c>
      <c r="AB320" s="1" t="b">
        <v>0</v>
      </c>
      <c r="AC320" s="1" t="b">
        <v>0</v>
      </c>
      <c r="AD320" s="1" t="b">
        <v>0</v>
      </c>
      <c r="AE320" s="1" t="b">
        <v>1</v>
      </c>
      <c r="AF320" s="5">
        <v>3.0</v>
      </c>
      <c r="AG320" s="5">
        <v>1.0</v>
      </c>
      <c r="AH320" s="3"/>
      <c r="AI320" s="3"/>
      <c r="AJ320" s="2">
        <v>46059.39090277778</v>
      </c>
      <c r="AK320" s="2">
        <v>46073.420115740744</v>
      </c>
      <c r="AM320" s="2">
        <v>46059.39100694445</v>
      </c>
      <c r="AN320" s="2">
        <v>46059.39100694445</v>
      </c>
      <c r="AO320" s="2">
        <v>46059.73636574074</v>
      </c>
      <c r="AQ320" s="3"/>
      <c r="AR320" s="3"/>
      <c r="AS320" s="3"/>
      <c r="AT320" s="2">
        <v>46059.73636574074</v>
      </c>
      <c r="AU320" s="2">
        <v>46073.37527777778</v>
      </c>
      <c r="AW320" s="3"/>
      <c r="AX320" s="2">
        <v>46059.73631944445</v>
      </c>
      <c r="AY320" s="2">
        <v>46059.73636574074</v>
      </c>
      <c r="AZ320" s="2">
        <v>46059.73636574074</v>
      </c>
      <c r="BA320" s="2">
        <v>46062.63377314815</v>
      </c>
      <c r="BB320" s="2">
        <v>46073.420115740744</v>
      </c>
      <c r="BD320" s="3"/>
      <c r="BE320" s="5">
        <v>48021.0</v>
      </c>
      <c r="BF320" s="5">
        <v>2866.0</v>
      </c>
      <c r="BG320" s="5">
        <v>16007.0</v>
      </c>
      <c r="BH320" s="5">
        <v>2866.0</v>
      </c>
      <c r="BI320" s="5">
        <v>633675.0</v>
      </c>
      <c r="BJ320" s="5">
        <v>83593.0</v>
      </c>
      <c r="BK320" s="3"/>
      <c r="BL320" s="3"/>
      <c r="BM320" s="5">
        <v>29835.0</v>
      </c>
      <c r="BN320" s="5">
        <v>21600.0</v>
      </c>
      <c r="BO320" s="5">
        <v>29839.0</v>
      </c>
      <c r="BP320" s="5">
        <v>21600.0</v>
      </c>
      <c r="BQ320" s="5">
        <v>29839.0</v>
      </c>
      <c r="BR320" s="5">
        <v>21600.0</v>
      </c>
      <c r="BS320" s="5">
        <v>3.0</v>
      </c>
      <c r="BT320" s="5">
        <v>0.0</v>
      </c>
      <c r="BU320" s="3"/>
      <c r="BV320" s="3"/>
      <c r="BW320" s="5">
        <v>0.0</v>
      </c>
      <c r="BX320" s="3"/>
      <c r="BY320" s="3"/>
      <c r="BZ320" s="3"/>
      <c r="CA320" s="3"/>
      <c r="CB320" s="3"/>
      <c r="CC320" s="3"/>
      <c r="CD320" s="3"/>
      <c r="CE320" s="3"/>
      <c r="CF320" s="3"/>
      <c r="CG320" s="3"/>
      <c r="CH320" s="3"/>
      <c r="CI320" s="3"/>
      <c r="CJ320" s="3"/>
      <c r="CK320" s="3"/>
      <c r="CL320" s="3"/>
      <c r="CM320" s="3"/>
      <c r="CN320" s="3"/>
      <c r="CO320" s="3"/>
      <c r="CP320" s="5">
        <v>29839.0</v>
      </c>
      <c r="CQ320" s="3"/>
      <c r="CR320" s="4" t="s">
        <v>1364</v>
      </c>
    </row>
    <row r="321">
      <c r="A321" s="1" t="s">
        <v>1365</v>
      </c>
      <c r="B321" s="2">
        <v>46059.381875</v>
      </c>
      <c r="C321" s="1" t="str">
        <f t="array" ref="C321">INDEX('User data'!E:E, MATCH(E321, 'User data'!B:B, 0))</f>
        <v>주식회사 데어워크</v>
      </c>
      <c r="D321" s="1" t="str">
        <f t="array" ref="D321">INDEX('User data'!F:F, MATCH(C321, 'User data'!E:E, 0))</f>
        <v>189-86-02697</v>
      </c>
      <c r="E321" s="1" t="s">
        <v>851</v>
      </c>
      <c r="F321" s="3"/>
      <c r="G321" s="3"/>
      <c r="H321" s="3"/>
      <c r="I321" s="3"/>
      <c r="J321" s="1" t="s">
        <v>100</v>
      </c>
      <c r="K321" s="1" t="s">
        <v>101</v>
      </c>
      <c r="L321" s="1" t="b">
        <v>0</v>
      </c>
      <c r="M321" s="4" t="s">
        <v>102</v>
      </c>
      <c r="N321" s="1" t="s">
        <v>852</v>
      </c>
      <c r="P321" s="3"/>
      <c r="Q321" s="3"/>
      <c r="R321" s="3"/>
      <c r="S321" s="3"/>
      <c r="T321" s="1" t="s">
        <v>104</v>
      </c>
      <c r="U321" s="3"/>
      <c r="V321" s="3"/>
      <c r="W321" s="1" t="s">
        <v>105</v>
      </c>
      <c r="X321" s="3"/>
      <c r="Y321" s="1" t="s">
        <v>106</v>
      </c>
      <c r="Z321" s="3"/>
      <c r="AA321" s="1" t="b">
        <v>0</v>
      </c>
      <c r="AB321" s="1" t="b">
        <v>0</v>
      </c>
      <c r="AC321" s="1" t="b">
        <v>0</v>
      </c>
      <c r="AD321" s="1" t="b">
        <v>0</v>
      </c>
      <c r="AE321" s="1" t="b">
        <v>1</v>
      </c>
      <c r="AF321" s="3"/>
      <c r="AG321" s="3"/>
      <c r="AH321" s="3"/>
      <c r="AI321" s="3"/>
      <c r="AJ321" s="2">
        <v>46059.38179398148</v>
      </c>
      <c r="AK321" s="2">
        <v>46060.38239583333</v>
      </c>
      <c r="AM321" s="2">
        <v>46059.381875</v>
      </c>
      <c r="AN321" s="2">
        <v>46059.381875</v>
      </c>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5">
        <v>1.6</v>
      </c>
      <c r="CR321" s="4" t="s">
        <v>1366</v>
      </c>
    </row>
    <row r="322">
      <c r="A322" s="1" t="s">
        <v>1367</v>
      </c>
      <c r="B322" s="2">
        <v>46059.37724537037</v>
      </c>
      <c r="C322" s="1" t="str">
        <f t="array" ref="C322">INDEX('User data'!E:E, MATCH(E322, 'User data'!B:B, 0))</f>
        <v/>
      </c>
      <c r="D322" s="1" t="str">
        <f t="array" ref="D322">INDEX('User data'!F:F, MATCH(C322, 'User data'!E:E, 0))</f>
        <v>#N/A</v>
      </c>
      <c r="E322" s="1" t="s">
        <v>1368</v>
      </c>
      <c r="F322" s="3"/>
      <c r="G322" s="3"/>
      <c r="H322" s="3"/>
      <c r="I322" s="3"/>
      <c r="J322" s="1" t="s">
        <v>100</v>
      </c>
      <c r="K322" s="1" t="s">
        <v>101</v>
      </c>
      <c r="L322" s="1" t="b">
        <v>0</v>
      </c>
      <c r="M322" s="4" t="s">
        <v>102</v>
      </c>
      <c r="N322" s="1" t="s">
        <v>1369</v>
      </c>
      <c r="P322" s="3"/>
      <c r="Q322" s="3"/>
      <c r="R322" s="3"/>
      <c r="S322" s="3"/>
      <c r="T322" s="1" t="s">
        <v>104</v>
      </c>
      <c r="U322" s="3"/>
      <c r="V322" s="3"/>
      <c r="W322" s="1" t="s">
        <v>105</v>
      </c>
      <c r="X322" s="3"/>
      <c r="Y322" s="1" t="s">
        <v>106</v>
      </c>
      <c r="Z322" s="3"/>
      <c r="AA322" s="1" t="b">
        <v>0</v>
      </c>
      <c r="AB322" s="1" t="b">
        <v>0</v>
      </c>
      <c r="AC322" s="1" t="b">
        <v>0</v>
      </c>
      <c r="AD322" s="1" t="b">
        <v>0</v>
      </c>
      <c r="AE322" s="1" t="b">
        <v>1</v>
      </c>
      <c r="AF322" s="3"/>
      <c r="AG322" s="3"/>
      <c r="AH322" s="3"/>
      <c r="AI322" s="3"/>
      <c r="AJ322" s="2">
        <v>46059.377118055556</v>
      </c>
      <c r="AK322" s="2">
        <v>46059.377291666664</v>
      </c>
      <c r="AM322" s="2">
        <v>46059.37724537037</v>
      </c>
      <c r="AN322" s="2">
        <v>46059.37724537037</v>
      </c>
      <c r="AO322" s="2">
        <v>46059.377280092594</v>
      </c>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5">
        <v>2.0</v>
      </c>
      <c r="CQ322" s="3"/>
      <c r="CR322" s="4" t="s">
        <v>1370</v>
      </c>
    </row>
    <row r="323">
      <c r="A323" s="1" t="s">
        <v>1371</v>
      </c>
      <c r="B323" s="2">
        <v>46059.35134259259</v>
      </c>
      <c r="C323" s="1" t="str">
        <f t="array" ref="C323">INDEX('User data'!E:E, MATCH(E323, 'User data'!B:B, 0))</f>
        <v>엠에프알 주식회사</v>
      </c>
      <c r="D323" s="1" t="str">
        <f t="array" ref="D323">INDEX('User data'!F:F, MATCH(C323, 'User data'!E:E, 0))</f>
        <v>576-86-02305</v>
      </c>
      <c r="E323" s="1" t="s">
        <v>1010</v>
      </c>
      <c r="F323" s="3"/>
      <c r="G323" s="3"/>
      <c r="H323" s="3"/>
      <c r="I323" s="3"/>
      <c r="J323" s="1" t="s">
        <v>100</v>
      </c>
      <c r="K323" s="1" t="s">
        <v>101</v>
      </c>
      <c r="L323" s="1" t="b">
        <v>0</v>
      </c>
      <c r="M323" s="4" t="s">
        <v>102</v>
      </c>
      <c r="N323" s="1" t="s">
        <v>1012</v>
      </c>
      <c r="P323" s="3"/>
      <c r="Q323" s="3"/>
      <c r="R323" s="3"/>
      <c r="S323" s="3"/>
      <c r="T323" s="1" t="s">
        <v>104</v>
      </c>
      <c r="U323" s="3"/>
      <c r="V323" s="3"/>
      <c r="W323" s="1" t="s">
        <v>105</v>
      </c>
      <c r="X323" s="3"/>
      <c r="Y323" s="1" t="s">
        <v>106</v>
      </c>
      <c r="Z323" s="3"/>
      <c r="AA323" s="1" t="b">
        <v>0</v>
      </c>
      <c r="AB323" s="1" t="b">
        <v>0</v>
      </c>
      <c r="AC323" s="1" t="b">
        <v>0</v>
      </c>
      <c r="AD323" s="1" t="b">
        <v>0</v>
      </c>
      <c r="AE323" s="1" t="b">
        <v>1</v>
      </c>
      <c r="AF323" s="3"/>
      <c r="AG323" s="3"/>
      <c r="AH323" s="3"/>
      <c r="AI323" s="3"/>
      <c r="AJ323" s="2">
        <v>46059.35125</v>
      </c>
      <c r="AK323" s="2">
        <v>46060.355775462966</v>
      </c>
      <c r="AM323" s="2">
        <v>46059.35134259259</v>
      </c>
      <c r="AN323" s="2">
        <v>46059.35134259259</v>
      </c>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5">
        <v>5.0</v>
      </c>
      <c r="CR323" s="4" t="s">
        <v>1372</v>
      </c>
    </row>
    <row r="324">
      <c r="A324" s="1" t="s">
        <v>1373</v>
      </c>
      <c r="B324" s="2">
        <v>46059.33814814815</v>
      </c>
      <c r="C324" s="1" t="str">
        <f t="array" ref="C324">INDEX('User data'!E:E, MATCH(E324, 'User data'!B:B, 0))</f>
        <v>주식회사 고위드(GOWID Inc)</v>
      </c>
      <c r="D324" s="1" t="str">
        <f t="array" ref="D324">INDEX('User data'!F:F, MATCH(C324, 'User data'!E:E, 0))</f>
        <v>261-81-25793</v>
      </c>
      <c r="E324" s="1" t="s">
        <v>580</v>
      </c>
      <c r="F324" s="3"/>
      <c r="G324" s="3"/>
      <c r="H324" s="3"/>
      <c r="I324" s="3"/>
      <c r="J324" s="1" t="s">
        <v>100</v>
      </c>
      <c r="K324" s="1" t="s">
        <v>101</v>
      </c>
      <c r="L324" s="1" t="b">
        <v>0</v>
      </c>
      <c r="M324" s="4" t="s">
        <v>102</v>
      </c>
      <c r="N324" s="1" t="s">
        <v>581</v>
      </c>
      <c r="P324" s="3"/>
      <c r="Q324" s="3"/>
      <c r="R324" s="3"/>
      <c r="S324" s="3"/>
      <c r="T324" s="1" t="s">
        <v>104</v>
      </c>
      <c r="U324" s="3"/>
      <c r="V324" s="3"/>
      <c r="W324" s="1" t="s">
        <v>105</v>
      </c>
      <c r="X324" s="3"/>
      <c r="Y324" s="1" t="s">
        <v>106</v>
      </c>
      <c r="Z324" s="3"/>
      <c r="AA324" s="1" t="b">
        <v>0</v>
      </c>
      <c r="AB324" s="1" t="b">
        <v>0</v>
      </c>
      <c r="AC324" s="1" t="b">
        <v>0</v>
      </c>
      <c r="AD324" s="1" t="b">
        <v>0</v>
      </c>
      <c r="AE324" s="1" t="b">
        <v>1</v>
      </c>
      <c r="AF324" s="3"/>
      <c r="AG324" s="3"/>
      <c r="AH324" s="3"/>
      <c r="AI324" s="3"/>
      <c r="AJ324" s="2">
        <v>46059.33806712963</v>
      </c>
      <c r="AK324" s="2">
        <v>46060.33820601852</v>
      </c>
      <c r="AM324" s="2">
        <v>46059.33814814815</v>
      </c>
      <c r="AN324" s="2">
        <v>46059.33814814815</v>
      </c>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5">
        <v>5.0</v>
      </c>
      <c r="CR324" s="4" t="s">
        <v>1374</v>
      </c>
    </row>
    <row r="325">
      <c r="A325" s="1" t="s">
        <v>1375</v>
      </c>
      <c r="B325" s="2">
        <v>46059.33423611111</v>
      </c>
      <c r="C325" s="1" t="str">
        <f t="array" ref="C325">INDEX('User data'!E:E, MATCH(E325, 'User data'!B:B, 0))</f>
        <v>주식회사 고위드(GOWID Inc)</v>
      </c>
      <c r="D325" s="1" t="str">
        <f t="array" ref="D325">INDEX('User data'!F:F, MATCH(C325, 'User data'!E:E, 0))</f>
        <v>261-81-25793</v>
      </c>
      <c r="E325" s="1" t="s">
        <v>580</v>
      </c>
      <c r="F325" s="3"/>
      <c r="G325" s="3"/>
      <c r="H325" s="3"/>
      <c r="I325" s="3"/>
      <c r="J325" s="1" t="s">
        <v>100</v>
      </c>
      <c r="K325" s="1" t="s">
        <v>101</v>
      </c>
      <c r="L325" s="1" t="b">
        <v>0</v>
      </c>
      <c r="M325" s="4" t="s">
        <v>102</v>
      </c>
      <c r="N325" s="1" t="s">
        <v>581</v>
      </c>
      <c r="P325" s="3"/>
      <c r="Q325" s="3"/>
      <c r="R325" s="3"/>
      <c r="S325" s="3"/>
      <c r="T325" s="1" t="s">
        <v>104</v>
      </c>
      <c r="U325" s="3"/>
      <c r="V325" s="3"/>
      <c r="W325" s="1" t="s">
        <v>105</v>
      </c>
      <c r="X325" s="3"/>
      <c r="Y325" s="1" t="s">
        <v>106</v>
      </c>
      <c r="Z325" s="3"/>
      <c r="AA325" s="1" t="b">
        <v>0</v>
      </c>
      <c r="AB325" s="1" t="b">
        <v>0</v>
      </c>
      <c r="AC325" s="1" t="b">
        <v>0</v>
      </c>
      <c r="AD325" s="1" t="b">
        <v>0</v>
      </c>
      <c r="AE325" s="1" t="b">
        <v>1</v>
      </c>
      <c r="AF325" s="3"/>
      <c r="AG325" s="3"/>
      <c r="AH325" s="3"/>
      <c r="AI325" s="3"/>
      <c r="AJ325" s="2">
        <v>46059.33298611111</v>
      </c>
      <c r="AK325" s="2">
        <v>46060.334282407406</v>
      </c>
      <c r="AM325" s="2">
        <v>46059.33423611111</v>
      </c>
      <c r="AN325" s="2">
        <v>46059.33423611111</v>
      </c>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5">
        <v>4.4</v>
      </c>
      <c r="CR325" s="4" t="s">
        <v>1376</v>
      </c>
    </row>
    <row r="326">
      <c r="A326" s="1" t="s">
        <v>1377</v>
      </c>
      <c r="B326" s="2">
        <v>46059.31633101852</v>
      </c>
      <c r="C326" s="1" t="str">
        <f t="array" ref="C326">INDEX('User data'!E:E, MATCH(E326, 'User data'!B:B, 0))</f>
        <v/>
      </c>
      <c r="D326" s="1" t="str">
        <f t="array" ref="D326">INDEX('User data'!F:F, MATCH(C326, 'User data'!E:E, 0))</f>
        <v>#N/A</v>
      </c>
      <c r="E326" s="1" t="s">
        <v>1378</v>
      </c>
      <c r="F326" s="3"/>
      <c r="G326" s="3"/>
      <c r="H326" s="3"/>
      <c r="I326" s="3"/>
      <c r="J326" s="1" t="s">
        <v>100</v>
      </c>
      <c r="K326" s="1" t="s">
        <v>101</v>
      </c>
      <c r="L326" s="1" t="b">
        <v>0</v>
      </c>
      <c r="M326" s="4" t="s">
        <v>102</v>
      </c>
      <c r="N326" s="1" t="s">
        <v>1379</v>
      </c>
      <c r="P326" s="3"/>
      <c r="Q326" s="3"/>
      <c r="R326" s="3"/>
      <c r="S326" s="3"/>
      <c r="T326" s="1" t="s">
        <v>104</v>
      </c>
      <c r="U326" s="3"/>
      <c r="V326" s="3"/>
      <c r="W326" s="1" t="s">
        <v>105</v>
      </c>
      <c r="X326" s="3"/>
      <c r="Y326" s="1" t="s">
        <v>106</v>
      </c>
      <c r="Z326" s="3"/>
      <c r="AA326" s="1" t="b">
        <v>0</v>
      </c>
      <c r="AB326" s="1" t="b">
        <v>0</v>
      </c>
      <c r="AC326" s="1" t="b">
        <v>0</v>
      </c>
      <c r="AD326" s="1" t="b">
        <v>0</v>
      </c>
      <c r="AE326" s="1" t="b">
        <v>1</v>
      </c>
      <c r="AF326" s="3"/>
      <c r="AG326" s="3"/>
      <c r="AH326" s="3"/>
      <c r="AI326" s="3"/>
      <c r="AJ326" s="2">
        <v>46059.314039351855</v>
      </c>
      <c r="AK326" s="2">
        <v>46060.32175925926</v>
      </c>
      <c r="AM326" s="2">
        <v>46059.31633101852</v>
      </c>
      <c r="AN326" s="2">
        <v>46059.31633101852</v>
      </c>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5">
        <v>3.4</v>
      </c>
      <c r="CR326" s="4" t="s">
        <v>1380</v>
      </c>
    </row>
    <row r="327">
      <c r="A327" s="1" t="s">
        <v>1381</v>
      </c>
      <c r="B327" s="2">
        <v>46058.75982638889</v>
      </c>
      <c r="C327" s="1" t="str">
        <f t="array" ref="C327">INDEX('User data'!E:E, MATCH(E327, 'User data'!B:B, 0))</f>
        <v>(주)와이오엘오</v>
      </c>
      <c r="D327" s="1" t="str">
        <f t="array" ref="D327">INDEX('User data'!F:F, MATCH(C327, 'User data'!E:E, 0))</f>
        <v>610-86-34204</v>
      </c>
      <c r="E327" s="1" t="s">
        <v>1382</v>
      </c>
      <c r="F327" s="3"/>
      <c r="G327" s="3"/>
      <c r="H327" s="3"/>
      <c r="I327" s="1" t="s">
        <v>258</v>
      </c>
      <c r="J327" s="1" t="s">
        <v>100</v>
      </c>
      <c r="K327" s="1" t="s">
        <v>101</v>
      </c>
      <c r="L327" s="1" t="b">
        <v>0</v>
      </c>
      <c r="M327" s="4" t="s">
        <v>102</v>
      </c>
      <c r="N327" s="1" t="s">
        <v>1383</v>
      </c>
      <c r="O327" s="1">
        <v>594863.0</v>
      </c>
      <c r="P327" s="1">
        <v>594863.0</v>
      </c>
      <c r="Q327" s="1">
        <v>594863.0</v>
      </c>
      <c r="R327" s="1" t="s">
        <v>1384</v>
      </c>
      <c r="S327" s="1">
        <v>13288.0</v>
      </c>
      <c r="T327" s="1" t="s">
        <v>104</v>
      </c>
      <c r="U327" s="3"/>
      <c r="V327" s="3"/>
      <c r="W327" s="1" t="s">
        <v>118</v>
      </c>
      <c r="X327" s="3"/>
      <c r="Y327" s="1" t="s">
        <v>119</v>
      </c>
      <c r="Z327" s="3"/>
      <c r="AA327" s="1" t="b">
        <v>1</v>
      </c>
      <c r="AB327" s="1" t="b">
        <v>0</v>
      </c>
      <c r="AC327" s="1" t="b">
        <v>0</v>
      </c>
      <c r="AD327" s="1" t="b">
        <v>1</v>
      </c>
      <c r="AE327" s="1" t="b">
        <v>0</v>
      </c>
      <c r="AF327" s="5">
        <v>3.0</v>
      </c>
      <c r="AG327" s="5">
        <v>2.0</v>
      </c>
      <c r="AH327" s="3"/>
      <c r="AI327" s="3"/>
      <c r="AJ327" s="2">
        <v>46058.75763888889</v>
      </c>
      <c r="AK327" s="2">
        <v>46059.517916666664</v>
      </c>
      <c r="AL327" s="2">
        <v>46058.75763888889</v>
      </c>
      <c r="AM327" s="2">
        <v>46058.75766203704</v>
      </c>
      <c r="AO327" s="3"/>
      <c r="AP327" s="2">
        <v>46058.75828703704</v>
      </c>
      <c r="AR327" s="3"/>
      <c r="AS327" s="3"/>
      <c r="AT327" s="2">
        <v>46058.75982638889</v>
      </c>
      <c r="AU327" s="2">
        <v>46058.75982638889</v>
      </c>
      <c r="AW327" s="3"/>
      <c r="AX327" s="2">
        <v>46058.75771990741</v>
      </c>
      <c r="AY327" s="2">
        <v>46058.75982638889</v>
      </c>
      <c r="AZ327" s="2">
        <v>46059.42224537037</v>
      </c>
      <c r="BA327" s="2">
        <v>46059.47619212963</v>
      </c>
      <c r="BC327" s="2">
        <v>46059.47623842592</v>
      </c>
      <c r="BD327" s="2">
        <v>46059.47623842592</v>
      </c>
      <c r="BE327" s="5">
        <v>60134.0</v>
      </c>
      <c r="BF327" s="5">
        <v>2902.0</v>
      </c>
      <c r="BG327" s="5">
        <v>20044.0</v>
      </c>
      <c r="BH327" s="5">
        <v>1451.0</v>
      </c>
      <c r="BI327" s="3"/>
      <c r="BJ327" s="3"/>
      <c r="BK327" s="3"/>
      <c r="BL327" s="3"/>
      <c r="BM327" s="3"/>
      <c r="BN327" s="3"/>
      <c r="BO327" s="5">
        <v>57232.0</v>
      </c>
      <c r="BP327" s="5">
        <v>482.0</v>
      </c>
      <c r="BQ327" s="5">
        <v>57420.0</v>
      </c>
      <c r="BR327" s="5">
        <v>482.0</v>
      </c>
      <c r="BS327" s="5">
        <v>57414.0</v>
      </c>
      <c r="BT327" s="5">
        <v>482.0</v>
      </c>
      <c r="BU327" s="5">
        <v>57232.0</v>
      </c>
      <c r="BV327" s="5">
        <v>482.0</v>
      </c>
      <c r="BW327" s="5">
        <v>57232.0</v>
      </c>
      <c r="BX327" s="5">
        <v>482.0</v>
      </c>
      <c r="BY327" s="5">
        <v>61898.0</v>
      </c>
      <c r="BZ327" s="5">
        <v>5147.0</v>
      </c>
      <c r="CA327" s="5">
        <v>61898.0</v>
      </c>
      <c r="CB327" s="5">
        <v>5147.0</v>
      </c>
      <c r="CC327" s="5">
        <v>62085.0</v>
      </c>
      <c r="CD327" s="5">
        <v>5147.0</v>
      </c>
      <c r="CE327" s="5">
        <v>62080.0</v>
      </c>
      <c r="CF327" s="5">
        <v>5147.0</v>
      </c>
      <c r="CG327" s="5">
        <v>61898.0</v>
      </c>
      <c r="CH327" s="5">
        <v>5147.0</v>
      </c>
      <c r="CI327" s="5">
        <v>61898.0</v>
      </c>
      <c r="CJ327" s="5">
        <v>5147.0</v>
      </c>
      <c r="CK327" s="5">
        <v>61898.0</v>
      </c>
      <c r="CL327" s="5">
        <v>5147.0</v>
      </c>
      <c r="CM327" s="5">
        <v>61898.0</v>
      </c>
      <c r="CN327" s="5">
        <v>5147.0</v>
      </c>
      <c r="CO327" s="5">
        <v>55.0</v>
      </c>
      <c r="CP327" s="3"/>
      <c r="CQ327" s="3"/>
      <c r="CR327" s="4" t="s">
        <v>1385</v>
      </c>
    </row>
    <row r="328">
      <c r="A328" s="1" t="s">
        <v>1386</v>
      </c>
      <c r="B328" s="2">
        <v>46058.747465277775</v>
      </c>
      <c r="C328" s="1" t="str">
        <f t="array" ref="C328">INDEX('User data'!E:E, MATCH(E328, 'User data'!B:B, 0))</f>
        <v>주식회사 엔스프링</v>
      </c>
      <c r="D328" s="1" t="str">
        <f t="array" ref="D328">INDEX('User data'!F:F, MATCH(C328, 'User data'!E:E, 0))</f>
        <v>119-86-45571</v>
      </c>
      <c r="E328" s="1" t="s">
        <v>743</v>
      </c>
      <c r="F328" s="3"/>
      <c r="G328" s="3"/>
      <c r="H328" s="3"/>
      <c r="I328" s="3"/>
      <c r="J328" s="1" t="s">
        <v>100</v>
      </c>
      <c r="K328" s="1" t="s">
        <v>101</v>
      </c>
      <c r="L328" s="1" t="b">
        <v>0</v>
      </c>
      <c r="M328" s="4" t="s">
        <v>102</v>
      </c>
      <c r="N328" s="1" t="s">
        <v>744</v>
      </c>
      <c r="P328" s="3"/>
      <c r="Q328" s="3"/>
      <c r="R328" s="3"/>
      <c r="S328" s="1">
        <v>13285.0</v>
      </c>
      <c r="T328" s="1" t="s">
        <v>104</v>
      </c>
      <c r="U328" s="3"/>
      <c r="V328" s="3"/>
      <c r="W328" s="1" t="s">
        <v>105</v>
      </c>
      <c r="X328" s="3"/>
      <c r="Y328" s="1" t="s">
        <v>106</v>
      </c>
      <c r="Z328" s="3"/>
      <c r="AA328" s="1" t="b">
        <v>0</v>
      </c>
      <c r="AB328" s="1" t="b">
        <v>0</v>
      </c>
      <c r="AC328" s="1" t="b">
        <v>0</v>
      </c>
      <c r="AD328" s="1" t="b">
        <v>1</v>
      </c>
      <c r="AE328" s="1" t="b">
        <v>1</v>
      </c>
      <c r="AF328" s="3"/>
      <c r="AG328" s="3"/>
      <c r="AH328" s="3"/>
      <c r="AI328" s="3"/>
      <c r="AJ328" s="2">
        <v>46058.747037037036</v>
      </c>
      <c r="AK328" s="2">
        <v>46059.747511574074</v>
      </c>
      <c r="AL328" s="2">
        <v>46058.747037037036</v>
      </c>
      <c r="AM328" s="2">
        <v>46058.74706018518</v>
      </c>
      <c r="AN328" s="2">
        <v>46058.747465277775</v>
      </c>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5">
        <v>5.0</v>
      </c>
      <c r="CR328" s="4" t="s">
        <v>1387</v>
      </c>
    </row>
    <row r="329">
      <c r="A329" s="1" t="s">
        <v>1388</v>
      </c>
      <c r="B329" s="2">
        <v>46058.71693287037</v>
      </c>
      <c r="C329" s="1" t="str">
        <f t="array" ref="C329">INDEX('User data'!E:E, MATCH(E329, 'User data'!B:B, 0))</f>
        <v>주식회사 클레</v>
      </c>
      <c r="D329" s="1" t="str">
        <f t="array" ref="D329">INDEX('User data'!F:F, MATCH(C329, 'User data'!E:E, 0))</f>
        <v>157-86-02249</v>
      </c>
      <c r="E329" s="1" t="s">
        <v>1389</v>
      </c>
      <c r="F329" s="3"/>
      <c r="G329" s="3"/>
      <c r="H329" s="3"/>
      <c r="I329" s="3"/>
      <c r="J329" s="1" t="s">
        <v>100</v>
      </c>
      <c r="K329" s="1" t="s">
        <v>101</v>
      </c>
      <c r="L329" s="1" t="b">
        <v>0</v>
      </c>
      <c r="M329" s="4" t="s">
        <v>102</v>
      </c>
      <c r="N329" s="1" t="s">
        <v>1390</v>
      </c>
      <c r="P329" s="3"/>
      <c r="Q329" s="3"/>
      <c r="R329" s="1" t="s">
        <v>1391</v>
      </c>
      <c r="S329" s="1">
        <v>13285.0</v>
      </c>
      <c r="T329" s="1" t="s">
        <v>104</v>
      </c>
      <c r="U329" s="3"/>
      <c r="V329" s="3"/>
      <c r="W329" s="1" t="s">
        <v>105</v>
      </c>
      <c r="X329" s="3"/>
      <c r="Y329" s="1" t="s">
        <v>106</v>
      </c>
      <c r="Z329" s="3"/>
      <c r="AA329" s="1" t="b">
        <v>0</v>
      </c>
      <c r="AB329" s="1" t="b">
        <v>0</v>
      </c>
      <c r="AC329" s="1" t="b">
        <v>0</v>
      </c>
      <c r="AD329" s="1" t="b">
        <v>1</v>
      </c>
      <c r="AE329" s="1" t="b">
        <v>1</v>
      </c>
      <c r="AF329" s="3"/>
      <c r="AG329" s="3"/>
      <c r="AH329" s="3"/>
      <c r="AI329" s="3"/>
      <c r="AJ329" s="2">
        <v>46058.71644675926</v>
      </c>
      <c r="AK329" s="2">
        <v>46059.71876157408</v>
      </c>
      <c r="AL329" s="2">
        <v>46058.71644675926</v>
      </c>
      <c r="AM329" s="2">
        <v>46058.71648148148</v>
      </c>
      <c r="AN329" s="2">
        <v>46058.71693287037</v>
      </c>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5">
        <v>5.0</v>
      </c>
      <c r="CR329" s="4" t="s">
        <v>1392</v>
      </c>
    </row>
    <row r="330">
      <c r="A330" s="1" t="s">
        <v>1393</v>
      </c>
      <c r="B330" s="2">
        <v>46058.68491898148</v>
      </c>
      <c r="C330" s="1" t="str">
        <f t="array" ref="C330">INDEX('User data'!E:E, MATCH(E330, 'User data'!B:B, 0))</f>
        <v>(주)더앤트</v>
      </c>
      <c r="D330" s="1" t="str">
        <f t="array" ref="D330">INDEX('User data'!F:F, MATCH(C330, 'User data'!E:E, 0))</f>
        <v>706-87-01020</v>
      </c>
      <c r="E330" s="1" t="s">
        <v>1394</v>
      </c>
      <c r="F330" s="3"/>
      <c r="G330" s="1" t="s">
        <v>1395</v>
      </c>
      <c r="I330" s="1" t="s">
        <v>1396</v>
      </c>
      <c r="J330" s="1" t="s">
        <v>100</v>
      </c>
      <c r="K330" s="1" t="s">
        <v>101</v>
      </c>
      <c r="L330" s="1" t="b">
        <v>0</v>
      </c>
      <c r="M330" s="4" t="s">
        <v>102</v>
      </c>
      <c r="N330" s="1" t="s">
        <v>1397</v>
      </c>
      <c r="O330" s="1">
        <v>574085.0</v>
      </c>
      <c r="P330" s="1">
        <v>574085.0</v>
      </c>
      <c r="Q330" s="1">
        <v>574085.0</v>
      </c>
      <c r="R330" s="1" t="s">
        <v>145</v>
      </c>
      <c r="S330" s="1">
        <v>13285.0</v>
      </c>
      <c r="T330" s="1" t="s">
        <v>104</v>
      </c>
      <c r="U330" s="3"/>
      <c r="V330" s="3"/>
      <c r="W330" s="1" t="s">
        <v>118</v>
      </c>
      <c r="X330" s="3"/>
      <c r="Y330" s="1" t="s">
        <v>119</v>
      </c>
      <c r="Z330" s="3"/>
      <c r="AA330" s="1" t="b">
        <v>1</v>
      </c>
      <c r="AB330" s="1" t="b">
        <v>0</v>
      </c>
      <c r="AC330" s="1" t="b">
        <v>0</v>
      </c>
      <c r="AD330" s="1" t="b">
        <v>1</v>
      </c>
      <c r="AE330" s="1" t="b">
        <v>0</v>
      </c>
      <c r="AF330" s="5">
        <v>7.0</v>
      </c>
      <c r="AG330" s="5">
        <v>2.0</v>
      </c>
      <c r="AH330" s="3"/>
      <c r="AI330" s="3"/>
      <c r="AJ330" s="2">
        <v>46058.6840625</v>
      </c>
      <c r="AK330" s="2">
        <v>46058.76520833333</v>
      </c>
      <c r="AL330" s="2">
        <v>46058.6840625</v>
      </c>
      <c r="AM330" s="2">
        <v>46058.68409722222</v>
      </c>
      <c r="AO330" s="3"/>
      <c r="AP330" s="2">
        <v>46058.68475694444</v>
      </c>
      <c r="AQ330" s="2">
        <v>46058.68491898148</v>
      </c>
      <c r="AS330" s="2">
        <v>46058.68493055556</v>
      </c>
      <c r="AT330" s="2">
        <v>46058.68491898148</v>
      </c>
      <c r="AU330" s="2">
        <v>46058.68493055556</v>
      </c>
      <c r="AW330" s="3"/>
      <c r="AX330" s="2">
        <v>46058.68493055556</v>
      </c>
      <c r="AY330" s="2">
        <v>46058.68493055556</v>
      </c>
      <c r="AZ330" s="2">
        <v>46058.68693287037</v>
      </c>
      <c r="BA330" s="2">
        <v>46058.723495370374</v>
      </c>
      <c r="BC330" s="2">
        <v>46058.72353009259</v>
      </c>
      <c r="BD330" s="2">
        <v>46058.72353009259</v>
      </c>
      <c r="BE330" s="5">
        <v>2220.0</v>
      </c>
      <c r="BF330" s="5">
        <v>270.0</v>
      </c>
      <c r="BG330" s="5">
        <v>317.0</v>
      </c>
      <c r="BH330" s="5">
        <v>135.0</v>
      </c>
      <c r="BI330" s="3"/>
      <c r="BJ330" s="3"/>
      <c r="BK330" s="5">
        <v>1.0</v>
      </c>
      <c r="BL330" s="5">
        <v>1.0</v>
      </c>
      <c r="BM330" s="5">
        <v>1.0</v>
      </c>
      <c r="BN330" s="5">
        <v>1.0</v>
      </c>
      <c r="BO330" s="5">
        <v>173.0</v>
      </c>
      <c r="BP330" s="5">
        <v>173.0</v>
      </c>
      <c r="BQ330" s="5">
        <v>245.0</v>
      </c>
      <c r="BR330" s="5">
        <v>245.0</v>
      </c>
      <c r="BS330" s="5">
        <v>172.0</v>
      </c>
      <c r="BT330" s="5">
        <v>172.0</v>
      </c>
      <c r="BU330" s="5">
        <v>172.0</v>
      </c>
      <c r="BV330" s="5">
        <v>172.0</v>
      </c>
      <c r="BW330" s="5">
        <v>173.0</v>
      </c>
      <c r="BX330" s="5">
        <v>173.0</v>
      </c>
      <c r="BY330" s="5">
        <v>3336.0</v>
      </c>
      <c r="BZ330" s="5">
        <v>2022.0</v>
      </c>
      <c r="CA330" s="5">
        <v>3336.0</v>
      </c>
      <c r="CB330" s="5">
        <v>2022.0</v>
      </c>
      <c r="CC330" s="5">
        <v>3407.0</v>
      </c>
      <c r="CD330" s="5">
        <v>2093.0</v>
      </c>
      <c r="CE330" s="5">
        <v>3335.0</v>
      </c>
      <c r="CF330" s="5">
        <v>2021.0</v>
      </c>
      <c r="CG330" s="5">
        <v>3335.0</v>
      </c>
      <c r="CH330" s="5">
        <v>2021.0</v>
      </c>
      <c r="CI330" s="5">
        <v>3336.0</v>
      </c>
      <c r="CJ330" s="5">
        <v>2022.0</v>
      </c>
      <c r="CK330" s="5">
        <v>3335.0</v>
      </c>
      <c r="CL330" s="5">
        <v>2021.0</v>
      </c>
      <c r="CM330" s="5">
        <v>3335.0</v>
      </c>
      <c r="CN330" s="5">
        <v>2021.0</v>
      </c>
      <c r="CO330" s="5">
        <v>59.0</v>
      </c>
      <c r="CP330" s="3"/>
      <c r="CQ330" s="3"/>
      <c r="CR330" s="4" t="s">
        <v>1398</v>
      </c>
    </row>
    <row r="331">
      <c r="A331" s="1" t="s">
        <v>1399</v>
      </c>
      <c r="B331" s="2">
        <v>46058.672430555554</v>
      </c>
      <c r="C331" s="1" t="str">
        <f t="array" ref="C331">INDEX('User data'!E:E, MATCH(E331, 'User data'!B:B, 0))</f>
        <v>주식회사 초이스포우먼(Choice for women Co., Ltd.)</v>
      </c>
      <c r="D331" s="1" t="str">
        <f t="array" ref="D331">INDEX('User data'!F:F, MATCH(C331, 'User data'!E:E, 0))</f>
        <v>462-86-02699</v>
      </c>
      <c r="E331" s="1" t="s">
        <v>1400</v>
      </c>
      <c r="F331" s="3"/>
      <c r="G331" s="3"/>
      <c r="H331" s="3"/>
      <c r="I331" s="1" t="s">
        <v>258</v>
      </c>
      <c r="J331" s="1" t="s">
        <v>100</v>
      </c>
      <c r="K331" s="1" t="s">
        <v>101</v>
      </c>
      <c r="L331" s="1" t="b">
        <v>0</v>
      </c>
      <c r="M331" s="4" t="s">
        <v>102</v>
      </c>
      <c r="N331" s="1" t="s">
        <v>1401</v>
      </c>
      <c r="O331" s="1">
        <v>594863.0</v>
      </c>
      <c r="P331" s="1">
        <v>594863.0</v>
      </c>
      <c r="Q331" s="1">
        <v>594863.0</v>
      </c>
      <c r="R331" s="1" t="s">
        <v>1022</v>
      </c>
      <c r="S331" s="1">
        <v>13288.0</v>
      </c>
      <c r="T331" s="1" t="s">
        <v>104</v>
      </c>
      <c r="U331" s="3"/>
      <c r="V331" s="3"/>
      <c r="W331" s="1" t="s">
        <v>118</v>
      </c>
      <c r="X331" s="3"/>
      <c r="Y331" s="1" t="s">
        <v>119</v>
      </c>
      <c r="Z331" s="3"/>
      <c r="AA331" s="1" t="b">
        <v>1</v>
      </c>
      <c r="AB331" s="1" t="b">
        <v>0</v>
      </c>
      <c r="AC331" s="1" t="b">
        <v>0</v>
      </c>
      <c r="AD331" s="1" t="b">
        <v>1</v>
      </c>
      <c r="AE331" s="1" t="b">
        <v>0</v>
      </c>
      <c r="AF331" s="5">
        <v>1.0</v>
      </c>
      <c r="AG331" s="5">
        <v>1.0</v>
      </c>
      <c r="AH331" s="3"/>
      <c r="AI331" s="3"/>
      <c r="AJ331" s="2">
        <v>46058.672002314815</v>
      </c>
      <c r="AK331" s="2">
        <v>46058.81759259259</v>
      </c>
      <c r="AL331" s="2">
        <v>46058.672002314815</v>
      </c>
      <c r="AM331" s="2">
        <v>46058.67201388889</v>
      </c>
      <c r="AO331" s="3"/>
      <c r="AP331" s="2">
        <v>46058.67229166667</v>
      </c>
      <c r="AR331" s="3"/>
      <c r="AS331" s="3"/>
      <c r="AT331" s="2">
        <v>46058.672430555554</v>
      </c>
      <c r="AU331" s="2">
        <v>46058.672430555554</v>
      </c>
      <c r="AW331" s="3"/>
      <c r="AX331" s="2">
        <v>46058.67208333333</v>
      </c>
      <c r="AY331" s="2">
        <v>46058.672430555554</v>
      </c>
      <c r="AZ331" s="2">
        <v>46058.692025462966</v>
      </c>
      <c r="BA331" s="2">
        <v>46058.692025462966</v>
      </c>
      <c r="BC331" s="2">
        <v>46058.77591435185</v>
      </c>
      <c r="BD331" s="2">
        <v>46058.77591435185</v>
      </c>
      <c r="BE331" s="5">
        <v>1693.0</v>
      </c>
      <c r="BF331" s="5">
        <v>1693.0</v>
      </c>
      <c r="BG331" s="5">
        <v>1693.0</v>
      </c>
      <c r="BH331" s="5">
        <v>1693.0</v>
      </c>
      <c r="BI331" s="3"/>
      <c r="BJ331" s="3"/>
      <c r="BK331" s="3"/>
      <c r="BL331" s="3"/>
      <c r="BM331" s="3"/>
      <c r="BN331" s="3"/>
      <c r="BO331" s="5">
        <v>1693.0</v>
      </c>
      <c r="BP331" s="5">
        <v>1693.0</v>
      </c>
      <c r="BQ331" s="5">
        <v>1728.0</v>
      </c>
      <c r="BR331" s="5">
        <v>1728.0</v>
      </c>
      <c r="BS331" s="5">
        <v>1722.0</v>
      </c>
      <c r="BT331" s="5">
        <v>1722.0</v>
      </c>
      <c r="BU331" s="5">
        <v>1693.0</v>
      </c>
      <c r="BV331" s="5">
        <v>1693.0</v>
      </c>
      <c r="BW331" s="5">
        <v>1693.0</v>
      </c>
      <c r="BX331" s="5">
        <v>1693.0</v>
      </c>
      <c r="BY331" s="5">
        <v>8941.0</v>
      </c>
      <c r="BZ331" s="5">
        <v>3101.0</v>
      </c>
      <c r="CA331" s="5">
        <v>8941.0</v>
      </c>
      <c r="CB331" s="5">
        <v>3101.0</v>
      </c>
      <c r="CC331" s="5">
        <v>8976.0</v>
      </c>
      <c r="CD331" s="5">
        <v>3137.0</v>
      </c>
      <c r="CE331" s="5">
        <v>8970.0</v>
      </c>
      <c r="CF331" s="5">
        <v>3131.0</v>
      </c>
      <c r="CG331" s="5">
        <v>8941.0</v>
      </c>
      <c r="CH331" s="5">
        <v>3101.0</v>
      </c>
      <c r="CI331" s="5">
        <v>8941.0</v>
      </c>
      <c r="CJ331" s="5">
        <v>3101.0</v>
      </c>
      <c r="CK331" s="5">
        <v>8941.0</v>
      </c>
      <c r="CL331" s="5">
        <v>3101.0</v>
      </c>
      <c r="CM331" s="5">
        <v>8941.0</v>
      </c>
      <c r="CN331" s="5">
        <v>3101.0</v>
      </c>
      <c r="CO331" s="5">
        <v>24.0</v>
      </c>
      <c r="CP331" s="3"/>
      <c r="CQ331" s="3"/>
      <c r="CR331" s="4" t="s">
        <v>1402</v>
      </c>
    </row>
    <row r="332">
      <c r="A332" s="1" t="s">
        <v>1403</v>
      </c>
      <c r="B332" s="2">
        <v>46058.65644675926</v>
      </c>
      <c r="C332" s="1" t="str">
        <f t="array" ref="C332">INDEX('User data'!E:E, MATCH(E332, 'User data'!B:B, 0))</f>
        <v>(주)식스티세컨즈</v>
      </c>
      <c r="D332" s="1" t="str">
        <f t="array" ref="D332">INDEX('User data'!F:F, MATCH(C332, 'User data'!E:E, 0))</f>
        <v>545-87-00746</v>
      </c>
      <c r="E332" s="1" t="s">
        <v>1404</v>
      </c>
      <c r="F332" s="3"/>
      <c r="G332" s="3"/>
      <c r="H332" s="3"/>
      <c r="I332" s="3"/>
      <c r="J332" s="1" t="s">
        <v>100</v>
      </c>
      <c r="K332" s="1" t="s">
        <v>101</v>
      </c>
      <c r="L332" s="1" t="b">
        <v>0</v>
      </c>
      <c r="M332" s="4" t="s">
        <v>102</v>
      </c>
      <c r="N332" s="1" t="s">
        <v>1405</v>
      </c>
      <c r="P332" s="3"/>
      <c r="Q332" s="3"/>
      <c r="R332" s="3"/>
      <c r="S332" s="1">
        <v>13285.0</v>
      </c>
      <c r="T332" s="1" t="s">
        <v>104</v>
      </c>
      <c r="U332" s="3"/>
      <c r="V332" s="3"/>
      <c r="W332" s="1" t="s">
        <v>118</v>
      </c>
      <c r="X332" s="3"/>
      <c r="Y332" s="1" t="s">
        <v>106</v>
      </c>
      <c r="Z332" s="3"/>
      <c r="AA332" s="1" t="b">
        <v>0</v>
      </c>
      <c r="AB332" s="1" t="b">
        <v>0</v>
      </c>
      <c r="AC332" s="1" t="b">
        <v>0</v>
      </c>
      <c r="AD332" s="1" t="b">
        <v>1</v>
      </c>
      <c r="AE332" s="1" t="b">
        <v>1</v>
      </c>
      <c r="AF332" s="3"/>
      <c r="AG332" s="3"/>
      <c r="AH332" s="3"/>
      <c r="AI332" s="3"/>
      <c r="AJ332" s="2">
        <v>46058.65557870371</v>
      </c>
      <c r="AK332" s="2">
        <v>46059.658587962964</v>
      </c>
      <c r="AL332" s="2">
        <v>46058.65557870371</v>
      </c>
      <c r="AM332" s="2">
        <v>46058.655590277776</v>
      </c>
      <c r="AN332" s="2">
        <v>46058.65644675926</v>
      </c>
      <c r="AP332" s="3"/>
      <c r="AQ332" s="3"/>
      <c r="AR332" s="3"/>
      <c r="AS332" s="3"/>
      <c r="AT332" s="3"/>
      <c r="AU332" s="3"/>
      <c r="AV332" s="3"/>
      <c r="AW332" s="3"/>
      <c r="AX332" s="3"/>
      <c r="AY332" s="3"/>
      <c r="AZ332" s="3"/>
      <c r="BA332" s="3"/>
      <c r="BB332" s="3"/>
      <c r="BC332" s="2">
        <v>46058.659837962965</v>
      </c>
      <c r="BD332" s="2">
        <v>46058.659837962965</v>
      </c>
      <c r="BF332" s="3"/>
      <c r="BG332" s="3"/>
      <c r="BH332" s="3"/>
      <c r="BI332" s="3"/>
      <c r="BJ332" s="3"/>
      <c r="BK332" s="3"/>
      <c r="BL332" s="3"/>
      <c r="BM332" s="3"/>
      <c r="BN332" s="3"/>
      <c r="BO332" s="3"/>
      <c r="BP332" s="3"/>
      <c r="BQ332" s="3"/>
      <c r="BR332" s="3"/>
      <c r="BS332" s="3"/>
      <c r="BT332" s="3"/>
      <c r="BU332" s="3"/>
      <c r="BV332" s="3"/>
      <c r="BW332" s="3"/>
      <c r="BX332" s="3"/>
      <c r="BY332" s="5">
        <v>292.0</v>
      </c>
      <c r="BZ332" s="5">
        <v>292.0</v>
      </c>
      <c r="CA332" s="5">
        <v>292.0</v>
      </c>
      <c r="CB332" s="5">
        <v>292.0</v>
      </c>
      <c r="CC332" s="5">
        <v>367.0</v>
      </c>
      <c r="CD332" s="5">
        <v>367.0</v>
      </c>
      <c r="CE332" s="3"/>
      <c r="CF332" s="3"/>
      <c r="CG332" s="3"/>
      <c r="CH332" s="3"/>
      <c r="CI332" s="3"/>
      <c r="CJ332" s="3"/>
      <c r="CK332" s="3"/>
      <c r="CL332" s="3"/>
      <c r="CM332" s="3"/>
      <c r="CN332" s="3"/>
      <c r="CO332" s="3"/>
      <c r="CP332" s="3"/>
      <c r="CQ332" s="5">
        <v>3.4</v>
      </c>
      <c r="CR332" s="4" t="s">
        <v>1406</v>
      </c>
    </row>
    <row r="333">
      <c r="A333" s="1" t="s">
        <v>1407</v>
      </c>
      <c r="B333" s="2">
        <v>46058.63475694445</v>
      </c>
      <c r="C333" s="1" t="str">
        <f t="array" ref="C333">INDEX('User data'!E:E, MATCH(E333, 'User data'!B:B, 0))</f>
        <v>(주)올림플래닛</v>
      </c>
      <c r="D333" s="1" t="str">
        <f t="array" ref="D333">INDEX('User data'!F:F, MATCH(C333, 'User data'!E:E, 0))</f>
        <v>120-88-24298</v>
      </c>
      <c r="E333" s="1" t="s">
        <v>1408</v>
      </c>
      <c r="F333" s="3"/>
      <c r="G333" s="1" t="s">
        <v>1409</v>
      </c>
      <c r="I333" s="1" t="s">
        <v>730</v>
      </c>
      <c r="J333" s="1" t="s">
        <v>100</v>
      </c>
      <c r="K333" s="1" t="s">
        <v>101</v>
      </c>
      <c r="L333" s="1" t="b">
        <v>0</v>
      </c>
      <c r="M333" s="1" t="s">
        <v>1410</v>
      </c>
      <c r="N333" s="1" t="s">
        <v>1411</v>
      </c>
      <c r="O333" s="1">
        <v>574085.0</v>
      </c>
      <c r="P333" s="1">
        <v>574085.0</v>
      </c>
      <c r="Q333" s="1">
        <v>574085.0</v>
      </c>
      <c r="R333" s="1" t="s">
        <v>145</v>
      </c>
      <c r="S333" s="1">
        <v>13285.0</v>
      </c>
      <c r="T333" s="1" t="s">
        <v>104</v>
      </c>
      <c r="U333" s="3"/>
      <c r="V333" s="3"/>
      <c r="W333" s="1" t="s">
        <v>118</v>
      </c>
      <c r="X333" s="3"/>
      <c r="Y333" s="1" t="s">
        <v>119</v>
      </c>
      <c r="Z333" s="3"/>
      <c r="AA333" s="1" t="b">
        <v>1</v>
      </c>
      <c r="AB333" s="1" t="b">
        <v>0</v>
      </c>
      <c r="AC333" s="1" t="b">
        <v>0</v>
      </c>
      <c r="AD333" s="1" t="b">
        <v>1</v>
      </c>
      <c r="AE333" s="1" t="b">
        <v>0</v>
      </c>
      <c r="AF333" s="5">
        <v>4.0</v>
      </c>
      <c r="AG333" s="5">
        <v>2.0</v>
      </c>
      <c r="AH333" s="3"/>
      <c r="AI333" s="3"/>
      <c r="AJ333" s="2">
        <v>46058.63019675926</v>
      </c>
      <c r="AK333" s="2">
        <v>46059.46611111111</v>
      </c>
      <c r="AL333" s="2">
        <v>46058.63019675926</v>
      </c>
      <c r="AM333" s="2">
        <v>46058.630219907405</v>
      </c>
      <c r="AO333" s="3"/>
      <c r="AP333" s="2">
        <v>46058.63208333333</v>
      </c>
      <c r="AQ333" s="2">
        <v>46058.63475694445</v>
      </c>
      <c r="AS333" s="2">
        <v>46058.63476851852</v>
      </c>
      <c r="AT333" s="2">
        <v>46058.63475694445</v>
      </c>
      <c r="AU333" s="2">
        <v>46059.37505787037</v>
      </c>
      <c r="AW333" s="3"/>
      <c r="AX333" s="2">
        <v>46058.63476851852</v>
      </c>
      <c r="AY333" s="2">
        <v>46058.63476851852</v>
      </c>
      <c r="AZ333" s="2">
        <v>46058.63548611111</v>
      </c>
      <c r="BA333" s="2">
        <v>46059.41997685185</v>
      </c>
      <c r="BB333" s="2">
        <v>46058.745162037034</v>
      </c>
      <c r="BC333" s="2">
        <v>46059.42443287037</v>
      </c>
      <c r="BD333" s="2">
        <v>46059.42443287037</v>
      </c>
      <c r="BE333" s="5">
        <v>4369.0</v>
      </c>
      <c r="BF333" s="5">
        <v>354.0</v>
      </c>
      <c r="BG333" s="5">
        <v>1092.0</v>
      </c>
      <c r="BH333" s="5">
        <v>177.0</v>
      </c>
      <c r="BI333" s="5">
        <v>56369.0</v>
      </c>
      <c r="BJ333" s="5">
        <v>0.0</v>
      </c>
      <c r="BK333" s="5">
        <v>1.0</v>
      </c>
      <c r="BL333" s="5">
        <v>1.0</v>
      </c>
      <c r="BM333" s="5">
        <v>1.0</v>
      </c>
      <c r="BN333" s="5">
        <v>1.0</v>
      </c>
      <c r="BO333" s="5">
        <v>63.0</v>
      </c>
      <c r="BP333" s="5">
        <v>63.0</v>
      </c>
      <c r="BQ333" s="5">
        <v>454.0</v>
      </c>
      <c r="BR333" s="5">
        <v>454.0</v>
      </c>
      <c r="BS333" s="5">
        <v>62.0</v>
      </c>
      <c r="BT333" s="5">
        <v>62.0</v>
      </c>
      <c r="BU333" s="5">
        <v>62.0</v>
      </c>
      <c r="BV333" s="5">
        <v>62.0</v>
      </c>
      <c r="BW333" s="5">
        <v>63.0</v>
      </c>
      <c r="BX333" s="5">
        <v>63.0</v>
      </c>
      <c r="BY333" s="5">
        <v>68228.0</v>
      </c>
      <c r="BZ333" s="5">
        <v>7028.0</v>
      </c>
      <c r="CA333" s="5">
        <v>68228.0</v>
      </c>
      <c r="CB333" s="5">
        <v>7028.0</v>
      </c>
      <c r="CC333" s="5">
        <v>68619.0</v>
      </c>
      <c r="CD333" s="5">
        <v>7419.0</v>
      </c>
      <c r="CE333" s="5">
        <v>68227.0</v>
      </c>
      <c r="CF333" s="5">
        <v>7027.0</v>
      </c>
      <c r="CG333" s="5">
        <v>68227.0</v>
      </c>
      <c r="CH333" s="5">
        <v>7027.0</v>
      </c>
      <c r="CI333" s="5">
        <v>68228.0</v>
      </c>
      <c r="CJ333" s="5">
        <v>7028.0</v>
      </c>
      <c r="CK333" s="5">
        <v>11857.0</v>
      </c>
      <c r="CL333" s="5">
        <v>7027.0</v>
      </c>
      <c r="CM333" s="5">
        <v>11857.0</v>
      </c>
      <c r="CN333" s="5">
        <v>7027.0</v>
      </c>
      <c r="CO333" s="5">
        <v>162.0</v>
      </c>
      <c r="CP333" s="3"/>
      <c r="CQ333" s="3"/>
      <c r="CR333" s="4" t="s">
        <v>1412</v>
      </c>
    </row>
    <row r="334">
      <c r="A334" s="1" t="s">
        <v>1413</v>
      </c>
      <c r="B334" s="2">
        <v>46058.628703703704</v>
      </c>
      <c r="C334" s="1" t="str">
        <f t="array" ref="C334">INDEX('User data'!E:E, MATCH(E334, 'User data'!B:B, 0))</f>
        <v>주식회사 케미컴퍼니 (Chemi Company Corp.)</v>
      </c>
      <c r="D334" s="1" t="str">
        <f t="array" ref="D334">INDEX('User data'!F:F, MATCH(C334, 'User data'!E:E, 0))</f>
        <v>361-88-03119</v>
      </c>
      <c r="E334" s="1" t="s">
        <v>1414</v>
      </c>
      <c r="F334" s="3"/>
      <c r="G334" s="1" t="s">
        <v>1415</v>
      </c>
      <c r="I334" s="1" t="s">
        <v>306</v>
      </c>
      <c r="J334" s="1" t="s">
        <v>100</v>
      </c>
      <c r="K334" s="1" t="s">
        <v>173</v>
      </c>
      <c r="L334" s="1" t="b">
        <v>0</v>
      </c>
      <c r="M334" s="4" t="s">
        <v>102</v>
      </c>
      <c r="N334" s="1" t="s">
        <v>1416</v>
      </c>
      <c r="O334" s="1">
        <v>574085.0</v>
      </c>
      <c r="P334" s="1">
        <v>574085.0</v>
      </c>
      <c r="Q334" s="1">
        <v>574085.0</v>
      </c>
      <c r="R334" s="1" t="s">
        <v>145</v>
      </c>
      <c r="S334" s="1">
        <v>13285.0</v>
      </c>
      <c r="T334" s="1" t="s">
        <v>104</v>
      </c>
      <c r="U334" s="3"/>
      <c r="V334" s="3"/>
      <c r="W334" s="1" t="s">
        <v>118</v>
      </c>
      <c r="X334" s="3"/>
      <c r="Y334" s="1" t="s">
        <v>119</v>
      </c>
      <c r="Z334" s="3"/>
      <c r="AA334" s="1" t="b">
        <v>1</v>
      </c>
      <c r="AB334" s="1" t="b">
        <v>0</v>
      </c>
      <c r="AC334" s="1" t="b">
        <v>0</v>
      </c>
      <c r="AD334" s="1" t="b">
        <v>1</v>
      </c>
      <c r="AE334" s="1" t="b">
        <v>0</v>
      </c>
      <c r="AF334" s="5">
        <v>7.0</v>
      </c>
      <c r="AG334" s="5">
        <v>7.0</v>
      </c>
      <c r="AH334" s="3"/>
      <c r="AI334" s="3"/>
      <c r="AJ334" s="2">
        <v>46055.56496527778</v>
      </c>
      <c r="AK334" s="2">
        <v>46058.73354166667</v>
      </c>
      <c r="AL334" s="2">
        <v>46055.565300925926</v>
      </c>
      <c r="AM334" s="2">
        <v>46055.565358796295</v>
      </c>
      <c r="AO334" s="3"/>
      <c r="AP334" s="2">
        <v>46058.62847222222</v>
      </c>
      <c r="AQ334" s="2">
        <v>46058.628703703704</v>
      </c>
      <c r="AS334" s="2">
        <v>46058.62871527778</v>
      </c>
      <c r="AT334" s="2">
        <v>46058.628703703704</v>
      </c>
      <c r="AU334" s="2">
        <v>46058.62871527778</v>
      </c>
      <c r="AW334" s="3"/>
      <c r="AX334" s="2">
        <v>46058.62871527778</v>
      </c>
      <c r="AY334" s="2">
        <v>46058.62871527778</v>
      </c>
      <c r="AZ334" s="2">
        <v>46058.63045138889</v>
      </c>
      <c r="BA334" s="2">
        <v>46058.673634259256</v>
      </c>
      <c r="BC334" s="2">
        <v>46058.69186342593</v>
      </c>
      <c r="BD334" s="2">
        <v>46058.69186342593</v>
      </c>
      <c r="BE334" s="5">
        <v>2919.0</v>
      </c>
      <c r="BF334" s="5">
        <v>2919.0</v>
      </c>
      <c r="BG334" s="5">
        <v>417.0</v>
      </c>
      <c r="BH334" s="5">
        <v>417.0</v>
      </c>
      <c r="BI334" s="3"/>
      <c r="BJ334" s="3"/>
      <c r="BK334" s="5">
        <v>0.0</v>
      </c>
      <c r="BL334" s="5">
        <v>0.0</v>
      </c>
      <c r="BM334" s="5">
        <v>0.0</v>
      </c>
      <c r="BN334" s="5">
        <v>0.0</v>
      </c>
      <c r="BO334" s="5">
        <v>150.0</v>
      </c>
      <c r="BP334" s="5">
        <v>150.0</v>
      </c>
      <c r="BQ334" s="5">
        <v>264823.0</v>
      </c>
      <c r="BR334" s="5">
        <v>70423.0</v>
      </c>
      <c r="BS334" s="5">
        <v>149.0</v>
      </c>
      <c r="BT334" s="5">
        <v>149.0</v>
      </c>
      <c r="BU334" s="5">
        <v>149.0</v>
      </c>
      <c r="BV334" s="5">
        <v>149.0</v>
      </c>
      <c r="BW334" s="5">
        <v>150.0</v>
      </c>
      <c r="BX334" s="5">
        <v>150.0</v>
      </c>
      <c r="BY334" s="5">
        <v>5457.0</v>
      </c>
      <c r="BZ334" s="5">
        <v>5457.0</v>
      </c>
      <c r="CA334" s="5">
        <v>5457.0</v>
      </c>
      <c r="CB334" s="5">
        <v>5457.0</v>
      </c>
      <c r="CC334" s="5">
        <v>270129.0</v>
      </c>
      <c r="CD334" s="5">
        <v>75729.0</v>
      </c>
      <c r="CE334" s="5">
        <v>5456.0</v>
      </c>
      <c r="CF334" s="5">
        <v>5456.0</v>
      </c>
      <c r="CG334" s="5">
        <v>5456.0</v>
      </c>
      <c r="CH334" s="5">
        <v>5456.0</v>
      </c>
      <c r="CI334" s="5">
        <v>5457.0</v>
      </c>
      <c r="CJ334" s="5">
        <v>5457.0</v>
      </c>
      <c r="CK334" s="5">
        <v>5456.0</v>
      </c>
      <c r="CL334" s="5">
        <v>5456.0</v>
      </c>
      <c r="CM334" s="5">
        <v>5456.0</v>
      </c>
      <c r="CN334" s="5">
        <v>5456.0</v>
      </c>
      <c r="CO334" s="5">
        <v>264658.0</v>
      </c>
      <c r="CP334" s="3"/>
      <c r="CQ334" s="3"/>
      <c r="CR334" s="4" t="s">
        <v>1417</v>
      </c>
      <c r="CS334" s="5">
        <v>5.0</v>
      </c>
      <c r="CT334" s="1" t="s">
        <v>1418</v>
      </c>
    </row>
    <row r="335">
      <c r="A335" s="1" t="s">
        <v>1419</v>
      </c>
      <c r="B335" s="2">
        <v>46058.62590277778</v>
      </c>
      <c r="C335" s="1" t="str">
        <f t="array" ref="C335">INDEX('User data'!E:E, MATCH(E335, 'User data'!B:B, 0))</f>
        <v>주식회사 직진코퍼레이션</v>
      </c>
      <c r="D335" s="1" t="str">
        <f t="array" ref="D335">INDEX('User data'!F:F, MATCH(C335, 'User data'!E:E, 0))</f>
        <v>574-88-01930</v>
      </c>
      <c r="E335" s="1" t="s">
        <v>1420</v>
      </c>
      <c r="F335" s="3"/>
      <c r="G335" s="3"/>
      <c r="H335" s="3"/>
      <c r="I335" s="1" t="s">
        <v>258</v>
      </c>
      <c r="J335" s="1" t="s">
        <v>100</v>
      </c>
      <c r="K335" s="1" t="s">
        <v>173</v>
      </c>
      <c r="L335" s="1" t="b">
        <v>0</v>
      </c>
      <c r="M335" s="3"/>
      <c r="N335" s="1" t="s">
        <v>1421</v>
      </c>
      <c r="O335" s="1">
        <v>594863.0</v>
      </c>
      <c r="P335" s="1">
        <v>594863.0</v>
      </c>
      <c r="Q335" s="1">
        <v>594863.0</v>
      </c>
      <c r="R335" s="1">
        <v>594863.0</v>
      </c>
      <c r="S335" s="3"/>
      <c r="T335" s="1" t="s">
        <v>175</v>
      </c>
      <c r="U335" s="1" t="s">
        <v>175</v>
      </c>
      <c r="V335" s="3"/>
      <c r="W335" s="1" t="s">
        <v>118</v>
      </c>
      <c r="X335" s="3"/>
      <c r="Y335" s="1" t="s">
        <v>119</v>
      </c>
      <c r="Z335" s="3"/>
      <c r="AA335" s="1" t="b">
        <v>1</v>
      </c>
      <c r="AB335" s="1" t="b">
        <v>0</v>
      </c>
      <c r="AC335" s="1" t="b">
        <v>0</v>
      </c>
      <c r="AD335" s="1" t="b">
        <v>1</v>
      </c>
      <c r="AE335" s="1" t="b">
        <v>0</v>
      </c>
      <c r="AF335" s="5">
        <v>1.0</v>
      </c>
      <c r="AG335" s="5">
        <v>1.0</v>
      </c>
      <c r="AH335" s="3"/>
      <c r="AI335" s="3"/>
      <c r="AJ335" s="2">
        <v>46058.62280092593</v>
      </c>
      <c r="AK335" s="2">
        <v>46058.687430555554</v>
      </c>
      <c r="AL335" s="2">
        <v>46058.62662037037</v>
      </c>
      <c r="AM335" s="2">
        <v>46058.62590277778</v>
      </c>
      <c r="AO335" s="3"/>
      <c r="AP335" s="2">
        <v>46058.626655092594</v>
      </c>
      <c r="AR335" s="3"/>
      <c r="AS335" s="3"/>
      <c r="AT335" s="2">
        <v>46058.62590277778</v>
      </c>
      <c r="AU335" s="2">
        <v>46058.62590277778</v>
      </c>
      <c r="AW335" s="3"/>
      <c r="AX335" s="2">
        <v>46058.62280092593</v>
      </c>
      <c r="AY335" s="2">
        <v>46058.62590277778</v>
      </c>
      <c r="AZ335" s="2">
        <v>46058.630162037036</v>
      </c>
      <c r="BA335" s="2">
        <v>46058.630162037036</v>
      </c>
      <c r="BC335" s="2">
        <v>46058.64575231481</v>
      </c>
      <c r="BD335" s="2">
        <v>46058.64575231481</v>
      </c>
      <c r="BE335" s="5">
        <v>367.0</v>
      </c>
      <c r="BF335" s="5">
        <v>367.0</v>
      </c>
      <c r="BG335" s="5">
        <v>367.0</v>
      </c>
      <c r="BH335" s="5">
        <v>367.0</v>
      </c>
      <c r="BI335" s="3"/>
      <c r="BJ335" s="3"/>
      <c r="BK335" s="3"/>
      <c r="BL335" s="3"/>
      <c r="BM335" s="3"/>
      <c r="BN335" s="3"/>
      <c r="BO335" s="5">
        <v>367.0</v>
      </c>
      <c r="BP335" s="5">
        <v>367.0</v>
      </c>
      <c r="BQ335" s="5">
        <v>367.0</v>
      </c>
      <c r="BR335" s="5">
        <v>367.0</v>
      </c>
      <c r="BS335" s="5">
        <v>636.0</v>
      </c>
      <c r="BT335" s="5">
        <v>636.0</v>
      </c>
      <c r="BU335" s="5">
        <v>367.0</v>
      </c>
      <c r="BV335" s="5">
        <v>367.0</v>
      </c>
      <c r="BW335" s="5">
        <v>367.0</v>
      </c>
      <c r="BX335" s="5">
        <v>367.0</v>
      </c>
      <c r="BY335" s="5">
        <v>1714.0</v>
      </c>
      <c r="BZ335" s="5">
        <v>1714.0</v>
      </c>
      <c r="CA335" s="5">
        <v>1714.0</v>
      </c>
      <c r="CB335" s="5">
        <v>1714.0</v>
      </c>
      <c r="CC335" s="5">
        <v>1714.0</v>
      </c>
      <c r="CD335" s="5">
        <v>1714.0</v>
      </c>
      <c r="CE335" s="5">
        <v>1983.0</v>
      </c>
      <c r="CF335" s="5">
        <v>1983.0</v>
      </c>
      <c r="CG335" s="5">
        <v>1714.0</v>
      </c>
      <c r="CH335" s="5">
        <v>1714.0</v>
      </c>
      <c r="CI335" s="5">
        <v>1714.0</v>
      </c>
      <c r="CJ335" s="5">
        <v>1714.0</v>
      </c>
      <c r="CK335" s="5">
        <v>1714.0</v>
      </c>
      <c r="CL335" s="5">
        <v>1714.0</v>
      </c>
      <c r="CM335" s="5">
        <v>1714.0</v>
      </c>
      <c r="CN335" s="5">
        <v>1714.0</v>
      </c>
      <c r="CO335" s="5">
        <v>3.0</v>
      </c>
      <c r="CP335" s="3"/>
      <c r="CQ335" s="3"/>
      <c r="CR335" s="4" t="s">
        <v>1422</v>
      </c>
    </row>
    <row r="336">
      <c r="A336" s="1" t="s">
        <v>1423</v>
      </c>
      <c r="B336" s="2">
        <v>46058.611712962964</v>
      </c>
      <c r="C336" s="1" t="str">
        <f t="array" ref="C336">INDEX('User data'!E:E, MATCH(E336, 'User data'!B:B, 0))</f>
        <v>주식회사 모요 (MOYO Inc.)</v>
      </c>
      <c r="D336" s="1" t="str">
        <f t="array" ref="D336">INDEX('User data'!F:F, MATCH(C336, 'User data'!E:E, 0))</f>
        <v>716-87-02405</v>
      </c>
      <c r="E336" s="1" t="s">
        <v>1424</v>
      </c>
      <c r="F336" s="3"/>
      <c r="G336" s="1" t="s">
        <v>1425</v>
      </c>
      <c r="I336" s="1" t="s">
        <v>871</v>
      </c>
      <c r="J336" s="1" t="s">
        <v>100</v>
      </c>
      <c r="K336" s="1" t="s">
        <v>101</v>
      </c>
      <c r="L336" s="1" t="b">
        <v>0</v>
      </c>
      <c r="M336" s="4" t="s">
        <v>102</v>
      </c>
      <c r="N336" s="1" t="s">
        <v>1426</v>
      </c>
      <c r="O336" s="1">
        <v>574085.0</v>
      </c>
      <c r="P336" s="1">
        <v>574085.0</v>
      </c>
      <c r="Q336" s="1">
        <v>574085.0</v>
      </c>
      <c r="R336" s="1" t="s">
        <v>145</v>
      </c>
      <c r="S336" s="1">
        <v>13285.0</v>
      </c>
      <c r="T336" s="1" t="s">
        <v>104</v>
      </c>
      <c r="U336" s="3"/>
      <c r="V336" s="3"/>
      <c r="W336" s="1" t="s">
        <v>118</v>
      </c>
      <c r="X336" s="3"/>
      <c r="Y336" s="1" t="s">
        <v>119</v>
      </c>
      <c r="Z336" s="3"/>
      <c r="AA336" s="1" t="b">
        <v>1</v>
      </c>
      <c r="AB336" s="1" t="b">
        <v>0</v>
      </c>
      <c r="AC336" s="1" t="b">
        <v>0</v>
      </c>
      <c r="AD336" s="1" t="b">
        <v>1</v>
      </c>
      <c r="AE336" s="1" t="b">
        <v>0</v>
      </c>
      <c r="AF336" s="5">
        <v>3.0</v>
      </c>
      <c r="AG336" s="5">
        <v>3.0</v>
      </c>
      <c r="AH336" s="3"/>
      <c r="AI336" s="3"/>
      <c r="AJ336" s="2">
        <v>46058.61101851852</v>
      </c>
      <c r="AK336" s="2">
        <v>46058.67285879629</v>
      </c>
      <c r="AL336" s="2">
        <v>46058.61101851852</v>
      </c>
      <c r="AM336" s="2">
        <v>46058.61104166666</v>
      </c>
      <c r="AO336" s="3"/>
      <c r="AP336" s="2">
        <v>46058.61131944445</v>
      </c>
      <c r="AQ336" s="2">
        <v>46058.611712962964</v>
      </c>
      <c r="AS336" s="2">
        <v>46058.61172453704</v>
      </c>
      <c r="AT336" s="2">
        <v>46058.611712962964</v>
      </c>
      <c r="AU336" s="2">
        <v>46058.61172453704</v>
      </c>
      <c r="AW336" s="3"/>
      <c r="AX336" s="2">
        <v>46058.61172453704</v>
      </c>
      <c r="AY336" s="2">
        <v>46058.61172453704</v>
      </c>
      <c r="AZ336" s="2">
        <v>46058.612905092596</v>
      </c>
      <c r="BA336" s="2">
        <v>46058.63113425926</v>
      </c>
      <c r="BC336" s="2">
        <v>46058.63118055555</v>
      </c>
      <c r="BD336" s="2">
        <v>46058.63118055555</v>
      </c>
      <c r="BE336" s="5">
        <v>581.0</v>
      </c>
      <c r="BF336" s="5">
        <v>581.0</v>
      </c>
      <c r="BG336" s="5">
        <v>193.0</v>
      </c>
      <c r="BH336" s="5">
        <v>193.0</v>
      </c>
      <c r="BI336" s="3"/>
      <c r="BJ336" s="3"/>
      <c r="BK336" s="5">
        <v>0.0</v>
      </c>
      <c r="BL336" s="5">
        <v>0.0</v>
      </c>
      <c r="BM336" s="5">
        <v>0.0</v>
      </c>
      <c r="BN336" s="5">
        <v>0.0</v>
      </c>
      <c r="BO336" s="5">
        <v>103.0</v>
      </c>
      <c r="BP336" s="5">
        <v>103.0</v>
      </c>
      <c r="BQ336" s="5">
        <v>161.0</v>
      </c>
      <c r="BR336" s="5">
        <v>161.0</v>
      </c>
      <c r="BS336" s="5">
        <v>102.0</v>
      </c>
      <c r="BT336" s="5">
        <v>102.0</v>
      </c>
      <c r="BU336" s="5">
        <v>102.0</v>
      </c>
      <c r="BV336" s="5">
        <v>102.0</v>
      </c>
      <c r="BW336" s="5">
        <v>103.0</v>
      </c>
      <c r="BX336" s="5">
        <v>103.0</v>
      </c>
      <c r="BY336" s="5">
        <v>1682.0</v>
      </c>
      <c r="BZ336" s="5">
        <v>1682.0</v>
      </c>
      <c r="CA336" s="5">
        <v>1682.0</v>
      </c>
      <c r="CB336" s="5">
        <v>1682.0</v>
      </c>
      <c r="CC336" s="5">
        <v>1739.0</v>
      </c>
      <c r="CD336" s="5">
        <v>1739.0</v>
      </c>
      <c r="CE336" s="5">
        <v>1681.0</v>
      </c>
      <c r="CF336" s="5">
        <v>1681.0</v>
      </c>
      <c r="CG336" s="5">
        <v>1681.0</v>
      </c>
      <c r="CH336" s="5">
        <v>1681.0</v>
      </c>
      <c r="CI336" s="5">
        <v>1682.0</v>
      </c>
      <c r="CJ336" s="5">
        <v>1682.0</v>
      </c>
      <c r="CK336" s="5">
        <v>1681.0</v>
      </c>
      <c r="CL336" s="5">
        <v>1681.0</v>
      </c>
      <c r="CM336" s="5">
        <v>1681.0</v>
      </c>
      <c r="CN336" s="5">
        <v>1681.0</v>
      </c>
      <c r="CO336" s="5">
        <v>25.0</v>
      </c>
      <c r="CP336" s="3"/>
      <c r="CQ336" s="3"/>
      <c r="CR336" s="4" t="s">
        <v>1427</v>
      </c>
    </row>
    <row r="337">
      <c r="A337" s="1" t="s">
        <v>1428</v>
      </c>
      <c r="B337" s="2">
        <v>46058.60175925926</v>
      </c>
      <c r="C337" s="1" t="str">
        <f t="array" ref="C337">INDEX('User data'!E:E, MATCH(E337, 'User data'!B:B, 0))</f>
        <v>주식회사 팀블렌드</v>
      </c>
      <c r="D337" s="1" t="str">
        <f t="array" ref="D337">INDEX('User data'!F:F, MATCH(C337, 'User data'!E:E, 0))</f>
        <v>154-86-01241</v>
      </c>
      <c r="E337" s="1" t="s">
        <v>1429</v>
      </c>
      <c r="F337" s="3"/>
      <c r="G337" s="3"/>
      <c r="H337" s="3"/>
      <c r="I337" s="1" t="s">
        <v>1430</v>
      </c>
      <c r="J337" s="1" t="s">
        <v>100</v>
      </c>
      <c r="K337" s="1" t="s">
        <v>101</v>
      </c>
      <c r="L337" s="1" t="b">
        <v>0</v>
      </c>
      <c r="M337" s="4" t="s">
        <v>102</v>
      </c>
      <c r="N337" s="1" t="s">
        <v>1431</v>
      </c>
      <c r="O337" s="1">
        <v>574085.0</v>
      </c>
      <c r="P337" s="1">
        <v>574085.0</v>
      </c>
      <c r="Q337" s="1">
        <v>574085.0</v>
      </c>
      <c r="R337" s="1" t="s">
        <v>145</v>
      </c>
      <c r="S337" s="1">
        <v>13285.0</v>
      </c>
      <c r="T337" s="1" t="s">
        <v>104</v>
      </c>
      <c r="U337" s="3"/>
      <c r="V337" s="3"/>
      <c r="W337" s="1" t="s">
        <v>118</v>
      </c>
      <c r="X337" s="3"/>
      <c r="Y337" s="1" t="s">
        <v>119</v>
      </c>
      <c r="Z337" s="3"/>
      <c r="AA337" s="1" t="b">
        <v>1</v>
      </c>
      <c r="AB337" s="1" t="b">
        <v>0</v>
      </c>
      <c r="AC337" s="1" t="b">
        <v>0</v>
      </c>
      <c r="AD337" s="1" t="b">
        <v>1</v>
      </c>
      <c r="AE337" s="1" t="b">
        <v>1</v>
      </c>
      <c r="AF337" s="5">
        <v>3.0</v>
      </c>
      <c r="AG337" s="5">
        <v>3.0</v>
      </c>
      <c r="AH337" s="3"/>
      <c r="AI337" s="3"/>
      <c r="AJ337" s="2">
        <v>46058.60072916667</v>
      </c>
      <c r="AK337" s="2">
        <v>46058.653495370374</v>
      </c>
      <c r="AL337" s="2">
        <v>46058.60072916667</v>
      </c>
      <c r="AM337" s="2">
        <v>46058.600752314815</v>
      </c>
      <c r="AN337" s="2">
        <v>46058.60175925926</v>
      </c>
      <c r="AO337" s="2">
        <v>46058.6021875</v>
      </c>
      <c r="AP337" s="2">
        <v>46058.6021875</v>
      </c>
      <c r="AQ337" s="2">
        <v>46058.6021875</v>
      </c>
      <c r="AS337" s="2">
        <v>46058.60219907408</v>
      </c>
      <c r="AT337" s="2">
        <v>46058.6021875</v>
      </c>
      <c r="AU337" s="2">
        <v>46058.60219907408</v>
      </c>
      <c r="AW337" s="3"/>
      <c r="AX337" s="2">
        <v>46058.60219907408</v>
      </c>
      <c r="AY337" s="2">
        <v>46058.60219907408</v>
      </c>
      <c r="AZ337" s="2">
        <v>46058.602488425924</v>
      </c>
      <c r="BA337" s="2">
        <v>46058.611550925925</v>
      </c>
      <c r="BC337" s="2">
        <v>46058.611655092594</v>
      </c>
      <c r="BD337" s="2">
        <v>46058.611655092594</v>
      </c>
      <c r="BE337" s="5">
        <v>213.0</v>
      </c>
      <c r="BF337" s="5">
        <v>213.0</v>
      </c>
      <c r="BG337" s="5">
        <v>71.0</v>
      </c>
      <c r="BH337" s="5">
        <v>71.0</v>
      </c>
      <c r="BI337" s="3"/>
      <c r="BJ337" s="3"/>
      <c r="BK337" s="5">
        <v>0.0</v>
      </c>
      <c r="BL337" s="5">
        <v>0.0</v>
      </c>
      <c r="BM337" s="5">
        <v>37.0</v>
      </c>
      <c r="BN337" s="5">
        <v>37.0</v>
      </c>
      <c r="BO337" s="5">
        <v>62.0</v>
      </c>
      <c r="BP337" s="5">
        <v>62.0</v>
      </c>
      <c r="BQ337" s="5">
        <v>150.0</v>
      </c>
      <c r="BR337" s="5">
        <v>150.0</v>
      </c>
      <c r="BS337" s="5">
        <v>25.0</v>
      </c>
      <c r="BT337" s="5">
        <v>25.0</v>
      </c>
      <c r="BU337" s="5">
        <v>25.0</v>
      </c>
      <c r="BV337" s="5">
        <v>25.0</v>
      </c>
      <c r="BW337" s="5">
        <v>25.0</v>
      </c>
      <c r="BX337" s="5">
        <v>25.0</v>
      </c>
      <c r="BY337" s="5">
        <v>854.0</v>
      </c>
      <c r="BZ337" s="5">
        <v>854.0</v>
      </c>
      <c r="CA337" s="5">
        <v>854.0</v>
      </c>
      <c r="CB337" s="5">
        <v>854.0</v>
      </c>
      <c r="CC337" s="5">
        <v>942.0</v>
      </c>
      <c r="CD337" s="5">
        <v>942.0</v>
      </c>
      <c r="CE337" s="5">
        <v>817.0</v>
      </c>
      <c r="CF337" s="5">
        <v>817.0</v>
      </c>
      <c r="CG337" s="5">
        <v>817.0</v>
      </c>
      <c r="CH337" s="5">
        <v>817.0</v>
      </c>
      <c r="CI337" s="5">
        <v>818.0</v>
      </c>
      <c r="CJ337" s="5">
        <v>818.0</v>
      </c>
      <c r="CK337" s="5">
        <v>817.0</v>
      </c>
      <c r="CL337" s="5">
        <v>817.0</v>
      </c>
      <c r="CM337" s="5">
        <v>817.0</v>
      </c>
      <c r="CN337" s="5">
        <v>817.0</v>
      </c>
      <c r="CO337" s="5">
        <v>126.0</v>
      </c>
      <c r="CP337" s="5">
        <v>36.0</v>
      </c>
      <c r="CQ337" s="3"/>
      <c r="CR337" s="4" t="s">
        <v>1432</v>
      </c>
    </row>
    <row r="338">
      <c r="A338" s="1" t="s">
        <v>1433</v>
      </c>
      <c r="B338" s="2">
        <v>46058.5793287037</v>
      </c>
      <c r="C338" s="1" t="str">
        <f t="array" ref="C338">INDEX('User data'!E:E, MATCH(E338, 'User data'!B:B, 0))</f>
        <v>데이오프컴퍼니 주식회사</v>
      </c>
      <c r="D338" s="1" t="str">
        <f t="array" ref="D338">INDEX('User data'!F:F, MATCH(C338, 'User data'!E:E, 0))</f>
        <v>772-88-02872</v>
      </c>
      <c r="E338" s="1" t="s">
        <v>1434</v>
      </c>
      <c r="F338" s="3"/>
      <c r="G338" s="3"/>
      <c r="H338" s="3"/>
      <c r="I338" s="3"/>
      <c r="J338" s="1" t="s">
        <v>100</v>
      </c>
      <c r="K338" s="1" t="s">
        <v>101</v>
      </c>
      <c r="L338" s="1" t="b">
        <v>0</v>
      </c>
      <c r="M338" s="4" t="s">
        <v>102</v>
      </c>
      <c r="N338" s="1" t="s">
        <v>1435</v>
      </c>
      <c r="P338" s="3"/>
      <c r="Q338" s="3"/>
      <c r="R338" s="3"/>
      <c r="S338" s="1">
        <v>13285.0</v>
      </c>
      <c r="T338" s="1" t="s">
        <v>104</v>
      </c>
      <c r="U338" s="3"/>
      <c r="V338" s="3"/>
      <c r="W338" s="1" t="s">
        <v>105</v>
      </c>
      <c r="X338" s="3"/>
      <c r="Y338" s="1" t="s">
        <v>106</v>
      </c>
      <c r="Z338" s="3"/>
      <c r="AA338" s="1" t="b">
        <v>0</v>
      </c>
      <c r="AB338" s="1" t="b">
        <v>0</v>
      </c>
      <c r="AC338" s="1" t="b">
        <v>0</v>
      </c>
      <c r="AD338" s="1" t="b">
        <v>1</v>
      </c>
      <c r="AE338" s="1" t="b">
        <v>1</v>
      </c>
      <c r="AF338" s="3"/>
      <c r="AG338" s="3"/>
      <c r="AH338" s="3"/>
      <c r="AI338" s="3"/>
      <c r="AJ338" s="2">
        <v>46058.57777777778</v>
      </c>
      <c r="AK338" s="2">
        <v>46059.57938657407</v>
      </c>
      <c r="AL338" s="2">
        <v>46058.57777777778</v>
      </c>
      <c r="AM338" s="2">
        <v>46058.57778935185</v>
      </c>
      <c r="AN338" s="2">
        <v>46058.5793287037</v>
      </c>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5">
        <v>2.0</v>
      </c>
      <c r="CR338" s="4" t="s">
        <v>1436</v>
      </c>
    </row>
    <row r="339">
      <c r="A339" s="1" t="s">
        <v>1437</v>
      </c>
      <c r="B339" s="2">
        <v>46058.57643518518</v>
      </c>
      <c r="C339" s="1" t="str">
        <f t="array" ref="C339">INDEX('User data'!E:E, MATCH(E339, 'User data'!B:B, 0))</f>
        <v>주식회사 고위드(GOWID Inc)</v>
      </c>
      <c r="D339" s="1" t="str">
        <f t="array" ref="D339">INDEX('User data'!F:F, MATCH(C339, 'User data'!E:E, 0))</f>
        <v>261-81-25793</v>
      </c>
      <c r="E339" s="1" t="s">
        <v>580</v>
      </c>
      <c r="F339" s="3"/>
      <c r="G339" s="3"/>
      <c r="H339" s="3"/>
      <c r="I339" s="3"/>
      <c r="J339" s="1" t="s">
        <v>100</v>
      </c>
      <c r="K339" s="1" t="s">
        <v>101</v>
      </c>
      <c r="L339" s="1" t="b">
        <v>0</v>
      </c>
      <c r="M339" s="4" t="s">
        <v>102</v>
      </c>
      <c r="N339" s="1" t="s">
        <v>581</v>
      </c>
      <c r="O339" s="1">
        <v>574085.0</v>
      </c>
      <c r="P339" s="1">
        <v>574085.0</v>
      </c>
      <c r="Q339" s="1">
        <v>574085.0</v>
      </c>
      <c r="R339" s="1">
        <v>574085.0</v>
      </c>
      <c r="S339" s="1">
        <v>13285.0</v>
      </c>
      <c r="T339" s="1" t="s">
        <v>104</v>
      </c>
      <c r="U339" s="3"/>
      <c r="V339" s="3"/>
      <c r="W339" s="1" t="s">
        <v>118</v>
      </c>
      <c r="X339" s="3"/>
      <c r="Y339" s="1" t="s">
        <v>119</v>
      </c>
      <c r="Z339" s="3"/>
      <c r="AA339" s="1" t="b">
        <v>1</v>
      </c>
      <c r="AB339" s="1" t="b">
        <v>0</v>
      </c>
      <c r="AC339" s="1" t="b">
        <v>0</v>
      </c>
      <c r="AD339" s="1" t="b">
        <v>1</v>
      </c>
      <c r="AE339" s="1" t="b">
        <v>0</v>
      </c>
      <c r="AF339" s="5">
        <v>2.0</v>
      </c>
      <c r="AG339" s="5">
        <v>2.0</v>
      </c>
      <c r="AH339" s="3"/>
      <c r="AI339" s="3"/>
      <c r="AJ339" s="2">
        <v>46058.57575231481</v>
      </c>
      <c r="AK339" s="2">
        <v>46058.637604166666</v>
      </c>
      <c r="AL339" s="2">
        <v>46058.57575231481</v>
      </c>
      <c r="AM339" s="2">
        <v>46058.57577546296</v>
      </c>
      <c r="AO339" s="3"/>
      <c r="AP339" s="2">
        <v>46058.5762962963</v>
      </c>
      <c r="AQ339" s="2">
        <v>46058.57643518518</v>
      </c>
      <c r="AS339" s="2">
        <v>46058.57644675926</v>
      </c>
      <c r="AT339" s="2">
        <v>46058.57643518518</v>
      </c>
      <c r="AU339" s="2">
        <v>46058.57644675926</v>
      </c>
      <c r="AW339" s="3"/>
      <c r="AX339" s="2">
        <v>46058.57644675926</v>
      </c>
      <c r="AY339" s="2">
        <v>46058.57644675926</v>
      </c>
      <c r="AZ339" s="2">
        <v>46058.57674768518</v>
      </c>
      <c r="BA339" s="2">
        <v>46058.578368055554</v>
      </c>
      <c r="BB339" s="2">
        <v>46058.595509259256</v>
      </c>
      <c r="BC339" s="2">
        <v>46058.595925925925</v>
      </c>
      <c r="BD339" s="2">
        <v>46058.595925925925</v>
      </c>
      <c r="BE339" s="5">
        <v>35.0</v>
      </c>
      <c r="BF339" s="5">
        <v>35.0</v>
      </c>
      <c r="BG339" s="5">
        <v>17.0</v>
      </c>
      <c r="BH339" s="5">
        <v>17.0</v>
      </c>
      <c r="BI339" s="5">
        <v>36.0</v>
      </c>
      <c r="BJ339" s="5">
        <v>36.0</v>
      </c>
      <c r="BK339" s="5">
        <v>1.0</v>
      </c>
      <c r="BL339" s="5">
        <v>1.0</v>
      </c>
      <c r="BM339" s="5">
        <v>1.0</v>
      </c>
      <c r="BN339" s="5">
        <v>1.0</v>
      </c>
      <c r="BO339" s="5">
        <v>26.0</v>
      </c>
      <c r="BP339" s="5">
        <v>26.0</v>
      </c>
      <c r="BQ339" s="5">
        <v>83.0</v>
      </c>
      <c r="BR339" s="5">
        <v>83.0</v>
      </c>
      <c r="BS339" s="5">
        <v>25.0</v>
      </c>
      <c r="BT339" s="5">
        <v>25.0</v>
      </c>
      <c r="BU339" s="5">
        <v>25.0</v>
      </c>
      <c r="BV339" s="5">
        <v>25.0</v>
      </c>
      <c r="BW339" s="5">
        <v>26.0</v>
      </c>
      <c r="BX339" s="5">
        <v>26.0</v>
      </c>
      <c r="BY339" s="5">
        <v>1684.0</v>
      </c>
      <c r="BZ339" s="5">
        <v>1684.0</v>
      </c>
      <c r="CA339" s="5">
        <v>1684.0</v>
      </c>
      <c r="CB339" s="5">
        <v>1684.0</v>
      </c>
      <c r="CC339" s="5">
        <v>1740.0</v>
      </c>
      <c r="CD339" s="5">
        <v>1740.0</v>
      </c>
      <c r="CE339" s="5">
        <v>1682.0</v>
      </c>
      <c r="CF339" s="5">
        <v>1682.0</v>
      </c>
      <c r="CG339" s="5">
        <v>1682.0</v>
      </c>
      <c r="CH339" s="5">
        <v>1682.0</v>
      </c>
      <c r="CI339" s="5">
        <v>1684.0</v>
      </c>
      <c r="CJ339" s="5">
        <v>1684.0</v>
      </c>
      <c r="CK339" s="5">
        <v>1682.0</v>
      </c>
      <c r="CL339" s="5">
        <v>1682.0</v>
      </c>
      <c r="CM339" s="5">
        <v>1682.0</v>
      </c>
      <c r="CN339" s="5">
        <v>1682.0</v>
      </c>
      <c r="CO339" s="5">
        <v>46.0</v>
      </c>
      <c r="CP339" s="3"/>
      <c r="CQ339" s="3"/>
      <c r="CR339" s="4" t="s">
        <v>1438</v>
      </c>
    </row>
    <row r="340">
      <c r="A340" s="1" t="s">
        <v>1439</v>
      </c>
      <c r="B340" s="2">
        <v>46058.56386574074</v>
      </c>
      <c r="C340" s="1" t="str">
        <f t="array" ref="C340">INDEX('User data'!E:E, MATCH(E340, 'User data'!B:B, 0))</f>
        <v/>
      </c>
      <c r="D340" s="1" t="str">
        <f t="array" ref="D340">INDEX('User data'!F:F, MATCH(C340, 'User data'!E:E, 0))</f>
        <v>#N/A</v>
      </c>
      <c r="E340" s="1" t="s">
        <v>1440</v>
      </c>
      <c r="F340" s="3"/>
      <c r="G340" s="3"/>
      <c r="H340" s="3"/>
      <c r="I340" s="3"/>
      <c r="J340" s="1" t="s">
        <v>100</v>
      </c>
      <c r="K340" s="1" t="s">
        <v>101</v>
      </c>
      <c r="L340" s="1" t="b">
        <v>0</v>
      </c>
      <c r="M340" s="4" t="s">
        <v>102</v>
      </c>
      <c r="N340" s="1" t="s">
        <v>1441</v>
      </c>
      <c r="P340" s="3"/>
      <c r="Q340" s="3"/>
      <c r="R340" s="3"/>
      <c r="S340" s="1">
        <v>13285.0</v>
      </c>
      <c r="T340" s="1" t="s">
        <v>104</v>
      </c>
      <c r="U340" s="3"/>
      <c r="V340" s="3"/>
      <c r="W340" s="1" t="s">
        <v>105</v>
      </c>
      <c r="X340" s="3"/>
      <c r="Y340" s="1" t="s">
        <v>106</v>
      </c>
      <c r="Z340" s="3"/>
      <c r="AA340" s="1" t="b">
        <v>0</v>
      </c>
      <c r="AB340" s="1" t="b">
        <v>0</v>
      </c>
      <c r="AC340" s="1" t="b">
        <v>0</v>
      </c>
      <c r="AD340" s="1" t="b">
        <v>1</v>
      </c>
      <c r="AE340" s="1" t="b">
        <v>1</v>
      </c>
      <c r="AF340" s="3"/>
      <c r="AG340" s="3"/>
      <c r="AH340" s="3"/>
      <c r="AI340" s="3"/>
      <c r="AJ340" s="2">
        <v>46058.56346064815</v>
      </c>
      <c r="AK340" s="2">
        <v>46059.56392361111</v>
      </c>
      <c r="AL340" s="2">
        <v>46058.56346064815</v>
      </c>
      <c r="AM340" s="2">
        <v>46058.56348379629</v>
      </c>
      <c r="AN340" s="2">
        <v>46058.56386574074</v>
      </c>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5">
        <v>5.0</v>
      </c>
      <c r="CR340" s="4" t="s">
        <v>1442</v>
      </c>
    </row>
    <row r="341">
      <c r="A341" s="1" t="s">
        <v>1443</v>
      </c>
      <c r="B341" s="2">
        <v>46058.51289351852</v>
      </c>
      <c r="C341" s="1" t="str">
        <f t="array" ref="C341">INDEX('User data'!E:E, MATCH(E341, 'User data'!B:B, 0))</f>
        <v>주식회사 직진코퍼레이션</v>
      </c>
      <c r="D341" s="1" t="str">
        <f t="array" ref="D341">INDEX('User data'!F:F, MATCH(C341, 'User data'!E:E, 0))</f>
        <v>574-88-01930</v>
      </c>
      <c r="E341" s="1" t="s">
        <v>1420</v>
      </c>
      <c r="F341" s="3"/>
      <c r="G341" s="3"/>
      <c r="H341" s="3"/>
      <c r="I341" s="1" t="s">
        <v>258</v>
      </c>
      <c r="J341" s="1" t="s">
        <v>100</v>
      </c>
      <c r="K341" s="1" t="s">
        <v>101</v>
      </c>
      <c r="L341" s="1" t="b">
        <v>0</v>
      </c>
      <c r="M341" s="4" t="s">
        <v>102</v>
      </c>
      <c r="N341" s="1" t="s">
        <v>1421</v>
      </c>
      <c r="O341" s="1">
        <v>594863.0</v>
      </c>
      <c r="P341" s="1">
        <v>594863.0</v>
      </c>
      <c r="Q341" s="1">
        <v>594863.0</v>
      </c>
      <c r="R341" s="1" t="s">
        <v>1444</v>
      </c>
      <c r="S341" s="1">
        <v>13288.0</v>
      </c>
      <c r="T341" s="1" t="s">
        <v>104</v>
      </c>
      <c r="U341" s="3"/>
      <c r="V341" s="3"/>
      <c r="W341" s="1" t="s">
        <v>118</v>
      </c>
      <c r="X341" s="3"/>
      <c r="Y341" s="1" t="s">
        <v>119</v>
      </c>
      <c r="Z341" s="3"/>
      <c r="AA341" s="1" t="b">
        <v>1</v>
      </c>
      <c r="AB341" s="1" t="b">
        <v>0</v>
      </c>
      <c r="AC341" s="1" t="b">
        <v>0</v>
      </c>
      <c r="AD341" s="1" t="b">
        <v>1</v>
      </c>
      <c r="AE341" s="1" t="b">
        <v>0</v>
      </c>
      <c r="AF341" s="5">
        <v>1.0</v>
      </c>
      <c r="AG341" s="5">
        <v>1.0</v>
      </c>
      <c r="AH341" s="3"/>
      <c r="AI341" s="3"/>
      <c r="AJ341" s="2">
        <v>46058.51253472222</v>
      </c>
      <c r="AK341" s="2">
        <v>46058.67193287037</v>
      </c>
      <c r="AL341" s="2">
        <v>46058.51253472222</v>
      </c>
      <c r="AM341" s="2">
        <v>46058.512557870374</v>
      </c>
      <c r="AO341" s="3"/>
      <c r="AP341" s="2">
        <v>46058.512870370374</v>
      </c>
      <c r="AR341" s="3"/>
      <c r="AS341" s="3"/>
      <c r="AT341" s="2">
        <v>46058.51289351852</v>
      </c>
      <c r="AU341" s="2">
        <v>46058.51289351852</v>
      </c>
      <c r="AW341" s="3"/>
      <c r="AX341" s="2">
        <v>46058.51262731481</v>
      </c>
      <c r="AY341" s="2">
        <v>46058.51289351852</v>
      </c>
      <c r="AZ341" s="2">
        <v>46058.51394675926</v>
      </c>
      <c r="BA341" s="2">
        <v>46058.51394675926</v>
      </c>
      <c r="BC341" s="2">
        <v>46058.63025462963</v>
      </c>
      <c r="BD341" s="2">
        <v>46058.63025462963</v>
      </c>
      <c r="BE341" s="5">
        <v>90.0</v>
      </c>
      <c r="BF341" s="5">
        <v>90.0</v>
      </c>
      <c r="BG341" s="5">
        <v>90.0</v>
      </c>
      <c r="BH341" s="5">
        <v>90.0</v>
      </c>
      <c r="BI341" s="3"/>
      <c r="BJ341" s="3"/>
      <c r="BK341" s="3"/>
      <c r="BL341" s="3"/>
      <c r="BM341" s="3"/>
      <c r="BN341" s="3"/>
      <c r="BO341" s="5">
        <v>90.0</v>
      </c>
      <c r="BP341" s="5">
        <v>90.0</v>
      </c>
      <c r="BQ341" s="5">
        <v>120.0</v>
      </c>
      <c r="BR341" s="5">
        <v>120.0</v>
      </c>
      <c r="BS341" s="5">
        <v>114.0</v>
      </c>
      <c r="BT341" s="5">
        <v>114.0</v>
      </c>
      <c r="BU341" s="5">
        <v>90.0</v>
      </c>
      <c r="BV341" s="5">
        <v>90.0</v>
      </c>
      <c r="BW341" s="5">
        <v>90.0</v>
      </c>
      <c r="BX341" s="5">
        <v>90.0</v>
      </c>
      <c r="BY341" s="5">
        <v>10140.0</v>
      </c>
      <c r="BZ341" s="5">
        <v>6540.0</v>
      </c>
      <c r="CA341" s="5">
        <v>10140.0</v>
      </c>
      <c r="CB341" s="5">
        <v>6540.0</v>
      </c>
      <c r="CC341" s="5">
        <v>10169.0</v>
      </c>
      <c r="CD341" s="5">
        <v>6569.0</v>
      </c>
      <c r="CE341" s="5">
        <v>10163.0</v>
      </c>
      <c r="CF341" s="5">
        <v>6563.0</v>
      </c>
      <c r="CG341" s="5">
        <v>10140.0</v>
      </c>
      <c r="CH341" s="5">
        <v>6540.0</v>
      </c>
      <c r="CI341" s="5">
        <v>10140.0</v>
      </c>
      <c r="CJ341" s="5">
        <v>6540.0</v>
      </c>
      <c r="CK341" s="5">
        <v>10140.0</v>
      </c>
      <c r="CL341" s="5">
        <v>6540.0</v>
      </c>
      <c r="CM341" s="5">
        <v>10140.0</v>
      </c>
      <c r="CN341" s="5">
        <v>6540.0</v>
      </c>
      <c r="CO341" s="5">
        <v>28.0</v>
      </c>
      <c r="CP341" s="3"/>
      <c r="CQ341" s="3"/>
      <c r="CR341" s="4" t="s">
        <v>1445</v>
      </c>
    </row>
    <row r="342">
      <c r="A342" s="1" t="s">
        <v>1446</v>
      </c>
      <c r="B342" s="2">
        <v>46058.481527777774</v>
      </c>
      <c r="C342" s="1" t="str">
        <f t="array" ref="C342">INDEX('User data'!E:E, MATCH(E342, 'User data'!B:B, 0))</f>
        <v>팀스파르타 주식회사</v>
      </c>
      <c r="D342" s="1" t="str">
        <f t="array" ref="D342">INDEX('User data'!F:F, MATCH(C342, 'User data'!E:E, 0))</f>
        <v>783-86-01715</v>
      </c>
      <c r="E342" s="1" t="s">
        <v>1447</v>
      </c>
      <c r="F342" s="3"/>
      <c r="G342" s="3"/>
      <c r="H342" s="3"/>
      <c r="I342" s="1" t="s">
        <v>1396</v>
      </c>
      <c r="J342" s="1" t="s">
        <v>100</v>
      </c>
      <c r="K342" s="1" t="s">
        <v>101</v>
      </c>
      <c r="L342" s="1" t="b">
        <v>0</v>
      </c>
      <c r="M342" s="4" t="s">
        <v>102</v>
      </c>
      <c r="N342" s="1" t="s">
        <v>1448</v>
      </c>
      <c r="O342" s="1">
        <v>574085.0</v>
      </c>
      <c r="P342" s="1">
        <v>574085.0</v>
      </c>
      <c r="Q342" s="1">
        <v>574085.0</v>
      </c>
      <c r="R342" s="1" t="s">
        <v>1115</v>
      </c>
      <c r="S342" s="1">
        <v>13285.0</v>
      </c>
      <c r="T342" s="1" t="s">
        <v>104</v>
      </c>
      <c r="U342" s="3"/>
      <c r="V342" s="3"/>
      <c r="W342" s="1" t="s">
        <v>118</v>
      </c>
      <c r="X342" s="3"/>
      <c r="Y342" s="1" t="s">
        <v>119</v>
      </c>
      <c r="Z342" s="3"/>
      <c r="AA342" s="1" t="b">
        <v>1</v>
      </c>
      <c r="AB342" s="1" t="b">
        <v>0</v>
      </c>
      <c r="AC342" s="1" t="b">
        <v>0</v>
      </c>
      <c r="AD342" s="1" t="b">
        <v>1</v>
      </c>
      <c r="AE342" s="1" t="b">
        <v>1</v>
      </c>
      <c r="AF342" s="5">
        <v>5.0</v>
      </c>
      <c r="AG342" s="5">
        <v>4.0</v>
      </c>
      <c r="AH342" s="3"/>
      <c r="AI342" s="3"/>
      <c r="AJ342" s="2">
        <v>46058.48112268518</v>
      </c>
      <c r="AK342" s="2">
        <v>46059.48153935185</v>
      </c>
      <c r="AL342" s="2">
        <v>46058.48112268518</v>
      </c>
      <c r="AM342" s="2">
        <v>46058.481145833335</v>
      </c>
      <c r="AN342" s="2">
        <v>46058.481527777774</v>
      </c>
      <c r="AO342" s="2">
        <v>46058.485138888886</v>
      </c>
      <c r="AP342" s="2">
        <v>46058.485138888886</v>
      </c>
      <c r="AQ342" s="2">
        <v>46058.48515046296</v>
      </c>
      <c r="AS342" s="2">
        <v>46058.48516203704</v>
      </c>
      <c r="AT342" s="2">
        <v>46058.48515046296</v>
      </c>
      <c r="AU342" s="2">
        <v>46059.375231481485</v>
      </c>
      <c r="AW342" s="3"/>
      <c r="AX342" s="2">
        <v>46058.48516203704</v>
      </c>
      <c r="AY342" s="2">
        <v>46058.48516203704</v>
      </c>
      <c r="AZ342" s="2">
        <v>46058.49707175926</v>
      </c>
      <c r="BA342" s="2">
        <v>46059.424629629626</v>
      </c>
      <c r="BB342" s="2">
        <v>46058.74489583333</v>
      </c>
      <c r="BC342" s="2">
        <v>46059.43986111111</v>
      </c>
      <c r="BD342" s="2">
        <v>46059.43986111111</v>
      </c>
      <c r="BE342" s="5">
        <v>7019.0</v>
      </c>
      <c r="BF342" s="5">
        <v>2750.0</v>
      </c>
      <c r="BG342" s="5">
        <v>1403.0</v>
      </c>
      <c r="BH342" s="5">
        <v>687.0</v>
      </c>
      <c r="BI342" s="5">
        <v>59199.0</v>
      </c>
      <c r="BJ342" s="5">
        <v>1138.0</v>
      </c>
      <c r="BK342" s="5">
        <v>1.0</v>
      </c>
      <c r="BL342" s="5">
        <v>1.0</v>
      </c>
      <c r="BM342" s="5">
        <v>313.0</v>
      </c>
      <c r="BN342" s="5">
        <v>313.0</v>
      </c>
      <c r="BO342" s="5">
        <v>1343.0</v>
      </c>
      <c r="BP342" s="5">
        <v>1343.0</v>
      </c>
      <c r="BQ342" s="5">
        <v>1376.0</v>
      </c>
      <c r="BR342" s="5">
        <v>1376.0</v>
      </c>
      <c r="BS342" s="5">
        <v>1029.0</v>
      </c>
      <c r="BT342" s="5">
        <v>1029.0</v>
      </c>
      <c r="BU342" s="5">
        <v>1029.0</v>
      </c>
      <c r="BV342" s="5">
        <v>1029.0</v>
      </c>
      <c r="BW342" s="5">
        <v>1030.0</v>
      </c>
      <c r="BX342" s="5">
        <v>1030.0</v>
      </c>
      <c r="BY342" s="5">
        <v>82800.0</v>
      </c>
      <c r="BZ342" s="5">
        <v>18000.0</v>
      </c>
      <c r="CA342" s="5">
        <v>82800.0</v>
      </c>
      <c r="CB342" s="5">
        <v>18000.0</v>
      </c>
      <c r="CC342" s="5">
        <v>82833.0</v>
      </c>
      <c r="CD342" s="5">
        <v>18033.0</v>
      </c>
      <c r="CE342" s="5">
        <v>82486.0</v>
      </c>
      <c r="CF342" s="5">
        <v>17686.0</v>
      </c>
      <c r="CG342" s="5">
        <v>82486.0</v>
      </c>
      <c r="CH342" s="5">
        <v>17686.0</v>
      </c>
      <c r="CI342" s="5">
        <v>82487.0</v>
      </c>
      <c r="CJ342" s="5">
        <v>17687.0</v>
      </c>
      <c r="CK342" s="5">
        <v>23287.0</v>
      </c>
      <c r="CL342" s="5">
        <v>16548.0</v>
      </c>
      <c r="CM342" s="5">
        <v>23287.0</v>
      </c>
      <c r="CN342" s="5">
        <v>16548.0</v>
      </c>
      <c r="CO342" s="5">
        <v>347.0</v>
      </c>
      <c r="CP342" s="5">
        <v>312.0</v>
      </c>
      <c r="CQ342" s="3"/>
      <c r="CR342" s="4" t="s">
        <v>1449</v>
      </c>
    </row>
    <row r="343">
      <c r="A343" s="1" t="s">
        <v>1450</v>
      </c>
      <c r="B343" s="2">
        <v>46058.46548611111</v>
      </c>
      <c r="C343" s="1" t="str">
        <f t="array" ref="C343">INDEX('User data'!E:E, MATCH(E343, 'User data'!B:B, 0))</f>
        <v>주식회사 에이에이씨 (AAC Inc.)</v>
      </c>
      <c r="D343" s="1" t="str">
        <f t="array" ref="D343">INDEX('User data'!F:F, MATCH(C343, 'User data'!E:E, 0))</f>
        <v>294-88-03046</v>
      </c>
      <c r="E343" s="1" t="s">
        <v>1451</v>
      </c>
      <c r="F343" s="3"/>
      <c r="G343" s="3"/>
      <c r="H343" s="3"/>
      <c r="I343" s="3"/>
      <c r="J343" s="1" t="s">
        <v>100</v>
      </c>
      <c r="K343" s="1" t="s">
        <v>101</v>
      </c>
      <c r="L343" s="1" t="b">
        <v>0</v>
      </c>
      <c r="M343" s="4" t="s">
        <v>102</v>
      </c>
      <c r="N343" s="1" t="s">
        <v>1452</v>
      </c>
      <c r="P343" s="3"/>
      <c r="Q343" s="3"/>
      <c r="R343" s="3"/>
      <c r="S343" s="1">
        <v>13285.0</v>
      </c>
      <c r="T343" s="1" t="s">
        <v>104</v>
      </c>
      <c r="U343" s="3"/>
      <c r="V343" s="3"/>
      <c r="W343" s="1" t="s">
        <v>105</v>
      </c>
      <c r="X343" s="3"/>
      <c r="Y343" s="1" t="s">
        <v>106</v>
      </c>
      <c r="Z343" s="3"/>
      <c r="AA343" s="1" t="b">
        <v>0</v>
      </c>
      <c r="AB343" s="1" t="b">
        <v>0</v>
      </c>
      <c r="AC343" s="1" t="b">
        <v>0</v>
      </c>
      <c r="AD343" s="1" t="b">
        <v>1</v>
      </c>
      <c r="AE343" s="1" t="b">
        <v>1</v>
      </c>
      <c r="AF343" s="3"/>
      <c r="AG343" s="3"/>
      <c r="AH343" s="3"/>
      <c r="AI343" s="3"/>
      <c r="AJ343" s="2">
        <v>46058.46488425926</v>
      </c>
      <c r="AK343" s="2">
        <v>46059.465532407405</v>
      </c>
      <c r="AL343" s="2">
        <v>46058.46488425926</v>
      </c>
      <c r="AM343" s="2">
        <v>46058.464895833335</v>
      </c>
      <c r="AN343" s="2">
        <v>46058.46548611111</v>
      </c>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5">
        <v>5.0</v>
      </c>
      <c r="CR343" s="4" t="s">
        <v>1453</v>
      </c>
    </row>
    <row r="344">
      <c r="A344" s="1" t="s">
        <v>1454</v>
      </c>
      <c r="B344" s="2">
        <v>46058.444756944446</v>
      </c>
      <c r="C344" s="1" t="str">
        <f t="array" ref="C344">INDEX('User data'!E:E, MATCH(E344, 'User data'!B:B, 0))</f>
        <v>이투파트너스 주식회사</v>
      </c>
      <c r="D344" s="1" t="str">
        <f t="array" ref="D344">INDEX('User data'!F:F, MATCH(C344, 'User data'!E:E, 0))</f>
        <v>789-87-00405</v>
      </c>
      <c r="E344" s="1" t="s">
        <v>1455</v>
      </c>
      <c r="F344" s="3"/>
      <c r="G344" s="3"/>
      <c r="H344" s="3"/>
      <c r="I344" s="3"/>
      <c r="J344" s="1" t="s">
        <v>100</v>
      </c>
      <c r="K344" s="1" t="s">
        <v>101</v>
      </c>
      <c r="L344" s="1" t="b">
        <v>0</v>
      </c>
      <c r="M344" s="4" t="s">
        <v>102</v>
      </c>
      <c r="N344" s="1" t="s">
        <v>1456</v>
      </c>
      <c r="P344" s="3"/>
      <c r="Q344" s="3"/>
      <c r="R344" s="3"/>
      <c r="S344" s="1">
        <v>13286.0</v>
      </c>
      <c r="T344" s="1" t="s">
        <v>104</v>
      </c>
      <c r="U344" s="3"/>
      <c r="V344" s="3"/>
      <c r="W344" s="1" t="s">
        <v>105</v>
      </c>
      <c r="X344" s="3"/>
      <c r="Y344" s="1" t="s">
        <v>106</v>
      </c>
      <c r="Z344" s="3"/>
      <c r="AA344" s="1" t="b">
        <v>0</v>
      </c>
      <c r="AB344" s="1" t="b">
        <v>0</v>
      </c>
      <c r="AC344" s="1" t="b">
        <v>0</v>
      </c>
      <c r="AD344" s="1" t="b">
        <v>1</v>
      </c>
      <c r="AE344" s="1" t="b">
        <v>1</v>
      </c>
      <c r="AF344" s="3"/>
      <c r="AG344" s="3"/>
      <c r="AH344" s="3"/>
      <c r="AI344" s="3"/>
      <c r="AJ344" s="2">
        <v>46058.44321759259</v>
      </c>
      <c r="AK344" s="2">
        <v>46059.44645833333</v>
      </c>
      <c r="AL344" s="2">
        <v>46058.44321759259</v>
      </c>
      <c r="AM344" s="2">
        <v>46058.44325231481</v>
      </c>
      <c r="AN344" s="2">
        <v>46058.444756944446</v>
      </c>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5">
        <v>5.0</v>
      </c>
      <c r="CR344" s="4" t="s">
        <v>1457</v>
      </c>
    </row>
    <row r="345">
      <c r="A345" s="1" t="s">
        <v>1458</v>
      </c>
      <c r="B345" s="2">
        <v>46058.42125</v>
      </c>
      <c r="C345" s="1" t="str">
        <f t="array" ref="C345">INDEX('User data'!E:E, MATCH(E345, 'User data'!B:B, 0))</f>
        <v>신스타프리젠츠 주식회사(Shin Starr Presents Corp.)</v>
      </c>
      <c r="D345" s="1" t="str">
        <f t="array" ref="D345">INDEX('User data'!F:F, MATCH(C345, 'User data'!E:E, 0))</f>
        <v>780-86-01695</v>
      </c>
      <c r="E345" s="1" t="s">
        <v>1459</v>
      </c>
      <c r="F345" s="3"/>
      <c r="G345" s="3"/>
      <c r="H345" s="3"/>
      <c r="I345" s="1" t="s">
        <v>258</v>
      </c>
      <c r="J345" s="1" t="s">
        <v>100</v>
      </c>
      <c r="K345" s="1" t="s">
        <v>101</v>
      </c>
      <c r="L345" s="1" t="b">
        <v>0</v>
      </c>
      <c r="M345" s="4" t="s">
        <v>102</v>
      </c>
      <c r="N345" s="1" t="s">
        <v>1460</v>
      </c>
      <c r="O345" s="1">
        <v>594863.0</v>
      </c>
      <c r="P345" s="1">
        <v>594863.0</v>
      </c>
      <c r="Q345" s="1">
        <v>594863.0</v>
      </c>
      <c r="R345" s="1" t="s">
        <v>1022</v>
      </c>
      <c r="S345" s="1">
        <v>13288.0</v>
      </c>
      <c r="T345" s="1" t="s">
        <v>104</v>
      </c>
      <c r="U345" s="3"/>
      <c r="V345" s="3"/>
      <c r="W345" s="1" t="s">
        <v>118</v>
      </c>
      <c r="X345" s="3"/>
      <c r="Y345" s="1" t="s">
        <v>119</v>
      </c>
      <c r="Z345" s="3"/>
      <c r="AA345" s="1" t="b">
        <v>1</v>
      </c>
      <c r="AB345" s="1" t="b">
        <v>0</v>
      </c>
      <c r="AC345" s="1" t="b">
        <v>0</v>
      </c>
      <c r="AD345" s="1" t="b">
        <v>1</v>
      </c>
      <c r="AE345" s="1" t="b">
        <v>0</v>
      </c>
      <c r="AF345" s="5">
        <v>3.0</v>
      </c>
      <c r="AG345" s="5">
        <v>3.0</v>
      </c>
      <c r="AH345" s="3"/>
      <c r="AI345" s="3"/>
      <c r="AJ345" s="2">
        <v>46058.41866898148</v>
      </c>
      <c r="AK345" s="2">
        <v>46058.48326388889</v>
      </c>
      <c r="AL345" s="2">
        <v>46058.41866898148</v>
      </c>
      <c r="AM345" s="2">
        <v>46058.41868055556</v>
      </c>
      <c r="AO345" s="3"/>
      <c r="AP345" s="2">
        <v>46058.420219907406</v>
      </c>
      <c r="AR345" s="3"/>
      <c r="AS345" s="3"/>
      <c r="AT345" s="2">
        <v>46058.42125</v>
      </c>
      <c r="AU345" s="2">
        <v>46058.42125</v>
      </c>
      <c r="AW345" s="3"/>
      <c r="AX345" s="2">
        <v>46058.418969907405</v>
      </c>
      <c r="AY345" s="2">
        <v>46058.42125</v>
      </c>
      <c r="AZ345" s="2">
        <v>46058.425787037035</v>
      </c>
      <c r="BA345" s="2">
        <v>46058.44152777778</v>
      </c>
      <c r="BC345" s="2">
        <v>46058.44158564815</v>
      </c>
      <c r="BD345" s="2">
        <v>46058.44158564815</v>
      </c>
      <c r="BE345" s="5">
        <v>993.0</v>
      </c>
      <c r="BF345" s="5">
        <v>993.0</v>
      </c>
      <c r="BG345" s="5">
        <v>331.0</v>
      </c>
      <c r="BH345" s="5">
        <v>331.0</v>
      </c>
      <c r="BI345" s="3"/>
      <c r="BJ345" s="3"/>
      <c r="BK345" s="3"/>
      <c r="BL345" s="3"/>
      <c r="BM345" s="3"/>
      <c r="BN345" s="3"/>
      <c r="BO345" s="5">
        <v>392.0</v>
      </c>
      <c r="BP345" s="5">
        <v>392.0</v>
      </c>
      <c r="BQ345" s="5">
        <v>614.0</v>
      </c>
      <c r="BR345" s="5">
        <v>614.0</v>
      </c>
      <c r="BS345" s="5">
        <v>588.0</v>
      </c>
      <c r="BT345" s="5">
        <v>588.0</v>
      </c>
      <c r="BU345" s="5">
        <v>392.0</v>
      </c>
      <c r="BV345" s="5">
        <v>392.0</v>
      </c>
      <c r="BW345" s="5">
        <v>392.0</v>
      </c>
      <c r="BX345" s="5">
        <v>392.0</v>
      </c>
      <c r="BY345" s="5">
        <v>1756.0</v>
      </c>
      <c r="BZ345" s="5">
        <v>1756.0</v>
      </c>
      <c r="CA345" s="5">
        <v>1756.0</v>
      </c>
      <c r="CB345" s="5">
        <v>1756.0</v>
      </c>
      <c r="CC345" s="5">
        <v>1978.0</v>
      </c>
      <c r="CD345" s="5">
        <v>1978.0</v>
      </c>
      <c r="CE345" s="5">
        <v>1953.0</v>
      </c>
      <c r="CF345" s="5">
        <v>1953.0</v>
      </c>
      <c r="CG345" s="5">
        <v>1756.0</v>
      </c>
      <c r="CH345" s="5">
        <v>1756.0</v>
      </c>
      <c r="CI345" s="5">
        <v>1756.0</v>
      </c>
      <c r="CJ345" s="5">
        <v>1756.0</v>
      </c>
      <c r="CK345" s="5">
        <v>1756.0</v>
      </c>
      <c r="CL345" s="5">
        <v>1756.0</v>
      </c>
      <c r="CM345" s="5">
        <v>1756.0</v>
      </c>
      <c r="CN345" s="5">
        <v>1756.0</v>
      </c>
      <c r="CO345" s="5">
        <v>134.0</v>
      </c>
      <c r="CP345" s="3"/>
      <c r="CQ345" s="3"/>
      <c r="CR345" s="4" t="s">
        <v>1461</v>
      </c>
      <c r="CS345" s="5">
        <v>5.0</v>
      </c>
      <c r="CT345" s="3"/>
    </row>
    <row r="346">
      <c r="A346" s="1" t="s">
        <v>1462</v>
      </c>
      <c r="B346" s="2">
        <v>46058.41936342593</v>
      </c>
      <c r="C346" s="1" t="str">
        <f t="array" ref="C346">INDEX('User data'!E:E, MATCH(E346, 'User data'!B:B, 0))</f>
        <v>(주)와이오엘오</v>
      </c>
      <c r="D346" s="1" t="str">
        <f t="array" ref="D346">INDEX('User data'!F:F, MATCH(C346, 'User data'!E:E, 0))</f>
        <v>610-86-34204</v>
      </c>
      <c r="E346" s="1" t="s">
        <v>1382</v>
      </c>
      <c r="F346" s="3"/>
      <c r="G346" s="3"/>
      <c r="H346" s="3"/>
      <c r="I346" s="1" t="s">
        <v>258</v>
      </c>
      <c r="J346" s="1" t="s">
        <v>100</v>
      </c>
      <c r="K346" s="1" t="s">
        <v>101</v>
      </c>
      <c r="L346" s="1" t="b">
        <v>0</v>
      </c>
      <c r="M346" s="4" t="s">
        <v>102</v>
      </c>
      <c r="N346" s="1" t="s">
        <v>1383</v>
      </c>
      <c r="O346" s="1">
        <v>594863.0</v>
      </c>
      <c r="P346" s="1">
        <v>594863.0</v>
      </c>
      <c r="Q346" s="1">
        <v>594863.0</v>
      </c>
      <c r="R346" s="1" t="s">
        <v>1384</v>
      </c>
      <c r="S346" s="1">
        <v>13288.0</v>
      </c>
      <c r="T346" s="1" t="s">
        <v>104</v>
      </c>
      <c r="U346" s="3"/>
      <c r="V346" s="3"/>
      <c r="W346" s="1" t="s">
        <v>118</v>
      </c>
      <c r="X346" s="3"/>
      <c r="Y346" s="1" t="s">
        <v>119</v>
      </c>
      <c r="Z346" s="3"/>
      <c r="AA346" s="1" t="b">
        <v>1</v>
      </c>
      <c r="AB346" s="1" t="b">
        <v>0</v>
      </c>
      <c r="AC346" s="1" t="b">
        <v>0</v>
      </c>
      <c r="AD346" s="1" t="b">
        <v>1</v>
      </c>
      <c r="AE346" s="1" t="b">
        <v>0</v>
      </c>
      <c r="AF346" s="5">
        <v>3.0</v>
      </c>
      <c r="AG346" s="5">
        <v>3.0</v>
      </c>
      <c r="AH346" s="3"/>
      <c r="AI346" s="3"/>
      <c r="AJ346" s="2">
        <v>46058.41872685185</v>
      </c>
      <c r="AK346" s="2">
        <v>46058.65740740741</v>
      </c>
      <c r="AL346" s="2">
        <v>46058.41872685185</v>
      </c>
      <c r="AM346" s="2">
        <v>46058.41875</v>
      </c>
      <c r="AO346" s="3"/>
      <c r="AP346" s="2">
        <v>46058.419016203705</v>
      </c>
      <c r="AR346" s="3"/>
      <c r="AS346" s="3"/>
      <c r="AT346" s="2">
        <v>46058.41936342593</v>
      </c>
      <c r="AU346" s="2">
        <v>46058.41936342593</v>
      </c>
      <c r="AW346" s="3"/>
      <c r="AX346" s="2">
        <v>46058.41883101852</v>
      </c>
      <c r="AY346" s="2">
        <v>46058.41936342593</v>
      </c>
      <c r="AZ346" s="2">
        <v>46058.45618055556</v>
      </c>
      <c r="BA346" s="2">
        <v>46058.6156712963</v>
      </c>
      <c r="BC346" s="2">
        <v>46058.61572916667</v>
      </c>
      <c r="BD346" s="2">
        <v>46058.61572916667</v>
      </c>
      <c r="BE346" s="5">
        <v>11576.0</v>
      </c>
      <c r="BF346" s="5">
        <v>11576.0</v>
      </c>
      <c r="BG346" s="5">
        <v>3858.0</v>
      </c>
      <c r="BH346" s="5">
        <v>3858.0</v>
      </c>
      <c r="BI346" s="3"/>
      <c r="BJ346" s="3"/>
      <c r="BK346" s="3"/>
      <c r="BL346" s="3"/>
      <c r="BM346" s="3"/>
      <c r="BN346" s="3"/>
      <c r="BO346" s="5">
        <v>3181.0</v>
      </c>
      <c r="BP346" s="5">
        <v>3181.0</v>
      </c>
      <c r="BQ346" s="5">
        <v>3234.0</v>
      </c>
      <c r="BR346" s="5">
        <v>3234.0</v>
      </c>
      <c r="BS346" s="5">
        <v>3227.0</v>
      </c>
      <c r="BT346" s="5">
        <v>3227.0</v>
      </c>
      <c r="BU346" s="5">
        <v>3181.0</v>
      </c>
      <c r="BV346" s="5">
        <v>3181.0</v>
      </c>
      <c r="BW346" s="5">
        <v>3181.0</v>
      </c>
      <c r="BX346" s="5">
        <v>3181.0</v>
      </c>
      <c r="BY346" s="5">
        <v>16965.0</v>
      </c>
      <c r="BZ346" s="5">
        <v>13365.0</v>
      </c>
      <c r="CA346" s="5">
        <v>16965.0</v>
      </c>
      <c r="CB346" s="5">
        <v>13365.0</v>
      </c>
      <c r="CC346" s="5">
        <v>17018.0</v>
      </c>
      <c r="CD346" s="5">
        <v>13418.0</v>
      </c>
      <c r="CE346" s="5">
        <v>17011.0</v>
      </c>
      <c r="CF346" s="5">
        <v>13411.0</v>
      </c>
      <c r="CG346" s="5">
        <v>16965.0</v>
      </c>
      <c r="CH346" s="5">
        <v>13365.0</v>
      </c>
      <c r="CI346" s="5">
        <v>16965.0</v>
      </c>
      <c r="CJ346" s="5">
        <v>13365.0</v>
      </c>
      <c r="CK346" s="5">
        <v>16965.0</v>
      </c>
      <c r="CL346" s="5">
        <v>13365.0</v>
      </c>
      <c r="CM346" s="5">
        <v>16965.0</v>
      </c>
      <c r="CN346" s="5">
        <v>13365.0</v>
      </c>
      <c r="CO346" s="5">
        <v>25.0</v>
      </c>
      <c r="CP346" s="3"/>
      <c r="CQ346" s="3"/>
      <c r="CR346" s="4" t="s">
        <v>1463</v>
      </c>
    </row>
    <row r="347">
      <c r="A347" s="1" t="s">
        <v>1464</v>
      </c>
      <c r="B347" s="2">
        <v>46058.381574074076</v>
      </c>
      <c r="C347" s="1" t="str">
        <f t="array" ref="C347">INDEX('User data'!E:E, MATCH(E347, 'User data'!B:B, 0))</f>
        <v>주식회사 바이오컴</v>
      </c>
      <c r="D347" s="1" t="str">
        <f t="array" ref="D347">INDEX('User data'!F:F, MATCH(C347, 'User data'!E:E, 0))</f>
        <v>431-86-02657</v>
      </c>
      <c r="E347" s="1" t="s">
        <v>1465</v>
      </c>
      <c r="F347" s="3"/>
      <c r="G347" s="1" t="s">
        <v>1466</v>
      </c>
      <c r="H347" s="1" t="s">
        <v>1467</v>
      </c>
      <c r="I347" s="1" t="s">
        <v>683</v>
      </c>
      <c r="J347" s="1" t="s">
        <v>100</v>
      </c>
      <c r="K347" s="1" t="s">
        <v>101</v>
      </c>
      <c r="L347" s="1" t="b">
        <v>0</v>
      </c>
      <c r="M347" s="4" t="s">
        <v>102</v>
      </c>
      <c r="N347" s="1" t="s">
        <v>1468</v>
      </c>
      <c r="O347" s="1">
        <v>574085.0</v>
      </c>
      <c r="P347" s="1">
        <v>574085.0</v>
      </c>
      <c r="Q347" s="1">
        <v>574085.0</v>
      </c>
      <c r="R347" s="1" t="s">
        <v>1115</v>
      </c>
      <c r="S347" s="1">
        <v>13285.0</v>
      </c>
      <c r="T347" s="1" t="s">
        <v>104</v>
      </c>
      <c r="U347" s="3"/>
      <c r="V347" s="3"/>
      <c r="W347" s="1" t="s">
        <v>118</v>
      </c>
      <c r="X347" s="3"/>
      <c r="Y347" s="1" t="s">
        <v>106</v>
      </c>
      <c r="Z347" s="3"/>
      <c r="AA347" s="1" t="b">
        <v>1</v>
      </c>
      <c r="AB347" s="1" t="b">
        <v>1</v>
      </c>
      <c r="AC347" s="1" t="b">
        <v>0</v>
      </c>
      <c r="AD347" s="1" t="b">
        <v>1</v>
      </c>
      <c r="AE347" s="1" t="b">
        <v>1</v>
      </c>
      <c r="AF347" s="5">
        <v>7.0</v>
      </c>
      <c r="AG347" s="5">
        <v>4.0</v>
      </c>
      <c r="AH347" s="5">
        <v>1.0</v>
      </c>
      <c r="AI347" s="3"/>
      <c r="AJ347" s="2">
        <v>46058.38079861111</v>
      </c>
      <c r="AK347" s="2">
        <v>46073.57082175926</v>
      </c>
      <c r="AL347" s="2">
        <v>46058.38079861111</v>
      </c>
      <c r="AM347" s="2">
        <v>46058.380833333336</v>
      </c>
      <c r="AN347" s="2">
        <v>46058.381574074076</v>
      </c>
      <c r="AO347" s="2">
        <v>46058.38180555555</v>
      </c>
      <c r="AP347" s="2">
        <v>46058.38180555555</v>
      </c>
      <c r="AQ347" s="2">
        <v>46058.38180555555</v>
      </c>
      <c r="AS347" s="2">
        <v>46058.38181712963</v>
      </c>
      <c r="AT347" s="2">
        <v>46058.38180555555</v>
      </c>
      <c r="AU347" s="2">
        <v>46073.541817129626</v>
      </c>
      <c r="AW347" s="3"/>
      <c r="AX347" s="2">
        <v>46058.38181712963</v>
      </c>
      <c r="AY347" s="2">
        <v>46058.38181712963</v>
      </c>
      <c r="AZ347" s="2">
        <v>46058.41364583333</v>
      </c>
      <c r="BA347" s="2">
        <v>46066.60907407408</v>
      </c>
      <c r="BB347" s="2">
        <v>46072.56688657407</v>
      </c>
      <c r="BC347" s="2">
        <v>46059.42491898148</v>
      </c>
      <c r="BD347" s="2">
        <v>46073.57078703704</v>
      </c>
      <c r="BE347" s="5">
        <v>10353.0</v>
      </c>
      <c r="BF347" s="5">
        <v>3158.0</v>
      </c>
      <c r="BG347" s="5">
        <v>1479.0</v>
      </c>
      <c r="BH347" s="5">
        <v>789.0</v>
      </c>
      <c r="BI347" s="5">
        <v>561411.0</v>
      </c>
      <c r="BJ347" s="5">
        <v>80530.0</v>
      </c>
      <c r="BK347" s="5">
        <v>0.0</v>
      </c>
      <c r="BL347" s="5">
        <v>0.0</v>
      </c>
      <c r="BM347" s="5">
        <v>20.0</v>
      </c>
      <c r="BN347" s="5">
        <v>0.0</v>
      </c>
      <c r="BO347" s="5">
        <v>2771.0</v>
      </c>
      <c r="BP347" s="5">
        <v>0.0</v>
      </c>
      <c r="BQ347" s="5">
        <v>2835.0</v>
      </c>
      <c r="BR347" s="5">
        <v>0.0</v>
      </c>
      <c r="BS347" s="5">
        <v>2750.0</v>
      </c>
      <c r="BT347" s="5">
        <v>0.0</v>
      </c>
      <c r="BU347" s="5">
        <v>2750.0</v>
      </c>
      <c r="BV347" s="5">
        <v>0.0</v>
      </c>
      <c r="BW347" s="5">
        <v>2751.0</v>
      </c>
      <c r="BX347" s="5">
        <v>0.0</v>
      </c>
      <c r="BY347" s="5">
        <v>90145.0</v>
      </c>
      <c r="BZ347" s="5">
        <v>22313.0</v>
      </c>
      <c r="CA347" s="5">
        <v>1312347.0</v>
      </c>
      <c r="CB347" s="5">
        <v>247316.0</v>
      </c>
      <c r="CC347" s="5">
        <v>90209.0</v>
      </c>
      <c r="CD347" s="5">
        <v>22313.0</v>
      </c>
      <c r="CE347" s="5">
        <v>90124.0</v>
      </c>
      <c r="CF347" s="5">
        <v>22313.0</v>
      </c>
      <c r="CG347" s="5">
        <v>90124.0</v>
      </c>
      <c r="CH347" s="5">
        <v>22313.0</v>
      </c>
      <c r="CI347" s="5">
        <v>90125.0</v>
      </c>
      <c r="CJ347" s="5">
        <v>22313.0</v>
      </c>
      <c r="CK347" s="5">
        <v>400909.0</v>
      </c>
      <c r="CL347" s="5">
        <v>119180.0</v>
      </c>
      <c r="CM347" s="5">
        <v>12439.0</v>
      </c>
      <c r="CN347" s="5">
        <v>5871.0</v>
      </c>
      <c r="CO347" s="5">
        <v>86.0</v>
      </c>
      <c r="CP347" s="5">
        <v>20.0</v>
      </c>
      <c r="CQ347" s="3"/>
      <c r="CR347" s="4" t="s">
        <v>1469</v>
      </c>
    </row>
    <row r="348">
      <c r="A348" s="1" t="s">
        <v>1470</v>
      </c>
      <c r="B348" s="2">
        <v>46058.35612268518</v>
      </c>
      <c r="C348" s="1" t="str">
        <f t="array" ref="C348">INDEX('User data'!E:E, MATCH(E348, 'User data'!B:B, 0))</f>
        <v>(주)마이노멀컴퍼니</v>
      </c>
      <c r="D348" s="1" t="str">
        <f t="array" ref="D348">INDEX('User data'!F:F, MATCH(C348, 'User data'!E:E, 0))</f>
        <v>612-88-00913</v>
      </c>
      <c r="E348" s="1" t="s">
        <v>1471</v>
      </c>
      <c r="F348" s="3"/>
      <c r="G348" s="3"/>
      <c r="H348" s="3"/>
      <c r="I348" s="1" t="s">
        <v>992</v>
      </c>
      <c r="J348" s="1" t="s">
        <v>100</v>
      </c>
      <c r="K348" s="1" t="s">
        <v>101</v>
      </c>
      <c r="L348" s="1" t="b">
        <v>0</v>
      </c>
      <c r="M348" s="4" t="s">
        <v>102</v>
      </c>
      <c r="N348" s="1" t="s">
        <v>1472</v>
      </c>
      <c r="O348" s="1">
        <v>574085.0</v>
      </c>
      <c r="P348" s="1">
        <v>574085.0</v>
      </c>
      <c r="Q348" s="1">
        <v>574085.0</v>
      </c>
      <c r="R348" s="1" t="s">
        <v>145</v>
      </c>
      <c r="S348" s="1">
        <v>13285.0</v>
      </c>
      <c r="T348" s="1" t="s">
        <v>104</v>
      </c>
      <c r="U348" s="3"/>
      <c r="V348" s="3"/>
      <c r="W348" s="1" t="s">
        <v>118</v>
      </c>
      <c r="X348" s="3"/>
      <c r="Y348" s="1" t="s">
        <v>119</v>
      </c>
      <c r="Z348" s="3"/>
      <c r="AA348" s="1" t="b">
        <v>1</v>
      </c>
      <c r="AB348" s="1" t="b">
        <v>0</v>
      </c>
      <c r="AC348" s="1" t="b">
        <v>0</v>
      </c>
      <c r="AD348" s="1" t="b">
        <v>1</v>
      </c>
      <c r="AE348" s="1" t="b">
        <v>1</v>
      </c>
      <c r="AF348" s="5">
        <v>1.0</v>
      </c>
      <c r="AG348" s="3"/>
      <c r="AH348" s="3"/>
      <c r="AI348" s="3"/>
      <c r="AJ348" s="2">
        <v>46058.35523148148</v>
      </c>
      <c r="AK348" s="2">
        <v>46058.470347222225</v>
      </c>
      <c r="AL348" s="2">
        <v>46058.35523148148</v>
      </c>
      <c r="AM348" s="2">
        <v>46058.35525462963</v>
      </c>
      <c r="AN348" s="2">
        <v>46058.35612268518</v>
      </c>
      <c r="AO348" s="2">
        <v>46058.35734953704</v>
      </c>
      <c r="AP348" s="2">
        <v>46058.35734953704</v>
      </c>
      <c r="AQ348" s="2">
        <v>46058.35734953704</v>
      </c>
      <c r="AS348" s="2">
        <v>46058.35736111111</v>
      </c>
      <c r="AT348" s="2">
        <v>46058.35734953704</v>
      </c>
      <c r="AU348" s="2">
        <v>46058.35736111111</v>
      </c>
      <c r="AW348" s="3"/>
      <c r="AX348" s="2">
        <v>46058.35736111111</v>
      </c>
      <c r="AY348" s="2">
        <v>46058.35736111111</v>
      </c>
      <c r="AZ348" s="2">
        <v>46058.41707175926</v>
      </c>
      <c r="BA348" s="2">
        <v>46058.41707175926</v>
      </c>
      <c r="BC348" s="2">
        <v>46058.42866898148</v>
      </c>
      <c r="BD348" s="2">
        <v>46058.42866898148</v>
      </c>
      <c r="BE348" s="5">
        <v>5159.0</v>
      </c>
      <c r="BF348" s="3"/>
      <c r="BG348" s="5">
        <v>5159.0</v>
      </c>
      <c r="BH348" s="3"/>
      <c r="BI348" s="3"/>
      <c r="BJ348" s="3"/>
      <c r="BK348" s="5">
        <v>0.0</v>
      </c>
      <c r="BL348" s="5">
        <v>0.0</v>
      </c>
      <c r="BM348" s="5">
        <v>106.0</v>
      </c>
      <c r="BN348" s="5">
        <v>0.0</v>
      </c>
      <c r="BO348" s="5">
        <v>5265.0</v>
      </c>
      <c r="BP348" s="5">
        <v>35.0</v>
      </c>
      <c r="BQ348" s="5">
        <v>5341.0</v>
      </c>
      <c r="BR348" s="5">
        <v>35.0</v>
      </c>
      <c r="BS348" s="5">
        <v>5159.0</v>
      </c>
      <c r="BT348" s="5">
        <v>35.0</v>
      </c>
      <c r="BU348" s="5">
        <v>5159.0</v>
      </c>
      <c r="BV348" s="5">
        <v>35.0</v>
      </c>
      <c r="BW348" s="5">
        <v>5159.0</v>
      </c>
      <c r="BX348" s="5">
        <v>35.0</v>
      </c>
      <c r="BY348" s="5">
        <v>6267.0</v>
      </c>
      <c r="BZ348" s="5">
        <v>1037.0</v>
      </c>
      <c r="CA348" s="5">
        <v>6267.0</v>
      </c>
      <c r="CB348" s="5">
        <v>1037.0</v>
      </c>
      <c r="CC348" s="5">
        <v>6343.0</v>
      </c>
      <c r="CD348" s="5">
        <v>1037.0</v>
      </c>
      <c r="CE348" s="5">
        <v>6161.0</v>
      </c>
      <c r="CF348" s="5">
        <v>1037.0</v>
      </c>
      <c r="CG348" s="5">
        <v>6161.0</v>
      </c>
      <c r="CH348" s="5">
        <v>1037.0</v>
      </c>
      <c r="CI348" s="5">
        <v>6161.0</v>
      </c>
      <c r="CJ348" s="5">
        <v>1037.0</v>
      </c>
      <c r="CK348" s="5">
        <v>6161.0</v>
      </c>
      <c r="CL348" s="5">
        <v>1037.0</v>
      </c>
      <c r="CM348" s="5">
        <v>6161.0</v>
      </c>
      <c r="CN348" s="5">
        <v>1037.0</v>
      </c>
      <c r="CO348" s="5">
        <v>183.0</v>
      </c>
      <c r="CP348" s="5">
        <v>105.0</v>
      </c>
      <c r="CQ348" s="3"/>
      <c r="CR348" s="4" t="s">
        <v>1473</v>
      </c>
    </row>
    <row r="349">
      <c r="A349" s="1" t="s">
        <v>1474</v>
      </c>
      <c r="B349" s="2">
        <v>46057.73809027778</v>
      </c>
      <c r="C349" s="1" t="str">
        <f t="array" ref="C349">INDEX('User data'!E:E, MATCH(E349, 'User data'!B:B, 0))</f>
        <v>닥터블릿헬스케어 주식회사</v>
      </c>
      <c r="D349" s="1" t="str">
        <f t="array" ref="D349">INDEX('User data'!F:F, MATCH(C349, 'User data'!E:E, 0))</f>
        <v>382-88-01869</v>
      </c>
      <c r="E349" s="1" t="s">
        <v>284</v>
      </c>
      <c r="F349" s="3"/>
      <c r="G349" s="3"/>
      <c r="H349" s="3"/>
      <c r="I349" s="1" t="s">
        <v>624</v>
      </c>
      <c r="J349" s="1" t="s">
        <v>100</v>
      </c>
      <c r="K349" s="1" t="s">
        <v>101</v>
      </c>
      <c r="L349" s="1" t="b">
        <v>0</v>
      </c>
      <c r="M349" s="4" t="s">
        <v>102</v>
      </c>
      <c r="N349" s="1" t="s">
        <v>285</v>
      </c>
      <c r="O349" s="1">
        <v>574085.0</v>
      </c>
      <c r="P349" s="1">
        <v>574085.0</v>
      </c>
      <c r="Q349" s="1">
        <v>574085.0</v>
      </c>
      <c r="R349" s="1" t="s">
        <v>1475</v>
      </c>
      <c r="S349" s="1">
        <v>13285.0</v>
      </c>
      <c r="T349" s="1" t="s">
        <v>104</v>
      </c>
      <c r="U349" s="3"/>
      <c r="V349" s="3"/>
      <c r="W349" s="1" t="s">
        <v>118</v>
      </c>
      <c r="X349" s="3"/>
      <c r="Y349" s="1" t="s">
        <v>119</v>
      </c>
      <c r="Z349" s="3"/>
      <c r="AA349" s="1" t="b">
        <v>1</v>
      </c>
      <c r="AB349" s="1" t="b">
        <v>0</v>
      </c>
      <c r="AC349" s="1" t="b">
        <v>0</v>
      </c>
      <c r="AD349" s="1" t="b">
        <v>1</v>
      </c>
      <c r="AE349" s="1" t="b">
        <v>0</v>
      </c>
      <c r="AF349" s="5">
        <v>3.0</v>
      </c>
      <c r="AG349" s="3"/>
      <c r="AH349" s="3"/>
      <c r="AI349" s="3"/>
      <c r="AJ349" s="2">
        <v>46057.73724537037</v>
      </c>
      <c r="AK349" s="2">
        <v>46058.46717592593</v>
      </c>
      <c r="AL349" s="2">
        <v>46057.73724537037</v>
      </c>
      <c r="AM349" s="2">
        <v>46057.73726851852</v>
      </c>
      <c r="AO349" s="3"/>
      <c r="AP349" s="2">
        <v>46057.737592592595</v>
      </c>
      <c r="AQ349" s="2">
        <v>46057.73809027778</v>
      </c>
      <c r="AS349" s="2">
        <v>46057.73810185185</v>
      </c>
      <c r="AT349" s="2">
        <v>46057.73809027778</v>
      </c>
      <c r="AU349" s="2">
        <v>46058.37521990741</v>
      </c>
      <c r="AW349" s="3"/>
      <c r="AX349" s="2">
        <v>46057.73810185185</v>
      </c>
      <c r="AY349" s="2">
        <v>46057.73810185185</v>
      </c>
      <c r="AZ349" s="2">
        <v>46057.744571759256</v>
      </c>
      <c r="BA349" s="2">
        <v>46058.417592592596</v>
      </c>
      <c r="BB349" s="2">
        <v>46057.88789351852</v>
      </c>
      <c r="BC349" s="2">
        <v>46058.42549768519</v>
      </c>
      <c r="BD349" s="2">
        <v>46058.42549768519</v>
      </c>
      <c r="BE349" s="5">
        <v>4481.0</v>
      </c>
      <c r="BF349" s="3"/>
      <c r="BG349" s="5">
        <v>1493.0</v>
      </c>
      <c r="BH349" s="3"/>
      <c r="BI349" s="5">
        <v>42104.0</v>
      </c>
      <c r="BJ349" s="5">
        <v>0.0</v>
      </c>
      <c r="BK349" s="5">
        <v>0.0</v>
      </c>
      <c r="BL349" s="5">
        <v>0.0</v>
      </c>
      <c r="BM349" s="5">
        <v>0.0</v>
      </c>
      <c r="BN349" s="5">
        <v>0.0</v>
      </c>
      <c r="BO349" s="5">
        <v>559.0</v>
      </c>
      <c r="BP349" s="5">
        <v>0.0</v>
      </c>
      <c r="BQ349" s="5">
        <v>631.0</v>
      </c>
      <c r="BR349" s="5">
        <v>0.0</v>
      </c>
      <c r="BS349" s="5">
        <v>558.0</v>
      </c>
      <c r="BT349" s="5">
        <v>0.0</v>
      </c>
      <c r="BU349" s="5">
        <v>558.0</v>
      </c>
      <c r="BV349" s="5">
        <v>0.0</v>
      </c>
      <c r="BW349" s="5">
        <v>559.0</v>
      </c>
      <c r="BX349" s="5">
        <v>0.0</v>
      </c>
      <c r="BY349" s="5">
        <v>59391.0</v>
      </c>
      <c r="BZ349" s="5">
        <v>763.0</v>
      </c>
      <c r="CA349" s="5">
        <v>59391.0</v>
      </c>
      <c r="CB349" s="5">
        <v>763.0</v>
      </c>
      <c r="CC349" s="5">
        <v>59463.0</v>
      </c>
      <c r="CD349" s="5">
        <v>763.0</v>
      </c>
      <c r="CE349" s="5">
        <v>59390.0</v>
      </c>
      <c r="CF349" s="5">
        <v>763.0</v>
      </c>
      <c r="CG349" s="5">
        <v>59390.0</v>
      </c>
      <c r="CH349" s="5">
        <v>763.0</v>
      </c>
      <c r="CI349" s="5">
        <v>59391.0</v>
      </c>
      <c r="CJ349" s="5">
        <v>763.0</v>
      </c>
      <c r="CK349" s="5">
        <v>17285.0</v>
      </c>
      <c r="CL349" s="5">
        <v>763.0</v>
      </c>
      <c r="CM349" s="5">
        <v>17285.0</v>
      </c>
      <c r="CN349" s="5">
        <v>763.0</v>
      </c>
      <c r="CO349" s="5">
        <v>29.0</v>
      </c>
      <c r="CP349" s="3"/>
      <c r="CQ349" s="3"/>
      <c r="CR349" s="4" t="s">
        <v>1476</v>
      </c>
    </row>
    <row r="350">
      <c r="A350" s="1" t="s">
        <v>1477</v>
      </c>
      <c r="B350" s="2">
        <v>46057.69548611111</v>
      </c>
      <c r="C350" s="1" t="str">
        <f t="array" ref="C350">INDEX('User data'!E:E, MATCH(E350, 'User data'!B:B, 0))</f>
        <v>이마고웍스 주식회사</v>
      </c>
      <c r="D350" s="1" t="str">
        <f t="array" ref="D350">INDEX('User data'!F:F, MATCH(C350, 'User data'!E:E, 0))</f>
        <v>460-81-01758</v>
      </c>
      <c r="E350" s="1" t="s">
        <v>1478</v>
      </c>
      <c r="F350" s="3"/>
      <c r="G350" s="1" t="s">
        <v>1479</v>
      </c>
      <c r="I350" s="1" t="s">
        <v>730</v>
      </c>
      <c r="J350" s="1" t="s">
        <v>100</v>
      </c>
      <c r="K350" s="1" t="s">
        <v>101</v>
      </c>
      <c r="L350" s="1" t="b">
        <v>0</v>
      </c>
      <c r="M350" s="4" t="s">
        <v>102</v>
      </c>
      <c r="N350" s="1" t="s">
        <v>1480</v>
      </c>
      <c r="O350" s="1">
        <v>574085.0</v>
      </c>
      <c r="P350" s="1">
        <v>574085.0</v>
      </c>
      <c r="Q350" s="1">
        <v>574085.0</v>
      </c>
      <c r="R350" s="1" t="s">
        <v>1201</v>
      </c>
      <c r="S350" s="1">
        <v>13285.0</v>
      </c>
      <c r="T350" s="1" t="s">
        <v>104</v>
      </c>
      <c r="U350" s="3"/>
      <c r="V350" s="3"/>
      <c r="W350" s="1" t="s">
        <v>118</v>
      </c>
      <c r="X350" s="3"/>
      <c r="Y350" s="1" t="s">
        <v>119</v>
      </c>
      <c r="Z350" s="3"/>
      <c r="AA350" s="1" t="b">
        <v>1</v>
      </c>
      <c r="AB350" s="1" t="b">
        <v>0</v>
      </c>
      <c r="AC350" s="1" t="b">
        <v>0</v>
      </c>
      <c r="AD350" s="1" t="b">
        <v>1</v>
      </c>
      <c r="AE350" s="1" t="b">
        <v>0</v>
      </c>
      <c r="AF350" s="5">
        <v>4.0</v>
      </c>
      <c r="AG350" s="5">
        <v>4.0</v>
      </c>
      <c r="AH350" s="3"/>
      <c r="AI350" s="3"/>
      <c r="AJ350" s="2">
        <v>46057.69384259259</v>
      </c>
      <c r="AK350" s="2">
        <v>46058.63704861111</v>
      </c>
      <c r="AL350" s="2">
        <v>46057.69385416667</v>
      </c>
      <c r="AM350" s="2">
        <v>46057.69386574074</v>
      </c>
      <c r="AO350" s="3"/>
      <c r="AP350" s="2">
        <v>46057.69436342592</v>
      </c>
      <c r="AQ350" s="2">
        <v>46057.69548611111</v>
      </c>
      <c r="AS350" s="2">
        <v>46057.695497685185</v>
      </c>
      <c r="AT350" s="2">
        <v>46057.69548611111</v>
      </c>
      <c r="AU350" s="2">
        <v>46058.43215277778</v>
      </c>
      <c r="AW350" s="3"/>
      <c r="AX350" s="2">
        <v>46057.695497685185</v>
      </c>
      <c r="AY350" s="2">
        <v>46057.695497685185</v>
      </c>
      <c r="AZ350" s="2">
        <v>46057.696921296294</v>
      </c>
      <c r="BA350" s="2">
        <v>46058.595300925925</v>
      </c>
      <c r="BB350" s="2">
        <v>46058.428460648145</v>
      </c>
      <c r="BC350" s="2">
        <v>46058.59537037037</v>
      </c>
      <c r="BD350" s="2">
        <v>46058.59537037037</v>
      </c>
      <c r="BE350" s="5">
        <v>1826.0</v>
      </c>
      <c r="BF350" s="5">
        <v>1826.0</v>
      </c>
      <c r="BG350" s="5">
        <v>456.0</v>
      </c>
      <c r="BH350" s="5">
        <v>456.0</v>
      </c>
      <c r="BI350" s="5">
        <v>318.0</v>
      </c>
      <c r="BJ350" s="5">
        <v>318.0</v>
      </c>
      <c r="BK350" s="5">
        <v>0.0</v>
      </c>
      <c r="BL350" s="5">
        <v>0.0</v>
      </c>
      <c r="BM350" s="5">
        <v>0.0</v>
      </c>
      <c r="BN350" s="5">
        <v>0.0</v>
      </c>
      <c r="BO350" s="5">
        <v>124.0</v>
      </c>
      <c r="BP350" s="5">
        <v>124.0</v>
      </c>
      <c r="BQ350" s="5">
        <v>264.0</v>
      </c>
      <c r="BR350" s="5">
        <v>264.0</v>
      </c>
      <c r="BS350" s="5">
        <v>123.0</v>
      </c>
      <c r="BT350" s="5">
        <v>123.0</v>
      </c>
      <c r="BU350" s="5">
        <v>123.0</v>
      </c>
      <c r="BV350" s="5">
        <v>123.0</v>
      </c>
      <c r="BW350" s="5">
        <v>124.0</v>
      </c>
      <c r="BX350" s="5">
        <v>124.0</v>
      </c>
      <c r="BY350" s="5">
        <v>77749.0</v>
      </c>
      <c r="BZ350" s="5">
        <v>12949.0</v>
      </c>
      <c r="CA350" s="5">
        <v>77749.0</v>
      </c>
      <c r="CB350" s="5">
        <v>12949.0</v>
      </c>
      <c r="CC350" s="5">
        <v>77889.0</v>
      </c>
      <c r="CD350" s="5">
        <v>13089.0</v>
      </c>
      <c r="CE350" s="5">
        <v>77748.0</v>
      </c>
      <c r="CF350" s="5">
        <v>12948.0</v>
      </c>
      <c r="CG350" s="5">
        <v>77748.0</v>
      </c>
      <c r="CH350" s="5">
        <v>12948.0</v>
      </c>
      <c r="CI350" s="5">
        <v>77749.0</v>
      </c>
      <c r="CJ350" s="5">
        <v>12949.0</v>
      </c>
      <c r="CK350" s="5">
        <v>77429.0</v>
      </c>
      <c r="CL350" s="5">
        <v>12629.0</v>
      </c>
      <c r="CM350" s="5">
        <v>77429.0</v>
      </c>
      <c r="CN350" s="5">
        <v>12629.0</v>
      </c>
      <c r="CO350" s="5">
        <v>44.0</v>
      </c>
      <c r="CP350" s="3"/>
      <c r="CQ350" s="3"/>
      <c r="CR350" s="4" t="s">
        <v>1481</v>
      </c>
    </row>
    <row r="351">
      <c r="A351" s="1" t="s">
        <v>1482</v>
      </c>
      <c r="B351" s="2">
        <v>46057.67314814815</v>
      </c>
      <c r="C351" s="1" t="str">
        <f t="array" ref="C351">INDEX('User data'!E:E, MATCH(E351, 'User data'!B:B, 0))</f>
        <v>(주）TGWP</v>
      </c>
      <c r="D351" s="1" t="str">
        <f t="array" ref="D351">INDEX('User data'!F:F, MATCH(C351, 'User data'!E:E, 0))</f>
        <v>211-88-10839</v>
      </c>
      <c r="E351" s="1" t="s">
        <v>1118</v>
      </c>
      <c r="F351" s="3"/>
      <c r="G351" s="3"/>
      <c r="H351" s="3"/>
      <c r="I351" s="1" t="s">
        <v>1483</v>
      </c>
      <c r="J351" s="1" t="s">
        <v>100</v>
      </c>
      <c r="K351" s="1" t="s">
        <v>101</v>
      </c>
      <c r="L351" s="1" t="b">
        <v>0</v>
      </c>
      <c r="M351" s="4" t="s">
        <v>102</v>
      </c>
      <c r="N351" s="1" t="s">
        <v>1119</v>
      </c>
      <c r="O351" s="1">
        <v>574085.0</v>
      </c>
      <c r="P351" s="1">
        <v>574085.0</v>
      </c>
      <c r="Q351" s="1">
        <v>574085.0</v>
      </c>
      <c r="R351" s="1" t="s">
        <v>1201</v>
      </c>
      <c r="S351" s="1">
        <v>13285.0</v>
      </c>
      <c r="T351" s="1" t="s">
        <v>104</v>
      </c>
      <c r="U351" s="3"/>
      <c r="V351" s="3"/>
      <c r="W351" s="1" t="s">
        <v>118</v>
      </c>
      <c r="X351" s="3"/>
      <c r="Y351" s="1" t="s">
        <v>119</v>
      </c>
      <c r="Z351" s="3"/>
      <c r="AA351" s="1" t="b">
        <v>1</v>
      </c>
      <c r="AB351" s="1" t="b">
        <v>0</v>
      </c>
      <c r="AC351" s="1" t="b">
        <v>0</v>
      </c>
      <c r="AD351" s="1" t="b">
        <v>1</v>
      </c>
      <c r="AE351" s="1" t="b">
        <v>1</v>
      </c>
      <c r="AF351" s="5">
        <v>4.0</v>
      </c>
      <c r="AG351" s="5">
        <v>3.0</v>
      </c>
      <c r="AH351" s="3"/>
      <c r="AI351" s="3"/>
      <c r="AJ351" s="2">
        <v>46057.671689814815</v>
      </c>
      <c r="AK351" s="2">
        <v>46058.46807870371</v>
      </c>
      <c r="AL351" s="2">
        <v>46057.671689814815</v>
      </c>
      <c r="AM351" s="2">
        <v>46057.67170138889</v>
      </c>
      <c r="AN351" s="2">
        <v>46057.67314814815</v>
      </c>
      <c r="AO351" s="2">
        <v>46057.67418981482</v>
      </c>
      <c r="AP351" s="2">
        <v>46057.67418981482</v>
      </c>
      <c r="AQ351" s="2">
        <v>46057.67418981482</v>
      </c>
      <c r="AS351" s="2">
        <v>46057.67420138889</v>
      </c>
      <c r="AT351" s="2">
        <v>46057.67418981482</v>
      </c>
      <c r="AU351" s="2">
        <v>46057.86332175926</v>
      </c>
      <c r="AW351" s="3"/>
      <c r="AX351" s="2">
        <v>46057.67420138889</v>
      </c>
      <c r="AY351" s="2">
        <v>46057.67420138889</v>
      </c>
      <c r="AZ351" s="2">
        <v>46057.67482638889</v>
      </c>
      <c r="BA351" s="2">
        <v>46058.42005787037</v>
      </c>
      <c r="BB351" s="2">
        <v>46057.69671296296</v>
      </c>
      <c r="BC351" s="2">
        <v>46058.426400462966</v>
      </c>
      <c r="BD351" s="2">
        <v>46058.426400462966</v>
      </c>
      <c r="BE351" s="5">
        <v>48858.0</v>
      </c>
      <c r="BF351" s="5">
        <v>756.0</v>
      </c>
      <c r="BG351" s="5">
        <v>12214.0</v>
      </c>
      <c r="BH351" s="5">
        <v>252.0</v>
      </c>
      <c r="BI351" s="5">
        <v>14395.0</v>
      </c>
      <c r="BJ351" s="5">
        <v>1003.0</v>
      </c>
      <c r="BK351" s="5">
        <v>0.0</v>
      </c>
      <c r="BL351" s="5">
        <v>0.0</v>
      </c>
      <c r="BM351" s="5">
        <v>90.0</v>
      </c>
      <c r="BN351" s="5">
        <v>90.0</v>
      </c>
      <c r="BO351" s="5">
        <v>144.0</v>
      </c>
      <c r="BP351" s="5">
        <v>144.0</v>
      </c>
      <c r="BQ351" s="5">
        <v>269.0</v>
      </c>
      <c r="BR351" s="5">
        <v>269.0</v>
      </c>
      <c r="BS351" s="5">
        <v>54.0</v>
      </c>
      <c r="BT351" s="5">
        <v>54.0</v>
      </c>
      <c r="BU351" s="5">
        <v>54.0</v>
      </c>
      <c r="BV351" s="5">
        <v>54.0</v>
      </c>
      <c r="BW351" s="5">
        <v>54.0</v>
      </c>
      <c r="BX351" s="5">
        <v>54.0</v>
      </c>
      <c r="BY351" s="5">
        <v>65081.0</v>
      </c>
      <c r="BZ351" s="5">
        <v>3881.0</v>
      </c>
      <c r="CA351" s="5">
        <v>65081.0</v>
      </c>
      <c r="CB351" s="5">
        <v>3881.0</v>
      </c>
      <c r="CC351" s="5">
        <v>65205.0</v>
      </c>
      <c r="CD351" s="5">
        <v>4005.0</v>
      </c>
      <c r="CE351" s="5">
        <v>64990.0</v>
      </c>
      <c r="CF351" s="5">
        <v>3790.0</v>
      </c>
      <c r="CG351" s="5">
        <v>64990.0</v>
      </c>
      <c r="CH351" s="5">
        <v>3790.0</v>
      </c>
      <c r="CI351" s="5">
        <v>64991.0</v>
      </c>
      <c r="CJ351" s="5">
        <v>3791.0</v>
      </c>
      <c r="CK351" s="5">
        <v>50595.0</v>
      </c>
      <c r="CL351" s="5">
        <v>2787.0</v>
      </c>
      <c r="CM351" s="5">
        <v>50595.0</v>
      </c>
      <c r="CN351" s="5">
        <v>2787.0</v>
      </c>
      <c r="CO351" s="5">
        <v>216.0</v>
      </c>
      <c r="CP351" s="5">
        <v>90.0</v>
      </c>
      <c r="CQ351" s="3"/>
      <c r="CR351" s="4" t="s">
        <v>1484</v>
      </c>
    </row>
    <row r="352">
      <c r="A352" s="1" t="s">
        <v>1485</v>
      </c>
      <c r="B352" s="2">
        <v>46057.66715277778</v>
      </c>
      <c r="C352" s="1" t="str">
        <f t="array" ref="C352">INDEX('User data'!E:E, MATCH(E352, 'User data'!B:B, 0))</f>
        <v>SOFTEYE</v>
      </c>
      <c r="D352" s="1" t="str">
        <f t="array" ref="D352">INDEX('User data'!F:F, MATCH(C352, 'User data'!E:E, 0))</f>
        <v>903-84-01182</v>
      </c>
      <c r="E352" s="1" t="s">
        <v>1486</v>
      </c>
      <c r="F352" s="3"/>
      <c r="G352" s="3"/>
      <c r="H352" s="3"/>
      <c r="I352" s="3"/>
      <c r="J352" s="1" t="s">
        <v>100</v>
      </c>
      <c r="K352" s="1" t="s">
        <v>101</v>
      </c>
      <c r="L352" s="1" t="b">
        <v>0</v>
      </c>
      <c r="M352" s="4" t="s">
        <v>102</v>
      </c>
      <c r="N352" s="1" t="s">
        <v>1487</v>
      </c>
      <c r="P352" s="3"/>
      <c r="Q352" s="3"/>
      <c r="R352" s="3"/>
      <c r="S352" s="1">
        <v>13285.0</v>
      </c>
      <c r="T352" s="1" t="s">
        <v>104</v>
      </c>
      <c r="U352" s="3"/>
      <c r="V352" s="3"/>
      <c r="W352" s="1" t="s">
        <v>105</v>
      </c>
      <c r="X352" s="3"/>
      <c r="Y352" s="1" t="s">
        <v>106</v>
      </c>
      <c r="Z352" s="3"/>
      <c r="AA352" s="1" t="b">
        <v>0</v>
      </c>
      <c r="AB352" s="1" t="b">
        <v>0</v>
      </c>
      <c r="AC352" s="1" t="b">
        <v>0</v>
      </c>
      <c r="AD352" s="1" t="b">
        <v>1</v>
      </c>
      <c r="AE352" s="1" t="b">
        <v>1</v>
      </c>
      <c r="AF352" s="3"/>
      <c r="AG352" s="3"/>
      <c r="AH352" s="3"/>
      <c r="AI352" s="3"/>
      <c r="AJ352" s="2">
        <v>46057.66638888889</v>
      </c>
      <c r="AK352" s="2">
        <v>46058.66954861111</v>
      </c>
      <c r="AL352" s="2">
        <v>46057.66638888889</v>
      </c>
      <c r="AM352" s="2">
        <v>46057.66641203704</v>
      </c>
      <c r="AN352" s="2">
        <v>46057.66715277778</v>
      </c>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5">
        <v>3.4</v>
      </c>
      <c r="CR352" s="4" t="s">
        <v>1488</v>
      </c>
    </row>
    <row r="353">
      <c r="A353" s="1" t="s">
        <v>1489</v>
      </c>
      <c r="B353" s="2">
        <v>46057.65914351852</v>
      </c>
      <c r="C353" s="1" t="str">
        <f t="array" ref="C353">INDEX('User data'!E:E, MATCH(E353, 'User data'!B:B, 0))</f>
        <v>주식회사 비티손해보험중개</v>
      </c>
      <c r="D353" s="1" t="str">
        <f t="array" ref="D353">INDEX('User data'!F:F, MATCH(C353, 'User data'!E:E, 0))</f>
        <v>101-86-28173</v>
      </c>
      <c r="E353" s="1" t="s">
        <v>1490</v>
      </c>
      <c r="F353" s="3"/>
      <c r="G353" s="3"/>
      <c r="H353" s="3"/>
      <c r="I353" s="1" t="s">
        <v>1491</v>
      </c>
      <c r="J353" s="1" t="s">
        <v>100</v>
      </c>
      <c r="K353" s="1" t="s">
        <v>101</v>
      </c>
      <c r="L353" s="1" t="b">
        <v>0</v>
      </c>
      <c r="M353" s="4" t="s">
        <v>102</v>
      </c>
      <c r="N353" s="1" t="s">
        <v>1492</v>
      </c>
      <c r="O353" s="1">
        <v>574085.0</v>
      </c>
      <c r="P353" s="1">
        <v>574085.0</v>
      </c>
      <c r="Q353" s="1">
        <v>574085.0</v>
      </c>
      <c r="R353" s="1" t="s">
        <v>1201</v>
      </c>
      <c r="S353" s="1">
        <v>13285.0</v>
      </c>
      <c r="T353" s="1" t="s">
        <v>104</v>
      </c>
      <c r="U353" s="3"/>
      <c r="V353" s="3"/>
      <c r="W353" s="1" t="s">
        <v>118</v>
      </c>
      <c r="X353" s="3"/>
      <c r="Y353" s="1" t="s">
        <v>119</v>
      </c>
      <c r="Z353" s="3"/>
      <c r="AA353" s="1" t="b">
        <v>1</v>
      </c>
      <c r="AB353" s="1" t="b">
        <v>0</v>
      </c>
      <c r="AC353" s="1" t="b">
        <v>0</v>
      </c>
      <c r="AD353" s="1" t="b">
        <v>1</v>
      </c>
      <c r="AE353" s="1" t="b">
        <v>0</v>
      </c>
      <c r="AF353" s="5">
        <v>5.0</v>
      </c>
      <c r="AG353" s="5">
        <v>2.0</v>
      </c>
      <c r="AH353" s="3"/>
      <c r="AI353" s="3"/>
      <c r="AJ353" s="2">
        <v>46057.658101851855</v>
      </c>
      <c r="AK353" s="2">
        <v>46057.792905092596</v>
      </c>
      <c r="AL353" s="2">
        <v>46057.658101851855</v>
      </c>
      <c r="AM353" s="2">
        <v>46057.658113425925</v>
      </c>
      <c r="AO353" s="3"/>
      <c r="AP353" s="2">
        <v>46057.658530092594</v>
      </c>
      <c r="AQ353" s="2">
        <v>46057.65914351852</v>
      </c>
      <c r="AS353" s="2">
        <v>46057.659155092595</v>
      </c>
      <c r="AT353" s="2">
        <v>46057.65914351852</v>
      </c>
      <c r="AU353" s="2">
        <v>46057.74366898148</v>
      </c>
      <c r="AW353" s="3"/>
      <c r="AX353" s="2">
        <v>46057.659155092595</v>
      </c>
      <c r="AY353" s="2">
        <v>46057.659155092595</v>
      </c>
      <c r="AZ353" s="2">
        <v>46057.65924768519</v>
      </c>
      <c r="BA353" s="2">
        <v>46057.75119212963</v>
      </c>
      <c r="BB353" s="2">
        <v>46057.741527777776</v>
      </c>
      <c r="BC353" s="2">
        <v>46057.751226851855</v>
      </c>
      <c r="BD353" s="2">
        <v>46057.751226851855</v>
      </c>
      <c r="BE353" s="5">
        <v>4685.0</v>
      </c>
      <c r="BF353" s="5">
        <v>2051.0</v>
      </c>
      <c r="BG353" s="5">
        <v>937.0</v>
      </c>
      <c r="BH353" s="5">
        <v>1025.0</v>
      </c>
      <c r="BI353" s="5">
        <v>2795.0</v>
      </c>
      <c r="BJ353" s="5">
        <v>461.0</v>
      </c>
      <c r="BK353" s="5">
        <v>0.0</v>
      </c>
      <c r="BL353" s="5">
        <v>0.0</v>
      </c>
      <c r="BM353" s="5">
        <v>0.0</v>
      </c>
      <c r="BN353" s="5">
        <v>0.0</v>
      </c>
      <c r="BO353" s="5">
        <v>9.0</v>
      </c>
      <c r="BP353" s="5">
        <v>9.0</v>
      </c>
      <c r="BQ353" s="5">
        <v>98.0</v>
      </c>
      <c r="BR353" s="5">
        <v>98.0</v>
      </c>
      <c r="BS353" s="5">
        <v>8.0</v>
      </c>
      <c r="BT353" s="5">
        <v>8.0</v>
      </c>
      <c r="BU353" s="5">
        <v>8.0</v>
      </c>
      <c r="BV353" s="5">
        <v>8.0</v>
      </c>
      <c r="BW353" s="5">
        <v>9.0</v>
      </c>
      <c r="BX353" s="5">
        <v>9.0</v>
      </c>
      <c r="BY353" s="5">
        <v>7955.0</v>
      </c>
      <c r="BZ353" s="5">
        <v>4249.0</v>
      </c>
      <c r="CA353" s="5">
        <v>7955.0</v>
      </c>
      <c r="CB353" s="5">
        <v>4249.0</v>
      </c>
      <c r="CC353" s="5">
        <v>8045.0</v>
      </c>
      <c r="CD353" s="5">
        <v>4338.0</v>
      </c>
      <c r="CE353" s="5">
        <v>7955.0</v>
      </c>
      <c r="CF353" s="5">
        <v>4248.0</v>
      </c>
      <c r="CG353" s="5">
        <v>7955.0</v>
      </c>
      <c r="CH353" s="5">
        <v>4248.0</v>
      </c>
      <c r="CI353" s="5">
        <v>7955.0</v>
      </c>
      <c r="CJ353" s="5">
        <v>4249.0</v>
      </c>
      <c r="CK353" s="5">
        <v>5160.0</v>
      </c>
      <c r="CL353" s="5">
        <v>3787.0</v>
      </c>
      <c r="CM353" s="5">
        <v>5160.0</v>
      </c>
      <c r="CN353" s="5">
        <v>3787.0</v>
      </c>
      <c r="CO353" s="5">
        <v>36.0</v>
      </c>
      <c r="CP353" s="3"/>
      <c r="CQ353" s="3"/>
      <c r="CR353" s="4" t="s">
        <v>1493</v>
      </c>
    </row>
    <row r="354">
      <c r="A354" s="1" t="s">
        <v>1494</v>
      </c>
      <c r="B354" s="2">
        <v>46057.65658564815</v>
      </c>
      <c r="C354" s="1" t="str">
        <f t="array" ref="C354">INDEX('User data'!E:E, MATCH(E354, 'User data'!B:B, 0))</f>
        <v>엘스랩스 주식회사</v>
      </c>
      <c r="D354" s="1" t="str">
        <f t="array" ref="D354">INDEX('User data'!F:F, MATCH(C354, 'User data'!E:E, 0))</f>
        <v>494-87-04027</v>
      </c>
      <c r="E354" s="1" t="s">
        <v>1495</v>
      </c>
      <c r="F354" s="3"/>
      <c r="G354" s="3"/>
      <c r="H354" s="3"/>
      <c r="I354" s="1" t="s">
        <v>1253</v>
      </c>
      <c r="J354" s="1" t="s">
        <v>100</v>
      </c>
      <c r="K354" s="1" t="s">
        <v>101</v>
      </c>
      <c r="L354" s="1" t="b">
        <v>0</v>
      </c>
      <c r="M354" s="4" t="s">
        <v>102</v>
      </c>
      <c r="N354" s="1" t="s">
        <v>1496</v>
      </c>
      <c r="O354" s="1">
        <v>574085.0</v>
      </c>
      <c r="P354" s="1">
        <v>574085.0</v>
      </c>
      <c r="Q354" s="1">
        <v>574085.0</v>
      </c>
      <c r="R354" s="1" t="s">
        <v>1201</v>
      </c>
      <c r="S354" s="1">
        <v>13285.0</v>
      </c>
      <c r="T354" s="1" t="s">
        <v>104</v>
      </c>
      <c r="U354" s="3"/>
      <c r="V354" s="3"/>
      <c r="W354" s="1" t="s">
        <v>118</v>
      </c>
      <c r="X354" s="3"/>
      <c r="Y354" s="1" t="s">
        <v>106</v>
      </c>
      <c r="Z354" s="3"/>
      <c r="AA354" s="1" t="b">
        <v>1</v>
      </c>
      <c r="AB354" s="1" t="b">
        <v>0</v>
      </c>
      <c r="AC354" s="1" t="b">
        <v>0</v>
      </c>
      <c r="AD354" s="1" t="b">
        <v>1</v>
      </c>
      <c r="AE354" s="1" t="b">
        <v>0</v>
      </c>
      <c r="AF354" s="5">
        <v>3.0</v>
      </c>
      <c r="AG354" s="5">
        <v>3.0</v>
      </c>
      <c r="AH354" s="3"/>
      <c r="AI354" s="3"/>
      <c r="AJ354" s="2">
        <v>46057.65626157408</v>
      </c>
      <c r="AK354" s="2">
        <v>46057.82046296296</v>
      </c>
      <c r="AL354" s="2">
        <v>46057.65626157408</v>
      </c>
      <c r="AM354" s="2">
        <v>46057.65628472222</v>
      </c>
      <c r="AO354" s="3"/>
      <c r="AP354" s="2">
        <v>46057.656539351854</v>
      </c>
      <c r="AQ354" s="2">
        <v>46057.65658564815</v>
      </c>
      <c r="AS354" s="2">
        <v>46057.65659722222</v>
      </c>
      <c r="AT354" s="2">
        <v>46057.65658564815</v>
      </c>
      <c r="AU354" s="2">
        <v>46057.77854166667</v>
      </c>
      <c r="AW354" s="3"/>
      <c r="AX354" s="2">
        <v>46057.65659722222</v>
      </c>
      <c r="AY354" s="2">
        <v>46057.65659722222</v>
      </c>
      <c r="AZ354" s="2">
        <v>46057.65693287037</v>
      </c>
      <c r="BA354" s="2">
        <v>46057.660046296296</v>
      </c>
      <c r="BB354" s="2">
        <v>46057.70318287037</v>
      </c>
      <c r="BC354" s="2">
        <v>46057.77878472222</v>
      </c>
      <c r="BD354" s="2">
        <v>46057.77878472222</v>
      </c>
      <c r="BE354" s="5">
        <v>282.0</v>
      </c>
      <c r="BF354" s="5">
        <v>282.0</v>
      </c>
      <c r="BG354" s="5">
        <v>94.0</v>
      </c>
      <c r="BH354" s="5">
        <v>94.0</v>
      </c>
      <c r="BI354" s="5">
        <v>6511.0</v>
      </c>
      <c r="BJ354" s="5">
        <v>444.0</v>
      </c>
      <c r="BK354" s="5">
        <v>0.0</v>
      </c>
      <c r="BL354" s="5">
        <v>0.0</v>
      </c>
      <c r="BM354" s="5">
        <v>0.0</v>
      </c>
      <c r="BN354" s="5">
        <v>0.0</v>
      </c>
      <c r="BO354" s="5">
        <v>29.0</v>
      </c>
      <c r="BP354" s="5">
        <v>29.0</v>
      </c>
      <c r="BQ354" s="5">
        <v>56.0</v>
      </c>
      <c r="BR354" s="5">
        <v>56.0</v>
      </c>
      <c r="BS354" s="5">
        <v>29.0</v>
      </c>
      <c r="BT354" s="5">
        <v>29.0</v>
      </c>
      <c r="BU354" s="5">
        <v>29.0</v>
      </c>
      <c r="BV354" s="5">
        <v>29.0</v>
      </c>
      <c r="BW354" s="5">
        <v>29.0</v>
      </c>
      <c r="BX354" s="5">
        <v>29.0</v>
      </c>
      <c r="BY354" s="5">
        <v>10557.0</v>
      </c>
      <c r="BZ354" s="5">
        <v>4470.0</v>
      </c>
      <c r="CA354" s="5">
        <v>10557.0</v>
      </c>
      <c r="CB354" s="5">
        <v>4470.0</v>
      </c>
      <c r="CC354" s="5">
        <v>10584.0</v>
      </c>
      <c r="CD354" s="5">
        <v>4496.0</v>
      </c>
      <c r="CE354" s="5">
        <v>10557.0</v>
      </c>
      <c r="CF354" s="5">
        <v>4469.0</v>
      </c>
      <c r="CG354" s="5">
        <v>10557.0</v>
      </c>
      <c r="CH354" s="5">
        <v>4469.0</v>
      </c>
      <c r="CI354" s="5">
        <v>10557.0</v>
      </c>
      <c r="CJ354" s="5">
        <v>4470.0</v>
      </c>
      <c r="CK354" s="5">
        <v>4045.0</v>
      </c>
      <c r="CL354" s="5">
        <v>4025.0</v>
      </c>
      <c r="CM354" s="5">
        <v>4045.0</v>
      </c>
      <c r="CN354" s="5">
        <v>4025.0</v>
      </c>
      <c r="CO354" s="5">
        <v>23.0</v>
      </c>
      <c r="CP354" s="3"/>
      <c r="CQ354" s="3"/>
      <c r="CR354" s="4" t="s">
        <v>1497</v>
      </c>
    </row>
    <row r="355">
      <c r="A355" s="1" t="s">
        <v>1498</v>
      </c>
      <c r="B355" s="2">
        <v>46057.58101851852</v>
      </c>
      <c r="C355" s="1" t="str">
        <f t="array" ref="C355">INDEX('User data'!E:E, MATCH(E355, 'User data'!B:B, 0))</f>
        <v>주식회사 사각코퍼레이션</v>
      </c>
      <c r="D355" s="1" t="str">
        <f t="array" ref="D355">INDEX('User data'!F:F, MATCH(C355, 'User data'!E:E, 0))</f>
        <v>364-87-03033</v>
      </c>
      <c r="E355" s="1" t="s">
        <v>1499</v>
      </c>
      <c r="F355" s="3"/>
      <c r="G355" s="3"/>
      <c r="H355" s="3"/>
      <c r="I355" s="3"/>
      <c r="J355" s="1" t="s">
        <v>100</v>
      </c>
      <c r="K355" s="1" t="s">
        <v>101</v>
      </c>
      <c r="L355" s="1" t="b">
        <v>0</v>
      </c>
      <c r="M355" s="1" t="s">
        <v>522</v>
      </c>
      <c r="N355" s="1" t="s">
        <v>1500</v>
      </c>
      <c r="P355" s="3"/>
      <c r="Q355" s="3"/>
      <c r="R355" s="3"/>
      <c r="S355" s="1">
        <v>13285.0</v>
      </c>
      <c r="T355" s="1" t="s">
        <v>104</v>
      </c>
      <c r="U355" s="3"/>
      <c r="V355" s="3"/>
      <c r="W355" s="1" t="s">
        <v>105</v>
      </c>
      <c r="X355" s="3"/>
      <c r="Y355" s="1" t="s">
        <v>106</v>
      </c>
      <c r="Z355" s="3"/>
      <c r="AA355" s="1" t="b">
        <v>0</v>
      </c>
      <c r="AB355" s="1" t="b">
        <v>0</v>
      </c>
      <c r="AC355" s="1" t="b">
        <v>0</v>
      </c>
      <c r="AD355" s="1" t="b">
        <v>1</v>
      </c>
      <c r="AE355" s="1" t="b">
        <v>1</v>
      </c>
      <c r="AF355" s="3"/>
      <c r="AG355" s="3"/>
      <c r="AH355" s="3"/>
      <c r="AI355" s="3"/>
      <c r="AJ355" s="2">
        <v>46057.58068287037</v>
      </c>
      <c r="AK355" s="2">
        <v>46058.58107638889</v>
      </c>
      <c r="AL355" s="2">
        <v>46057.58068287037</v>
      </c>
      <c r="AM355" s="2">
        <v>46057.58069444444</v>
      </c>
      <c r="AN355" s="2">
        <v>46057.58101851852</v>
      </c>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5">
        <v>5.0</v>
      </c>
      <c r="CR355" s="4" t="s">
        <v>1501</v>
      </c>
    </row>
    <row r="356">
      <c r="A356" s="1" t="s">
        <v>1502</v>
      </c>
      <c r="B356" s="2">
        <v>46057.56171296296</v>
      </c>
      <c r="C356" s="1" t="str">
        <f t="array" ref="C356">INDEX('User data'!E:E, MATCH(E356, 'User data'!B:B, 0))</f>
        <v>닥터블릿헬스케어 주식회사</v>
      </c>
      <c r="D356" s="1" t="str">
        <f t="array" ref="D356">INDEX('User data'!F:F, MATCH(C356, 'User data'!E:E, 0))</f>
        <v>382-88-01869</v>
      </c>
      <c r="E356" s="1" t="s">
        <v>1503</v>
      </c>
      <c r="F356" s="3"/>
      <c r="G356" s="3"/>
      <c r="H356" s="3"/>
      <c r="I356" s="1" t="s">
        <v>1504</v>
      </c>
      <c r="J356" s="1" t="s">
        <v>100</v>
      </c>
      <c r="K356" s="1" t="s">
        <v>173</v>
      </c>
      <c r="L356" s="1" t="b">
        <v>0</v>
      </c>
      <c r="M356" s="3"/>
      <c r="N356" s="1" t="s">
        <v>1505</v>
      </c>
      <c r="O356" s="1">
        <v>574085.0</v>
      </c>
      <c r="P356" s="1">
        <v>574085.0</v>
      </c>
      <c r="Q356" s="1">
        <v>574085.0</v>
      </c>
      <c r="R356" s="1">
        <v>574085.0</v>
      </c>
      <c r="S356" s="3"/>
      <c r="T356" s="1" t="s">
        <v>175</v>
      </c>
      <c r="U356" s="1" t="s">
        <v>175</v>
      </c>
      <c r="V356" s="3"/>
      <c r="W356" s="1" t="s">
        <v>118</v>
      </c>
      <c r="X356" s="3"/>
      <c r="Y356" s="1" t="s">
        <v>119</v>
      </c>
      <c r="Z356" s="3"/>
      <c r="AA356" s="1" t="b">
        <v>1</v>
      </c>
      <c r="AB356" s="1" t="b">
        <v>0</v>
      </c>
      <c r="AC356" s="1" t="b">
        <v>0</v>
      </c>
      <c r="AD356" s="1" t="b">
        <v>0</v>
      </c>
      <c r="AE356" s="1" t="b">
        <v>0</v>
      </c>
      <c r="AF356" s="5">
        <v>1.0</v>
      </c>
      <c r="AG356" s="3"/>
      <c r="AH356" s="3"/>
      <c r="AI356" s="3"/>
      <c r="AJ356" s="2">
        <v>46050.61418981481</v>
      </c>
      <c r="AK356" s="2">
        <v>46057.79709490741</v>
      </c>
      <c r="AM356" s="2">
        <v>46057.56171296296</v>
      </c>
      <c r="AO356" s="3"/>
      <c r="AP356" s="3"/>
      <c r="AQ356" s="3"/>
      <c r="AR356" s="3"/>
      <c r="AS356" s="3"/>
      <c r="AT356" s="2">
        <v>46057.56171296296</v>
      </c>
      <c r="AU356" s="2">
        <v>46057.56171296296</v>
      </c>
      <c r="AW356" s="3"/>
      <c r="AX356" s="2">
        <v>46050.61418981481</v>
      </c>
      <c r="AY356" s="2">
        <v>46057.56171296296</v>
      </c>
      <c r="AZ356" s="2">
        <v>46057.57399305556</v>
      </c>
      <c r="BA356" s="2">
        <v>46057.57399305556</v>
      </c>
      <c r="BC356" s="2">
        <v>46057.75541666667</v>
      </c>
      <c r="BD356" s="2">
        <v>46057.75541666667</v>
      </c>
      <c r="BE356" s="5">
        <v>1061.0</v>
      </c>
      <c r="BF356" s="3"/>
      <c r="BG356" s="5">
        <v>1061.0</v>
      </c>
      <c r="BH356" s="3"/>
      <c r="BI356" s="3"/>
      <c r="BJ356" s="3"/>
      <c r="BK356" s="3"/>
      <c r="BL356" s="3"/>
      <c r="BM356" s="3"/>
      <c r="BN356" s="3"/>
      <c r="BO356" s="5">
        <v>1061.0</v>
      </c>
      <c r="BP356" s="5">
        <v>993.0</v>
      </c>
      <c r="BQ356" s="5">
        <v>1061.0</v>
      </c>
      <c r="BR356" s="5">
        <v>993.0</v>
      </c>
      <c r="BS356" s="5">
        <v>601327.0</v>
      </c>
      <c r="BT356" s="5">
        <v>104527.0</v>
      </c>
      <c r="BU356" s="5">
        <v>1061.0</v>
      </c>
      <c r="BV356" s="5">
        <v>993.0</v>
      </c>
      <c r="BW356" s="5">
        <v>1061.0</v>
      </c>
      <c r="BX356" s="5">
        <v>993.0</v>
      </c>
      <c r="BY356" s="5">
        <v>16736.0</v>
      </c>
      <c r="BZ356" s="5">
        <v>12600.0</v>
      </c>
      <c r="CA356" s="5">
        <v>16736.0</v>
      </c>
      <c r="CB356" s="5">
        <v>12600.0</v>
      </c>
      <c r="CC356" s="5">
        <v>16736.0</v>
      </c>
      <c r="CD356" s="5">
        <v>12600.0</v>
      </c>
      <c r="CE356" s="5">
        <v>617001.0</v>
      </c>
      <c r="CF356" s="5">
        <v>116133.0</v>
      </c>
      <c r="CG356" s="5">
        <v>16736.0</v>
      </c>
      <c r="CH356" s="5">
        <v>12600.0</v>
      </c>
      <c r="CI356" s="5">
        <v>16736.0</v>
      </c>
      <c r="CJ356" s="5">
        <v>12600.0</v>
      </c>
      <c r="CK356" s="5">
        <v>16736.0</v>
      </c>
      <c r="CL356" s="5">
        <v>12600.0</v>
      </c>
      <c r="CM356" s="5">
        <v>16736.0</v>
      </c>
      <c r="CN356" s="5">
        <v>12600.0</v>
      </c>
      <c r="CO356" s="3"/>
      <c r="CP356" s="3"/>
      <c r="CQ356" s="3"/>
      <c r="CR356" s="4" t="s">
        <v>1506</v>
      </c>
    </row>
    <row r="357">
      <c r="A357" s="1" t="s">
        <v>1507</v>
      </c>
      <c r="B357" s="2">
        <v>46057.54313657407</v>
      </c>
      <c r="C357" s="1" t="str">
        <f t="array" ref="C357">INDEX('User data'!E:E, MATCH(E357, 'User data'!B:B, 0))</f>
        <v>주식회사 씨앤디</v>
      </c>
      <c r="D357" s="1" t="str">
        <f t="array" ref="D357">INDEX('User data'!F:F, MATCH(C357, 'User data'!E:E, 0))</f>
        <v>858-87-01942</v>
      </c>
      <c r="E357" s="1" t="s">
        <v>1508</v>
      </c>
      <c r="F357" s="3"/>
      <c r="G357" s="1" t="s">
        <v>1509</v>
      </c>
      <c r="I357" s="1" t="s">
        <v>1510</v>
      </c>
      <c r="J357" s="1" t="s">
        <v>100</v>
      </c>
      <c r="K357" s="1" t="s">
        <v>101</v>
      </c>
      <c r="L357" s="1" t="b">
        <v>0</v>
      </c>
      <c r="M357" s="4" t="s">
        <v>102</v>
      </c>
      <c r="N357" s="1" t="s">
        <v>1511</v>
      </c>
      <c r="O357" s="1">
        <v>574085.0</v>
      </c>
      <c r="P357" s="1">
        <v>574085.0</v>
      </c>
      <c r="Q357" s="1">
        <v>574085.0</v>
      </c>
      <c r="R357" s="1" t="s">
        <v>145</v>
      </c>
      <c r="S357" s="1">
        <v>13285.0</v>
      </c>
      <c r="T357" s="1" t="s">
        <v>104</v>
      </c>
      <c r="U357" s="3"/>
      <c r="V357" s="3"/>
      <c r="W357" s="1" t="s">
        <v>118</v>
      </c>
      <c r="X357" s="3"/>
      <c r="Y357" s="1" t="s">
        <v>119</v>
      </c>
      <c r="Z357" s="3"/>
      <c r="AA357" s="1" t="b">
        <v>1</v>
      </c>
      <c r="AB357" s="1" t="b">
        <v>0</v>
      </c>
      <c r="AC357" s="1" t="b">
        <v>0</v>
      </c>
      <c r="AD357" s="1" t="b">
        <v>1</v>
      </c>
      <c r="AE357" s="1" t="b">
        <v>0</v>
      </c>
      <c r="AF357" s="5">
        <v>2.0</v>
      </c>
      <c r="AG357" s="5">
        <v>1.0</v>
      </c>
      <c r="AH357" s="3"/>
      <c r="AI357" s="3"/>
      <c r="AJ357" s="2">
        <v>46057.54222222222</v>
      </c>
      <c r="AK357" s="2">
        <v>46058.644594907404</v>
      </c>
      <c r="AL357" s="2">
        <v>46057.54222222222</v>
      </c>
      <c r="AM357" s="2">
        <v>46057.54224537037</v>
      </c>
      <c r="AO357" s="3"/>
      <c r="AP357" s="2">
        <v>46057.542604166665</v>
      </c>
      <c r="AQ357" s="2">
        <v>46057.54313657407</v>
      </c>
      <c r="AS357" s="2">
        <v>46057.54314814815</v>
      </c>
      <c r="AT357" s="2">
        <v>46057.54313657407</v>
      </c>
      <c r="AU357" s="2">
        <v>46058.6028125</v>
      </c>
      <c r="AW357" s="3"/>
      <c r="AX357" s="2">
        <v>46057.54314814815</v>
      </c>
      <c r="AY357" s="2">
        <v>46057.54314814815</v>
      </c>
      <c r="AZ357" s="2">
        <v>46057.581400462965</v>
      </c>
      <c r="BA357" s="2">
        <v>46058.60288194445</v>
      </c>
      <c r="BB357" s="2">
        <v>46057.60329861111</v>
      </c>
      <c r="BC357" s="2">
        <v>46058.60291666666</v>
      </c>
      <c r="BD357" s="2">
        <v>46058.60291666666</v>
      </c>
      <c r="BE357" s="5">
        <v>3313.0</v>
      </c>
      <c r="BF357" s="5">
        <v>6.0</v>
      </c>
      <c r="BG357" s="5">
        <v>1656.0</v>
      </c>
      <c r="BH357" s="5">
        <v>6.0</v>
      </c>
      <c r="BI357" s="5">
        <v>86358.0</v>
      </c>
      <c r="BJ357" s="5">
        <v>21558.0</v>
      </c>
      <c r="BK357" s="5">
        <v>1.0</v>
      </c>
      <c r="BL357" s="5">
        <v>0.0</v>
      </c>
      <c r="BM357" s="5">
        <v>1.0</v>
      </c>
      <c r="BN357" s="5">
        <v>0.0</v>
      </c>
      <c r="BO357" s="5">
        <v>3306.0</v>
      </c>
      <c r="BP357" s="5">
        <v>1633.0</v>
      </c>
      <c r="BQ357" s="5">
        <v>3382.0</v>
      </c>
      <c r="BR357" s="5">
        <v>1633.0</v>
      </c>
      <c r="BS357" s="5">
        <v>3305.0</v>
      </c>
      <c r="BT357" s="5">
        <v>1633.0</v>
      </c>
      <c r="BU357" s="5">
        <v>3305.0</v>
      </c>
      <c r="BV357" s="5">
        <v>1633.0</v>
      </c>
      <c r="BW357" s="5">
        <v>3306.0</v>
      </c>
      <c r="BX357" s="5">
        <v>1633.0</v>
      </c>
      <c r="BY357" s="5">
        <v>91565.0</v>
      </c>
      <c r="BZ357" s="5">
        <v>25092.0</v>
      </c>
      <c r="CA357" s="5">
        <v>91565.0</v>
      </c>
      <c r="CB357" s="5">
        <v>25092.0</v>
      </c>
      <c r="CC357" s="5">
        <v>91642.0</v>
      </c>
      <c r="CD357" s="5">
        <v>25092.0</v>
      </c>
      <c r="CE357" s="5">
        <v>91564.0</v>
      </c>
      <c r="CF357" s="5">
        <v>25092.0</v>
      </c>
      <c r="CG357" s="5">
        <v>91564.0</v>
      </c>
      <c r="CH357" s="5">
        <v>25092.0</v>
      </c>
      <c r="CI357" s="5">
        <v>91565.0</v>
      </c>
      <c r="CJ357" s="5">
        <v>25092.0</v>
      </c>
      <c r="CK357" s="5">
        <v>5206.0</v>
      </c>
      <c r="CL357" s="5">
        <v>3534.0</v>
      </c>
      <c r="CM357" s="5">
        <v>5206.0</v>
      </c>
      <c r="CN357" s="5">
        <v>3534.0</v>
      </c>
      <c r="CO357" s="5">
        <v>33.0</v>
      </c>
      <c r="CP357" s="3"/>
      <c r="CQ357" s="3"/>
      <c r="CR357" s="4" t="s">
        <v>1512</v>
      </c>
    </row>
    <row r="358">
      <c r="A358" s="1" t="s">
        <v>1513</v>
      </c>
      <c r="B358" s="2">
        <v>46057.52694444444</v>
      </c>
      <c r="C358" s="1" t="str">
        <f t="array" ref="C358">INDEX('User data'!E:E, MATCH(E358, 'User data'!B:B, 0))</f>
        <v>주식회사 클린미션</v>
      </c>
      <c r="D358" s="1" t="str">
        <f t="array" ref="D358">INDEX('User data'!F:F, MATCH(C358, 'User data'!E:E, 0))</f>
        <v>799-86-03789</v>
      </c>
      <c r="E358" s="1" t="s">
        <v>1514</v>
      </c>
      <c r="F358" s="3"/>
      <c r="G358" s="3"/>
      <c r="H358" s="3"/>
      <c r="I358" s="1" t="s">
        <v>115</v>
      </c>
      <c r="J358" s="1" t="s">
        <v>100</v>
      </c>
      <c r="K358" s="1" t="s">
        <v>173</v>
      </c>
      <c r="L358" s="1" t="b">
        <v>0</v>
      </c>
      <c r="M358" s="3"/>
      <c r="N358" s="1" t="s">
        <v>1515</v>
      </c>
      <c r="O358" s="1">
        <v>594863.0</v>
      </c>
      <c r="P358" s="1">
        <v>594863.0</v>
      </c>
      <c r="Q358" s="1">
        <v>594863.0</v>
      </c>
      <c r="R358" s="1" t="s">
        <v>877</v>
      </c>
      <c r="T358" s="1" t="s">
        <v>175</v>
      </c>
      <c r="U358" s="1" t="s">
        <v>175</v>
      </c>
      <c r="V358" s="3"/>
      <c r="W358" s="1" t="s">
        <v>118</v>
      </c>
      <c r="X358" s="3"/>
      <c r="Y358" s="1" t="s">
        <v>119</v>
      </c>
      <c r="Z358" s="3"/>
      <c r="AA358" s="1" t="b">
        <v>1</v>
      </c>
      <c r="AB358" s="1" t="b">
        <v>0</v>
      </c>
      <c r="AC358" s="1" t="b">
        <v>0</v>
      </c>
      <c r="AD358" s="1" t="b">
        <v>0</v>
      </c>
      <c r="AE358" s="1" t="b">
        <v>0</v>
      </c>
      <c r="AF358" s="5">
        <v>1.0</v>
      </c>
      <c r="AG358" s="3"/>
      <c r="AH358" s="3"/>
      <c r="AI358" s="3"/>
      <c r="AJ358" s="2">
        <v>46057.41694444444</v>
      </c>
      <c r="AK358" s="2">
        <v>46058.46270833333</v>
      </c>
      <c r="AM358" s="2">
        <v>46057.52694444444</v>
      </c>
      <c r="AO358" s="3"/>
      <c r="AP358" s="3"/>
      <c r="AQ358" s="3"/>
      <c r="AR358" s="3"/>
      <c r="AS358" s="3"/>
      <c r="AT358" s="2">
        <v>46057.52694444444</v>
      </c>
      <c r="AU358" s="2">
        <v>46057.52694444444</v>
      </c>
      <c r="AW358" s="3"/>
      <c r="AX358" s="2">
        <v>46057.41694444444</v>
      </c>
      <c r="AY358" s="2">
        <v>46057.52694444444</v>
      </c>
      <c r="AZ358" s="2">
        <v>46057.597858796296</v>
      </c>
      <c r="BA358" s="2">
        <v>46057.597858796296</v>
      </c>
      <c r="BC358" s="2">
        <v>46058.42103009259</v>
      </c>
      <c r="BD358" s="2">
        <v>46058.42103009259</v>
      </c>
      <c r="BE358" s="5">
        <v>6126.0</v>
      </c>
      <c r="BF358" s="3"/>
      <c r="BG358" s="5">
        <v>6126.0</v>
      </c>
      <c r="BH358" s="3"/>
      <c r="BI358" s="3"/>
      <c r="BJ358" s="3"/>
      <c r="BK358" s="3"/>
      <c r="BL358" s="3"/>
      <c r="BM358" s="3"/>
      <c r="BN358" s="3"/>
      <c r="BO358" s="5">
        <v>6126.0</v>
      </c>
      <c r="BP358" s="5">
        <v>3055.0</v>
      </c>
      <c r="BQ358" s="5">
        <v>6126.0</v>
      </c>
      <c r="BR358" s="5">
        <v>3055.0</v>
      </c>
      <c r="BS358" s="5">
        <v>15630.0</v>
      </c>
      <c r="BT358" s="5">
        <v>12030.0</v>
      </c>
      <c r="BU358" s="5">
        <v>6126.0</v>
      </c>
      <c r="BV358" s="5">
        <v>3055.0</v>
      </c>
      <c r="BW358" s="5">
        <v>6126.0</v>
      </c>
      <c r="BX358" s="5">
        <v>3055.0</v>
      </c>
      <c r="BY358" s="5">
        <v>77248.0</v>
      </c>
      <c r="BZ358" s="5">
        <v>12977.0</v>
      </c>
      <c r="CA358" s="5">
        <v>77248.0</v>
      </c>
      <c r="CB358" s="5">
        <v>12977.0</v>
      </c>
      <c r="CC358" s="5">
        <v>77248.0</v>
      </c>
      <c r="CD358" s="5">
        <v>12977.0</v>
      </c>
      <c r="CE358" s="5">
        <v>86752.0</v>
      </c>
      <c r="CF358" s="5">
        <v>21952.0</v>
      </c>
      <c r="CG358" s="5">
        <v>77248.0</v>
      </c>
      <c r="CH358" s="5">
        <v>12977.0</v>
      </c>
      <c r="CI358" s="5">
        <v>77248.0</v>
      </c>
      <c r="CJ358" s="5">
        <v>12977.0</v>
      </c>
      <c r="CK358" s="5">
        <v>77248.0</v>
      </c>
      <c r="CL358" s="5">
        <v>12977.0</v>
      </c>
      <c r="CM358" s="5">
        <v>77248.0</v>
      </c>
      <c r="CN358" s="5">
        <v>12977.0</v>
      </c>
      <c r="CO358" s="3"/>
      <c r="CP358" s="3"/>
      <c r="CQ358" s="3"/>
      <c r="CR358" s="4" t="s">
        <v>1516</v>
      </c>
    </row>
    <row r="359">
      <c r="A359" s="1" t="s">
        <v>1517</v>
      </c>
      <c r="B359" s="2">
        <v>46057.45349537037</v>
      </c>
      <c r="C359" s="1" t="str">
        <f t="array" ref="C359">INDEX('User data'!E:E, MATCH(E359, 'User data'!B:B, 0))</f>
        <v>주식회사 푸딘코</v>
      </c>
      <c r="D359" s="1" t="str">
        <f t="array" ref="D359">INDEX('User data'!F:F, MATCH(C359, 'User data'!E:E, 0))</f>
        <v>405-88-01430</v>
      </c>
      <c r="E359" s="1" t="s">
        <v>1518</v>
      </c>
      <c r="F359" s="3"/>
      <c r="G359" s="3"/>
      <c r="H359" s="3"/>
      <c r="I359" s="1" t="s">
        <v>115</v>
      </c>
      <c r="J359" s="1" t="s">
        <v>100</v>
      </c>
      <c r="K359" s="1" t="s">
        <v>101</v>
      </c>
      <c r="L359" s="1" t="b">
        <v>0</v>
      </c>
      <c r="M359" s="4" t="s">
        <v>102</v>
      </c>
      <c r="N359" s="1" t="s">
        <v>1519</v>
      </c>
      <c r="O359" s="1">
        <v>574085.0</v>
      </c>
      <c r="P359" s="1">
        <v>574085.0</v>
      </c>
      <c r="Q359" s="1">
        <v>574085.0</v>
      </c>
      <c r="R359" s="1" t="s">
        <v>1520</v>
      </c>
      <c r="S359" s="1">
        <v>13285.0</v>
      </c>
      <c r="T359" s="1" t="s">
        <v>104</v>
      </c>
      <c r="U359" s="3"/>
      <c r="V359" s="3"/>
      <c r="W359" s="1" t="s">
        <v>118</v>
      </c>
      <c r="X359" s="3"/>
      <c r="Y359" s="1" t="s">
        <v>119</v>
      </c>
      <c r="Z359" s="3"/>
      <c r="AA359" s="1" t="b">
        <v>1</v>
      </c>
      <c r="AB359" s="1" t="b">
        <v>0</v>
      </c>
      <c r="AC359" s="1" t="b">
        <v>0</v>
      </c>
      <c r="AD359" s="1" t="b">
        <v>1</v>
      </c>
      <c r="AE359" s="1" t="b">
        <v>1</v>
      </c>
      <c r="AF359" s="5">
        <v>4.0</v>
      </c>
      <c r="AG359" s="5">
        <v>3.0</v>
      </c>
      <c r="AH359" s="3"/>
      <c r="AI359" s="3"/>
      <c r="AJ359" s="2">
        <v>46057.450833333336</v>
      </c>
      <c r="AK359" s="2">
        <v>46057.80384259259</v>
      </c>
      <c r="AL359" s="2">
        <v>46057.450833333336</v>
      </c>
      <c r="AM359" s="2">
        <v>46057.45085648148</v>
      </c>
      <c r="AN359" s="2">
        <v>46057.45349537037</v>
      </c>
      <c r="AO359" s="2">
        <v>46057.453518518516</v>
      </c>
      <c r="AP359" s="2">
        <v>46057.453518518516</v>
      </c>
      <c r="AQ359" s="2">
        <v>46057.453518518516</v>
      </c>
      <c r="AS359" s="2">
        <v>46057.45355324074</v>
      </c>
      <c r="AT359" s="2">
        <v>46057.453518518516</v>
      </c>
      <c r="AU359" s="2">
        <v>46057.45355324074</v>
      </c>
      <c r="AW359" s="3"/>
      <c r="AX359" s="2">
        <v>46057.45355324074</v>
      </c>
      <c r="AY359" s="2">
        <v>46057.45355324074</v>
      </c>
      <c r="AZ359" s="2">
        <v>46057.45398148148</v>
      </c>
      <c r="BA359" s="2">
        <v>46057.76212962963</v>
      </c>
      <c r="BC359" s="2">
        <v>46057.76216435185</v>
      </c>
      <c r="BD359" s="2">
        <v>46057.76216435185</v>
      </c>
      <c r="BE359" s="5">
        <v>12970.0</v>
      </c>
      <c r="BF359" s="5">
        <v>205.0</v>
      </c>
      <c r="BG359" s="5">
        <v>3242.0</v>
      </c>
      <c r="BH359" s="5">
        <v>68.0</v>
      </c>
      <c r="BI359" s="3"/>
      <c r="BJ359" s="3"/>
      <c r="BK359" s="5">
        <v>2.0</v>
      </c>
      <c r="BL359" s="5">
        <v>2.0</v>
      </c>
      <c r="BM359" s="5">
        <v>5.0</v>
      </c>
      <c r="BN359" s="5">
        <v>5.0</v>
      </c>
      <c r="BO359" s="5">
        <v>42.0</v>
      </c>
      <c r="BP359" s="5">
        <v>42.0</v>
      </c>
      <c r="BQ359" s="5">
        <v>269.0</v>
      </c>
      <c r="BR359" s="5">
        <v>269.0</v>
      </c>
      <c r="BS359" s="5">
        <v>37.0</v>
      </c>
      <c r="BT359" s="5">
        <v>37.0</v>
      </c>
      <c r="BU359" s="5">
        <v>36.0</v>
      </c>
      <c r="BV359" s="5">
        <v>36.0</v>
      </c>
      <c r="BW359" s="5">
        <v>39.0</v>
      </c>
      <c r="BX359" s="5">
        <v>39.0</v>
      </c>
      <c r="BY359" s="5">
        <v>26669.0</v>
      </c>
      <c r="BZ359" s="5">
        <v>18417.0</v>
      </c>
      <c r="CA359" s="5">
        <v>26669.0</v>
      </c>
      <c r="CB359" s="5">
        <v>18417.0</v>
      </c>
      <c r="CC359" s="5">
        <v>26896.0</v>
      </c>
      <c r="CD359" s="5">
        <v>18645.0</v>
      </c>
      <c r="CE359" s="5">
        <v>26664.0</v>
      </c>
      <c r="CF359" s="5">
        <v>18412.0</v>
      </c>
      <c r="CG359" s="5">
        <v>26663.0</v>
      </c>
      <c r="CH359" s="5">
        <v>18412.0</v>
      </c>
      <c r="CI359" s="5">
        <v>26666.0</v>
      </c>
      <c r="CJ359" s="5">
        <v>18415.0</v>
      </c>
      <c r="CK359" s="5">
        <v>26663.0</v>
      </c>
      <c r="CL359" s="5">
        <v>18412.0</v>
      </c>
      <c r="CM359" s="5">
        <v>26663.0</v>
      </c>
      <c r="CN359" s="5">
        <v>18412.0</v>
      </c>
      <c r="CO359" s="5">
        <v>232.0</v>
      </c>
      <c r="CP359" s="5">
        <v>2.0</v>
      </c>
      <c r="CQ359" s="3"/>
      <c r="CR359" s="4" t="s">
        <v>1521</v>
      </c>
    </row>
    <row r="360">
      <c r="A360" s="1" t="s">
        <v>1522</v>
      </c>
      <c r="B360" s="2">
        <v>46057.436215277776</v>
      </c>
      <c r="C360" s="1" t="str">
        <f t="array" ref="C360">INDEX('User data'!E:E, MATCH(E360, 'User data'!B:B, 0))</f>
        <v>주식회사 디에프코퍼레이션</v>
      </c>
      <c r="D360" s="1" t="str">
        <f t="array" ref="D360">INDEX('User data'!F:F, MATCH(C360, 'User data'!E:E, 0))</f>
        <v>808-86-00446</v>
      </c>
      <c r="E360" s="1" t="s">
        <v>248</v>
      </c>
      <c r="F360" s="3"/>
      <c r="G360" s="3"/>
      <c r="H360" s="3"/>
      <c r="I360" s="1" t="s">
        <v>624</v>
      </c>
      <c r="J360" s="1" t="s">
        <v>100</v>
      </c>
      <c r="K360" s="1" t="s">
        <v>101</v>
      </c>
      <c r="L360" s="1" t="b">
        <v>0</v>
      </c>
      <c r="M360" s="4" t="s">
        <v>102</v>
      </c>
      <c r="N360" s="1" t="s">
        <v>249</v>
      </c>
      <c r="O360" s="1">
        <v>607950.0</v>
      </c>
      <c r="P360" s="1">
        <v>607950.0</v>
      </c>
      <c r="Q360" s="1">
        <v>607950.0</v>
      </c>
      <c r="R360" s="1" t="s">
        <v>1523</v>
      </c>
      <c r="S360" s="1">
        <v>13287.0</v>
      </c>
      <c r="T360" s="1" t="s">
        <v>104</v>
      </c>
      <c r="U360" s="3"/>
      <c r="V360" s="3"/>
      <c r="W360" s="1" t="s">
        <v>118</v>
      </c>
      <c r="X360" s="3"/>
      <c r="Y360" s="1" t="s">
        <v>119</v>
      </c>
      <c r="Z360" s="3"/>
      <c r="AA360" s="1" t="b">
        <v>1</v>
      </c>
      <c r="AB360" s="1" t="b">
        <v>0</v>
      </c>
      <c r="AC360" s="1" t="b">
        <v>0</v>
      </c>
      <c r="AD360" s="1" t="b">
        <v>1</v>
      </c>
      <c r="AE360" s="1" t="b">
        <v>0</v>
      </c>
      <c r="AF360" s="5">
        <v>12.0</v>
      </c>
      <c r="AG360" s="5">
        <v>12.0</v>
      </c>
      <c r="AH360" s="3"/>
      <c r="AI360" s="3"/>
      <c r="AJ360" s="2">
        <v>46056.506064814814</v>
      </c>
      <c r="AK360" s="2">
        <v>46057.685636574075</v>
      </c>
      <c r="AL360" s="2">
        <v>46056.506064814814</v>
      </c>
      <c r="AM360" s="2">
        <v>46056.50608796296</v>
      </c>
      <c r="AO360" s="3"/>
      <c r="AP360" s="2">
        <v>46056.5062962963</v>
      </c>
      <c r="AR360" s="3"/>
      <c r="AS360" s="3"/>
      <c r="AT360" s="2">
        <v>46057.436215277776</v>
      </c>
      <c r="AU360" s="2">
        <v>46057.640185185184</v>
      </c>
      <c r="AW360" s="3"/>
      <c r="AX360" s="2">
        <v>46057.43730324074</v>
      </c>
      <c r="AY360" s="2">
        <v>46057.436215277776</v>
      </c>
      <c r="AZ360" s="2">
        <v>46057.43734953704</v>
      </c>
      <c r="BA360" s="2">
        <v>46057.64056712963</v>
      </c>
      <c r="BB360" s="2">
        <v>46057.602997685186</v>
      </c>
      <c r="BC360" s="2">
        <v>46057.643958333334</v>
      </c>
      <c r="BD360" s="2">
        <v>46057.643958333334</v>
      </c>
      <c r="BE360" s="5">
        <v>9999.0</v>
      </c>
      <c r="BF360" s="5">
        <v>9999.0</v>
      </c>
      <c r="BG360" s="5">
        <v>833.0</v>
      </c>
      <c r="BH360" s="5">
        <v>833.0</v>
      </c>
      <c r="BI360" s="5">
        <v>3213.0</v>
      </c>
      <c r="BJ360" s="5">
        <v>3213.0</v>
      </c>
      <c r="BK360" s="3"/>
      <c r="BL360" s="3"/>
      <c r="BM360" s="5">
        <v>94.0</v>
      </c>
      <c r="BN360" s="5">
        <v>94.0</v>
      </c>
      <c r="BO360" s="5">
        <v>98.0</v>
      </c>
      <c r="BP360" s="5">
        <v>98.0</v>
      </c>
      <c r="BQ360" s="5">
        <v>80461.0</v>
      </c>
      <c r="BR360" s="5">
        <v>15661.0</v>
      </c>
      <c r="BS360" s="5">
        <v>3.0</v>
      </c>
      <c r="BT360" s="5">
        <v>3.0</v>
      </c>
      <c r="BU360" s="5">
        <v>98.0</v>
      </c>
      <c r="BV360" s="5">
        <v>98.0</v>
      </c>
      <c r="BW360" s="5">
        <v>98.0</v>
      </c>
      <c r="BX360" s="5">
        <v>98.0</v>
      </c>
      <c r="BY360" s="5">
        <v>17949.0</v>
      </c>
      <c r="BZ360" s="5">
        <v>14349.0</v>
      </c>
      <c r="CA360" s="5">
        <v>17949.0</v>
      </c>
      <c r="CB360" s="5">
        <v>14349.0</v>
      </c>
      <c r="CC360" s="5">
        <v>98312.0</v>
      </c>
      <c r="CD360" s="5">
        <v>29912.0</v>
      </c>
      <c r="CE360" s="5">
        <v>17855.0</v>
      </c>
      <c r="CF360" s="5">
        <v>14255.0</v>
      </c>
      <c r="CG360" s="5">
        <v>17949.0</v>
      </c>
      <c r="CH360" s="5">
        <v>14349.0</v>
      </c>
      <c r="CI360" s="5">
        <v>17949.0</v>
      </c>
      <c r="CJ360" s="5">
        <v>14349.0</v>
      </c>
      <c r="CK360" s="5">
        <v>14736.0</v>
      </c>
      <c r="CL360" s="5">
        <v>11136.0</v>
      </c>
      <c r="CM360" s="5">
        <v>14736.0</v>
      </c>
      <c r="CN360" s="5">
        <v>11136.0</v>
      </c>
      <c r="CO360" s="5">
        <v>19.0</v>
      </c>
      <c r="CP360" s="3"/>
      <c r="CQ360" s="3"/>
      <c r="CR360" s="4" t="s">
        <v>1524</v>
      </c>
    </row>
    <row r="361">
      <c r="A361" s="1" t="s">
        <v>1525</v>
      </c>
      <c r="B361" s="2">
        <v>46057.41003472222</v>
      </c>
      <c r="C361" s="1" t="str">
        <f t="array" ref="C361">INDEX('User data'!E:E, MATCH(E361, 'User data'!B:B, 0))</f>
        <v>주식회사 한국공간데이터</v>
      </c>
      <c r="D361" s="1" t="str">
        <f t="array" ref="D361">INDEX('User data'!F:F, MATCH(C361, 'User data'!E:E, 0))</f>
        <v>416-87-01054</v>
      </c>
      <c r="E361" s="1" t="s">
        <v>1124</v>
      </c>
      <c r="F361" s="3"/>
      <c r="G361" s="3"/>
      <c r="H361" s="3"/>
      <c r="I361" s="3"/>
      <c r="J361" s="1" t="s">
        <v>100</v>
      </c>
      <c r="K361" s="1" t="s">
        <v>101</v>
      </c>
      <c r="L361" s="1" t="b">
        <v>0</v>
      </c>
      <c r="M361" s="4" t="s">
        <v>102</v>
      </c>
      <c r="N361" s="1" t="s">
        <v>1125</v>
      </c>
      <c r="P361" s="3"/>
      <c r="Q361" s="3"/>
      <c r="R361" s="3"/>
      <c r="S361" s="1">
        <v>13285.0</v>
      </c>
      <c r="T361" s="1" t="s">
        <v>104</v>
      </c>
      <c r="U361" s="3"/>
      <c r="V361" s="3"/>
      <c r="W361" s="1" t="s">
        <v>105</v>
      </c>
      <c r="X361" s="3"/>
      <c r="Y361" s="1" t="s">
        <v>106</v>
      </c>
      <c r="Z361" s="3"/>
      <c r="AA361" s="1" t="b">
        <v>0</v>
      </c>
      <c r="AB361" s="1" t="b">
        <v>0</v>
      </c>
      <c r="AC361" s="1" t="b">
        <v>0</v>
      </c>
      <c r="AD361" s="1" t="b">
        <v>1</v>
      </c>
      <c r="AE361" s="1" t="b">
        <v>1</v>
      </c>
      <c r="AF361" s="3"/>
      <c r="AG361" s="3"/>
      <c r="AH361" s="3"/>
      <c r="AI361" s="3"/>
      <c r="AJ361" s="2">
        <v>46057.40755787037</v>
      </c>
      <c r="AK361" s="2">
        <v>46058.410092592596</v>
      </c>
      <c r="AL361" s="2">
        <v>46057.40755787037</v>
      </c>
      <c r="AM361" s="2">
        <v>46057.40756944445</v>
      </c>
      <c r="AN361" s="2">
        <v>46057.41003472222</v>
      </c>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5">
        <v>3.4</v>
      </c>
      <c r="CR361" s="4" t="s">
        <v>1526</v>
      </c>
    </row>
    <row r="362">
      <c r="A362" s="1" t="s">
        <v>1527</v>
      </c>
      <c r="B362" s="2">
        <v>46057.404375</v>
      </c>
      <c r="C362" s="1" t="str">
        <f t="array" ref="C362">INDEX('User data'!E:E, MATCH(E362, 'User data'!B:B, 0))</f>
        <v>주식회사 두어스 (Doers Corp.)</v>
      </c>
      <c r="D362" s="1" t="str">
        <f t="array" ref="D362">INDEX('User data'!F:F, MATCH(C362, 'User data'!E:E, 0))</f>
        <v>698-81-03138</v>
      </c>
      <c r="E362" s="1" t="s">
        <v>1528</v>
      </c>
      <c r="F362" s="3"/>
      <c r="G362" s="3"/>
      <c r="H362" s="3"/>
      <c r="I362" s="3"/>
      <c r="J362" s="1" t="s">
        <v>100</v>
      </c>
      <c r="K362" s="1" t="s">
        <v>101</v>
      </c>
      <c r="L362" s="1" t="b">
        <v>0</v>
      </c>
      <c r="M362" s="4" t="s">
        <v>102</v>
      </c>
      <c r="N362" s="1" t="s">
        <v>1529</v>
      </c>
      <c r="P362" s="3"/>
      <c r="Q362" s="3"/>
      <c r="R362" s="3"/>
      <c r="S362" s="1">
        <v>13285.0</v>
      </c>
      <c r="T362" s="1" t="s">
        <v>104</v>
      </c>
      <c r="U362" s="3"/>
      <c r="V362" s="3"/>
      <c r="W362" s="1" t="s">
        <v>105</v>
      </c>
      <c r="X362" s="3"/>
      <c r="Y362" s="1" t="s">
        <v>106</v>
      </c>
      <c r="Z362" s="3"/>
      <c r="AA362" s="1" t="b">
        <v>0</v>
      </c>
      <c r="AB362" s="1" t="b">
        <v>0</v>
      </c>
      <c r="AC362" s="1" t="b">
        <v>0</v>
      </c>
      <c r="AD362" s="1" t="b">
        <v>1</v>
      </c>
      <c r="AE362" s="1" t="b">
        <v>1</v>
      </c>
      <c r="AF362" s="3"/>
      <c r="AG362" s="3"/>
      <c r="AH362" s="3"/>
      <c r="AI362" s="3"/>
      <c r="AJ362" s="2">
        <v>46057.40387731481</v>
      </c>
      <c r="AK362" s="2">
        <v>46058.4044212963</v>
      </c>
      <c r="AL362" s="2">
        <v>46057.40387731481</v>
      </c>
      <c r="AM362" s="2">
        <v>46057.40394675926</v>
      </c>
      <c r="AN362" s="2">
        <v>46057.404375</v>
      </c>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5">
        <v>5.0</v>
      </c>
      <c r="CR362" s="4" t="s">
        <v>1530</v>
      </c>
    </row>
    <row r="363">
      <c r="A363" s="1" t="s">
        <v>1531</v>
      </c>
      <c r="B363" s="2">
        <v>46056.8396875</v>
      </c>
      <c r="C363" s="1" t="str">
        <f t="array" ref="C363">INDEX('User data'!E:E, MATCH(E363, 'User data'!B:B, 0))</f>
        <v>캔디드 유한회사</v>
      </c>
      <c r="D363" s="1" t="str">
        <f t="array" ref="D363">INDEX('User data'!F:F, MATCH(C363, 'User data'!E:E, 0))</f>
        <v>717-87-02844</v>
      </c>
      <c r="E363" s="1" t="s">
        <v>334</v>
      </c>
      <c r="F363" s="3"/>
      <c r="G363" s="3"/>
      <c r="H363" s="3"/>
      <c r="I363" s="3"/>
      <c r="J363" s="1" t="s">
        <v>100</v>
      </c>
      <c r="K363" s="1" t="s">
        <v>101</v>
      </c>
      <c r="L363" s="1" t="b">
        <v>0</v>
      </c>
      <c r="M363" s="4" t="s">
        <v>102</v>
      </c>
      <c r="N363" s="1" t="s">
        <v>335</v>
      </c>
      <c r="P363" s="3"/>
      <c r="Q363" s="3"/>
      <c r="R363" s="3"/>
      <c r="S363" s="1">
        <v>13285.0</v>
      </c>
      <c r="T363" s="1" t="s">
        <v>104</v>
      </c>
      <c r="U363" s="3"/>
      <c r="V363" s="3"/>
      <c r="W363" s="1" t="s">
        <v>105</v>
      </c>
      <c r="X363" s="3"/>
      <c r="Y363" s="1" t="s">
        <v>106</v>
      </c>
      <c r="Z363" s="3"/>
      <c r="AA363" s="1" t="b">
        <v>0</v>
      </c>
      <c r="AB363" s="1" t="b">
        <v>0</v>
      </c>
      <c r="AC363" s="1" t="b">
        <v>0</v>
      </c>
      <c r="AD363" s="1" t="b">
        <v>1</v>
      </c>
      <c r="AE363" s="1" t="b">
        <v>1</v>
      </c>
      <c r="AF363" s="3"/>
      <c r="AG363" s="3"/>
      <c r="AH363" s="3"/>
      <c r="AI363" s="3"/>
      <c r="AJ363" s="2">
        <v>46056.839467592596</v>
      </c>
      <c r="AK363" s="2">
        <v>46057.84</v>
      </c>
      <c r="AL363" s="2">
        <v>46056.839467592596</v>
      </c>
      <c r="AM363" s="2">
        <v>46056.839479166665</v>
      </c>
      <c r="AN363" s="2">
        <v>46056.8396875</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5">
        <v>5.0</v>
      </c>
      <c r="CR363" s="4" t="s">
        <v>1532</v>
      </c>
    </row>
    <row r="364">
      <c r="A364" s="1" t="s">
        <v>1533</v>
      </c>
      <c r="B364" s="2">
        <v>46056.78304398148</v>
      </c>
      <c r="C364" s="1" t="str">
        <f t="array" ref="C364">INDEX('User data'!E:E, MATCH(E364, 'User data'!B:B, 0))</f>
        <v>주식회사 클린미션</v>
      </c>
      <c r="D364" s="1" t="str">
        <f t="array" ref="D364">INDEX('User data'!F:F, MATCH(C364, 'User data'!E:E, 0))</f>
        <v>799-86-03789</v>
      </c>
      <c r="E364" s="1" t="s">
        <v>1514</v>
      </c>
      <c r="F364" s="3"/>
      <c r="G364" s="3"/>
      <c r="H364" s="3"/>
      <c r="I364" s="1" t="s">
        <v>258</v>
      </c>
      <c r="J364" s="1" t="s">
        <v>100</v>
      </c>
      <c r="K364" s="1" t="s">
        <v>101</v>
      </c>
      <c r="L364" s="1" t="b">
        <v>0</v>
      </c>
      <c r="M364" s="4" t="s">
        <v>102</v>
      </c>
      <c r="N364" s="1" t="s">
        <v>1515</v>
      </c>
      <c r="O364" s="1">
        <v>594863.0</v>
      </c>
      <c r="P364" s="1">
        <v>594863.0</v>
      </c>
      <c r="Q364" s="1">
        <v>594863.0</v>
      </c>
      <c r="R364" s="1" t="s">
        <v>1022</v>
      </c>
      <c r="S364" s="1">
        <v>13288.0</v>
      </c>
      <c r="T364" s="1" t="s">
        <v>104</v>
      </c>
      <c r="U364" s="3"/>
      <c r="V364" s="3"/>
      <c r="W364" s="1" t="s">
        <v>118</v>
      </c>
      <c r="X364" s="3"/>
      <c r="Y364" s="1" t="s">
        <v>119</v>
      </c>
      <c r="Z364" s="3"/>
      <c r="AA364" s="1" t="b">
        <v>1</v>
      </c>
      <c r="AB364" s="1" t="b">
        <v>0</v>
      </c>
      <c r="AC364" s="1" t="b">
        <v>0</v>
      </c>
      <c r="AD364" s="1" t="b">
        <v>1</v>
      </c>
      <c r="AE364" s="1" t="b">
        <v>0</v>
      </c>
      <c r="AF364" s="5">
        <v>1.0</v>
      </c>
      <c r="AG364" s="3"/>
      <c r="AH364" s="3"/>
      <c r="AI364" s="3"/>
      <c r="AJ364" s="2">
        <v>46056.782638888886</v>
      </c>
      <c r="AK364" s="2">
        <v>46057.61944444444</v>
      </c>
      <c r="AL364" s="2">
        <v>46056.782638888886</v>
      </c>
      <c r="AM364" s="2">
        <v>46056.782685185186</v>
      </c>
      <c r="AO364" s="3"/>
      <c r="AP364" s="2">
        <v>46056.78296296296</v>
      </c>
      <c r="AR364" s="3"/>
      <c r="AS364" s="3"/>
      <c r="AT364" s="2">
        <v>46056.78304398148</v>
      </c>
      <c r="AU364" s="2">
        <v>46056.78304398148</v>
      </c>
      <c r="AW364" s="3"/>
      <c r="AX364" s="2">
        <v>46056.78270833333</v>
      </c>
      <c r="AY364" s="2">
        <v>46056.78304398148</v>
      </c>
      <c r="AZ364" s="2">
        <v>46057.416597222225</v>
      </c>
      <c r="BA364" s="2">
        <v>46057.416597222225</v>
      </c>
      <c r="BC364" s="2">
        <v>46057.57776620371</v>
      </c>
      <c r="BD364" s="2">
        <v>46057.57776620371</v>
      </c>
      <c r="BE364" s="5">
        <v>54738.0</v>
      </c>
      <c r="BF364" s="3"/>
      <c r="BG364" s="5">
        <v>54738.0</v>
      </c>
      <c r="BH364" s="3"/>
      <c r="BI364" s="3"/>
      <c r="BJ364" s="3"/>
      <c r="BK364" s="3"/>
      <c r="BL364" s="3"/>
      <c r="BM364" s="3"/>
      <c r="BN364" s="3"/>
      <c r="BO364" s="5">
        <v>54738.0</v>
      </c>
      <c r="BP364" s="5">
        <v>0.0</v>
      </c>
      <c r="BQ364" s="5">
        <v>54770.0</v>
      </c>
      <c r="BR364" s="5">
        <v>0.0</v>
      </c>
      <c r="BS364" s="5">
        <v>54768.0</v>
      </c>
      <c r="BT364" s="5">
        <v>0.0</v>
      </c>
      <c r="BU364" s="5">
        <v>54738.0</v>
      </c>
      <c r="BV364" s="5">
        <v>0.0</v>
      </c>
      <c r="BW364" s="5">
        <v>54738.0</v>
      </c>
      <c r="BX364" s="5">
        <v>0.0</v>
      </c>
      <c r="BY364" s="5">
        <v>68663.0</v>
      </c>
      <c r="BZ364" s="5">
        <v>10319.0</v>
      </c>
      <c r="CA364" s="5">
        <v>68663.0</v>
      </c>
      <c r="CB364" s="5">
        <v>10319.0</v>
      </c>
      <c r="CC364" s="5">
        <v>68695.0</v>
      </c>
      <c r="CD364" s="5">
        <v>10319.0</v>
      </c>
      <c r="CE364" s="5">
        <v>68693.0</v>
      </c>
      <c r="CF364" s="5">
        <v>10319.0</v>
      </c>
      <c r="CG364" s="5">
        <v>68663.0</v>
      </c>
      <c r="CH364" s="5">
        <v>10319.0</v>
      </c>
      <c r="CI364" s="5">
        <v>68663.0</v>
      </c>
      <c r="CJ364" s="5">
        <v>10319.0</v>
      </c>
      <c r="CK364" s="5">
        <v>68663.0</v>
      </c>
      <c r="CL364" s="5">
        <v>10319.0</v>
      </c>
      <c r="CM364" s="5">
        <v>68663.0</v>
      </c>
      <c r="CN364" s="5">
        <v>10319.0</v>
      </c>
      <c r="CO364" s="5">
        <v>27.0</v>
      </c>
      <c r="CP364" s="3"/>
      <c r="CQ364" s="3"/>
      <c r="CR364" s="4" t="s">
        <v>1534</v>
      </c>
    </row>
    <row r="365">
      <c r="A365" s="1" t="s">
        <v>1535</v>
      </c>
      <c r="B365" s="2">
        <v>46056.75405092593</v>
      </c>
      <c r="C365" s="1" t="str">
        <f t="array" ref="C365">INDEX('User data'!E:E, MATCH(E365, 'User data'!B:B, 0))</f>
        <v>주식회사 테이텀</v>
      </c>
      <c r="D365" s="1" t="str">
        <f t="array" ref="D365">INDEX('User data'!F:F, MATCH(C365, 'User data'!E:E, 0))</f>
        <v>277-81-01840</v>
      </c>
      <c r="E365" s="1" t="s">
        <v>1536</v>
      </c>
      <c r="F365" s="3"/>
      <c r="G365" s="3"/>
      <c r="H365" s="3"/>
      <c r="I365" s="1" t="s">
        <v>1537</v>
      </c>
      <c r="J365" s="1" t="s">
        <v>100</v>
      </c>
      <c r="K365" s="1" t="s">
        <v>101</v>
      </c>
      <c r="L365" s="1" t="b">
        <v>0</v>
      </c>
      <c r="M365" s="4" t="s">
        <v>102</v>
      </c>
      <c r="N365" s="1" t="s">
        <v>1538</v>
      </c>
      <c r="O365" s="1">
        <v>574085.0</v>
      </c>
      <c r="P365" s="1">
        <v>574085.0</v>
      </c>
      <c r="Q365" s="1">
        <v>574085.0</v>
      </c>
      <c r="R365" s="1" t="s">
        <v>145</v>
      </c>
      <c r="S365" s="1">
        <v>13285.0</v>
      </c>
      <c r="T365" s="1" t="s">
        <v>104</v>
      </c>
      <c r="U365" s="3"/>
      <c r="V365" s="3"/>
      <c r="W365" s="1" t="s">
        <v>118</v>
      </c>
      <c r="X365" s="3"/>
      <c r="Y365" s="1" t="s">
        <v>119</v>
      </c>
      <c r="Z365" s="3"/>
      <c r="AA365" s="1" t="b">
        <v>1</v>
      </c>
      <c r="AB365" s="1" t="b">
        <v>0</v>
      </c>
      <c r="AC365" s="1" t="b">
        <v>0</v>
      </c>
      <c r="AD365" s="1" t="b">
        <v>1</v>
      </c>
      <c r="AE365" s="1" t="b">
        <v>0</v>
      </c>
      <c r="AF365" s="5">
        <v>6.0</v>
      </c>
      <c r="AG365" s="5">
        <v>5.0</v>
      </c>
      <c r="AH365" s="3"/>
      <c r="AI365" s="3"/>
      <c r="AJ365" s="2">
        <v>46056.75295138889</v>
      </c>
      <c r="AK365" s="2">
        <v>46057.49858796296</v>
      </c>
      <c r="AL365" s="2">
        <v>46056.75295138889</v>
      </c>
      <c r="AM365" s="2">
        <v>46056.752974537034</v>
      </c>
      <c r="AO365" s="3"/>
      <c r="AP365" s="2">
        <v>46056.75346064815</v>
      </c>
      <c r="AQ365" s="2">
        <v>46056.75405092593</v>
      </c>
      <c r="AS365" s="2">
        <v>46056.7540625</v>
      </c>
      <c r="AT365" s="2">
        <v>46056.75405092593</v>
      </c>
      <c r="AU365" s="2">
        <v>46056.7540625</v>
      </c>
      <c r="AW365" s="3"/>
      <c r="AX365" s="2">
        <v>46056.7540625</v>
      </c>
      <c r="AY365" s="2">
        <v>46056.7540625</v>
      </c>
      <c r="AZ365" s="2">
        <v>46057.41700231482</v>
      </c>
      <c r="BA365" s="2">
        <v>46057.454305555555</v>
      </c>
      <c r="BC365" s="2">
        <v>46057.45690972222</v>
      </c>
      <c r="BD365" s="2">
        <v>46057.45690972222</v>
      </c>
      <c r="BE365" s="5">
        <v>57838.0</v>
      </c>
      <c r="BF365" s="5">
        <v>559.0</v>
      </c>
      <c r="BG365" s="5">
        <v>9639.0</v>
      </c>
      <c r="BH365" s="5">
        <v>111.0</v>
      </c>
      <c r="BI365" s="3"/>
      <c r="BJ365" s="3"/>
      <c r="BK365" s="5">
        <v>1.0</v>
      </c>
      <c r="BL365" s="5">
        <v>0.0</v>
      </c>
      <c r="BM365" s="5">
        <v>1.0</v>
      </c>
      <c r="BN365" s="5">
        <v>0.0</v>
      </c>
      <c r="BO365" s="5">
        <v>57279.0</v>
      </c>
      <c r="BP365" s="5">
        <v>29.0</v>
      </c>
      <c r="BQ365" s="5">
        <v>57371.0</v>
      </c>
      <c r="BR365" s="5">
        <v>29.0</v>
      </c>
      <c r="BS365" s="5">
        <v>57277.0</v>
      </c>
      <c r="BT365" s="5">
        <v>29.0</v>
      </c>
      <c r="BU365" s="5">
        <v>57277.0</v>
      </c>
      <c r="BV365" s="5">
        <v>29.0</v>
      </c>
      <c r="BW365" s="5">
        <v>57279.0</v>
      </c>
      <c r="BX365" s="5">
        <v>29.0</v>
      </c>
      <c r="BY365" s="5">
        <v>60727.0</v>
      </c>
      <c r="BZ365" s="5">
        <v>3477.0</v>
      </c>
      <c r="CA365" s="5">
        <v>60727.0</v>
      </c>
      <c r="CB365" s="5">
        <v>3477.0</v>
      </c>
      <c r="CC365" s="5">
        <v>60820.0</v>
      </c>
      <c r="CD365" s="5">
        <v>3477.0</v>
      </c>
      <c r="CE365" s="5">
        <v>60726.0</v>
      </c>
      <c r="CF365" s="5">
        <v>3477.0</v>
      </c>
      <c r="CG365" s="5">
        <v>60726.0</v>
      </c>
      <c r="CH365" s="5">
        <v>3477.0</v>
      </c>
      <c r="CI365" s="5">
        <v>60727.0</v>
      </c>
      <c r="CJ365" s="5">
        <v>3477.0</v>
      </c>
      <c r="CK365" s="5">
        <v>60726.0</v>
      </c>
      <c r="CL365" s="5">
        <v>3477.0</v>
      </c>
      <c r="CM365" s="5">
        <v>60726.0</v>
      </c>
      <c r="CN365" s="5">
        <v>3477.0</v>
      </c>
      <c r="CO365" s="5">
        <v>43.0</v>
      </c>
      <c r="CP365" s="3"/>
      <c r="CQ365" s="3"/>
      <c r="CR365" s="4" t="s">
        <v>1539</v>
      </c>
    </row>
    <row r="366">
      <c r="A366" s="1" t="s">
        <v>1540</v>
      </c>
      <c r="B366" s="2">
        <v>46056.69049768519</v>
      </c>
      <c r="C366" s="1" t="str">
        <f t="array" ref="C366">INDEX('User data'!E:E, MATCH(E366, 'User data'!B:B, 0))</f>
        <v>주식회사 알리는사람들</v>
      </c>
      <c r="D366" s="1" t="str">
        <f t="array" ref="D366">INDEX('User data'!F:F, MATCH(C366, 'User data'!E:E, 0))</f>
        <v>752-86-00032</v>
      </c>
      <c r="E366" s="1" t="s">
        <v>1541</v>
      </c>
      <c r="F366" s="3"/>
      <c r="G366" s="3"/>
      <c r="H366" s="3"/>
      <c r="I366" s="1" t="s">
        <v>624</v>
      </c>
      <c r="J366" s="1" t="s">
        <v>100</v>
      </c>
      <c r="K366" s="1" t="s">
        <v>101</v>
      </c>
      <c r="L366" s="1" t="b">
        <v>0</v>
      </c>
      <c r="M366" s="4" t="s">
        <v>102</v>
      </c>
      <c r="N366" s="1" t="s">
        <v>1542</v>
      </c>
      <c r="O366" s="1">
        <v>574085.0</v>
      </c>
      <c r="P366" s="1">
        <v>574085.0</v>
      </c>
      <c r="Q366" s="1">
        <v>574085.0</v>
      </c>
      <c r="R366" s="1" t="s">
        <v>1115</v>
      </c>
      <c r="S366" s="1">
        <v>13285.0</v>
      </c>
      <c r="T366" s="1" t="s">
        <v>104</v>
      </c>
      <c r="U366" s="3"/>
      <c r="V366" s="3"/>
      <c r="W366" s="1" t="s">
        <v>118</v>
      </c>
      <c r="X366" s="3"/>
      <c r="Y366" s="1" t="s">
        <v>119</v>
      </c>
      <c r="Z366" s="3"/>
      <c r="AA366" s="1" t="b">
        <v>1</v>
      </c>
      <c r="AB366" s="1" t="b">
        <v>0</v>
      </c>
      <c r="AC366" s="1" t="b">
        <v>0</v>
      </c>
      <c r="AD366" s="1" t="b">
        <v>1</v>
      </c>
      <c r="AE366" s="1" t="b">
        <v>1</v>
      </c>
      <c r="AF366" s="5">
        <v>6.0</v>
      </c>
      <c r="AG366" s="5">
        <v>6.0</v>
      </c>
      <c r="AH366" s="3"/>
      <c r="AI366" s="3"/>
      <c r="AJ366" s="2">
        <v>46056.690034722225</v>
      </c>
      <c r="AK366" s="2">
        <v>46056.741122685184</v>
      </c>
      <c r="AL366" s="2">
        <v>46056.690034722225</v>
      </c>
      <c r="AM366" s="2">
        <v>46056.69005787037</v>
      </c>
      <c r="AN366" s="2">
        <v>46056.69049768519</v>
      </c>
      <c r="AO366" s="2">
        <v>46056.6915625</v>
      </c>
      <c r="AP366" s="2">
        <v>46056.6915625</v>
      </c>
      <c r="AQ366" s="2">
        <v>46056.6915625</v>
      </c>
      <c r="AS366" s="2">
        <v>46056.69157407407</v>
      </c>
      <c r="AT366" s="2">
        <v>46056.6915625</v>
      </c>
      <c r="AU366" s="2">
        <v>46056.69157407407</v>
      </c>
      <c r="AW366" s="3"/>
      <c r="AX366" s="2">
        <v>46056.69157407407</v>
      </c>
      <c r="AY366" s="2">
        <v>46056.69157407407</v>
      </c>
      <c r="AZ366" s="2">
        <v>46056.69196759259</v>
      </c>
      <c r="BA366" s="2">
        <v>46056.69940972222</v>
      </c>
      <c r="BC366" s="2">
        <v>46056.69944444444</v>
      </c>
      <c r="BD366" s="2">
        <v>46056.69944444444</v>
      </c>
      <c r="BE366" s="5">
        <v>516.0</v>
      </c>
      <c r="BF366" s="5">
        <v>516.0</v>
      </c>
      <c r="BG366" s="5">
        <v>86.0</v>
      </c>
      <c r="BH366" s="5">
        <v>86.0</v>
      </c>
      <c r="BI366" s="3"/>
      <c r="BJ366" s="3"/>
      <c r="BK366" s="5">
        <v>0.0</v>
      </c>
      <c r="BL366" s="5">
        <v>0.0</v>
      </c>
      <c r="BM366" s="5">
        <v>93.0</v>
      </c>
      <c r="BN366" s="5">
        <v>93.0</v>
      </c>
      <c r="BO366" s="5">
        <v>127.0</v>
      </c>
      <c r="BP366" s="5">
        <v>127.0</v>
      </c>
      <c r="BQ366" s="5">
        <v>165.0</v>
      </c>
      <c r="BR366" s="5">
        <v>165.0</v>
      </c>
      <c r="BS366" s="5">
        <v>34.0</v>
      </c>
      <c r="BT366" s="5">
        <v>34.0</v>
      </c>
      <c r="BU366" s="5">
        <v>34.0</v>
      </c>
      <c r="BV366" s="5">
        <v>34.0</v>
      </c>
      <c r="BW366" s="5">
        <v>35.0</v>
      </c>
      <c r="BX366" s="5">
        <v>35.0</v>
      </c>
      <c r="BY366" s="5">
        <v>773.0</v>
      </c>
      <c r="BZ366" s="5">
        <v>773.0</v>
      </c>
      <c r="CA366" s="5">
        <v>773.0</v>
      </c>
      <c r="CB366" s="5">
        <v>773.0</v>
      </c>
      <c r="CC366" s="5">
        <v>810.0</v>
      </c>
      <c r="CD366" s="5">
        <v>810.0</v>
      </c>
      <c r="CE366" s="5">
        <v>680.0</v>
      </c>
      <c r="CF366" s="5">
        <v>680.0</v>
      </c>
      <c r="CG366" s="5">
        <v>679.0</v>
      </c>
      <c r="CH366" s="5">
        <v>679.0</v>
      </c>
      <c r="CI366" s="5">
        <v>680.0</v>
      </c>
      <c r="CJ366" s="5">
        <v>680.0</v>
      </c>
      <c r="CK366" s="5">
        <v>679.0</v>
      </c>
      <c r="CL366" s="5">
        <v>679.0</v>
      </c>
      <c r="CM366" s="5">
        <v>679.0</v>
      </c>
      <c r="CN366" s="5">
        <v>679.0</v>
      </c>
      <c r="CO366" s="5">
        <v>132.0</v>
      </c>
      <c r="CP366" s="5">
        <v>92.0</v>
      </c>
      <c r="CQ366" s="3"/>
      <c r="CR366" s="4" t="s">
        <v>1543</v>
      </c>
    </row>
    <row r="367">
      <c r="A367" s="1" t="s">
        <v>1544</v>
      </c>
      <c r="B367" s="2">
        <v>46056.59510416666</v>
      </c>
      <c r="C367" s="1" t="str">
        <f t="array" ref="C367">INDEX('User data'!E:E, MATCH(E367, 'User data'!B:B, 0))</f>
        <v>주식회사 브릿지코드</v>
      </c>
      <c r="D367" s="1" t="str">
        <f t="array" ref="D367">INDEX('User data'!F:F, MATCH(C367, 'User data'!E:E, 0))</f>
        <v>781-81-01811</v>
      </c>
      <c r="E367" s="1" t="s">
        <v>1545</v>
      </c>
      <c r="F367" s="3"/>
      <c r="G367" s="3"/>
      <c r="H367" s="3"/>
      <c r="I367" s="1" t="s">
        <v>258</v>
      </c>
      <c r="J367" s="1" t="s">
        <v>100</v>
      </c>
      <c r="K367" s="1" t="s">
        <v>101</v>
      </c>
      <c r="L367" s="1" t="b">
        <v>0</v>
      </c>
      <c r="M367" s="4" t="s">
        <v>102</v>
      </c>
      <c r="N367" s="1" t="s">
        <v>1546</v>
      </c>
      <c r="O367" s="1">
        <v>594863.0</v>
      </c>
      <c r="P367" s="1">
        <v>594863.0</v>
      </c>
      <c r="Q367" s="1">
        <v>594863.0</v>
      </c>
      <c r="R367" s="1" t="s">
        <v>1547</v>
      </c>
      <c r="S367" s="1">
        <v>13288.0</v>
      </c>
      <c r="T367" s="1" t="s">
        <v>104</v>
      </c>
      <c r="U367" s="3"/>
      <c r="V367" s="3"/>
      <c r="W367" s="1" t="s">
        <v>118</v>
      </c>
      <c r="X367" s="3"/>
      <c r="Y367" s="1" t="s">
        <v>119</v>
      </c>
      <c r="Z367" s="3"/>
      <c r="AA367" s="1" t="b">
        <v>1</v>
      </c>
      <c r="AB367" s="1" t="b">
        <v>0</v>
      </c>
      <c r="AC367" s="1" t="b">
        <v>0</v>
      </c>
      <c r="AD367" s="1" t="b">
        <v>1</v>
      </c>
      <c r="AE367" s="1" t="b">
        <v>0</v>
      </c>
      <c r="AF367" s="5">
        <v>2.0</v>
      </c>
      <c r="AG367" s="5">
        <v>2.0</v>
      </c>
      <c r="AH367" s="3"/>
      <c r="AI367" s="3"/>
      <c r="AJ367" s="2">
        <v>46056.594513888886</v>
      </c>
      <c r="AK367" s="2">
        <v>46056.79709490741</v>
      </c>
      <c r="AL367" s="2">
        <v>46056.594513888886</v>
      </c>
      <c r="AM367" s="2">
        <v>46056.59454861111</v>
      </c>
      <c r="AO367" s="3"/>
      <c r="AP367" s="2">
        <v>46056.59488425926</v>
      </c>
      <c r="AR367" s="3"/>
      <c r="AS367" s="3"/>
      <c r="AT367" s="2">
        <v>46056.59510416666</v>
      </c>
      <c r="AU367" s="2">
        <v>46056.59510416666</v>
      </c>
      <c r="AW367" s="3"/>
      <c r="AX367" s="2">
        <v>46056.59460648148</v>
      </c>
      <c r="AY367" s="2">
        <v>46056.59510416666</v>
      </c>
      <c r="AZ367" s="2">
        <v>46056.59663194444</v>
      </c>
      <c r="BA367" s="2">
        <v>46056.61518518518</v>
      </c>
      <c r="BC367" s="2">
        <v>46056.75541666667</v>
      </c>
      <c r="BD367" s="2">
        <v>46056.75541666667</v>
      </c>
      <c r="BE367" s="5">
        <v>172.0</v>
      </c>
      <c r="BF367" s="5">
        <v>172.0</v>
      </c>
      <c r="BG367" s="5">
        <v>86.0</v>
      </c>
      <c r="BH367" s="5">
        <v>86.0</v>
      </c>
      <c r="BI367" s="3"/>
      <c r="BJ367" s="3"/>
      <c r="BK367" s="3"/>
      <c r="BL367" s="3"/>
      <c r="BM367" s="3"/>
      <c r="BN367" s="3"/>
      <c r="BO367" s="5">
        <v>131.0</v>
      </c>
      <c r="BP367" s="5">
        <v>131.0</v>
      </c>
      <c r="BQ367" s="5">
        <v>179.0</v>
      </c>
      <c r="BR367" s="5">
        <v>179.0</v>
      </c>
      <c r="BS367" s="5">
        <v>174.0</v>
      </c>
      <c r="BT367" s="5">
        <v>174.0</v>
      </c>
      <c r="BU367" s="5">
        <v>131.0</v>
      </c>
      <c r="BV367" s="5">
        <v>131.0</v>
      </c>
      <c r="BW367" s="5">
        <v>131.0</v>
      </c>
      <c r="BX367" s="5">
        <v>131.0</v>
      </c>
      <c r="BY367" s="5">
        <v>13850.0</v>
      </c>
      <c r="BZ367" s="5">
        <v>9782.0</v>
      </c>
      <c r="CA367" s="5">
        <v>13850.0</v>
      </c>
      <c r="CB367" s="5">
        <v>9782.0</v>
      </c>
      <c r="CC367" s="5">
        <v>13898.0</v>
      </c>
      <c r="CD367" s="5">
        <v>9830.0</v>
      </c>
      <c r="CE367" s="5">
        <v>13893.0</v>
      </c>
      <c r="CF367" s="5">
        <v>9825.0</v>
      </c>
      <c r="CG367" s="5">
        <v>13850.0</v>
      </c>
      <c r="CH367" s="5">
        <v>9782.0</v>
      </c>
      <c r="CI367" s="5">
        <v>13850.0</v>
      </c>
      <c r="CJ367" s="5">
        <v>9782.0</v>
      </c>
      <c r="CK367" s="5">
        <v>13850.0</v>
      </c>
      <c r="CL367" s="5">
        <v>9782.0</v>
      </c>
      <c r="CM367" s="5">
        <v>13850.0</v>
      </c>
      <c r="CN367" s="5">
        <v>9782.0</v>
      </c>
      <c r="CO367" s="5">
        <v>31.0</v>
      </c>
      <c r="CP367" s="3"/>
      <c r="CQ367" s="3"/>
      <c r="CR367" s="4" t="s">
        <v>1548</v>
      </c>
    </row>
    <row r="368">
      <c r="A368" s="1" t="s">
        <v>1549</v>
      </c>
      <c r="B368" s="2">
        <v>46056.55131944444</v>
      </c>
      <c r="C368" s="1" t="str">
        <f t="array" ref="C368">INDEX('User data'!E:E, MATCH(E368, 'User data'!B:B, 0))</f>
        <v>주식회사 엠엑스엔코리아</v>
      </c>
      <c r="D368" s="1" t="str">
        <f t="array" ref="D368">INDEX('User data'!F:F, MATCH(C368, 'User data'!E:E, 0))</f>
        <v>703-88-03026</v>
      </c>
      <c r="E368" s="1" t="s">
        <v>1550</v>
      </c>
      <c r="F368" s="3"/>
      <c r="G368" s="1" t="s">
        <v>1551</v>
      </c>
      <c r="H368" s="3"/>
      <c r="I368" s="1" t="s">
        <v>1114</v>
      </c>
      <c r="J368" s="1" t="s">
        <v>100</v>
      </c>
      <c r="K368" s="1" t="s">
        <v>101</v>
      </c>
      <c r="L368" s="1" t="b">
        <v>0</v>
      </c>
      <c r="M368" s="4" t="s">
        <v>102</v>
      </c>
      <c r="N368" s="1" t="s">
        <v>1552</v>
      </c>
      <c r="O368" s="1">
        <v>574085.0</v>
      </c>
      <c r="P368" s="1">
        <v>574085.0</v>
      </c>
      <c r="Q368" s="1">
        <v>574085.0</v>
      </c>
      <c r="R368" s="1" t="s">
        <v>145</v>
      </c>
      <c r="S368" s="1">
        <v>13285.0</v>
      </c>
      <c r="T368" s="1" t="s">
        <v>104</v>
      </c>
      <c r="U368" s="3"/>
      <c r="V368" s="3"/>
      <c r="W368" s="1" t="s">
        <v>118</v>
      </c>
      <c r="X368" s="3"/>
      <c r="Y368" s="1" t="s">
        <v>119</v>
      </c>
      <c r="Z368" s="3"/>
      <c r="AA368" s="1" t="b">
        <v>1</v>
      </c>
      <c r="AB368" s="1" t="b">
        <v>1</v>
      </c>
      <c r="AC368" s="1" t="b">
        <v>0</v>
      </c>
      <c r="AD368" s="1" t="b">
        <v>1</v>
      </c>
      <c r="AE368" s="1" t="b">
        <v>0</v>
      </c>
      <c r="AF368" s="5">
        <v>7.0</v>
      </c>
      <c r="AG368" s="5">
        <v>6.0</v>
      </c>
      <c r="AH368" s="5">
        <v>1.0</v>
      </c>
      <c r="AI368" s="3"/>
      <c r="AJ368" s="2">
        <v>46056.549409722225</v>
      </c>
      <c r="AK368" s="2">
        <v>46057.52680555556</v>
      </c>
      <c r="AL368" s="2">
        <v>46056.549409722225</v>
      </c>
      <c r="AM368" s="2">
        <v>46056.549467592595</v>
      </c>
      <c r="AO368" s="3"/>
      <c r="AP368" s="2">
        <v>46056.54997685185</v>
      </c>
      <c r="AQ368" s="2">
        <v>46056.55131944444</v>
      </c>
      <c r="AS368" s="2">
        <v>46056.55133101852</v>
      </c>
      <c r="AT368" s="2">
        <v>46056.55131944444</v>
      </c>
      <c r="AU368" s="2">
        <v>46057.475625</v>
      </c>
      <c r="AW368" s="3"/>
      <c r="AX368" s="2">
        <v>46056.55133101852</v>
      </c>
      <c r="AY368" s="2">
        <v>46056.55133101852</v>
      </c>
      <c r="AZ368" s="2">
        <v>46056.56564814815</v>
      </c>
      <c r="BA368" s="2">
        <v>46057.482777777775</v>
      </c>
      <c r="BB368" s="2">
        <v>46056.68623842593</v>
      </c>
      <c r="BC368" s="2">
        <v>46057.42193287037</v>
      </c>
      <c r="BD368" s="2">
        <v>46057.485127314816</v>
      </c>
      <c r="BE368" s="5">
        <v>3168.0</v>
      </c>
      <c r="BF368" s="5">
        <v>1931.0</v>
      </c>
      <c r="BG368" s="5">
        <v>452.0</v>
      </c>
      <c r="BH368" s="5">
        <v>321.0</v>
      </c>
      <c r="BI368" s="5">
        <v>4308.0</v>
      </c>
      <c r="BJ368" s="5">
        <v>4308.0</v>
      </c>
      <c r="BK368" s="5">
        <v>1.0</v>
      </c>
      <c r="BL368" s="5">
        <v>0.0</v>
      </c>
      <c r="BM368" s="5">
        <v>0.0</v>
      </c>
      <c r="BN368" s="5">
        <v>0.0</v>
      </c>
      <c r="BO368" s="5">
        <v>1237.0</v>
      </c>
      <c r="BP368" s="5">
        <v>272.0</v>
      </c>
      <c r="BQ368" s="5">
        <v>1397.0</v>
      </c>
      <c r="BR368" s="5">
        <v>272.0</v>
      </c>
      <c r="BS368" s="5">
        <v>1236.0</v>
      </c>
      <c r="BT368" s="5">
        <v>272.0</v>
      </c>
      <c r="BU368" s="5">
        <v>1236.0</v>
      </c>
      <c r="BV368" s="5">
        <v>272.0</v>
      </c>
      <c r="BW368" s="5">
        <v>1237.0</v>
      </c>
      <c r="BX368" s="5">
        <v>272.0</v>
      </c>
      <c r="BY368" s="5">
        <v>75220.0</v>
      </c>
      <c r="BZ368" s="5">
        <v>13055.0</v>
      </c>
      <c r="CA368" s="5">
        <v>80680.0</v>
      </c>
      <c r="CB368" s="5">
        <v>18515.0</v>
      </c>
      <c r="CC368" s="5">
        <v>75381.0</v>
      </c>
      <c r="CD368" s="5">
        <v>13055.0</v>
      </c>
      <c r="CE368" s="5">
        <v>75219.0</v>
      </c>
      <c r="CF368" s="5">
        <v>13055.0</v>
      </c>
      <c r="CG368" s="5">
        <v>75219.0</v>
      </c>
      <c r="CH368" s="5">
        <v>13055.0</v>
      </c>
      <c r="CI368" s="5">
        <v>75220.0</v>
      </c>
      <c r="CJ368" s="5">
        <v>13055.0</v>
      </c>
      <c r="CK368" s="5">
        <v>71732.0</v>
      </c>
      <c r="CL368" s="5">
        <v>9568.0</v>
      </c>
      <c r="CM368" s="5">
        <v>70911.0</v>
      </c>
      <c r="CN368" s="5">
        <v>8747.0</v>
      </c>
      <c r="CO368" s="5">
        <v>49.0</v>
      </c>
      <c r="CP368" s="3"/>
      <c r="CQ368" s="3"/>
      <c r="CR368" s="4" t="s">
        <v>1553</v>
      </c>
      <c r="CS368" s="5">
        <v>5.0</v>
      </c>
      <c r="CT368" s="3"/>
    </row>
    <row r="369">
      <c r="A369" s="1" t="s">
        <v>1554</v>
      </c>
      <c r="B369" s="2">
        <v>46056.53040509259</v>
      </c>
      <c r="C369" s="1" t="str">
        <f t="array" ref="C369">INDEX('User data'!E:E, MATCH(E369, 'User data'!B:B, 0))</f>
        <v>(주)큐피스트(Cupist Inc.)</v>
      </c>
      <c r="D369" s="1" t="str">
        <f t="array" ref="D369">INDEX('User data'!F:F, MATCH(C369, 'User data'!E:E, 0))</f>
        <v>590-81-00690</v>
      </c>
      <c r="E369" s="1" t="s">
        <v>1555</v>
      </c>
      <c r="F369" s="3"/>
      <c r="G369" s="3"/>
      <c r="H369" s="3"/>
      <c r="I369" s="1" t="s">
        <v>992</v>
      </c>
      <c r="J369" s="1" t="s">
        <v>100</v>
      </c>
      <c r="K369" s="1" t="s">
        <v>101</v>
      </c>
      <c r="L369" s="1" t="b">
        <v>0</v>
      </c>
      <c r="M369" s="4" t="s">
        <v>102</v>
      </c>
      <c r="N369" s="1" t="s">
        <v>1556</v>
      </c>
      <c r="O369" s="1">
        <v>574085.0</v>
      </c>
      <c r="P369" s="1">
        <v>574085.0</v>
      </c>
      <c r="Q369" s="1">
        <v>574085.0</v>
      </c>
      <c r="R369" s="1" t="s">
        <v>1115</v>
      </c>
      <c r="S369" s="1">
        <v>13285.0</v>
      </c>
      <c r="T369" s="1" t="s">
        <v>104</v>
      </c>
      <c r="U369" s="3"/>
      <c r="V369" s="3"/>
      <c r="W369" s="1" t="s">
        <v>118</v>
      </c>
      <c r="X369" s="3"/>
      <c r="Y369" s="1" t="s">
        <v>119</v>
      </c>
      <c r="Z369" s="3"/>
      <c r="AA369" s="1" t="b">
        <v>1</v>
      </c>
      <c r="AB369" s="1" t="b">
        <v>0</v>
      </c>
      <c r="AC369" s="1" t="b">
        <v>0</v>
      </c>
      <c r="AD369" s="1" t="b">
        <v>1</v>
      </c>
      <c r="AE369" s="1" t="b">
        <v>1</v>
      </c>
      <c r="AF369" s="5">
        <v>4.0</v>
      </c>
      <c r="AG369" s="5">
        <v>3.0</v>
      </c>
      <c r="AH369" s="3"/>
      <c r="AI369" s="3"/>
      <c r="AJ369" s="2">
        <v>46056.52979166667</v>
      </c>
      <c r="AK369" s="2">
        <v>46056.652719907404</v>
      </c>
      <c r="AL369" s="2">
        <v>46056.52979166667</v>
      </c>
      <c r="AM369" s="2">
        <v>46056.529814814814</v>
      </c>
      <c r="AN369" s="2">
        <v>46056.53040509259</v>
      </c>
      <c r="AO369" s="2">
        <v>46056.53469907407</v>
      </c>
      <c r="AP369" s="2">
        <v>46056.53469907407</v>
      </c>
      <c r="AQ369" s="2">
        <v>46056.53469907407</v>
      </c>
      <c r="AS369" s="2">
        <v>46056.53471064815</v>
      </c>
      <c r="AT369" s="2">
        <v>46056.53469907407</v>
      </c>
      <c r="AU369" s="2">
        <v>46056.603310185186</v>
      </c>
      <c r="AW369" s="3"/>
      <c r="AX369" s="2">
        <v>46056.53471064815</v>
      </c>
      <c r="AY369" s="2">
        <v>46056.53471064815</v>
      </c>
      <c r="AZ369" s="2">
        <v>46056.56744212963</v>
      </c>
      <c r="BA369" s="2">
        <v>46056.60802083334</v>
      </c>
      <c r="BB369" s="2">
        <v>46056.59989583334</v>
      </c>
      <c r="BC369" s="2">
        <v>46056.61104166666</v>
      </c>
      <c r="BD369" s="2">
        <v>46056.61104166666</v>
      </c>
      <c r="BE369" s="5">
        <v>3047.0</v>
      </c>
      <c r="BF369" s="5">
        <v>217.0</v>
      </c>
      <c r="BG369" s="5">
        <v>761.0</v>
      </c>
      <c r="BH369" s="5">
        <v>72.0</v>
      </c>
      <c r="BI369" s="5">
        <v>294.0</v>
      </c>
      <c r="BJ369" s="5">
        <v>294.0</v>
      </c>
      <c r="BK369" s="5">
        <v>0.0</v>
      </c>
      <c r="BL369" s="5">
        <v>0.0</v>
      </c>
      <c r="BM369" s="5">
        <v>371.0</v>
      </c>
      <c r="BN369" s="5">
        <v>0.0</v>
      </c>
      <c r="BO369" s="5">
        <v>3200.0</v>
      </c>
      <c r="BP369" s="5">
        <v>427.0</v>
      </c>
      <c r="BQ369" s="5">
        <v>3251.0</v>
      </c>
      <c r="BR369" s="5">
        <v>427.0</v>
      </c>
      <c r="BS369" s="5">
        <v>2828.0</v>
      </c>
      <c r="BT369" s="5">
        <v>427.0</v>
      </c>
      <c r="BU369" s="5">
        <v>2828.0</v>
      </c>
      <c r="BV369" s="5">
        <v>427.0</v>
      </c>
      <c r="BW369" s="5">
        <v>2829.0</v>
      </c>
      <c r="BX369" s="5">
        <v>427.0</v>
      </c>
      <c r="BY369" s="5">
        <v>6967.0</v>
      </c>
      <c r="BZ369" s="5">
        <v>4194.0</v>
      </c>
      <c r="CA369" s="5">
        <v>6967.0</v>
      </c>
      <c r="CB369" s="5">
        <v>4194.0</v>
      </c>
      <c r="CC369" s="5">
        <v>7017.0</v>
      </c>
      <c r="CD369" s="5">
        <v>4194.0</v>
      </c>
      <c r="CE369" s="5">
        <v>6595.0</v>
      </c>
      <c r="CF369" s="5">
        <v>4194.0</v>
      </c>
      <c r="CG369" s="5">
        <v>6595.0</v>
      </c>
      <c r="CH369" s="5">
        <v>4194.0</v>
      </c>
      <c r="CI369" s="5">
        <v>6596.0</v>
      </c>
      <c r="CJ369" s="5">
        <v>4194.0</v>
      </c>
      <c r="CK369" s="5">
        <v>6301.0</v>
      </c>
      <c r="CL369" s="5">
        <v>3900.0</v>
      </c>
      <c r="CM369" s="5">
        <v>6301.0</v>
      </c>
      <c r="CN369" s="5">
        <v>3900.0</v>
      </c>
      <c r="CO369" s="5">
        <v>423.0</v>
      </c>
      <c r="CP369" s="5">
        <v>370.0</v>
      </c>
      <c r="CQ369" s="3"/>
      <c r="CR369" s="4" t="s">
        <v>1557</v>
      </c>
    </row>
    <row r="370">
      <c r="A370" s="1" t="s">
        <v>1558</v>
      </c>
      <c r="B370" s="2">
        <v>46056.517743055556</v>
      </c>
      <c r="C370" s="1" t="str">
        <f t="array" ref="C370">INDEX('User data'!E:E, MATCH(E370, 'User data'!B:B, 0))</f>
        <v>모비두 주식회사 (Mobidoo)</v>
      </c>
      <c r="D370" s="1" t="str">
        <f t="array" ref="D370">INDEX('User data'!F:F, MATCH(C370, 'User data'!E:E, 0))</f>
        <v>120-88-01596</v>
      </c>
      <c r="E370" s="1" t="s">
        <v>1559</v>
      </c>
      <c r="F370" s="3"/>
      <c r="G370" s="3"/>
      <c r="H370" s="3"/>
      <c r="I370" s="1" t="s">
        <v>829</v>
      </c>
      <c r="J370" s="1" t="s">
        <v>100</v>
      </c>
      <c r="K370" s="1" t="s">
        <v>101</v>
      </c>
      <c r="L370" s="1" t="b">
        <v>0</v>
      </c>
      <c r="M370" s="4" t="s">
        <v>102</v>
      </c>
      <c r="N370" s="1" t="s">
        <v>1560</v>
      </c>
      <c r="O370" s="1">
        <v>574085.0</v>
      </c>
      <c r="P370" s="1">
        <v>574085.0</v>
      </c>
      <c r="Q370" s="1">
        <v>574085.0</v>
      </c>
      <c r="R370" s="1" t="s">
        <v>145</v>
      </c>
      <c r="S370" s="1">
        <v>13285.0</v>
      </c>
      <c r="T370" s="1" t="s">
        <v>104</v>
      </c>
      <c r="U370" s="3"/>
      <c r="V370" s="3"/>
      <c r="W370" s="1" t="s">
        <v>118</v>
      </c>
      <c r="X370" s="3"/>
      <c r="Y370" s="1" t="s">
        <v>119</v>
      </c>
      <c r="Z370" s="3"/>
      <c r="AA370" s="1" t="b">
        <v>1</v>
      </c>
      <c r="AB370" s="1" t="b">
        <v>0</v>
      </c>
      <c r="AC370" s="1" t="b">
        <v>0</v>
      </c>
      <c r="AD370" s="1" t="b">
        <v>1</v>
      </c>
      <c r="AE370" s="1" t="b">
        <v>0</v>
      </c>
      <c r="AF370" s="5">
        <v>6.0</v>
      </c>
      <c r="AG370" s="5">
        <v>5.0</v>
      </c>
      <c r="AH370" s="3"/>
      <c r="AI370" s="3"/>
      <c r="AJ370" s="2">
        <v>46056.51611111111</v>
      </c>
      <c r="AK370" s="2">
        <v>46056.71368055556</v>
      </c>
      <c r="AL370" s="2">
        <v>46056.51611111111</v>
      </c>
      <c r="AM370" s="2">
        <v>46056.516122685185</v>
      </c>
      <c r="AO370" s="3"/>
      <c r="AP370" s="2">
        <v>46056.51648148148</v>
      </c>
      <c r="AQ370" s="2">
        <v>46056.517743055556</v>
      </c>
      <c r="AS370" s="2">
        <v>46056.51775462963</v>
      </c>
      <c r="AT370" s="2">
        <v>46056.517743055556</v>
      </c>
      <c r="AU370" s="2">
        <v>46056.66318287037</v>
      </c>
      <c r="AW370" s="3"/>
      <c r="AX370" s="2">
        <v>46056.51775462963</v>
      </c>
      <c r="AY370" s="2">
        <v>46056.51775462963</v>
      </c>
      <c r="AZ370" s="2">
        <v>46056.51789351852</v>
      </c>
      <c r="BA370" s="2">
        <v>46056.67177083333</v>
      </c>
      <c r="BB370" s="2">
        <v>46056.59881944444</v>
      </c>
      <c r="BC370" s="2">
        <v>46056.672002314815</v>
      </c>
      <c r="BD370" s="2">
        <v>46056.672002314815</v>
      </c>
      <c r="BE370" s="5">
        <v>2633.0</v>
      </c>
      <c r="BF370" s="5">
        <v>2359.0</v>
      </c>
      <c r="BG370" s="5">
        <v>438.0</v>
      </c>
      <c r="BH370" s="5">
        <v>471.0</v>
      </c>
      <c r="BI370" s="5">
        <v>8671.0</v>
      </c>
      <c r="BJ370" s="5">
        <v>5580.0</v>
      </c>
      <c r="BK370" s="5">
        <v>0.0</v>
      </c>
      <c r="BL370" s="5">
        <v>0.0</v>
      </c>
      <c r="BM370" s="5">
        <v>0.0</v>
      </c>
      <c r="BN370" s="5">
        <v>0.0</v>
      </c>
      <c r="BO370" s="5">
        <v>12.0</v>
      </c>
      <c r="BP370" s="5">
        <v>12.0</v>
      </c>
      <c r="BQ370" s="5">
        <v>153.0</v>
      </c>
      <c r="BR370" s="5">
        <v>153.0</v>
      </c>
      <c r="BS370" s="5">
        <v>12.0</v>
      </c>
      <c r="BT370" s="5">
        <v>12.0</v>
      </c>
      <c r="BU370" s="5">
        <v>12.0</v>
      </c>
      <c r="BV370" s="5">
        <v>12.0</v>
      </c>
      <c r="BW370" s="5">
        <v>12.0</v>
      </c>
      <c r="BX370" s="5">
        <v>12.0</v>
      </c>
      <c r="BY370" s="5">
        <v>13327.0</v>
      </c>
      <c r="BZ370" s="5">
        <v>9727.0</v>
      </c>
      <c r="CA370" s="5">
        <v>13327.0</v>
      </c>
      <c r="CB370" s="5">
        <v>9727.0</v>
      </c>
      <c r="CC370" s="5">
        <v>13468.0</v>
      </c>
      <c r="CD370" s="5">
        <v>9868.0</v>
      </c>
      <c r="CE370" s="5">
        <v>13327.0</v>
      </c>
      <c r="CF370" s="5">
        <v>9727.0</v>
      </c>
      <c r="CG370" s="5">
        <v>13327.0</v>
      </c>
      <c r="CH370" s="5">
        <v>9727.0</v>
      </c>
      <c r="CI370" s="5">
        <v>13327.0</v>
      </c>
      <c r="CJ370" s="5">
        <v>9727.0</v>
      </c>
      <c r="CK370" s="5">
        <v>4655.0</v>
      </c>
      <c r="CL370" s="5">
        <v>4147.0</v>
      </c>
      <c r="CM370" s="5">
        <v>4655.0</v>
      </c>
      <c r="CN370" s="5">
        <v>4147.0</v>
      </c>
      <c r="CO370" s="5">
        <v>32.0</v>
      </c>
      <c r="CP370" s="3"/>
      <c r="CQ370" s="3"/>
      <c r="CR370" s="4" t="s">
        <v>1561</v>
      </c>
    </row>
    <row r="371">
      <c r="A371" s="1" t="s">
        <v>1562</v>
      </c>
      <c r="B371" s="2">
        <v>46056.507361111115</v>
      </c>
      <c r="C371" s="1" t="str">
        <f t="array" ref="C371">INDEX('User data'!E:E, MATCH(E371, 'User data'!B:B, 0))</f>
        <v>주식회사 디에프코퍼레이션</v>
      </c>
      <c r="D371" s="1" t="str">
        <f t="array" ref="D371">INDEX('User data'!F:F, MATCH(C371, 'User data'!E:E, 0))</f>
        <v>808-86-00446</v>
      </c>
      <c r="E371" s="1" t="s">
        <v>248</v>
      </c>
      <c r="F371" s="3"/>
      <c r="G371" s="3"/>
      <c r="H371" s="3"/>
      <c r="I371" s="1" t="s">
        <v>1563</v>
      </c>
      <c r="J371" s="1" t="s">
        <v>100</v>
      </c>
      <c r="K371" s="1" t="s">
        <v>101</v>
      </c>
      <c r="L371" s="1" t="b">
        <v>0</v>
      </c>
      <c r="M371" s="4" t="s">
        <v>102</v>
      </c>
      <c r="N371" s="1" t="s">
        <v>249</v>
      </c>
      <c r="O371" s="1">
        <v>607950.0</v>
      </c>
      <c r="P371" s="1">
        <v>607950.0</v>
      </c>
      <c r="Q371" s="1">
        <v>607950.0</v>
      </c>
      <c r="R371" s="1" t="s">
        <v>1564</v>
      </c>
      <c r="S371" s="1">
        <v>13287.0</v>
      </c>
      <c r="T371" s="1" t="s">
        <v>104</v>
      </c>
      <c r="U371" s="3"/>
      <c r="V371" s="3"/>
      <c r="W371" s="1" t="s">
        <v>118</v>
      </c>
      <c r="X371" s="3"/>
      <c r="Y371" s="1" t="s">
        <v>119</v>
      </c>
      <c r="Z371" s="3"/>
      <c r="AA371" s="1" t="b">
        <v>1</v>
      </c>
      <c r="AB371" s="1" t="b">
        <v>0</v>
      </c>
      <c r="AC371" s="1" t="b">
        <v>0</v>
      </c>
      <c r="AD371" s="1" t="b">
        <v>1</v>
      </c>
      <c r="AE371" s="1" t="b">
        <v>0</v>
      </c>
      <c r="AF371" s="5">
        <v>5.0</v>
      </c>
      <c r="AG371" s="5">
        <v>3.0</v>
      </c>
      <c r="AH371" s="3"/>
      <c r="AI371" s="3"/>
      <c r="AJ371" s="2">
        <v>46056.50675925926</v>
      </c>
      <c r="AK371" s="2">
        <v>46057.43513888889</v>
      </c>
      <c r="AL371" s="2">
        <v>46056.50675925926</v>
      </c>
      <c r="AM371" s="2">
        <v>46056.50678240741</v>
      </c>
      <c r="AO371" s="3"/>
      <c r="AP371" s="2">
        <v>46056.506944444445</v>
      </c>
      <c r="AR371" s="3"/>
      <c r="AS371" s="3"/>
      <c r="AT371" s="2">
        <v>46056.507361111115</v>
      </c>
      <c r="AU371" s="2">
        <v>46056.59025462963</v>
      </c>
      <c r="AW371" s="3"/>
      <c r="AX371" s="2">
        <v>46056.50745370371</v>
      </c>
      <c r="AY371" s="2">
        <v>46056.507361111115</v>
      </c>
      <c r="AZ371" s="2">
        <v>46056.50747685185</v>
      </c>
      <c r="BA371" s="2">
        <v>46056.592511574076</v>
      </c>
      <c r="BB371" s="2">
        <v>46056.5696875</v>
      </c>
      <c r="BC371" s="2">
        <v>46056.59795138889</v>
      </c>
      <c r="BD371" s="2">
        <v>46056.59795138889</v>
      </c>
      <c r="BE371" s="5">
        <v>4818.0</v>
      </c>
      <c r="BF371" s="5">
        <v>53.0</v>
      </c>
      <c r="BG371" s="5">
        <v>963.0</v>
      </c>
      <c r="BH371" s="5">
        <v>17.0</v>
      </c>
      <c r="BI371" s="5">
        <v>1776.0</v>
      </c>
      <c r="BJ371" s="5">
        <v>1776.0</v>
      </c>
      <c r="BK371" s="3"/>
      <c r="BL371" s="3"/>
      <c r="BM371" s="5">
        <v>7.0</v>
      </c>
      <c r="BN371" s="5">
        <v>7.0</v>
      </c>
      <c r="BO371" s="5">
        <v>10.0</v>
      </c>
      <c r="BP371" s="5">
        <v>10.0</v>
      </c>
      <c r="BQ371" s="5">
        <v>60.0</v>
      </c>
      <c r="BR371" s="5">
        <v>60.0</v>
      </c>
      <c r="BS371" s="5">
        <v>2.0</v>
      </c>
      <c r="BT371" s="5">
        <v>2.0</v>
      </c>
      <c r="BU371" s="5">
        <v>10.0</v>
      </c>
      <c r="BV371" s="5">
        <v>10.0</v>
      </c>
      <c r="BW371" s="5">
        <v>10.0</v>
      </c>
      <c r="BX371" s="5">
        <v>10.0</v>
      </c>
      <c r="BY371" s="5">
        <v>7827.0</v>
      </c>
      <c r="BZ371" s="5">
        <v>4227.0</v>
      </c>
      <c r="CA371" s="5">
        <v>7827.0</v>
      </c>
      <c r="CB371" s="5">
        <v>4227.0</v>
      </c>
      <c r="CC371" s="5">
        <v>7877.0</v>
      </c>
      <c r="CD371" s="5">
        <v>4277.0</v>
      </c>
      <c r="CE371" s="5">
        <v>7819.0</v>
      </c>
      <c r="CF371" s="5">
        <v>4219.0</v>
      </c>
      <c r="CG371" s="5">
        <v>7827.0</v>
      </c>
      <c r="CH371" s="5">
        <v>4227.0</v>
      </c>
      <c r="CI371" s="5">
        <v>7827.0</v>
      </c>
      <c r="CJ371" s="5">
        <v>4227.0</v>
      </c>
      <c r="CK371" s="5">
        <v>6051.0</v>
      </c>
      <c r="CL371" s="5">
        <v>2451.0</v>
      </c>
      <c r="CM371" s="5">
        <v>6051.0</v>
      </c>
      <c r="CN371" s="5">
        <v>2451.0</v>
      </c>
      <c r="CO371" s="5">
        <v>15.0</v>
      </c>
      <c r="CP371" s="3"/>
      <c r="CQ371" s="3"/>
      <c r="CR371" s="4" t="s">
        <v>1565</v>
      </c>
      <c r="CS371" s="5">
        <v>5.0</v>
      </c>
      <c r="CT371" s="3"/>
    </row>
    <row r="372">
      <c r="A372" s="1" t="s">
        <v>1566</v>
      </c>
      <c r="B372" s="2">
        <v>46056.48321759259</v>
      </c>
      <c r="C372" s="1" t="str">
        <f t="array" ref="C372">INDEX('User data'!E:E, MATCH(E372, 'User data'!B:B, 0))</f>
        <v>주식회사 똑똑한소비자</v>
      </c>
      <c r="D372" s="1" t="str">
        <f t="array" ref="D372">INDEX('User data'!F:F, MATCH(C372, 'User data'!E:E, 0))</f>
        <v>702-86-01564</v>
      </c>
      <c r="E372" s="1" t="s">
        <v>1567</v>
      </c>
      <c r="F372" s="3"/>
      <c r="G372" s="3"/>
      <c r="H372" s="3"/>
      <c r="I372" s="3"/>
      <c r="J372" s="1" t="s">
        <v>100</v>
      </c>
      <c r="K372" s="1" t="s">
        <v>101</v>
      </c>
      <c r="L372" s="1" t="b">
        <v>0</v>
      </c>
      <c r="M372" s="4" t="s">
        <v>102</v>
      </c>
      <c r="N372" s="1" t="s">
        <v>1568</v>
      </c>
      <c r="P372" s="3"/>
      <c r="Q372" s="3"/>
      <c r="R372" s="3"/>
      <c r="S372" s="1">
        <v>13285.0</v>
      </c>
      <c r="T372" s="1" t="s">
        <v>104</v>
      </c>
      <c r="U372" s="3"/>
      <c r="V372" s="3"/>
      <c r="W372" s="1" t="s">
        <v>105</v>
      </c>
      <c r="X372" s="3"/>
      <c r="Y372" s="1" t="s">
        <v>106</v>
      </c>
      <c r="Z372" s="3"/>
      <c r="AA372" s="1" t="b">
        <v>0</v>
      </c>
      <c r="AB372" s="1" t="b">
        <v>0</v>
      </c>
      <c r="AC372" s="1" t="b">
        <v>0</v>
      </c>
      <c r="AD372" s="1" t="b">
        <v>1</v>
      </c>
      <c r="AE372" s="1" t="b">
        <v>1</v>
      </c>
      <c r="AF372" s="3"/>
      <c r="AG372" s="3"/>
      <c r="AH372" s="3"/>
      <c r="AI372" s="3"/>
      <c r="AJ372" s="2">
        <v>46056.48268518518</v>
      </c>
      <c r="AK372" s="2">
        <v>46057.48355324074</v>
      </c>
      <c r="AL372" s="2">
        <v>46056.48268518518</v>
      </c>
      <c r="AM372" s="2">
        <v>46056.48270833334</v>
      </c>
      <c r="AN372" s="2">
        <v>46056.48321759259</v>
      </c>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5">
        <v>1.8</v>
      </c>
      <c r="CR372" s="4" t="s">
        <v>1569</v>
      </c>
    </row>
    <row r="373">
      <c r="A373" s="1" t="s">
        <v>1570</v>
      </c>
      <c r="B373" s="2">
        <v>46056.468356481484</v>
      </c>
      <c r="C373" s="1" t="str">
        <f t="array" ref="C373">INDEX('User data'!E:E, MATCH(E373, 'User data'!B:B, 0))</f>
        <v/>
      </c>
      <c r="D373" s="1" t="str">
        <f t="array" ref="D373">INDEX('User data'!F:F, MATCH(C373, 'User data'!E:E, 0))</f>
        <v>#N/A</v>
      </c>
      <c r="E373" s="1" t="s">
        <v>1571</v>
      </c>
      <c r="F373" s="3"/>
      <c r="G373" s="3"/>
      <c r="H373" s="3"/>
      <c r="I373" s="3"/>
      <c r="J373" s="1" t="s">
        <v>100</v>
      </c>
      <c r="K373" s="1" t="s">
        <v>101</v>
      </c>
      <c r="L373" s="1" t="b">
        <v>0</v>
      </c>
      <c r="M373" s="4" t="s">
        <v>102</v>
      </c>
      <c r="N373" s="1" t="s">
        <v>1572</v>
      </c>
      <c r="P373" s="3"/>
      <c r="Q373" s="3"/>
      <c r="R373" s="3"/>
      <c r="S373" s="1">
        <v>13285.0</v>
      </c>
      <c r="T373" s="1" t="s">
        <v>104</v>
      </c>
      <c r="U373" s="3"/>
      <c r="V373" s="3"/>
      <c r="W373" s="1" t="s">
        <v>105</v>
      </c>
      <c r="X373" s="3"/>
      <c r="Y373" s="1" t="s">
        <v>106</v>
      </c>
      <c r="Z373" s="3"/>
      <c r="AA373" s="1" t="b">
        <v>0</v>
      </c>
      <c r="AB373" s="1" t="b">
        <v>0</v>
      </c>
      <c r="AC373" s="1" t="b">
        <v>0</v>
      </c>
      <c r="AD373" s="1" t="b">
        <v>1</v>
      </c>
      <c r="AE373" s="1" t="b">
        <v>1</v>
      </c>
      <c r="AF373" s="3"/>
      <c r="AG373" s="3"/>
      <c r="AH373" s="3"/>
      <c r="AI373" s="3"/>
      <c r="AJ373" s="2">
        <v>46056.46579861111</v>
      </c>
      <c r="AK373" s="2">
        <v>46057.46842592592</v>
      </c>
      <c r="AL373" s="2">
        <v>46056.46579861111</v>
      </c>
      <c r="AM373" s="2">
        <v>46056.466099537036</v>
      </c>
      <c r="AN373" s="2">
        <v>46056.468356481484</v>
      </c>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5">
        <v>2.4</v>
      </c>
      <c r="CR373" s="4" t="s">
        <v>1573</v>
      </c>
    </row>
    <row r="374">
      <c r="A374" s="1" t="s">
        <v>1574</v>
      </c>
      <c r="B374" s="2">
        <v>46056.458032407405</v>
      </c>
      <c r="C374" s="1" t="str">
        <f t="array" ref="C374">INDEX('User data'!E:E, MATCH(E374, 'User data'!B:B, 0))</f>
        <v>주식회사 큐엔티</v>
      </c>
      <c r="D374" s="1" t="str">
        <f t="array" ref="D374">INDEX('User data'!F:F, MATCH(C374, 'User data'!E:E, 0))</f>
        <v>113-87-00777</v>
      </c>
      <c r="E374" s="1" t="s">
        <v>1575</v>
      </c>
      <c r="F374" s="3"/>
      <c r="G374" s="1" t="s">
        <v>1576</v>
      </c>
      <c r="H374" s="3"/>
      <c r="I374" s="3"/>
      <c r="J374" s="1" t="s">
        <v>100</v>
      </c>
      <c r="K374" s="1" t="s">
        <v>173</v>
      </c>
      <c r="L374" s="1" t="b">
        <v>0</v>
      </c>
      <c r="M374" s="3"/>
      <c r="N374" s="1" t="s">
        <v>1577</v>
      </c>
      <c r="O374" s="1">
        <v>607950.0</v>
      </c>
      <c r="P374" s="1">
        <v>607950.0</v>
      </c>
      <c r="Q374" s="1">
        <v>607950.0</v>
      </c>
      <c r="R374" s="1" t="s">
        <v>1578</v>
      </c>
      <c r="T374" s="1" t="s">
        <v>104</v>
      </c>
      <c r="U374" s="3"/>
      <c r="V374" s="3"/>
      <c r="W374" s="1" t="s">
        <v>118</v>
      </c>
      <c r="X374" s="3"/>
      <c r="Y374" s="1" t="s">
        <v>119</v>
      </c>
      <c r="Z374" s="3"/>
      <c r="AA374" s="1" t="b">
        <v>1</v>
      </c>
      <c r="AB374" s="1" t="b">
        <v>0</v>
      </c>
      <c r="AC374" s="1" t="b">
        <v>0</v>
      </c>
      <c r="AD374" s="1" t="b">
        <v>1</v>
      </c>
      <c r="AE374" s="1" t="b">
        <v>0</v>
      </c>
      <c r="AF374" s="5">
        <v>2.0</v>
      </c>
      <c r="AG374" s="5">
        <v>2.0</v>
      </c>
      <c r="AH374" s="3"/>
      <c r="AI374" s="3"/>
      <c r="AJ374" s="2">
        <v>46056.458032407405</v>
      </c>
      <c r="AK374" s="2">
        <v>46056.678032407406</v>
      </c>
      <c r="AL374" s="2">
        <v>46056.62396990741</v>
      </c>
      <c r="AM374" s="2">
        <v>46056.45947916667</v>
      </c>
      <c r="AO374" s="3"/>
      <c r="AP374" s="2">
        <v>46056.62400462963</v>
      </c>
      <c r="AR374" s="3"/>
      <c r="AS374" s="3"/>
      <c r="AT374" s="2">
        <v>46056.458032407405</v>
      </c>
      <c r="AU374" s="2">
        <v>46056.62326388889</v>
      </c>
      <c r="AW374" s="3"/>
      <c r="AX374" s="2">
        <v>46056.458032407405</v>
      </c>
      <c r="AY374" s="2">
        <v>46056.458032407405</v>
      </c>
      <c r="AZ374" s="2">
        <v>46056.467002314814</v>
      </c>
      <c r="BA374" s="2">
        <v>46056.63143518518</v>
      </c>
      <c r="BB374" s="2">
        <v>46056.60675925926</v>
      </c>
      <c r="BC374" s="2">
        <v>46056.636354166665</v>
      </c>
      <c r="BD374" s="2">
        <v>46056.636354166665</v>
      </c>
      <c r="BE374" s="5">
        <v>1355.0</v>
      </c>
      <c r="BF374" s="5">
        <v>1355.0</v>
      </c>
      <c r="BG374" s="5">
        <v>677.0</v>
      </c>
      <c r="BH374" s="5">
        <v>677.0</v>
      </c>
      <c r="BI374" s="5">
        <v>1426.0</v>
      </c>
      <c r="BJ374" s="5">
        <v>1426.0</v>
      </c>
      <c r="BK374" s="3"/>
      <c r="BL374" s="3"/>
      <c r="BM374" s="3"/>
      <c r="BN374" s="3"/>
      <c r="BO374" s="5">
        <v>774.0</v>
      </c>
      <c r="BP374" s="5">
        <v>774.0</v>
      </c>
      <c r="BQ374" s="5">
        <v>649.0</v>
      </c>
      <c r="BR374" s="5">
        <v>649.0</v>
      </c>
      <c r="BS374" s="5">
        <v>774.0</v>
      </c>
      <c r="BT374" s="5">
        <v>774.0</v>
      </c>
      <c r="BU374" s="5">
        <v>774.0</v>
      </c>
      <c r="BV374" s="5">
        <v>774.0</v>
      </c>
      <c r="BW374" s="5">
        <v>774.0</v>
      </c>
      <c r="BX374" s="5">
        <v>774.0</v>
      </c>
      <c r="BY374" s="5">
        <v>15407.0</v>
      </c>
      <c r="BZ374" s="5">
        <v>11807.0</v>
      </c>
      <c r="CA374" s="5">
        <v>15407.0</v>
      </c>
      <c r="CB374" s="5">
        <v>11807.0</v>
      </c>
      <c r="CC374" s="5">
        <v>15282.0</v>
      </c>
      <c r="CD374" s="5">
        <v>11682.0</v>
      </c>
      <c r="CE374" s="5">
        <v>15407.0</v>
      </c>
      <c r="CF374" s="5">
        <v>11807.0</v>
      </c>
      <c r="CG374" s="5">
        <v>15407.0</v>
      </c>
      <c r="CH374" s="5">
        <v>11807.0</v>
      </c>
      <c r="CI374" s="5">
        <v>15407.0</v>
      </c>
      <c r="CJ374" s="5">
        <v>11807.0</v>
      </c>
      <c r="CK374" s="5">
        <v>13981.0</v>
      </c>
      <c r="CL374" s="5">
        <v>10381.0</v>
      </c>
      <c r="CM374" s="5">
        <v>13981.0</v>
      </c>
      <c r="CN374" s="5">
        <v>10381.0</v>
      </c>
      <c r="CO374" s="5">
        <v>3.0</v>
      </c>
      <c r="CP374" s="3"/>
      <c r="CQ374" s="3"/>
      <c r="CR374" s="4" t="s">
        <v>1579</v>
      </c>
    </row>
    <row r="375">
      <c r="A375" s="1" t="s">
        <v>1580</v>
      </c>
      <c r="B375" s="2">
        <v>46056.42818287037</v>
      </c>
      <c r="C375" s="1" t="str">
        <f t="array" ref="C375">INDEX('User data'!E:E, MATCH(E375, 'User data'!B:B, 0))</f>
        <v>주식회사 코코지</v>
      </c>
      <c r="D375" s="1" t="str">
        <f t="array" ref="D375">INDEX('User data'!F:F, MATCH(C375, 'User data'!E:E, 0))</f>
        <v>274-81-02025</v>
      </c>
      <c r="E375" s="1" t="s">
        <v>800</v>
      </c>
      <c r="F375" s="3"/>
      <c r="G375" s="3"/>
      <c r="H375" s="3"/>
      <c r="I375" s="1" t="s">
        <v>624</v>
      </c>
      <c r="J375" s="1" t="s">
        <v>100</v>
      </c>
      <c r="K375" s="1" t="s">
        <v>173</v>
      </c>
      <c r="L375" s="1" t="b">
        <v>0</v>
      </c>
      <c r="M375" s="4" t="s">
        <v>102</v>
      </c>
      <c r="N375" s="1" t="s">
        <v>801</v>
      </c>
      <c r="O375" s="1">
        <v>574085.0</v>
      </c>
      <c r="P375" s="1">
        <v>574085.0</v>
      </c>
      <c r="Q375" s="1">
        <v>574085.0</v>
      </c>
      <c r="R375" s="1" t="s">
        <v>1115</v>
      </c>
      <c r="S375" s="1">
        <v>13285.0</v>
      </c>
      <c r="T375" s="1" t="s">
        <v>104</v>
      </c>
      <c r="U375" s="3"/>
      <c r="V375" s="3"/>
      <c r="W375" s="1" t="s">
        <v>118</v>
      </c>
      <c r="X375" s="3"/>
      <c r="Y375" s="1" t="s">
        <v>119</v>
      </c>
      <c r="Z375" s="3"/>
      <c r="AA375" s="1" t="b">
        <v>1</v>
      </c>
      <c r="AB375" s="1" t="b">
        <v>0</v>
      </c>
      <c r="AC375" s="1" t="b">
        <v>0</v>
      </c>
      <c r="AD375" s="1" t="b">
        <v>1</v>
      </c>
      <c r="AE375" s="1" t="b">
        <v>0</v>
      </c>
      <c r="AF375" s="5">
        <v>4.0</v>
      </c>
      <c r="AG375" s="5">
        <v>4.0</v>
      </c>
      <c r="AH375" s="3"/>
      <c r="AI375" s="3"/>
      <c r="AJ375" s="2">
        <v>46056.41434027778</v>
      </c>
      <c r="AK375" s="2">
        <v>46056.509618055556</v>
      </c>
      <c r="AL375" s="2">
        <v>46056.42721064815</v>
      </c>
      <c r="AM375" s="2">
        <v>46056.427256944444</v>
      </c>
      <c r="AO375" s="3"/>
      <c r="AP375" s="2">
        <v>46056.42767361111</v>
      </c>
      <c r="AQ375" s="2">
        <v>46056.42818287037</v>
      </c>
      <c r="AS375" s="2">
        <v>46056.428194444445</v>
      </c>
      <c r="AT375" s="2">
        <v>46056.42818287037</v>
      </c>
      <c r="AU375" s="2">
        <v>46056.428194444445</v>
      </c>
      <c r="AW375" s="3"/>
      <c r="AX375" s="2">
        <v>46056.428194444445</v>
      </c>
      <c r="AY375" s="2">
        <v>46056.428194444445</v>
      </c>
      <c r="AZ375" s="2">
        <v>46056.42875</v>
      </c>
      <c r="BA375" s="2">
        <v>46056.465891203705</v>
      </c>
      <c r="BC375" s="2">
        <v>46056.467939814815</v>
      </c>
      <c r="BD375" s="2">
        <v>46056.467939814815</v>
      </c>
      <c r="BE375" s="5">
        <v>1505.0</v>
      </c>
      <c r="BF375" s="5">
        <v>1505.0</v>
      </c>
      <c r="BG375" s="5">
        <v>376.0</v>
      </c>
      <c r="BH375" s="5">
        <v>376.0</v>
      </c>
      <c r="BI375" s="3"/>
      <c r="BJ375" s="3"/>
      <c r="BK375" s="5">
        <v>0.0</v>
      </c>
      <c r="BL375" s="5">
        <v>0.0</v>
      </c>
      <c r="BM375" s="5">
        <v>0.0</v>
      </c>
      <c r="BN375" s="5">
        <v>0.0</v>
      </c>
      <c r="BO375" s="5">
        <v>48.0</v>
      </c>
      <c r="BP375" s="5">
        <v>48.0</v>
      </c>
      <c r="BQ375" s="5">
        <v>128.0</v>
      </c>
      <c r="BR375" s="5">
        <v>128.0</v>
      </c>
      <c r="BS375" s="5">
        <v>47.0</v>
      </c>
      <c r="BT375" s="5">
        <v>47.0</v>
      </c>
      <c r="BU375" s="5">
        <v>47.0</v>
      </c>
      <c r="BV375" s="5">
        <v>47.0</v>
      </c>
      <c r="BW375" s="5">
        <v>48.0</v>
      </c>
      <c r="BX375" s="5">
        <v>48.0</v>
      </c>
      <c r="BY375" s="5">
        <v>3434.0</v>
      </c>
      <c r="BZ375" s="5">
        <v>3434.0</v>
      </c>
      <c r="CA375" s="5">
        <v>3434.0</v>
      </c>
      <c r="CB375" s="5">
        <v>3434.0</v>
      </c>
      <c r="CC375" s="5">
        <v>3514.0</v>
      </c>
      <c r="CD375" s="5">
        <v>3514.0</v>
      </c>
      <c r="CE375" s="5">
        <v>3433.0</v>
      </c>
      <c r="CF375" s="5">
        <v>3433.0</v>
      </c>
      <c r="CG375" s="5">
        <v>3433.0</v>
      </c>
      <c r="CH375" s="5">
        <v>3433.0</v>
      </c>
      <c r="CI375" s="5">
        <v>3434.0</v>
      </c>
      <c r="CJ375" s="5">
        <v>3434.0</v>
      </c>
      <c r="CK375" s="5">
        <v>3433.0</v>
      </c>
      <c r="CL375" s="5">
        <v>3433.0</v>
      </c>
      <c r="CM375" s="5">
        <v>3433.0</v>
      </c>
      <c r="CN375" s="5">
        <v>3433.0</v>
      </c>
      <c r="CO375" s="5">
        <v>39.0</v>
      </c>
      <c r="CP375" s="3"/>
      <c r="CQ375" s="3"/>
      <c r="CR375" s="4" t="s">
        <v>1581</v>
      </c>
      <c r="CS375" s="5">
        <v>5.0</v>
      </c>
      <c r="CT375" s="3"/>
    </row>
    <row r="376">
      <c r="A376" s="1" t="s">
        <v>1582</v>
      </c>
      <c r="B376" s="2">
        <v>46056.4262962963</v>
      </c>
      <c r="C376" s="1" t="str">
        <f t="array" ref="C376">INDEX('User data'!E:E, MATCH(E376, 'User data'!B:B, 0))</f>
        <v>(주)더릭스</v>
      </c>
      <c r="D376" s="1" t="str">
        <f t="array" ref="D376">INDEX('User data'!F:F, MATCH(C376, 'User data'!E:E, 0))</f>
        <v>880-87-01202</v>
      </c>
      <c r="E376" s="1" t="s">
        <v>1583</v>
      </c>
      <c r="F376" s="3"/>
      <c r="G376" s="3"/>
      <c r="H376" s="3"/>
      <c r="I376" s="1" t="s">
        <v>306</v>
      </c>
      <c r="J376" s="1" t="s">
        <v>100</v>
      </c>
      <c r="K376" s="1" t="s">
        <v>101</v>
      </c>
      <c r="L376" s="1" t="b">
        <v>0</v>
      </c>
      <c r="M376" s="4" t="s">
        <v>102</v>
      </c>
      <c r="N376" s="1" t="s">
        <v>1584</v>
      </c>
      <c r="O376" s="1">
        <v>574085.0</v>
      </c>
      <c r="P376" s="1">
        <v>574085.0</v>
      </c>
      <c r="Q376" s="1">
        <v>574085.0</v>
      </c>
      <c r="R376" s="1" t="s">
        <v>145</v>
      </c>
      <c r="S376" s="1">
        <v>13285.0</v>
      </c>
      <c r="T376" s="1" t="s">
        <v>104</v>
      </c>
      <c r="U376" s="3"/>
      <c r="V376" s="3"/>
      <c r="W376" s="1" t="s">
        <v>118</v>
      </c>
      <c r="X376" s="3"/>
      <c r="Y376" s="1" t="s">
        <v>119</v>
      </c>
      <c r="Z376" s="3"/>
      <c r="AA376" s="1" t="b">
        <v>1</v>
      </c>
      <c r="AB376" s="1" t="b">
        <v>0</v>
      </c>
      <c r="AC376" s="1" t="b">
        <v>0</v>
      </c>
      <c r="AD376" s="1" t="b">
        <v>1</v>
      </c>
      <c r="AE376" s="1" t="b">
        <v>0</v>
      </c>
      <c r="AF376" s="5">
        <v>2.0</v>
      </c>
      <c r="AG376" s="5">
        <v>2.0</v>
      </c>
      <c r="AH376" s="3"/>
      <c r="AI376" s="3"/>
      <c r="AJ376" s="2">
        <v>46056.425416666665</v>
      </c>
      <c r="AK376" s="2">
        <v>46056.614270833335</v>
      </c>
      <c r="AL376" s="2">
        <v>46056.425416666665</v>
      </c>
      <c r="AM376" s="2">
        <v>46056.42543981481</v>
      </c>
      <c r="AO376" s="3"/>
      <c r="AP376" s="2">
        <v>46056.42564814815</v>
      </c>
      <c r="AQ376" s="2">
        <v>46056.4262962963</v>
      </c>
      <c r="AS376" s="2">
        <v>46056.42630787037</v>
      </c>
      <c r="AT376" s="2">
        <v>46056.4262962963</v>
      </c>
      <c r="AU376" s="2">
        <v>46056.42630787037</v>
      </c>
      <c r="AW376" s="3"/>
      <c r="AX376" s="2">
        <v>46056.42630787037</v>
      </c>
      <c r="AY376" s="2">
        <v>46056.42630787037</v>
      </c>
      <c r="AZ376" s="2">
        <v>46056.42695601852</v>
      </c>
      <c r="BA376" s="2">
        <v>46056.50481481481</v>
      </c>
      <c r="BC376" s="2">
        <v>46056.572592592594</v>
      </c>
      <c r="BD376" s="2">
        <v>46056.572592592594</v>
      </c>
      <c r="BE376" s="5">
        <v>1112.0</v>
      </c>
      <c r="BF376" s="5">
        <v>1112.0</v>
      </c>
      <c r="BG376" s="5">
        <v>556.0</v>
      </c>
      <c r="BH376" s="5">
        <v>556.0</v>
      </c>
      <c r="BI376" s="3"/>
      <c r="BJ376" s="3"/>
      <c r="BK376" s="5">
        <v>1.0</v>
      </c>
      <c r="BL376" s="5">
        <v>1.0</v>
      </c>
      <c r="BM376" s="5">
        <v>0.0</v>
      </c>
      <c r="BN376" s="5">
        <v>0.0</v>
      </c>
      <c r="BO376" s="5">
        <v>57.0</v>
      </c>
      <c r="BP376" s="5">
        <v>57.0</v>
      </c>
      <c r="BQ376" s="5">
        <v>131.0</v>
      </c>
      <c r="BR376" s="5">
        <v>131.0</v>
      </c>
      <c r="BS376" s="5">
        <v>56.0</v>
      </c>
      <c r="BT376" s="5">
        <v>56.0</v>
      </c>
      <c r="BU376" s="5">
        <v>56.0</v>
      </c>
      <c r="BV376" s="5">
        <v>56.0</v>
      </c>
      <c r="BW376" s="5">
        <v>57.0</v>
      </c>
      <c r="BX376" s="5">
        <v>57.0</v>
      </c>
      <c r="BY376" s="5">
        <v>12640.0</v>
      </c>
      <c r="BZ376" s="5">
        <v>9040.0</v>
      </c>
      <c r="CA376" s="5">
        <v>12640.0</v>
      </c>
      <c r="CB376" s="5">
        <v>9040.0</v>
      </c>
      <c r="CC376" s="5">
        <v>12714.0</v>
      </c>
      <c r="CD376" s="5">
        <v>9114.0</v>
      </c>
      <c r="CE376" s="5">
        <v>12639.0</v>
      </c>
      <c r="CF376" s="5">
        <v>9039.0</v>
      </c>
      <c r="CG376" s="5">
        <v>12639.0</v>
      </c>
      <c r="CH376" s="5">
        <v>9039.0</v>
      </c>
      <c r="CI376" s="5">
        <v>12640.0</v>
      </c>
      <c r="CJ376" s="5">
        <v>9040.0</v>
      </c>
      <c r="CK376" s="5">
        <v>12639.0</v>
      </c>
      <c r="CL376" s="5">
        <v>9039.0</v>
      </c>
      <c r="CM376" s="5">
        <v>12639.0</v>
      </c>
      <c r="CN376" s="5">
        <v>9039.0</v>
      </c>
      <c r="CO376" s="5">
        <v>19.0</v>
      </c>
      <c r="CP376" s="3"/>
      <c r="CQ376" s="3"/>
      <c r="CR376" s="4" t="s">
        <v>1585</v>
      </c>
    </row>
    <row r="377">
      <c r="A377" s="1" t="s">
        <v>1586</v>
      </c>
      <c r="B377" s="2">
        <v>46056.421435185184</v>
      </c>
      <c r="C377" s="1" t="str">
        <f t="array" ref="C377">INDEX('User data'!E:E, MATCH(E377, 'User data'!B:B, 0))</f>
        <v/>
      </c>
      <c r="D377" s="1" t="str">
        <f t="array" ref="D377">INDEX('User data'!F:F, MATCH(C377, 'User data'!E:E, 0))</f>
        <v>#N/A</v>
      </c>
      <c r="E377" s="1" t="s">
        <v>1587</v>
      </c>
      <c r="F377" s="3"/>
      <c r="G377" s="3"/>
      <c r="H377" s="3"/>
      <c r="I377" s="3"/>
      <c r="J377" s="1" t="s">
        <v>100</v>
      </c>
      <c r="K377" s="1" t="s">
        <v>101</v>
      </c>
      <c r="L377" s="1" t="b">
        <v>0</v>
      </c>
      <c r="M377" s="4" t="s">
        <v>102</v>
      </c>
      <c r="N377" s="1" t="s">
        <v>1588</v>
      </c>
      <c r="P377" s="3"/>
      <c r="Q377" s="3"/>
      <c r="R377" s="3"/>
      <c r="S377" s="1">
        <v>13285.0</v>
      </c>
      <c r="T377" s="1" t="s">
        <v>104</v>
      </c>
      <c r="U377" s="3"/>
      <c r="V377" s="3"/>
      <c r="W377" s="1" t="s">
        <v>105</v>
      </c>
      <c r="X377" s="3"/>
      <c r="Y377" s="1" t="s">
        <v>106</v>
      </c>
      <c r="Z377" s="3"/>
      <c r="AA377" s="1" t="b">
        <v>0</v>
      </c>
      <c r="AB377" s="1" t="b">
        <v>0</v>
      </c>
      <c r="AC377" s="1" t="b">
        <v>0</v>
      </c>
      <c r="AD377" s="1" t="b">
        <v>1</v>
      </c>
      <c r="AE377" s="1" t="b">
        <v>1</v>
      </c>
      <c r="AF377" s="3"/>
      <c r="AG377" s="3"/>
      <c r="AH377" s="3"/>
      <c r="AI377" s="3"/>
      <c r="AJ377" s="2">
        <v>46056.420752314814</v>
      </c>
      <c r="AK377" s="2">
        <v>46057.42149305555</v>
      </c>
      <c r="AL377" s="2">
        <v>46056.420752314814</v>
      </c>
      <c r="AM377" s="2">
        <v>46056.42078703704</v>
      </c>
      <c r="AN377" s="2">
        <v>46056.421435185184</v>
      </c>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5">
        <v>3.4</v>
      </c>
      <c r="CR377" s="4" t="s">
        <v>1589</v>
      </c>
    </row>
    <row r="378">
      <c r="A378" s="1" t="s">
        <v>1590</v>
      </c>
      <c r="B378" s="2">
        <v>46055.887349537035</v>
      </c>
      <c r="C378" s="1" t="str">
        <f t="array" ref="C378">INDEX('User data'!E:E, MATCH(E378, 'User data'!B:B, 0))</f>
        <v>주식회사 고위드(GOWID Inc)</v>
      </c>
      <c r="D378" s="1" t="str">
        <f t="array" ref="D378">INDEX('User data'!F:F, MATCH(C378, 'User data'!E:E, 0))</f>
        <v>261-81-25793</v>
      </c>
      <c r="E378" s="1" t="s">
        <v>1591</v>
      </c>
      <c r="F378" s="3"/>
      <c r="G378" s="3"/>
      <c r="H378" s="3"/>
      <c r="I378" s="3"/>
      <c r="J378" s="1" t="s">
        <v>100</v>
      </c>
      <c r="K378" s="1" t="s">
        <v>101</v>
      </c>
      <c r="L378" s="1" t="b">
        <v>0</v>
      </c>
      <c r="M378" s="1" t="s">
        <v>1592</v>
      </c>
      <c r="N378" s="1" t="s">
        <v>1593</v>
      </c>
      <c r="O378" s="1">
        <v>574085.0</v>
      </c>
      <c r="P378" s="1">
        <v>574085.0</v>
      </c>
      <c r="Q378" s="1">
        <v>574085.0</v>
      </c>
      <c r="R378" s="1" t="s">
        <v>145</v>
      </c>
      <c r="S378" s="1">
        <v>13285.0</v>
      </c>
      <c r="T378" s="1" t="s">
        <v>104</v>
      </c>
      <c r="U378" s="3"/>
      <c r="V378" s="3"/>
      <c r="W378" s="1" t="s">
        <v>118</v>
      </c>
      <c r="X378" s="3"/>
      <c r="Y378" s="1" t="s">
        <v>106</v>
      </c>
      <c r="Z378" s="3"/>
      <c r="AA378" s="1" t="b">
        <v>1</v>
      </c>
      <c r="AB378" s="1" t="b">
        <v>1</v>
      </c>
      <c r="AC378" s="1" t="b">
        <v>0</v>
      </c>
      <c r="AD378" s="1" t="b">
        <v>1</v>
      </c>
      <c r="AE378" s="1" t="b">
        <v>0</v>
      </c>
      <c r="AF378" s="5">
        <v>1.0</v>
      </c>
      <c r="AG378" s="3"/>
      <c r="AH378" s="5">
        <v>1.0</v>
      </c>
      <c r="AI378" s="3"/>
      <c r="AJ378" s="2">
        <v>46055.88680555556</v>
      </c>
      <c r="AK378" s="2">
        <v>46058.46653935185</v>
      </c>
      <c r="AL378" s="2">
        <v>46055.88680555556</v>
      </c>
      <c r="AM378" s="2">
        <v>46055.88681712963</v>
      </c>
      <c r="AO378" s="3"/>
      <c r="AP378" s="2">
        <v>46055.88722222222</v>
      </c>
      <c r="AQ378" s="2">
        <v>46055.887349537035</v>
      </c>
      <c r="AS378" s="2">
        <v>46055.88736111111</v>
      </c>
      <c r="AT378" s="2">
        <v>46055.887349537035</v>
      </c>
      <c r="AU378" s="2">
        <v>46057.78356481482</v>
      </c>
      <c r="AW378" s="3"/>
      <c r="AX378" s="2">
        <v>46055.88736111111</v>
      </c>
      <c r="AY378" s="2">
        <v>46055.88736111111</v>
      </c>
      <c r="AZ378" s="2">
        <v>46057.78355324074</v>
      </c>
      <c r="BA378" s="2">
        <v>46057.78355324074</v>
      </c>
      <c r="BC378" s="2">
        <v>46056.38234953704</v>
      </c>
      <c r="BD378" s="2">
        <v>46058.42486111111</v>
      </c>
      <c r="BE378" s="5">
        <v>163831.0</v>
      </c>
      <c r="BF378" s="3"/>
      <c r="BG378" s="5">
        <v>163831.0</v>
      </c>
      <c r="BH378" s="3"/>
      <c r="BI378" s="3"/>
      <c r="BJ378" s="3"/>
      <c r="BK378" s="5">
        <v>0.0</v>
      </c>
      <c r="BL378" s="5">
        <v>0.0</v>
      </c>
      <c r="BM378" s="5">
        <v>0.0</v>
      </c>
      <c r="BN378" s="5">
        <v>0.0</v>
      </c>
      <c r="BO378" s="5">
        <v>163832.0</v>
      </c>
      <c r="BP378" s="5">
        <v>43200.0</v>
      </c>
      <c r="BQ378" s="5">
        <v>163877.0</v>
      </c>
      <c r="BR378" s="5">
        <v>43200.0</v>
      </c>
      <c r="BS378" s="5">
        <v>163831.0</v>
      </c>
      <c r="BT378" s="5">
        <v>43200.0</v>
      </c>
      <c r="BU378" s="5">
        <v>163831.0</v>
      </c>
      <c r="BV378" s="5">
        <v>43200.0</v>
      </c>
      <c r="BW378" s="5">
        <v>163832.0</v>
      </c>
      <c r="BX378" s="5">
        <v>43200.0</v>
      </c>
      <c r="BY378" s="5">
        <v>42768.0</v>
      </c>
      <c r="BZ378" s="5">
        <v>0.0</v>
      </c>
      <c r="CA378" s="5">
        <v>219241.0</v>
      </c>
      <c r="CB378" s="5">
        <v>43908.0</v>
      </c>
      <c r="CC378" s="5">
        <v>42813.0</v>
      </c>
      <c r="CD378" s="5">
        <v>0.0</v>
      </c>
      <c r="CE378" s="5">
        <v>42767.0</v>
      </c>
      <c r="CF378" s="5">
        <v>0.0</v>
      </c>
      <c r="CG378" s="5">
        <v>42767.0</v>
      </c>
      <c r="CH378" s="5">
        <v>0.0</v>
      </c>
      <c r="CI378" s="5">
        <v>42768.0</v>
      </c>
      <c r="CJ378" s="5">
        <v>0.0</v>
      </c>
      <c r="CK378" s="5">
        <v>98176.0</v>
      </c>
      <c r="CL378" s="5">
        <v>708.0</v>
      </c>
      <c r="CM378" s="5">
        <v>42767.0</v>
      </c>
      <c r="CN378" s="5">
        <v>0.0</v>
      </c>
      <c r="CO378" s="5">
        <v>36.0</v>
      </c>
      <c r="CP378" s="3"/>
      <c r="CQ378" s="3"/>
      <c r="CR378" s="4" t="s">
        <v>1594</v>
      </c>
    </row>
    <row r="379">
      <c r="A379" s="1" t="s">
        <v>1595</v>
      </c>
      <c r="B379" s="2">
        <v>46055.88071759259</v>
      </c>
      <c r="C379" s="1" t="str">
        <f t="array" ref="C379">INDEX('User data'!E:E, MATCH(E379, 'User data'!B:B, 0))</f>
        <v>주식회사 고위드(GOWID Inc)</v>
      </c>
      <c r="D379" s="1" t="str">
        <f t="array" ref="D379">INDEX('User data'!F:F, MATCH(C379, 'User data'!E:E, 0))</f>
        <v>261-81-25793</v>
      </c>
      <c r="E379" s="1" t="s">
        <v>1591</v>
      </c>
      <c r="F379" s="3"/>
      <c r="G379" s="3"/>
      <c r="H379" s="3"/>
      <c r="I379" s="3"/>
      <c r="J379" s="1" t="s">
        <v>100</v>
      </c>
      <c r="K379" s="1" t="s">
        <v>101</v>
      </c>
      <c r="L379" s="1" t="b">
        <v>0</v>
      </c>
      <c r="M379" s="1" t="s">
        <v>1592</v>
      </c>
      <c r="N379" s="1" t="s">
        <v>1593</v>
      </c>
      <c r="O379" s="1">
        <v>574085.0</v>
      </c>
      <c r="P379" s="1">
        <v>574085.0</v>
      </c>
      <c r="Q379" s="1">
        <v>574085.0</v>
      </c>
      <c r="R379" s="1">
        <v>574085.0</v>
      </c>
      <c r="S379" s="1">
        <v>13285.0</v>
      </c>
      <c r="T379" s="1" t="s">
        <v>104</v>
      </c>
      <c r="U379" s="3"/>
      <c r="V379" s="3"/>
      <c r="W379" s="1" t="s">
        <v>118</v>
      </c>
      <c r="X379" s="3"/>
      <c r="Y379" s="1" t="s">
        <v>106</v>
      </c>
      <c r="Z379" s="3"/>
      <c r="AA379" s="1" t="b">
        <v>1</v>
      </c>
      <c r="AB379" s="1" t="b">
        <v>0</v>
      </c>
      <c r="AC379" s="1" t="b">
        <v>0</v>
      </c>
      <c r="AD379" s="1" t="b">
        <v>1</v>
      </c>
      <c r="AE379" s="1" t="b">
        <v>0</v>
      </c>
      <c r="AF379" s="3"/>
      <c r="AG379" s="3"/>
      <c r="AH379" s="3"/>
      <c r="AI379" s="3"/>
      <c r="AJ379" s="2">
        <v>46055.88041666667</v>
      </c>
      <c r="AK379" s="2">
        <v>46056.42402777778</v>
      </c>
      <c r="AL379" s="2">
        <v>46055.88041666667</v>
      </c>
      <c r="AM379" s="2">
        <v>46055.88043981481</v>
      </c>
      <c r="AO379" s="3"/>
      <c r="AP379" s="2">
        <v>46055.88068287037</v>
      </c>
      <c r="AQ379" s="2">
        <v>46055.88071759259</v>
      </c>
      <c r="AS379" s="2">
        <v>46055.88072916667</v>
      </c>
      <c r="AT379" s="2">
        <v>46055.88071759259</v>
      </c>
      <c r="AU379" s="2">
        <v>46055.88072916667</v>
      </c>
      <c r="AW379" s="3"/>
      <c r="AX379" s="2">
        <v>46055.88072916667</v>
      </c>
      <c r="AY379" s="2">
        <v>46055.88072916667</v>
      </c>
      <c r="BA379" s="3"/>
      <c r="BB379" s="3"/>
      <c r="BC379" s="2">
        <v>46056.38234953704</v>
      </c>
      <c r="BD379" s="2">
        <v>46056.38234953704</v>
      </c>
      <c r="BF379" s="3"/>
      <c r="BG379" s="3"/>
      <c r="BH379" s="3"/>
      <c r="BI379" s="3"/>
      <c r="BJ379" s="3"/>
      <c r="BK379" s="5">
        <v>0.0</v>
      </c>
      <c r="BL379" s="5">
        <v>0.0</v>
      </c>
      <c r="BM379" s="5">
        <v>0.0</v>
      </c>
      <c r="BN379" s="5">
        <v>0.0</v>
      </c>
      <c r="BO379" s="3"/>
      <c r="BP379" s="3"/>
      <c r="BQ379" s="3"/>
      <c r="BR379" s="3"/>
      <c r="BS379" s="3"/>
      <c r="BT379" s="3"/>
      <c r="BU379" s="3"/>
      <c r="BV379" s="3"/>
      <c r="BW379" s="3"/>
      <c r="BX379" s="3"/>
      <c r="BY379" s="5">
        <v>43340.0</v>
      </c>
      <c r="BZ379" s="5">
        <v>0.0</v>
      </c>
      <c r="CA379" s="5">
        <v>43340.0</v>
      </c>
      <c r="CB379" s="5">
        <v>0.0</v>
      </c>
      <c r="CC379" s="5">
        <v>43365.0</v>
      </c>
      <c r="CD379" s="5">
        <v>0.0</v>
      </c>
      <c r="CE379" s="5">
        <v>43340.0</v>
      </c>
      <c r="CF379" s="5">
        <v>0.0</v>
      </c>
      <c r="CG379" s="5">
        <v>43340.0</v>
      </c>
      <c r="CH379" s="5">
        <v>0.0</v>
      </c>
      <c r="CI379" s="5">
        <v>43340.0</v>
      </c>
      <c r="CJ379" s="5">
        <v>0.0</v>
      </c>
      <c r="CK379" s="5">
        <v>43340.0</v>
      </c>
      <c r="CL379" s="5">
        <v>0.0</v>
      </c>
      <c r="CM379" s="5">
        <v>43340.0</v>
      </c>
      <c r="CN379" s="5">
        <v>0.0</v>
      </c>
      <c r="CO379" s="5">
        <v>23.0</v>
      </c>
      <c r="CP379" s="3"/>
      <c r="CQ379" s="3"/>
      <c r="CR379" s="4" t="s">
        <v>1596</v>
      </c>
    </row>
    <row r="380">
      <c r="A380" s="1" t="s">
        <v>1597</v>
      </c>
      <c r="B380" s="2">
        <v>46055.850023148145</v>
      </c>
      <c r="C380" s="1" t="str">
        <f t="array" ref="C380">INDEX('User data'!E:E, MATCH(E380, 'User data'!B:B, 0))</f>
        <v>캔디드 유한회사</v>
      </c>
      <c r="D380" s="1" t="str">
        <f t="array" ref="D380">INDEX('User data'!F:F, MATCH(C380, 'User data'!E:E, 0))</f>
        <v>717-87-02844</v>
      </c>
      <c r="E380" s="1" t="s">
        <v>334</v>
      </c>
      <c r="F380" s="3"/>
      <c r="G380" s="3"/>
      <c r="H380" s="3"/>
      <c r="I380" s="1" t="s">
        <v>1537</v>
      </c>
      <c r="J380" s="1" t="s">
        <v>100</v>
      </c>
      <c r="K380" s="1" t="s">
        <v>101</v>
      </c>
      <c r="L380" s="1" t="b">
        <v>0</v>
      </c>
      <c r="M380" s="4" t="s">
        <v>102</v>
      </c>
      <c r="N380" s="1" t="s">
        <v>335</v>
      </c>
      <c r="O380" s="1">
        <v>574085.0</v>
      </c>
      <c r="P380" s="1">
        <v>574085.0</v>
      </c>
      <c r="Q380" s="1">
        <v>574085.0</v>
      </c>
      <c r="R380" s="1" t="s">
        <v>145</v>
      </c>
      <c r="S380" s="1">
        <v>13285.0</v>
      </c>
      <c r="T380" s="1" t="s">
        <v>104</v>
      </c>
      <c r="U380" s="3"/>
      <c r="V380" s="3"/>
      <c r="W380" s="1" t="s">
        <v>118</v>
      </c>
      <c r="X380" s="3"/>
      <c r="Y380" s="1" t="s">
        <v>119</v>
      </c>
      <c r="Z380" s="3"/>
      <c r="AA380" s="1" t="b">
        <v>1</v>
      </c>
      <c r="AB380" s="1" t="b">
        <v>0</v>
      </c>
      <c r="AC380" s="1" t="b">
        <v>0</v>
      </c>
      <c r="AD380" s="1" t="b">
        <v>1</v>
      </c>
      <c r="AE380" s="1" t="b">
        <v>0</v>
      </c>
      <c r="AF380" s="5">
        <v>1.0</v>
      </c>
      <c r="AG380" s="3"/>
      <c r="AH380" s="3"/>
      <c r="AI380" s="3"/>
      <c r="AJ380" s="2">
        <v>46055.84780092593</v>
      </c>
      <c r="AK380" s="2">
        <v>46056.54908564815</v>
      </c>
      <c r="AL380" s="2">
        <v>46055.84780092593</v>
      </c>
      <c r="AM380" s="2">
        <v>46055.84782407407</v>
      </c>
      <c r="AO380" s="3"/>
      <c r="AP380" s="2">
        <v>46055.84842592593</v>
      </c>
      <c r="AQ380" s="2">
        <v>46055.850023148145</v>
      </c>
      <c r="AS380" s="2">
        <v>46055.8500462963</v>
      </c>
      <c r="AT380" s="2">
        <v>46055.850023148145</v>
      </c>
      <c r="AU380" s="2">
        <v>46055.8500462963</v>
      </c>
      <c r="AW380" s="3"/>
      <c r="AX380" s="2">
        <v>46055.8500462963</v>
      </c>
      <c r="AY380" s="2">
        <v>46055.8500462963</v>
      </c>
      <c r="AZ380" s="2">
        <v>46056.42025462963</v>
      </c>
      <c r="BA380" s="2">
        <v>46056.42025462963</v>
      </c>
      <c r="BC380" s="2">
        <v>46056.50740740741</v>
      </c>
      <c r="BD380" s="2">
        <v>46056.50740740741</v>
      </c>
      <c r="BE380" s="5">
        <v>49268.0</v>
      </c>
      <c r="BF380" s="3"/>
      <c r="BG380" s="5">
        <v>49268.0</v>
      </c>
      <c r="BH380" s="3"/>
      <c r="BI380" s="3"/>
      <c r="BJ380" s="3"/>
      <c r="BK380" s="5">
        <v>2.0</v>
      </c>
      <c r="BL380" s="5">
        <v>0.0</v>
      </c>
      <c r="BM380" s="5">
        <v>2.0</v>
      </c>
      <c r="BN380" s="5">
        <v>0.0</v>
      </c>
      <c r="BO380" s="5">
        <v>49268.0</v>
      </c>
      <c r="BP380" s="5">
        <v>310.0</v>
      </c>
      <c r="BQ380" s="5">
        <v>49457.0</v>
      </c>
      <c r="BR380" s="5">
        <v>310.0</v>
      </c>
      <c r="BS380" s="5">
        <v>49266.0</v>
      </c>
      <c r="BT380" s="5">
        <v>310.0</v>
      </c>
      <c r="BU380" s="5">
        <v>49266.0</v>
      </c>
      <c r="BV380" s="5">
        <v>310.0</v>
      </c>
      <c r="BW380" s="5">
        <v>49268.0</v>
      </c>
      <c r="BX380" s="5">
        <v>310.0</v>
      </c>
      <c r="BY380" s="5">
        <v>56798.0</v>
      </c>
      <c r="BZ380" s="5">
        <v>7840.0</v>
      </c>
      <c r="CA380" s="5">
        <v>56798.0</v>
      </c>
      <c r="CB380" s="5">
        <v>7840.0</v>
      </c>
      <c r="CC380" s="5">
        <v>56988.0</v>
      </c>
      <c r="CD380" s="5">
        <v>7840.0</v>
      </c>
      <c r="CE380" s="5">
        <v>56796.0</v>
      </c>
      <c r="CF380" s="5">
        <v>7840.0</v>
      </c>
      <c r="CG380" s="5">
        <v>56796.0</v>
      </c>
      <c r="CH380" s="5">
        <v>7840.0</v>
      </c>
      <c r="CI380" s="5">
        <v>56798.0</v>
      </c>
      <c r="CJ380" s="5">
        <v>7840.0</v>
      </c>
      <c r="CK380" s="5">
        <v>56796.0</v>
      </c>
      <c r="CL380" s="5">
        <v>7840.0</v>
      </c>
      <c r="CM380" s="5">
        <v>56796.0</v>
      </c>
      <c r="CN380" s="5">
        <v>7840.0</v>
      </c>
      <c r="CO380" s="5">
        <v>54.0</v>
      </c>
      <c r="CP380" s="3"/>
      <c r="CQ380" s="3"/>
      <c r="CR380" s="4" t="s">
        <v>1598</v>
      </c>
    </row>
    <row r="381">
      <c r="A381" s="1" t="s">
        <v>1599</v>
      </c>
      <c r="B381" s="2">
        <v>46055.76237268518</v>
      </c>
      <c r="C381" s="1" t="str">
        <f t="array" ref="C381">INDEX('User data'!E:E, MATCH(E381, 'User data'!B:B, 0))</f>
        <v>내이루리 주식회사</v>
      </c>
      <c r="D381" s="1" t="str">
        <f t="array" ref="D381">INDEX('User data'!F:F, MATCH(C381, 'User data'!E:E, 0))</f>
        <v>109-86-56649</v>
      </c>
      <c r="E381" s="1" t="s">
        <v>1600</v>
      </c>
      <c r="F381" s="3"/>
      <c r="G381" s="3"/>
      <c r="H381" s="3"/>
      <c r="I381" s="3"/>
      <c r="J381" s="1" t="s">
        <v>100</v>
      </c>
      <c r="K381" s="1" t="s">
        <v>101</v>
      </c>
      <c r="L381" s="1" t="b">
        <v>0</v>
      </c>
      <c r="M381" s="4" t="s">
        <v>102</v>
      </c>
      <c r="N381" s="1" t="s">
        <v>1601</v>
      </c>
      <c r="P381" s="3"/>
      <c r="Q381" s="3"/>
      <c r="R381" s="3"/>
      <c r="S381" s="1">
        <v>13285.0</v>
      </c>
      <c r="T381" s="1" t="s">
        <v>104</v>
      </c>
      <c r="U381" s="3"/>
      <c r="V381" s="3"/>
      <c r="W381" s="1" t="s">
        <v>105</v>
      </c>
      <c r="X381" s="3"/>
      <c r="Y381" s="1" t="s">
        <v>106</v>
      </c>
      <c r="Z381" s="3"/>
      <c r="AA381" s="1" t="b">
        <v>0</v>
      </c>
      <c r="AB381" s="1" t="b">
        <v>0</v>
      </c>
      <c r="AC381" s="1" t="b">
        <v>0</v>
      </c>
      <c r="AD381" s="1" t="b">
        <v>1</v>
      </c>
      <c r="AE381" s="1" t="b">
        <v>1</v>
      </c>
      <c r="AF381" s="3"/>
      <c r="AG381" s="3"/>
      <c r="AH381" s="3"/>
      <c r="AI381" s="3"/>
      <c r="AJ381" s="2">
        <v>46055.760879629626</v>
      </c>
      <c r="AK381" s="2">
        <v>46056.76243055556</v>
      </c>
      <c r="AL381" s="2">
        <v>46055.760879629626</v>
      </c>
      <c r="AM381" s="2">
        <v>46055.76090277778</v>
      </c>
      <c r="AN381" s="2">
        <v>46055.76237268518</v>
      </c>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5">
        <v>3.4</v>
      </c>
      <c r="CR381" s="4" t="s">
        <v>1602</v>
      </c>
    </row>
    <row r="382">
      <c r="A382" s="1" t="s">
        <v>1603</v>
      </c>
      <c r="B382" s="2">
        <v>46055.75962962963</v>
      </c>
      <c r="C382" s="1" t="str">
        <f t="array" ref="C382">INDEX('User data'!E:E, MATCH(E382, 'User data'!B:B, 0))</f>
        <v>주식회사 리옵스(LiOps)</v>
      </c>
      <c r="D382" s="1" t="str">
        <f t="array" ref="D382">INDEX('User data'!F:F, MATCH(C382, 'User data'!E:E, 0))</f>
        <v>463-81-03056</v>
      </c>
      <c r="E382" s="1" t="s">
        <v>781</v>
      </c>
      <c r="F382" s="3"/>
      <c r="G382" s="3"/>
      <c r="H382" s="3"/>
      <c r="I382" s="3"/>
      <c r="J382" s="1" t="s">
        <v>100</v>
      </c>
      <c r="K382" s="1" t="s">
        <v>101</v>
      </c>
      <c r="L382" s="1" t="b">
        <v>0</v>
      </c>
      <c r="M382" s="4" t="s">
        <v>102</v>
      </c>
      <c r="N382" s="1" t="s">
        <v>782</v>
      </c>
      <c r="P382" s="3"/>
      <c r="Q382" s="3"/>
      <c r="R382" s="3"/>
      <c r="S382" s="1">
        <v>13285.0</v>
      </c>
      <c r="T382" s="1" t="s">
        <v>104</v>
      </c>
      <c r="U382" s="3"/>
      <c r="V382" s="3"/>
      <c r="W382" s="1" t="s">
        <v>105</v>
      </c>
      <c r="X382" s="3"/>
      <c r="Y382" s="1" t="s">
        <v>106</v>
      </c>
      <c r="Z382" s="3"/>
      <c r="AA382" s="1" t="b">
        <v>0</v>
      </c>
      <c r="AB382" s="1" t="b">
        <v>0</v>
      </c>
      <c r="AC382" s="1" t="b">
        <v>0</v>
      </c>
      <c r="AD382" s="1" t="b">
        <v>1</v>
      </c>
      <c r="AE382" s="1" t="b">
        <v>1</v>
      </c>
      <c r="AF382" s="3"/>
      <c r="AG382" s="3"/>
      <c r="AH382" s="3"/>
      <c r="AI382" s="3"/>
      <c r="AJ382" s="2">
        <v>46055.7587037037</v>
      </c>
      <c r="AK382" s="2">
        <v>46056.7596875</v>
      </c>
      <c r="AL382" s="2">
        <v>46055.7587037037</v>
      </c>
      <c r="AM382" s="2">
        <v>46055.758738425924</v>
      </c>
      <c r="AN382" s="2">
        <v>46055.75962962963</v>
      </c>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5">
        <v>2.6</v>
      </c>
      <c r="CR382" s="4" t="s">
        <v>1604</v>
      </c>
    </row>
    <row r="383">
      <c r="A383" s="1" t="s">
        <v>1605</v>
      </c>
      <c r="B383" s="2">
        <v>46055.75171296296</v>
      </c>
      <c r="C383" s="1" t="str">
        <f t="array" ref="C383">INDEX('User data'!E:E, MATCH(E383, 'User data'!B:B, 0))</f>
        <v>주식회사 디카르고</v>
      </c>
      <c r="D383" s="1" t="str">
        <f t="array" ref="D383">INDEX('User data'!F:F, MATCH(C383, 'User data'!E:E, 0))</f>
        <v>419-81-02593</v>
      </c>
      <c r="E383" s="1" t="s">
        <v>1606</v>
      </c>
      <c r="F383" s="3"/>
      <c r="G383" s="3"/>
      <c r="H383" s="3"/>
      <c r="I383" s="3"/>
      <c r="J383" s="1" t="s">
        <v>100</v>
      </c>
      <c r="K383" s="1" t="s">
        <v>101</v>
      </c>
      <c r="L383" s="1" t="b">
        <v>0</v>
      </c>
      <c r="M383" s="4" t="s">
        <v>102</v>
      </c>
      <c r="N383" s="1" t="s">
        <v>1607</v>
      </c>
      <c r="P383" s="3"/>
      <c r="Q383" s="3"/>
      <c r="R383" s="3"/>
      <c r="S383" s="1">
        <v>13285.0</v>
      </c>
      <c r="T383" s="1" t="s">
        <v>104</v>
      </c>
      <c r="U383" s="3"/>
      <c r="V383" s="3"/>
      <c r="W383" s="1" t="s">
        <v>105</v>
      </c>
      <c r="X383" s="3"/>
      <c r="Y383" s="1" t="s">
        <v>106</v>
      </c>
      <c r="Z383" s="3"/>
      <c r="AA383" s="1" t="b">
        <v>0</v>
      </c>
      <c r="AB383" s="1" t="b">
        <v>0</v>
      </c>
      <c r="AC383" s="1" t="b">
        <v>0</v>
      </c>
      <c r="AD383" s="1" t="b">
        <v>1</v>
      </c>
      <c r="AE383" s="1" t="b">
        <v>1</v>
      </c>
      <c r="AF383" s="3"/>
      <c r="AG383" s="3"/>
      <c r="AH383" s="3"/>
      <c r="AI383" s="3"/>
      <c r="AJ383" s="2">
        <v>46055.75059027778</v>
      </c>
      <c r="AK383" s="2">
        <v>46056.7530787037</v>
      </c>
      <c r="AL383" s="2">
        <v>46055.75059027778</v>
      </c>
      <c r="AM383" s="2">
        <v>46055.750613425924</v>
      </c>
      <c r="AN383" s="2">
        <v>46055.75171296296</v>
      </c>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5">
        <v>2.8</v>
      </c>
      <c r="CR383" s="4" t="s">
        <v>1608</v>
      </c>
    </row>
    <row r="384">
      <c r="A384" s="1" t="s">
        <v>1609</v>
      </c>
      <c r="B384" s="2">
        <v>46055.694085648145</v>
      </c>
      <c r="C384" s="1" t="str">
        <f t="array" ref="C384">INDEX('User data'!E:E, MATCH(E384, 'User data'!B:B, 0))</f>
        <v>주식회사 어베어(Abear)</v>
      </c>
      <c r="D384" s="1" t="str">
        <f t="array" ref="D384">INDEX('User data'!F:F, MATCH(C384, 'User data'!E:E, 0))</f>
        <v>885-88-02289</v>
      </c>
      <c r="E384" s="1" t="s">
        <v>1610</v>
      </c>
      <c r="F384" s="3"/>
      <c r="G384" s="3"/>
      <c r="H384" s="3"/>
      <c r="I384" s="1" t="s">
        <v>992</v>
      </c>
      <c r="J384" s="1" t="s">
        <v>100</v>
      </c>
      <c r="K384" s="1" t="s">
        <v>101</v>
      </c>
      <c r="L384" s="1" t="b">
        <v>0</v>
      </c>
      <c r="M384" s="4" t="s">
        <v>102</v>
      </c>
      <c r="N384" s="1" t="s">
        <v>1611</v>
      </c>
      <c r="O384" s="1">
        <v>574085.0</v>
      </c>
      <c r="P384" s="1">
        <v>574085.0</v>
      </c>
      <c r="Q384" s="1">
        <v>574085.0</v>
      </c>
      <c r="R384" s="1" t="s">
        <v>145</v>
      </c>
      <c r="S384" s="1">
        <v>13285.0</v>
      </c>
      <c r="T384" s="1" t="s">
        <v>104</v>
      </c>
      <c r="U384" s="3"/>
      <c r="V384" s="3"/>
      <c r="W384" s="1" t="s">
        <v>118</v>
      </c>
      <c r="X384" s="3"/>
      <c r="Y384" s="1" t="s">
        <v>119</v>
      </c>
      <c r="Z384" s="3"/>
      <c r="AA384" s="1" t="b">
        <v>1</v>
      </c>
      <c r="AB384" s="1" t="b">
        <v>0</v>
      </c>
      <c r="AC384" s="1" t="b">
        <v>0</v>
      </c>
      <c r="AD384" s="1" t="b">
        <v>1</v>
      </c>
      <c r="AE384" s="1" t="b">
        <v>1</v>
      </c>
      <c r="AF384" s="5">
        <v>2.0</v>
      </c>
      <c r="AG384" s="5">
        <v>1.0</v>
      </c>
      <c r="AH384" s="3"/>
      <c r="AI384" s="3"/>
      <c r="AJ384" s="2">
        <v>46055.69341435185</v>
      </c>
      <c r="AK384" s="2">
        <v>46056.5468287037</v>
      </c>
      <c r="AL384" s="2">
        <v>46055.69341435185</v>
      </c>
      <c r="AM384" s="2">
        <v>46055.6934375</v>
      </c>
      <c r="AN384" s="2">
        <v>46055.694085648145</v>
      </c>
      <c r="AO384" s="2">
        <v>46055.69452546296</v>
      </c>
      <c r="AP384" s="2">
        <v>46055.69452546296</v>
      </c>
      <c r="AQ384" s="2">
        <v>46055.69452546296</v>
      </c>
      <c r="AS384" s="2">
        <v>46055.69453703704</v>
      </c>
      <c r="AT384" s="2">
        <v>46055.69452546296</v>
      </c>
      <c r="AU384" s="2">
        <v>46055.87362268518</v>
      </c>
      <c r="AW384" s="3"/>
      <c r="AX384" s="2">
        <v>46055.69453703704</v>
      </c>
      <c r="AY384" s="2">
        <v>46055.69453703704</v>
      </c>
      <c r="AZ384" s="2">
        <v>46055.69792824074</v>
      </c>
      <c r="BA384" s="2">
        <v>46056.41847222222</v>
      </c>
      <c r="BB384" s="2">
        <v>46055.76541666667</v>
      </c>
      <c r="BC384" s="2">
        <v>46056.50515046297</v>
      </c>
      <c r="BD384" s="2">
        <v>46056.50515046297</v>
      </c>
      <c r="BE384" s="5">
        <v>47370.0</v>
      </c>
      <c r="BF384" s="5">
        <v>294.0</v>
      </c>
      <c r="BG384" s="5">
        <v>23685.0</v>
      </c>
      <c r="BH384" s="5">
        <v>294.0</v>
      </c>
      <c r="BI384" s="5">
        <v>9348.0</v>
      </c>
      <c r="BJ384" s="5">
        <v>0.0</v>
      </c>
      <c r="BK384" s="5">
        <v>1.0</v>
      </c>
      <c r="BL384" s="5">
        <v>1.0</v>
      </c>
      <c r="BM384" s="5">
        <v>38.0</v>
      </c>
      <c r="BN384" s="5">
        <v>38.0</v>
      </c>
      <c r="BO384" s="5">
        <v>332.0</v>
      </c>
      <c r="BP384" s="5">
        <v>332.0</v>
      </c>
      <c r="BQ384" s="5">
        <v>388.0</v>
      </c>
      <c r="BR384" s="5">
        <v>388.0</v>
      </c>
      <c r="BS384" s="5">
        <v>293.0</v>
      </c>
      <c r="BT384" s="5">
        <v>293.0</v>
      </c>
      <c r="BU384" s="5">
        <v>293.0</v>
      </c>
      <c r="BV384" s="5">
        <v>293.0</v>
      </c>
      <c r="BW384" s="5">
        <v>294.0</v>
      </c>
      <c r="BX384" s="5">
        <v>294.0</v>
      </c>
      <c r="BY384" s="5">
        <v>70076.0</v>
      </c>
      <c r="BZ384" s="5">
        <v>8876.0</v>
      </c>
      <c r="CA384" s="5">
        <v>70076.0</v>
      </c>
      <c r="CB384" s="5">
        <v>8876.0</v>
      </c>
      <c r="CC384" s="5">
        <v>70132.0</v>
      </c>
      <c r="CD384" s="5">
        <v>8932.0</v>
      </c>
      <c r="CE384" s="5">
        <v>70037.0</v>
      </c>
      <c r="CF384" s="5">
        <v>8837.0</v>
      </c>
      <c r="CG384" s="5">
        <v>70037.0</v>
      </c>
      <c r="CH384" s="5">
        <v>8837.0</v>
      </c>
      <c r="CI384" s="5">
        <v>70038.0</v>
      </c>
      <c r="CJ384" s="5">
        <v>8838.0</v>
      </c>
      <c r="CK384" s="5">
        <v>60688.0</v>
      </c>
      <c r="CL384" s="5">
        <v>8837.0</v>
      </c>
      <c r="CM384" s="5">
        <v>60688.0</v>
      </c>
      <c r="CN384" s="5">
        <v>8837.0</v>
      </c>
      <c r="CO384" s="5">
        <v>95.0</v>
      </c>
      <c r="CP384" s="5">
        <v>37.0</v>
      </c>
      <c r="CQ384" s="3"/>
      <c r="CR384" s="4" t="s">
        <v>1612</v>
      </c>
    </row>
    <row r="385">
      <c r="A385" s="1" t="s">
        <v>1613</v>
      </c>
      <c r="B385" s="2">
        <v>46055.69375</v>
      </c>
      <c r="C385" s="1" t="str">
        <f t="array" ref="C385">INDEX('User data'!E:E, MATCH(E385, 'User data'!B:B, 0))</f>
        <v>니드코리아 유한회사</v>
      </c>
      <c r="D385" s="1" t="str">
        <f t="array" ref="D385">INDEX('User data'!F:F, MATCH(C385, 'User data'!E:E, 0))</f>
        <v>701-88-01906</v>
      </c>
      <c r="E385" s="1" t="s">
        <v>1614</v>
      </c>
      <c r="F385" s="3"/>
      <c r="G385" s="3"/>
      <c r="H385" s="3"/>
      <c r="I385" s="1" t="s">
        <v>624</v>
      </c>
      <c r="J385" s="1" t="s">
        <v>100</v>
      </c>
      <c r="K385" s="1" t="s">
        <v>101</v>
      </c>
      <c r="L385" s="1" t="b">
        <v>0</v>
      </c>
      <c r="M385" s="4" t="s">
        <v>102</v>
      </c>
      <c r="N385" s="1" t="s">
        <v>1615</v>
      </c>
      <c r="O385" s="1">
        <v>574085.0</v>
      </c>
      <c r="P385" s="1">
        <v>574085.0</v>
      </c>
      <c r="Q385" s="1">
        <v>574085.0</v>
      </c>
      <c r="R385" s="1" t="s">
        <v>1115</v>
      </c>
      <c r="S385" s="1">
        <v>13285.0</v>
      </c>
      <c r="T385" s="1" t="s">
        <v>104</v>
      </c>
      <c r="U385" s="3"/>
      <c r="V385" s="3"/>
      <c r="W385" s="1" t="s">
        <v>118</v>
      </c>
      <c r="X385" s="3"/>
      <c r="Y385" s="1" t="s">
        <v>119</v>
      </c>
      <c r="Z385" s="3"/>
      <c r="AA385" s="1" t="b">
        <v>1</v>
      </c>
      <c r="AB385" s="1" t="b">
        <v>0</v>
      </c>
      <c r="AC385" s="1" t="b">
        <v>0</v>
      </c>
      <c r="AD385" s="1" t="b">
        <v>1</v>
      </c>
      <c r="AE385" s="1" t="b">
        <v>0</v>
      </c>
      <c r="AF385" s="5">
        <v>4.0</v>
      </c>
      <c r="AG385" s="5">
        <v>1.0</v>
      </c>
      <c r="AH385" s="3"/>
      <c r="AI385" s="3"/>
      <c r="AJ385" s="2">
        <v>46055.692245370374</v>
      </c>
      <c r="AK385" s="2">
        <v>46056.46271990741</v>
      </c>
      <c r="AL385" s="2">
        <v>46055.692245370374</v>
      </c>
      <c r="AM385" s="2">
        <v>46055.69225694444</v>
      </c>
      <c r="AO385" s="3"/>
      <c r="AP385" s="2">
        <v>46055.69278935185</v>
      </c>
      <c r="AQ385" s="2">
        <v>46055.69375</v>
      </c>
      <c r="AS385" s="2">
        <v>46055.693761574075</v>
      </c>
      <c r="AT385" s="2">
        <v>46055.69375</v>
      </c>
      <c r="AU385" s="2">
        <v>46055.693761574075</v>
      </c>
      <c r="AW385" s="3"/>
      <c r="AX385" s="2">
        <v>46055.693761574075</v>
      </c>
      <c r="AY385" s="2">
        <v>46055.693761574075</v>
      </c>
      <c r="AZ385" s="2">
        <v>46055.69626157408</v>
      </c>
      <c r="BA385" s="2">
        <v>46056.42086805555</v>
      </c>
      <c r="BC385" s="2">
        <v>46056.42104166667</v>
      </c>
      <c r="BD385" s="2">
        <v>46056.42104166667</v>
      </c>
      <c r="BE385" s="5">
        <v>5523.0</v>
      </c>
      <c r="BF385" s="5">
        <v>216.0</v>
      </c>
      <c r="BG385" s="5">
        <v>1380.0</v>
      </c>
      <c r="BH385" s="5">
        <v>216.0</v>
      </c>
      <c r="BI385" s="3"/>
      <c r="BJ385" s="3"/>
      <c r="BK385" s="5">
        <v>0.0</v>
      </c>
      <c r="BL385" s="5">
        <v>0.0</v>
      </c>
      <c r="BM385" s="5">
        <v>0.0</v>
      </c>
      <c r="BN385" s="5">
        <v>0.0</v>
      </c>
      <c r="BO385" s="5">
        <v>216.0</v>
      </c>
      <c r="BP385" s="5">
        <v>216.0</v>
      </c>
      <c r="BQ385" s="5">
        <v>345.0</v>
      </c>
      <c r="BR385" s="5">
        <v>345.0</v>
      </c>
      <c r="BS385" s="5">
        <v>216.0</v>
      </c>
      <c r="BT385" s="5">
        <v>216.0</v>
      </c>
      <c r="BU385" s="5">
        <v>216.0</v>
      </c>
      <c r="BV385" s="5">
        <v>216.0</v>
      </c>
      <c r="BW385" s="5">
        <v>216.0</v>
      </c>
      <c r="BX385" s="5">
        <v>216.0</v>
      </c>
      <c r="BY385" s="5">
        <v>62838.0</v>
      </c>
      <c r="BZ385" s="5">
        <v>1638.0</v>
      </c>
      <c r="CA385" s="5">
        <v>62838.0</v>
      </c>
      <c r="CB385" s="5">
        <v>1638.0</v>
      </c>
      <c r="CC385" s="5">
        <v>62966.0</v>
      </c>
      <c r="CD385" s="5">
        <v>1766.0</v>
      </c>
      <c r="CE385" s="5">
        <v>62837.0</v>
      </c>
      <c r="CF385" s="5">
        <v>1637.0</v>
      </c>
      <c r="CG385" s="5">
        <v>62837.0</v>
      </c>
      <c r="CH385" s="5">
        <v>1637.0</v>
      </c>
      <c r="CI385" s="5">
        <v>62838.0</v>
      </c>
      <c r="CJ385" s="5">
        <v>1638.0</v>
      </c>
      <c r="CK385" s="5">
        <v>62837.0</v>
      </c>
      <c r="CL385" s="5">
        <v>1637.0</v>
      </c>
      <c r="CM385" s="5">
        <v>62837.0</v>
      </c>
      <c r="CN385" s="5">
        <v>1637.0</v>
      </c>
      <c r="CO385" s="5">
        <v>47.0</v>
      </c>
      <c r="CP385" s="3"/>
      <c r="CQ385" s="3"/>
      <c r="CR385" s="4" t="s">
        <v>1616</v>
      </c>
      <c r="CS385" s="5">
        <v>5.0</v>
      </c>
      <c r="CT385" s="3"/>
    </row>
    <row r="386">
      <c r="A386" s="1" t="s">
        <v>1617</v>
      </c>
      <c r="B386" s="2">
        <v>46055.68548611111</v>
      </c>
      <c r="C386" s="1" t="str">
        <f t="array" ref="C386">INDEX('User data'!E:E, MATCH(E386, 'User data'!B:B, 0))</f>
        <v>주식회사 넥스트플레이어</v>
      </c>
      <c r="D386" s="1" t="str">
        <f t="array" ref="D386">INDEX('User data'!F:F, MATCH(C386, 'User data'!E:E, 0))</f>
        <v>201-86-33675</v>
      </c>
      <c r="E386" s="1" t="s">
        <v>1618</v>
      </c>
      <c r="F386" s="3"/>
      <c r="G386" s="3"/>
      <c r="H386" s="3"/>
      <c r="I386" s="3"/>
      <c r="J386" s="1" t="s">
        <v>100</v>
      </c>
      <c r="K386" s="1" t="s">
        <v>101</v>
      </c>
      <c r="L386" s="1" t="b">
        <v>0</v>
      </c>
      <c r="M386" s="1" t="s">
        <v>1619</v>
      </c>
      <c r="N386" s="1" t="s">
        <v>1620</v>
      </c>
      <c r="P386" s="3"/>
      <c r="Q386" s="3"/>
      <c r="R386" s="1" t="s">
        <v>1391</v>
      </c>
      <c r="S386" s="1">
        <v>13285.0</v>
      </c>
      <c r="T386" s="1" t="s">
        <v>104</v>
      </c>
      <c r="U386" s="3"/>
      <c r="V386" s="3"/>
      <c r="W386" s="1" t="s">
        <v>105</v>
      </c>
      <c r="X386" s="3"/>
      <c r="Y386" s="1" t="s">
        <v>106</v>
      </c>
      <c r="Z386" s="3"/>
      <c r="AA386" s="1" t="b">
        <v>0</v>
      </c>
      <c r="AB386" s="1" t="b">
        <v>0</v>
      </c>
      <c r="AC386" s="1" t="b">
        <v>0</v>
      </c>
      <c r="AD386" s="1" t="b">
        <v>1</v>
      </c>
      <c r="AE386" s="1" t="b">
        <v>1</v>
      </c>
      <c r="AF386" s="3"/>
      <c r="AG386" s="3"/>
      <c r="AH386" s="3"/>
      <c r="AI386" s="3"/>
      <c r="AJ386" s="2">
        <v>46055.68486111111</v>
      </c>
      <c r="AK386" s="2">
        <v>46056.685532407406</v>
      </c>
      <c r="AL386" s="2">
        <v>46055.68487268518</v>
      </c>
      <c r="AM386" s="2">
        <v>46055.68488425926</v>
      </c>
      <c r="AN386" s="2">
        <v>46055.68548611111</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5">
        <v>5.0</v>
      </c>
      <c r="CR386" s="4" t="s">
        <v>1621</v>
      </c>
    </row>
    <row r="387">
      <c r="A387" s="1" t="s">
        <v>1622</v>
      </c>
      <c r="B387" s="2">
        <v>46055.65820601852</v>
      </c>
      <c r="C387" s="1" t="str">
        <f t="array" ref="C387">INDEX('User data'!E:E, MATCH(E387, 'User data'!B:B, 0))</f>
        <v>주식회사 벤치링크</v>
      </c>
      <c r="D387" s="1" t="str">
        <f t="array" ref="D387">INDEX('User data'!F:F, MATCH(C387, 'User data'!E:E, 0))</f>
        <v>323-87-02784</v>
      </c>
      <c r="E387" s="1" t="s">
        <v>1623</v>
      </c>
      <c r="F387" s="3"/>
      <c r="G387" s="1" t="s">
        <v>1624</v>
      </c>
      <c r="I387" s="1" t="s">
        <v>1114</v>
      </c>
      <c r="J387" s="1" t="s">
        <v>100</v>
      </c>
      <c r="K387" s="1" t="s">
        <v>101</v>
      </c>
      <c r="L387" s="1" t="b">
        <v>0</v>
      </c>
      <c r="M387" s="4" t="s">
        <v>102</v>
      </c>
      <c r="N387" s="1" t="s">
        <v>1625</v>
      </c>
      <c r="O387" s="1">
        <v>574085.0</v>
      </c>
      <c r="P387" s="1">
        <v>574085.0</v>
      </c>
      <c r="Q387" s="1">
        <v>574085.0</v>
      </c>
      <c r="R387" s="1" t="s">
        <v>145</v>
      </c>
      <c r="S387" s="1">
        <v>13285.0</v>
      </c>
      <c r="T387" s="1" t="s">
        <v>104</v>
      </c>
      <c r="U387" s="3"/>
      <c r="V387" s="3"/>
      <c r="W387" s="1" t="s">
        <v>118</v>
      </c>
      <c r="X387" s="3"/>
      <c r="Y387" s="1" t="s">
        <v>119</v>
      </c>
      <c r="Z387" s="3"/>
      <c r="AA387" s="1" t="b">
        <v>1</v>
      </c>
      <c r="AB387" s="1" t="b">
        <v>0</v>
      </c>
      <c r="AC387" s="1" t="b">
        <v>0</v>
      </c>
      <c r="AD387" s="1" t="b">
        <v>1</v>
      </c>
      <c r="AE387" s="1" t="b">
        <v>1</v>
      </c>
      <c r="AF387" s="5">
        <v>7.0</v>
      </c>
      <c r="AG387" s="5">
        <v>2.0</v>
      </c>
      <c r="AH387" s="3"/>
      <c r="AI387" s="3"/>
      <c r="AJ387" s="2">
        <v>46055.65726851852</v>
      </c>
      <c r="AK387" s="2">
        <v>46056.463900462964</v>
      </c>
      <c r="AL387" s="2">
        <v>46055.65726851852</v>
      </c>
      <c r="AM387" s="2">
        <v>46055.65730324074</v>
      </c>
      <c r="AN387" s="2">
        <v>46055.65820601852</v>
      </c>
      <c r="AO387" s="2">
        <v>46055.66045138889</v>
      </c>
      <c r="AP387" s="2">
        <v>46055.66045138889</v>
      </c>
      <c r="AQ387" s="2">
        <v>46055.66045138889</v>
      </c>
      <c r="AS387" s="2">
        <v>46055.660462962966</v>
      </c>
      <c r="AT387" s="2">
        <v>46055.66045138889</v>
      </c>
      <c r="AU387" s="2">
        <v>46056.37517361111</v>
      </c>
      <c r="AW387" s="3"/>
      <c r="AX387" s="2">
        <v>46055.660462962966</v>
      </c>
      <c r="AY387" s="2">
        <v>46055.660462962966</v>
      </c>
      <c r="AZ387" s="2">
        <v>46055.66181712963</v>
      </c>
      <c r="BA387" s="2">
        <v>46056.42215277778</v>
      </c>
      <c r="BB387" s="2">
        <v>46055.76590277778</v>
      </c>
      <c r="BC387" s="2">
        <v>46056.42222222222</v>
      </c>
      <c r="BD387" s="2">
        <v>46056.42222222222</v>
      </c>
      <c r="BE387" s="5">
        <v>7574.0</v>
      </c>
      <c r="BF387" s="5">
        <v>304.0</v>
      </c>
      <c r="BG387" s="5">
        <v>1082.0</v>
      </c>
      <c r="BH387" s="5">
        <v>152.0</v>
      </c>
      <c r="BI387" s="5">
        <v>52641.0</v>
      </c>
      <c r="BJ387" s="5">
        <v>0.0</v>
      </c>
      <c r="BK387" s="5">
        <v>0.0</v>
      </c>
      <c r="BL387" s="5">
        <v>0.0</v>
      </c>
      <c r="BM387" s="5">
        <v>194.0</v>
      </c>
      <c r="BN387" s="5">
        <v>194.0</v>
      </c>
      <c r="BO387" s="5">
        <v>312.0</v>
      </c>
      <c r="BP387" s="5">
        <v>312.0</v>
      </c>
      <c r="BQ387" s="5">
        <v>389.0</v>
      </c>
      <c r="BR387" s="5">
        <v>389.0</v>
      </c>
      <c r="BS387" s="5">
        <v>117.0</v>
      </c>
      <c r="BT387" s="5">
        <v>117.0</v>
      </c>
      <c r="BU387" s="5">
        <v>117.0</v>
      </c>
      <c r="BV387" s="5">
        <v>117.0</v>
      </c>
      <c r="BW387" s="5">
        <v>118.0</v>
      </c>
      <c r="BX387" s="5">
        <v>118.0</v>
      </c>
      <c r="BY387" s="5">
        <v>66010.0</v>
      </c>
      <c r="BZ387" s="5">
        <v>4810.0</v>
      </c>
      <c r="CA387" s="5">
        <v>66010.0</v>
      </c>
      <c r="CB387" s="5">
        <v>4810.0</v>
      </c>
      <c r="CC387" s="5">
        <v>66088.0</v>
      </c>
      <c r="CD387" s="5">
        <v>4888.0</v>
      </c>
      <c r="CE387" s="5">
        <v>65815.0</v>
      </c>
      <c r="CF387" s="5">
        <v>4615.0</v>
      </c>
      <c r="CG387" s="5">
        <v>65815.0</v>
      </c>
      <c r="CH387" s="5">
        <v>4615.0</v>
      </c>
      <c r="CI387" s="5">
        <v>65816.0</v>
      </c>
      <c r="CJ387" s="5">
        <v>4616.0</v>
      </c>
      <c r="CK387" s="5">
        <v>13174.0</v>
      </c>
      <c r="CL387" s="5">
        <v>4615.0</v>
      </c>
      <c r="CM387" s="5">
        <v>13174.0</v>
      </c>
      <c r="CN387" s="5">
        <v>4615.0</v>
      </c>
      <c r="CO387" s="5">
        <v>274.0</v>
      </c>
      <c r="CP387" s="5">
        <v>193.0</v>
      </c>
      <c r="CQ387" s="3"/>
      <c r="CR387" s="4" t="s">
        <v>1626</v>
      </c>
    </row>
    <row r="388">
      <c r="A388" s="1" t="s">
        <v>1627</v>
      </c>
      <c r="B388" s="2">
        <v>46055.65644675926</v>
      </c>
      <c r="C388" s="1" t="str">
        <f t="array" ref="C388">INDEX('User data'!E:E, MATCH(E388, 'User data'!B:B, 0))</f>
        <v>주식회사 인티그레이션</v>
      </c>
      <c r="D388" s="1" t="str">
        <f t="array" ref="D388">INDEX('User data'!F:F, MATCH(C388, 'User data'!E:E, 0))</f>
        <v>784-87-01184</v>
      </c>
      <c r="E388" s="1" t="s">
        <v>1628</v>
      </c>
      <c r="F388" s="3"/>
      <c r="G388" s="3"/>
      <c r="H388" s="3"/>
      <c r="I388" s="1" t="s">
        <v>258</v>
      </c>
      <c r="J388" s="1" t="s">
        <v>100</v>
      </c>
      <c r="K388" s="1" t="s">
        <v>101</v>
      </c>
      <c r="L388" s="1" t="b">
        <v>0</v>
      </c>
      <c r="M388" s="4" t="s">
        <v>102</v>
      </c>
      <c r="N388" s="1" t="s">
        <v>1629</v>
      </c>
      <c r="O388" s="1">
        <v>594863.0</v>
      </c>
      <c r="P388" s="1">
        <v>594863.0</v>
      </c>
      <c r="Q388" s="1">
        <v>594863.0</v>
      </c>
      <c r="R388" s="1" t="s">
        <v>1630</v>
      </c>
      <c r="S388" s="1">
        <v>13288.0</v>
      </c>
      <c r="T388" s="1" t="s">
        <v>104</v>
      </c>
      <c r="U388" s="3"/>
      <c r="V388" s="3"/>
      <c r="W388" s="1" t="s">
        <v>118</v>
      </c>
      <c r="X388" s="3"/>
      <c r="Y388" s="1" t="s">
        <v>106</v>
      </c>
      <c r="Z388" s="3"/>
      <c r="AA388" s="1" t="b">
        <v>1</v>
      </c>
      <c r="AB388" s="1" t="b">
        <v>0</v>
      </c>
      <c r="AC388" s="1" t="b">
        <v>0</v>
      </c>
      <c r="AD388" s="1" t="b">
        <v>1</v>
      </c>
      <c r="AE388" s="1" t="b">
        <v>0</v>
      </c>
      <c r="AF388" s="5">
        <v>2.0</v>
      </c>
      <c r="AG388" s="5">
        <v>1.0</v>
      </c>
      <c r="AH388" s="3"/>
      <c r="AI388" s="3"/>
      <c r="AJ388" s="2">
        <v>46055.655277777776</v>
      </c>
      <c r="AK388" s="2">
        <v>46058.47116898148</v>
      </c>
      <c r="AL388" s="2">
        <v>46055.655277777776</v>
      </c>
      <c r="AM388" s="2">
        <v>46055.6553125</v>
      </c>
      <c r="AO388" s="3"/>
      <c r="AP388" s="2">
        <v>46055.65576388889</v>
      </c>
      <c r="AR388" s="3"/>
      <c r="AS388" s="3"/>
      <c r="AT388" s="2">
        <v>46055.65644675926</v>
      </c>
      <c r="AU388" s="2">
        <v>46057.37511574074</v>
      </c>
      <c r="AW388" s="3"/>
      <c r="AX388" s="2">
        <v>46055.655381944445</v>
      </c>
      <c r="AY388" s="2">
        <v>46055.65644675926</v>
      </c>
      <c r="AZ388" s="2">
        <v>46055.6621875</v>
      </c>
      <c r="BA388" s="2">
        <v>46055.71228009259</v>
      </c>
      <c r="BB388" s="2">
        <v>46056.42119212963</v>
      </c>
      <c r="BC388" s="2">
        <v>46058.42949074074</v>
      </c>
      <c r="BD388" s="2">
        <v>46058.42949074074</v>
      </c>
      <c r="BE388" s="5">
        <v>639.0</v>
      </c>
      <c r="BF388" s="5">
        <v>495.0</v>
      </c>
      <c r="BG388" s="5">
        <v>319.0</v>
      </c>
      <c r="BH388" s="5">
        <v>495.0</v>
      </c>
      <c r="BI388" s="5">
        <v>82418.0</v>
      </c>
      <c r="BJ388" s="5">
        <v>21208.0</v>
      </c>
      <c r="BK388" s="3"/>
      <c r="BL388" s="3"/>
      <c r="BM388" s="3"/>
      <c r="BN388" s="3"/>
      <c r="BO388" s="5">
        <v>495.0</v>
      </c>
      <c r="BP388" s="5">
        <v>495.0</v>
      </c>
      <c r="BQ388" s="5">
        <v>594.0</v>
      </c>
      <c r="BR388" s="5">
        <v>594.0</v>
      </c>
      <c r="BS388" s="5">
        <v>588.0</v>
      </c>
      <c r="BT388" s="5">
        <v>588.0</v>
      </c>
      <c r="BU388" s="5">
        <v>495.0</v>
      </c>
      <c r="BV388" s="5">
        <v>495.0</v>
      </c>
      <c r="BW388" s="5">
        <v>495.0</v>
      </c>
      <c r="BX388" s="5">
        <v>495.0</v>
      </c>
      <c r="BY388" s="5">
        <v>239590.0</v>
      </c>
      <c r="BZ388" s="5">
        <v>48790.0</v>
      </c>
      <c r="CA388" s="5">
        <v>239590.0</v>
      </c>
      <c r="CB388" s="5">
        <v>48790.0</v>
      </c>
      <c r="CC388" s="5">
        <v>239689.0</v>
      </c>
      <c r="CD388" s="5">
        <v>48889.0</v>
      </c>
      <c r="CE388" s="5">
        <v>239683.0</v>
      </c>
      <c r="CF388" s="5">
        <v>48883.0</v>
      </c>
      <c r="CG388" s="5">
        <v>239590.0</v>
      </c>
      <c r="CH388" s="5">
        <v>48790.0</v>
      </c>
      <c r="CI388" s="5">
        <v>239590.0</v>
      </c>
      <c r="CJ388" s="5">
        <v>48790.0</v>
      </c>
      <c r="CK388" s="5">
        <v>157171.0</v>
      </c>
      <c r="CL388" s="5">
        <v>27582.0</v>
      </c>
      <c r="CM388" s="5">
        <v>157171.0</v>
      </c>
      <c r="CN388" s="5">
        <v>27582.0</v>
      </c>
      <c r="CO388" s="5">
        <v>41.0</v>
      </c>
      <c r="CP388" s="3"/>
      <c r="CQ388" s="3"/>
      <c r="CR388" s="4" t="s">
        <v>1631</v>
      </c>
    </row>
    <row r="389">
      <c r="A389" s="1" t="s">
        <v>1632</v>
      </c>
      <c r="B389" s="2">
        <v>46055.644537037035</v>
      </c>
      <c r="C389" s="1" t="str">
        <f t="array" ref="C389">INDEX('User data'!E:E, MATCH(E389, 'User data'!B:B, 0))</f>
        <v/>
      </c>
      <c r="D389" s="1" t="str">
        <f t="array" ref="D389">INDEX('User data'!F:F, MATCH(C389, 'User data'!E:E, 0))</f>
        <v>#N/A</v>
      </c>
      <c r="E389" s="1" t="s">
        <v>1633</v>
      </c>
      <c r="F389" s="3"/>
      <c r="G389" s="3"/>
      <c r="H389" s="3"/>
      <c r="I389" s="1" t="s">
        <v>1634</v>
      </c>
      <c r="J389" s="1" t="s">
        <v>100</v>
      </c>
      <c r="K389" s="1" t="s">
        <v>101</v>
      </c>
      <c r="L389" s="1" t="b">
        <v>0</v>
      </c>
      <c r="M389" s="1" t="s">
        <v>1635</v>
      </c>
      <c r="N389" s="1" t="s">
        <v>1636</v>
      </c>
      <c r="O389" s="1">
        <v>574085.0</v>
      </c>
      <c r="P389" s="1">
        <v>574085.0</v>
      </c>
      <c r="Q389" s="1">
        <v>574085.0</v>
      </c>
      <c r="R389" s="1" t="s">
        <v>1637</v>
      </c>
      <c r="S389" s="1">
        <v>13285.0</v>
      </c>
      <c r="T389" s="1" t="s">
        <v>104</v>
      </c>
      <c r="U389" s="3"/>
      <c r="V389" s="3"/>
      <c r="W389" s="1" t="s">
        <v>118</v>
      </c>
      <c r="X389" s="3"/>
      <c r="Y389" s="1" t="s">
        <v>119</v>
      </c>
      <c r="Z389" s="3"/>
      <c r="AA389" s="1" t="b">
        <v>1</v>
      </c>
      <c r="AB389" s="1" t="b">
        <v>0</v>
      </c>
      <c r="AC389" s="1" t="b">
        <v>0</v>
      </c>
      <c r="AD389" s="1" t="b">
        <v>1</v>
      </c>
      <c r="AE389" s="1" t="b">
        <v>0</v>
      </c>
      <c r="AF389" s="5">
        <v>5.0</v>
      </c>
      <c r="AG389" s="5">
        <v>5.0</v>
      </c>
      <c r="AH389" s="3"/>
      <c r="AI389" s="3"/>
      <c r="AJ389" s="2">
        <v>46055.6434375</v>
      </c>
      <c r="AK389" s="2">
        <v>46055.707395833335</v>
      </c>
      <c r="AL389" s="2">
        <v>46055.6434375</v>
      </c>
      <c r="AM389" s="2">
        <v>46055.643472222226</v>
      </c>
      <c r="AO389" s="3"/>
      <c r="AP389" s="2">
        <v>46055.64417824074</v>
      </c>
      <c r="AQ389" s="2">
        <v>46055.644537037035</v>
      </c>
      <c r="AS389" s="2">
        <v>46055.64456018519</v>
      </c>
      <c r="AT389" s="2">
        <v>46055.644537037035</v>
      </c>
      <c r="AU389" s="2">
        <v>46055.64456018519</v>
      </c>
      <c r="AW389" s="3"/>
      <c r="AX389" s="2">
        <v>46055.64456018519</v>
      </c>
      <c r="AY389" s="2">
        <v>46055.64456018519</v>
      </c>
      <c r="AZ389" s="2">
        <v>46055.64491898148</v>
      </c>
      <c r="BA389" s="2">
        <v>46055.665659722225</v>
      </c>
      <c r="BC389" s="2">
        <v>46055.665717592594</v>
      </c>
      <c r="BD389" s="2">
        <v>46055.665717592594</v>
      </c>
      <c r="BE389" s="5">
        <v>719.0</v>
      </c>
      <c r="BF389" s="5">
        <v>719.0</v>
      </c>
      <c r="BG389" s="5">
        <v>143.0</v>
      </c>
      <c r="BH389" s="5">
        <v>143.0</v>
      </c>
      <c r="BI389" s="3"/>
      <c r="BJ389" s="3"/>
      <c r="BK389" s="5">
        <v>1.0</v>
      </c>
      <c r="BL389" s="5">
        <v>1.0</v>
      </c>
      <c r="BM389" s="5">
        <v>1.0</v>
      </c>
      <c r="BN389" s="5">
        <v>1.0</v>
      </c>
      <c r="BO389" s="5">
        <v>32.0</v>
      </c>
      <c r="BP389" s="5">
        <v>32.0</v>
      </c>
      <c r="BQ389" s="5">
        <v>125.0</v>
      </c>
      <c r="BR389" s="5">
        <v>125.0</v>
      </c>
      <c r="BS389" s="5">
        <v>31.0</v>
      </c>
      <c r="BT389" s="5">
        <v>31.0</v>
      </c>
      <c r="BU389" s="5">
        <v>31.0</v>
      </c>
      <c r="BV389" s="5">
        <v>31.0</v>
      </c>
      <c r="BW389" s="5">
        <v>32.0</v>
      </c>
      <c r="BX389" s="5">
        <v>32.0</v>
      </c>
      <c r="BY389" s="5">
        <v>1829.0</v>
      </c>
      <c r="BZ389" s="5">
        <v>1829.0</v>
      </c>
      <c r="CA389" s="5">
        <v>1829.0</v>
      </c>
      <c r="CB389" s="5">
        <v>1829.0</v>
      </c>
      <c r="CC389" s="5">
        <v>1921.0</v>
      </c>
      <c r="CD389" s="5">
        <v>1921.0</v>
      </c>
      <c r="CE389" s="5">
        <v>1827.0</v>
      </c>
      <c r="CF389" s="5">
        <v>1827.0</v>
      </c>
      <c r="CG389" s="5">
        <v>1827.0</v>
      </c>
      <c r="CH389" s="5">
        <v>1827.0</v>
      </c>
      <c r="CI389" s="5">
        <v>1829.0</v>
      </c>
      <c r="CJ389" s="5">
        <v>1829.0</v>
      </c>
      <c r="CK389" s="5">
        <v>1827.0</v>
      </c>
      <c r="CL389" s="5">
        <v>1827.0</v>
      </c>
      <c r="CM389" s="5">
        <v>1827.0</v>
      </c>
      <c r="CN389" s="5">
        <v>1827.0</v>
      </c>
      <c r="CO389" s="5">
        <v>63.0</v>
      </c>
      <c r="CP389" s="3"/>
      <c r="CQ389" s="3"/>
      <c r="CR389" s="4" t="s">
        <v>1638</v>
      </c>
    </row>
    <row r="390">
      <c r="A390" s="1" t="s">
        <v>1639</v>
      </c>
      <c r="B390" s="2">
        <v>46055.62652777778</v>
      </c>
      <c r="C390" s="1" t="str">
        <f t="array" ref="C390">INDEX('User data'!E:E, MATCH(E390, 'User data'!B:B, 0))</f>
        <v/>
      </c>
      <c r="D390" s="1" t="str">
        <f t="array" ref="D390">INDEX('User data'!F:F, MATCH(C390, 'User data'!E:E, 0))</f>
        <v>#N/A</v>
      </c>
      <c r="E390" s="1" t="s">
        <v>1640</v>
      </c>
      <c r="F390" s="3"/>
      <c r="G390" s="3"/>
      <c r="H390" s="3"/>
      <c r="I390" s="3"/>
      <c r="J390" s="1" t="s">
        <v>100</v>
      </c>
      <c r="K390" s="1" t="s">
        <v>101</v>
      </c>
      <c r="L390" s="1" t="b">
        <v>0</v>
      </c>
      <c r="M390" s="4" t="s">
        <v>180</v>
      </c>
      <c r="N390" s="1" t="s">
        <v>1641</v>
      </c>
      <c r="P390" s="3"/>
      <c r="Q390" s="3"/>
      <c r="R390" s="3"/>
      <c r="S390" s="1">
        <v>13285.0</v>
      </c>
      <c r="T390" s="1" t="s">
        <v>104</v>
      </c>
      <c r="U390" s="3"/>
      <c r="V390" s="3"/>
      <c r="W390" s="1" t="s">
        <v>105</v>
      </c>
      <c r="X390" s="3"/>
      <c r="Y390" s="1" t="s">
        <v>106</v>
      </c>
      <c r="Z390" s="3"/>
      <c r="AA390" s="1" t="b">
        <v>0</v>
      </c>
      <c r="AB390" s="1" t="b">
        <v>0</v>
      </c>
      <c r="AC390" s="1" t="b">
        <v>0</v>
      </c>
      <c r="AD390" s="1" t="b">
        <v>1</v>
      </c>
      <c r="AE390" s="1" t="b">
        <v>1</v>
      </c>
      <c r="AF390" s="3"/>
      <c r="AG390" s="3"/>
      <c r="AH390" s="3"/>
      <c r="AI390" s="3"/>
      <c r="AJ390" s="2">
        <v>46055.62447916667</v>
      </c>
      <c r="AK390" s="2">
        <v>46056.62658564815</v>
      </c>
      <c r="AL390" s="2">
        <v>46055.62447916667</v>
      </c>
      <c r="AM390" s="2">
        <v>46055.62583333333</v>
      </c>
      <c r="AN390" s="2">
        <v>46055.62652777778</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5">
        <v>1.8</v>
      </c>
      <c r="CR390" s="4" t="s">
        <v>1642</v>
      </c>
    </row>
    <row r="391">
      <c r="A391" s="1" t="s">
        <v>1643</v>
      </c>
      <c r="B391" s="2">
        <v>46055.60986111111</v>
      </c>
      <c r="C391" s="1" t="str">
        <f t="array" ref="C391">INDEX('User data'!E:E, MATCH(E391, 'User data'!B:B, 0))</f>
        <v/>
      </c>
      <c r="D391" s="1" t="str">
        <f t="array" ref="D391">INDEX('User data'!F:F, MATCH(C391, 'User data'!E:E, 0))</f>
        <v>#N/A</v>
      </c>
      <c r="E391" s="1" t="s">
        <v>1644</v>
      </c>
      <c r="F391" s="3"/>
      <c r="G391" s="3"/>
      <c r="H391" s="3"/>
      <c r="I391" s="3"/>
      <c r="J391" s="1" t="s">
        <v>100</v>
      </c>
      <c r="K391" s="1" t="s">
        <v>101</v>
      </c>
      <c r="L391" s="1" t="b">
        <v>0</v>
      </c>
      <c r="M391" s="1" t="s">
        <v>1645</v>
      </c>
      <c r="N391" s="1" t="s">
        <v>1646</v>
      </c>
      <c r="P391" s="3"/>
      <c r="Q391" s="3"/>
      <c r="R391" s="3"/>
      <c r="S391" s="1">
        <v>13285.0</v>
      </c>
      <c r="T391" s="1" t="s">
        <v>104</v>
      </c>
      <c r="U391" s="3"/>
      <c r="V391" s="3"/>
      <c r="W391" s="1" t="s">
        <v>105</v>
      </c>
      <c r="X391" s="3"/>
      <c r="Y391" s="1" t="s">
        <v>106</v>
      </c>
      <c r="Z391" s="3"/>
      <c r="AA391" s="1" t="b">
        <v>0</v>
      </c>
      <c r="AB391" s="1" t="b">
        <v>0</v>
      </c>
      <c r="AC391" s="1" t="b">
        <v>0</v>
      </c>
      <c r="AD391" s="1" t="b">
        <v>1</v>
      </c>
      <c r="AE391" s="1" t="b">
        <v>1</v>
      </c>
      <c r="AF391" s="3"/>
      <c r="AG391" s="3"/>
      <c r="AH391" s="3"/>
      <c r="AI391" s="3"/>
      <c r="AJ391" s="2">
        <v>46055.609247685185</v>
      </c>
      <c r="AK391" s="2">
        <v>46056.612604166665</v>
      </c>
      <c r="AL391" s="2">
        <v>46055.609247685185</v>
      </c>
      <c r="AM391" s="2">
        <v>46055.60928240741</v>
      </c>
      <c r="AN391" s="2">
        <v>46055.60986111111</v>
      </c>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5">
        <v>1.4</v>
      </c>
      <c r="CR391" s="4" t="s">
        <v>1647</v>
      </c>
    </row>
    <row r="392">
      <c r="A392" s="1" t="s">
        <v>1648</v>
      </c>
      <c r="B392" s="2">
        <v>46055.609502314815</v>
      </c>
      <c r="C392" s="1" t="str">
        <f t="array" ref="C392">INDEX('User data'!E:E, MATCH(E392, 'User data'!B:B, 0))</f>
        <v>주식회사 씨앤디</v>
      </c>
      <c r="D392" s="1" t="str">
        <f t="array" ref="D392">INDEX('User data'!F:F, MATCH(C392, 'User data'!E:E, 0))</f>
        <v>858-87-01942</v>
      </c>
      <c r="E392" s="1" t="s">
        <v>1508</v>
      </c>
      <c r="F392" s="3"/>
      <c r="G392" s="3"/>
      <c r="H392" s="3"/>
      <c r="I392" s="1" t="s">
        <v>1504</v>
      </c>
      <c r="J392" s="1" t="s">
        <v>100</v>
      </c>
      <c r="K392" s="1" t="s">
        <v>101</v>
      </c>
      <c r="L392" s="1" t="b">
        <v>0</v>
      </c>
      <c r="M392" s="4" t="s">
        <v>102</v>
      </c>
      <c r="N392" s="1" t="s">
        <v>1649</v>
      </c>
      <c r="O392" s="1">
        <v>594863.0</v>
      </c>
      <c r="P392" s="1">
        <v>574085.0</v>
      </c>
      <c r="Q392" s="1">
        <v>594863.0</v>
      </c>
      <c r="R392" s="1" t="s">
        <v>752</v>
      </c>
      <c r="S392" s="1">
        <v>13285.0</v>
      </c>
      <c r="T392" s="1" t="s">
        <v>104</v>
      </c>
      <c r="U392" s="3"/>
      <c r="V392" s="3"/>
      <c r="W392" s="1" t="s">
        <v>118</v>
      </c>
      <c r="X392" s="3"/>
      <c r="Y392" s="1" t="s">
        <v>119</v>
      </c>
      <c r="Z392" s="3"/>
      <c r="AA392" s="1" t="b">
        <v>1</v>
      </c>
      <c r="AB392" s="1" t="b">
        <v>0</v>
      </c>
      <c r="AC392" s="1" t="b">
        <v>1</v>
      </c>
      <c r="AD392" s="1" t="b">
        <v>1</v>
      </c>
      <c r="AE392" s="1" t="b">
        <v>0</v>
      </c>
      <c r="AF392" s="5">
        <v>7.0</v>
      </c>
      <c r="AG392" s="5">
        <v>5.0</v>
      </c>
      <c r="AH392" s="3"/>
      <c r="AI392" s="5">
        <v>1.0</v>
      </c>
      <c r="AJ392" s="2">
        <v>46055.57011574074</v>
      </c>
      <c r="AK392" s="2">
        <v>46059.46693287037</v>
      </c>
      <c r="AL392" s="2">
        <v>46055.57011574074</v>
      </c>
      <c r="AM392" s="2">
        <v>46055.57013888889</v>
      </c>
      <c r="AO392" s="3"/>
      <c r="AP392" s="2">
        <v>46055.57050925926</v>
      </c>
      <c r="AQ392" s="2">
        <v>46055.609502314815</v>
      </c>
      <c r="AS392" s="2">
        <v>46055.60951388889</v>
      </c>
      <c r="AT392" s="2">
        <v>46055.609502314815</v>
      </c>
      <c r="AU392" s="2">
        <v>46059.37516203704</v>
      </c>
      <c r="AW392" s="3"/>
      <c r="AX392" s="2">
        <v>46055.60951388889</v>
      </c>
      <c r="AY392" s="2">
        <v>46055.60951388889</v>
      </c>
      <c r="AZ392" s="2">
        <v>46055.60978009259</v>
      </c>
      <c r="BA392" s="2">
        <v>46059.42521990741</v>
      </c>
      <c r="BB392" s="2">
        <v>46058.58025462963</v>
      </c>
      <c r="BC392" s="2">
        <v>46059.42525462963</v>
      </c>
      <c r="BD392" s="2">
        <v>46059.42525462963</v>
      </c>
      <c r="BE392" s="5">
        <v>7200.0</v>
      </c>
      <c r="BF392" s="5">
        <v>2760.0</v>
      </c>
      <c r="BG392" s="5">
        <v>1028.0</v>
      </c>
      <c r="BH392" s="5">
        <v>552.0</v>
      </c>
      <c r="BI392" s="5">
        <v>68679.0</v>
      </c>
      <c r="BJ392" s="5">
        <v>11065.0</v>
      </c>
      <c r="BK392" s="5">
        <v>1.0</v>
      </c>
      <c r="BL392" s="5">
        <v>1.0</v>
      </c>
      <c r="BM392" s="5">
        <v>1.0</v>
      </c>
      <c r="BN392" s="5">
        <v>1.0</v>
      </c>
      <c r="BO392" s="5">
        <v>24.0</v>
      </c>
      <c r="BP392" s="5">
        <v>24.0</v>
      </c>
      <c r="BQ392" s="5">
        <v>3424.0</v>
      </c>
      <c r="BR392" s="5">
        <v>3424.0</v>
      </c>
      <c r="BS392" s="5">
        <v>22.0</v>
      </c>
      <c r="BT392" s="5">
        <v>22.0</v>
      </c>
      <c r="BU392" s="5">
        <v>22.0</v>
      </c>
      <c r="BV392" s="5">
        <v>22.0</v>
      </c>
      <c r="BW392" s="5">
        <v>24.0</v>
      </c>
      <c r="BX392" s="5">
        <v>24.0</v>
      </c>
      <c r="BY392" s="5">
        <v>329681.0</v>
      </c>
      <c r="BZ392" s="5">
        <v>74081.0</v>
      </c>
      <c r="CA392" s="5">
        <v>329681.0</v>
      </c>
      <c r="CB392" s="5">
        <v>74081.0</v>
      </c>
      <c r="CC392" s="5">
        <v>333082.0</v>
      </c>
      <c r="CD392" s="5">
        <v>77482.0</v>
      </c>
      <c r="CE392" s="5">
        <v>329680.0</v>
      </c>
      <c r="CF392" s="5">
        <v>74080.0</v>
      </c>
      <c r="CG392" s="5">
        <v>329680.0</v>
      </c>
      <c r="CH392" s="5">
        <v>74080.0</v>
      </c>
      <c r="CI392" s="5">
        <v>329681.0</v>
      </c>
      <c r="CJ392" s="5">
        <v>74081.0</v>
      </c>
      <c r="CK392" s="5">
        <v>261000.0</v>
      </c>
      <c r="CL392" s="5">
        <v>63014.0</v>
      </c>
      <c r="CM392" s="5">
        <v>261000.0</v>
      </c>
      <c r="CN392" s="5">
        <v>63014.0</v>
      </c>
      <c r="CO392" s="5">
        <v>33.0</v>
      </c>
      <c r="CP392" s="3"/>
      <c r="CQ392" s="3"/>
      <c r="CR392" s="4" t="s">
        <v>1650</v>
      </c>
    </row>
    <row r="393">
      <c r="A393" s="1" t="s">
        <v>1651</v>
      </c>
      <c r="B393" s="2">
        <v>46055.60122685185</v>
      </c>
      <c r="C393" s="1" t="str">
        <f t="array" ref="C393">INDEX('User data'!E:E, MATCH(E393, 'User data'!B:B, 0))</f>
        <v>주식회사 베스펙스</v>
      </c>
      <c r="D393" s="1" t="str">
        <f t="array" ref="D393">INDEX('User data'!F:F, MATCH(C393, 'User data'!E:E, 0))</f>
        <v>626-81-02814</v>
      </c>
      <c r="E393" s="1" t="s">
        <v>1652</v>
      </c>
      <c r="G393" s="3"/>
      <c r="H393" s="3"/>
      <c r="I393" s="1" t="s">
        <v>1483</v>
      </c>
      <c r="J393" s="1" t="s">
        <v>100</v>
      </c>
      <c r="K393" s="1" t="s">
        <v>101</v>
      </c>
      <c r="L393" s="1" t="b">
        <v>0</v>
      </c>
      <c r="M393" s="4" t="s">
        <v>102</v>
      </c>
      <c r="N393" s="1" t="s">
        <v>1653</v>
      </c>
      <c r="O393" s="1">
        <v>574085.0</v>
      </c>
      <c r="P393" s="1">
        <v>574085.0</v>
      </c>
      <c r="Q393" s="1">
        <v>574085.0</v>
      </c>
      <c r="R393" s="1" t="s">
        <v>145</v>
      </c>
      <c r="S393" s="1">
        <v>13285.0</v>
      </c>
      <c r="T393" s="1" t="s">
        <v>104</v>
      </c>
      <c r="U393" s="3"/>
      <c r="V393" s="3"/>
      <c r="W393" s="1" t="s">
        <v>118</v>
      </c>
      <c r="X393" s="3"/>
      <c r="Y393" s="1" t="s">
        <v>119</v>
      </c>
      <c r="Z393" s="3"/>
      <c r="AA393" s="1" t="b">
        <v>1</v>
      </c>
      <c r="AB393" s="1" t="b">
        <v>0</v>
      </c>
      <c r="AC393" s="1" t="b">
        <v>0</v>
      </c>
      <c r="AD393" s="1" t="b">
        <v>1</v>
      </c>
      <c r="AE393" s="1" t="b">
        <v>0</v>
      </c>
      <c r="AF393" s="5">
        <v>2.0</v>
      </c>
      <c r="AG393" s="5">
        <v>2.0</v>
      </c>
      <c r="AH393" s="3"/>
      <c r="AI393" s="3"/>
      <c r="AJ393" s="2">
        <v>46055.59960648148</v>
      </c>
      <c r="AK393" s="2">
        <v>46056.73358796296</v>
      </c>
      <c r="AL393" s="2">
        <v>46055.59960648148</v>
      </c>
      <c r="AM393" s="2">
        <v>46055.59962962963</v>
      </c>
      <c r="AO393" s="3"/>
      <c r="AP393" s="2">
        <v>46055.600023148145</v>
      </c>
      <c r="AQ393" s="2">
        <v>46055.60122685185</v>
      </c>
      <c r="AS393" s="2">
        <v>46055.60123842592</v>
      </c>
      <c r="AT393" s="2">
        <v>46055.60122685185</v>
      </c>
      <c r="AU393" s="2">
        <v>46056.69168981481</v>
      </c>
      <c r="AW393" s="3"/>
      <c r="AX393" s="2">
        <v>46055.60123842592</v>
      </c>
      <c r="AY393" s="2">
        <v>46055.60123842592</v>
      </c>
      <c r="AZ393" s="2">
        <v>46055.60184027778</v>
      </c>
      <c r="BA393" s="2">
        <v>46056.69181712963</v>
      </c>
      <c r="BB393" s="2">
        <v>46055.62957175926</v>
      </c>
      <c r="BC393" s="2">
        <v>46056.69190972222</v>
      </c>
      <c r="BD393" s="2">
        <v>46056.69190972222</v>
      </c>
      <c r="BE393" s="5">
        <v>64.0</v>
      </c>
      <c r="BF393" s="5">
        <v>64.0</v>
      </c>
      <c r="BG393" s="5">
        <v>32.0</v>
      </c>
      <c r="BH393" s="5">
        <v>32.0</v>
      </c>
      <c r="BI393" s="5">
        <v>91767.0</v>
      </c>
      <c r="BJ393" s="5">
        <v>26967.0</v>
      </c>
      <c r="BK393" s="5">
        <v>0.0</v>
      </c>
      <c r="BL393" s="5">
        <v>0.0</v>
      </c>
      <c r="BM393" s="5">
        <v>0.0</v>
      </c>
      <c r="BN393" s="5">
        <v>0.0</v>
      </c>
      <c r="BO393" s="5">
        <v>52.0</v>
      </c>
      <c r="BP393" s="5">
        <v>52.0</v>
      </c>
      <c r="BQ393" s="5">
        <v>191.0</v>
      </c>
      <c r="BR393" s="5">
        <v>191.0</v>
      </c>
      <c r="BS393" s="5">
        <v>52.0</v>
      </c>
      <c r="BT393" s="5">
        <v>52.0</v>
      </c>
      <c r="BU393" s="5">
        <v>52.0</v>
      </c>
      <c r="BV393" s="5">
        <v>52.0</v>
      </c>
      <c r="BW393" s="5">
        <v>52.0</v>
      </c>
      <c r="BX393" s="5">
        <v>52.0</v>
      </c>
      <c r="BY393" s="5">
        <v>94234.0</v>
      </c>
      <c r="BZ393" s="5">
        <v>29434.0</v>
      </c>
      <c r="CA393" s="5">
        <v>94234.0</v>
      </c>
      <c r="CB393" s="5">
        <v>29434.0</v>
      </c>
      <c r="CC393" s="5">
        <v>94373.0</v>
      </c>
      <c r="CD393" s="5">
        <v>29573.0</v>
      </c>
      <c r="CE393" s="5">
        <v>94233.0</v>
      </c>
      <c r="CF393" s="5">
        <v>29433.0</v>
      </c>
      <c r="CG393" s="5">
        <v>94233.0</v>
      </c>
      <c r="CH393" s="5">
        <v>29433.0</v>
      </c>
      <c r="CI393" s="5">
        <v>94234.0</v>
      </c>
      <c r="CJ393" s="5">
        <v>29434.0</v>
      </c>
      <c r="CK393" s="5">
        <v>2466.0</v>
      </c>
      <c r="CL393" s="5">
        <v>2466.0</v>
      </c>
      <c r="CM393" s="5">
        <v>2466.0</v>
      </c>
      <c r="CN393" s="5">
        <v>2466.0</v>
      </c>
      <c r="CO393" s="5">
        <v>36.0</v>
      </c>
      <c r="CP393" s="3"/>
      <c r="CQ393" s="3"/>
      <c r="CR393" s="4" t="s">
        <v>1654</v>
      </c>
    </row>
    <row r="394">
      <c r="A394" s="1" t="s">
        <v>1655</v>
      </c>
      <c r="B394" s="2">
        <v>46055.59638888889</v>
      </c>
      <c r="C394" s="1" t="str">
        <f t="array" ref="C394">INDEX('User data'!E:E, MATCH(E394, 'User data'!B:B, 0))</f>
        <v>주식회사 마크비전코리아</v>
      </c>
      <c r="D394" s="1" t="str">
        <f t="array" ref="D394">INDEX('User data'!F:F, MATCH(C394, 'User data'!E:E, 0))</f>
        <v>490-81-01666</v>
      </c>
      <c r="E394" s="1" t="s">
        <v>728</v>
      </c>
      <c r="F394" s="3"/>
      <c r="G394" s="3"/>
      <c r="H394" s="3"/>
      <c r="I394" s="3"/>
      <c r="J394" s="1" t="s">
        <v>100</v>
      </c>
      <c r="K394" s="1" t="s">
        <v>101</v>
      </c>
      <c r="L394" s="1" t="b">
        <v>0</v>
      </c>
      <c r="M394" s="4" t="s">
        <v>102</v>
      </c>
      <c r="N394" s="1" t="s">
        <v>731</v>
      </c>
      <c r="P394" s="3"/>
      <c r="Q394" s="3"/>
      <c r="R394" s="3"/>
      <c r="S394" s="1">
        <v>13285.0</v>
      </c>
      <c r="T394" s="1" t="s">
        <v>104</v>
      </c>
      <c r="U394" s="3"/>
      <c r="V394" s="3"/>
      <c r="W394" s="1" t="s">
        <v>105</v>
      </c>
      <c r="X394" s="3"/>
      <c r="Y394" s="1" t="s">
        <v>106</v>
      </c>
      <c r="Z394" s="3"/>
      <c r="AA394" s="1" t="b">
        <v>0</v>
      </c>
      <c r="AB394" s="1" t="b">
        <v>0</v>
      </c>
      <c r="AC394" s="1" t="b">
        <v>0</v>
      </c>
      <c r="AD394" s="1" t="b">
        <v>1</v>
      </c>
      <c r="AE394" s="1" t="b">
        <v>1</v>
      </c>
      <c r="AF394" s="3"/>
      <c r="AG394" s="3"/>
      <c r="AH394" s="3"/>
      <c r="AI394" s="3"/>
      <c r="AJ394" s="2">
        <v>46055.59554398148</v>
      </c>
      <c r="AK394" s="2">
        <v>46056.59706018519</v>
      </c>
      <c r="AL394" s="2">
        <v>46055.59554398148</v>
      </c>
      <c r="AM394" s="2">
        <v>46055.5955787037</v>
      </c>
      <c r="AN394" s="2">
        <v>46055.59638888889</v>
      </c>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5">
        <v>2.4</v>
      </c>
      <c r="CR394" s="4" t="s">
        <v>1656</v>
      </c>
    </row>
    <row r="395">
      <c r="A395" s="1" t="s">
        <v>1657</v>
      </c>
      <c r="B395" s="2">
        <v>46055.51540509259</v>
      </c>
      <c r="C395" s="1" t="str">
        <f t="array" ref="C395">INDEX('User data'!E:E, MATCH(E395, 'User data'!B:B, 0))</f>
        <v>캔디드 유한회사</v>
      </c>
      <c r="D395" s="1" t="str">
        <f t="array" ref="D395">INDEX('User data'!F:F, MATCH(C395, 'User data'!E:E, 0))</f>
        <v>717-87-02844</v>
      </c>
      <c r="E395" s="1" t="s">
        <v>334</v>
      </c>
      <c r="F395" s="3"/>
      <c r="G395" s="3"/>
      <c r="H395" s="3"/>
      <c r="I395" s="3"/>
      <c r="J395" s="1" t="s">
        <v>100</v>
      </c>
      <c r="K395" s="1" t="s">
        <v>101</v>
      </c>
      <c r="L395" s="1" t="b">
        <v>0</v>
      </c>
      <c r="M395" s="4" t="s">
        <v>102</v>
      </c>
      <c r="N395" s="1" t="s">
        <v>335</v>
      </c>
      <c r="P395" s="3"/>
      <c r="Q395" s="3"/>
      <c r="R395" s="3"/>
      <c r="S395" s="1">
        <v>13285.0</v>
      </c>
      <c r="T395" s="1" t="s">
        <v>104</v>
      </c>
      <c r="U395" s="3"/>
      <c r="V395" s="3"/>
      <c r="W395" s="1" t="s">
        <v>105</v>
      </c>
      <c r="X395" s="3"/>
      <c r="Y395" s="1" t="s">
        <v>106</v>
      </c>
      <c r="Z395" s="3"/>
      <c r="AA395" s="1" t="b">
        <v>0</v>
      </c>
      <c r="AB395" s="1" t="b">
        <v>0</v>
      </c>
      <c r="AC395" s="1" t="b">
        <v>0</v>
      </c>
      <c r="AD395" s="1" t="b">
        <v>1</v>
      </c>
      <c r="AE395" s="1" t="b">
        <v>1</v>
      </c>
      <c r="AF395" s="3"/>
      <c r="AG395" s="3"/>
      <c r="AH395" s="3"/>
      <c r="AI395" s="3"/>
      <c r="AJ395" s="2">
        <v>46055.51459490741</v>
      </c>
      <c r="AK395" s="2">
        <v>46056.843819444446</v>
      </c>
      <c r="AL395" s="2">
        <v>46055.51459490741</v>
      </c>
      <c r="AM395" s="2">
        <v>46055.51461805555</v>
      </c>
      <c r="AN395" s="2">
        <v>46055.51540509259</v>
      </c>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5">
        <v>5.0</v>
      </c>
      <c r="CR395" s="4" t="s">
        <v>1658</v>
      </c>
    </row>
    <row r="396">
      <c r="A396" s="1" t="s">
        <v>1659</v>
      </c>
      <c r="B396" s="2">
        <v>46055.49940972222</v>
      </c>
      <c r="C396" s="1" t="str">
        <f t="array" ref="C396">INDEX('User data'!E:E, MATCH(E396, 'User data'!B:B, 0))</f>
        <v>주식회사 한국공간데이터</v>
      </c>
      <c r="D396" s="1" t="str">
        <f t="array" ref="D396">INDEX('User data'!F:F, MATCH(C396, 'User data'!E:E, 0))</f>
        <v>416-87-01054</v>
      </c>
      <c r="E396" s="1" t="s">
        <v>1163</v>
      </c>
      <c r="F396" s="3"/>
      <c r="G396" s="3"/>
      <c r="H396" s="3"/>
      <c r="I396" s="3"/>
      <c r="J396" s="1" t="s">
        <v>100</v>
      </c>
      <c r="K396" s="1" t="s">
        <v>101</v>
      </c>
      <c r="L396" s="1" t="b">
        <v>0</v>
      </c>
      <c r="M396" s="4" t="s">
        <v>102</v>
      </c>
      <c r="N396" s="1" t="s">
        <v>1164</v>
      </c>
      <c r="P396" s="3"/>
      <c r="Q396" s="3"/>
      <c r="R396" s="3"/>
      <c r="S396" s="1">
        <v>13285.0</v>
      </c>
      <c r="T396" s="1" t="s">
        <v>104</v>
      </c>
      <c r="U396" s="3"/>
      <c r="V396" s="3"/>
      <c r="W396" s="1" t="s">
        <v>105</v>
      </c>
      <c r="X396" s="3"/>
      <c r="Y396" s="1" t="s">
        <v>106</v>
      </c>
      <c r="Z396" s="3"/>
      <c r="AA396" s="1" t="b">
        <v>0</v>
      </c>
      <c r="AB396" s="1" t="b">
        <v>0</v>
      </c>
      <c r="AC396" s="1" t="b">
        <v>0</v>
      </c>
      <c r="AD396" s="1" t="b">
        <v>1</v>
      </c>
      <c r="AE396" s="1" t="b">
        <v>1</v>
      </c>
      <c r="AF396" s="3"/>
      <c r="AG396" s="3"/>
      <c r="AH396" s="3"/>
      <c r="AI396" s="3"/>
      <c r="AJ396" s="2">
        <v>46055.495405092595</v>
      </c>
      <c r="AK396" s="2">
        <v>46056.530277777776</v>
      </c>
      <c r="AL396" s="2">
        <v>46055.495405092595</v>
      </c>
      <c r="AM396" s="2">
        <v>46055.495474537034</v>
      </c>
      <c r="AN396" s="2">
        <v>46055.49940972222</v>
      </c>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5">
        <v>5.0</v>
      </c>
      <c r="CR396" s="4" t="s">
        <v>1660</v>
      </c>
    </row>
    <row r="397">
      <c r="A397" s="1" t="s">
        <v>1661</v>
      </c>
      <c r="B397" s="2">
        <v>46055.48024305556</v>
      </c>
      <c r="C397" s="1" t="str">
        <f t="array" ref="C397">INDEX('User data'!E:E, MATCH(E397, 'User data'!B:B, 0))</f>
        <v>구독좋아요 주식회사</v>
      </c>
      <c r="D397" s="1" t="str">
        <f t="array" ref="D397">INDEX('User data'!F:F, MATCH(C397, 'User data'!E:E, 0))</f>
        <v>631-81-01947</v>
      </c>
      <c r="E397" s="1" t="s">
        <v>1662</v>
      </c>
      <c r="F397" s="3"/>
      <c r="G397" s="1" t="s">
        <v>1663</v>
      </c>
      <c r="H397" s="3"/>
      <c r="I397" s="1" t="s">
        <v>1664</v>
      </c>
      <c r="J397" s="1" t="s">
        <v>100</v>
      </c>
      <c r="K397" s="1" t="s">
        <v>101</v>
      </c>
      <c r="L397" s="1" t="b">
        <v>0</v>
      </c>
      <c r="M397" s="4" t="s">
        <v>102</v>
      </c>
      <c r="N397" s="1" t="s">
        <v>1665</v>
      </c>
      <c r="O397" s="1">
        <v>574085.0</v>
      </c>
      <c r="P397" s="1">
        <v>574085.0</v>
      </c>
      <c r="Q397" s="1">
        <v>574085.0</v>
      </c>
      <c r="R397" s="1" t="s">
        <v>145</v>
      </c>
      <c r="S397" s="1">
        <v>13285.0</v>
      </c>
      <c r="T397" s="1" t="s">
        <v>104</v>
      </c>
      <c r="U397" s="3"/>
      <c r="V397" s="3"/>
      <c r="W397" s="1" t="s">
        <v>118</v>
      </c>
      <c r="X397" s="3"/>
      <c r="Y397" s="1" t="s">
        <v>106</v>
      </c>
      <c r="Z397" s="3"/>
      <c r="AA397" s="1" t="b">
        <v>1</v>
      </c>
      <c r="AB397" s="1" t="b">
        <v>0</v>
      </c>
      <c r="AC397" s="1" t="b">
        <v>0</v>
      </c>
      <c r="AD397" s="1" t="b">
        <v>1</v>
      </c>
      <c r="AE397" s="1" t="b">
        <v>0</v>
      </c>
      <c r="AF397" s="5">
        <v>1.0</v>
      </c>
      <c r="AG397" s="5">
        <v>1.0</v>
      </c>
      <c r="AH397" s="3"/>
      <c r="AI397" s="3"/>
      <c r="AJ397" s="2">
        <v>46055.47957175926</v>
      </c>
      <c r="AK397" s="2">
        <v>46057.374027777776</v>
      </c>
      <c r="AL397" s="2">
        <v>46055.47957175926</v>
      </c>
      <c r="AM397" s="2">
        <v>46055.47959490741</v>
      </c>
      <c r="AO397" s="3"/>
      <c r="AP397" s="2">
        <v>46055.47986111111</v>
      </c>
      <c r="AQ397" s="2">
        <v>46055.48024305556</v>
      </c>
      <c r="AS397" s="2">
        <v>46055.48025462963</v>
      </c>
      <c r="AT397" s="2">
        <v>46055.48024305556</v>
      </c>
      <c r="AU397" s="2">
        <v>46056.422939814816</v>
      </c>
      <c r="AW397" s="3"/>
      <c r="AX397" s="2">
        <v>46055.48025462963</v>
      </c>
      <c r="AY397" s="2">
        <v>46055.48025462963</v>
      </c>
      <c r="AZ397" s="2">
        <v>46055.480462962965</v>
      </c>
      <c r="BA397" s="2">
        <v>46055.480462962965</v>
      </c>
      <c r="BB397" s="2">
        <v>46055.49260416667</v>
      </c>
      <c r="BC397" s="2">
        <v>46056.42298611111</v>
      </c>
      <c r="BD397" s="2">
        <v>46056.42298611111</v>
      </c>
      <c r="BE397" s="5">
        <v>19.0</v>
      </c>
      <c r="BF397" s="5">
        <v>19.0</v>
      </c>
      <c r="BG397" s="5">
        <v>19.0</v>
      </c>
      <c r="BH397" s="5">
        <v>19.0</v>
      </c>
      <c r="BI397" s="5">
        <v>80381.0</v>
      </c>
      <c r="BJ397" s="5">
        <v>15581.0</v>
      </c>
      <c r="BK397" s="5">
        <v>1.0</v>
      </c>
      <c r="BL397" s="5">
        <v>1.0</v>
      </c>
      <c r="BM397" s="5">
        <v>1.0</v>
      </c>
      <c r="BN397" s="5">
        <v>1.0</v>
      </c>
      <c r="BO397" s="5">
        <v>19.0</v>
      </c>
      <c r="BP397" s="5">
        <v>19.0</v>
      </c>
      <c r="BQ397" s="5">
        <v>75.0</v>
      </c>
      <c r="BR397" s="5">
        <v>75.0</v>
      </c>
      <c r="BS397" s="5">
        <v>18.0</v>
      </c>
      <c r="BT397" s="5">
        <v>18.0</v>
      </c>
      <c r="BU397" s="5">
        <v>18.0</v>
      </c>
      <c r="BV397" s="5">
        <v>18.0</v>
      </c>
      <c r="BW397" s="5">
        <v>19.0</v>
      </c>
      <c r="BX397" s="5">
        <v>19.0</v>
      </c>
      <c r="BY397" s="5">
        <v>81453.0</v>
      </c>
      <c r="BZ397" s="5">
        <v>16653.0</v>
      </c>
      <c r="CA397" s="5">
        <v>81453.0</v>
      </c>
      <c r="CB397" s="5">
        <v>16653.0</v>
      </c>
      <c r="CC397" s="5">
        <v>81508.0</v>
      </c>
      <c r="CD397" s="5">
        <v>16708.0</v>
      </c>
      <c r="CE397" s="5">
        <v>81452.0</v>
      </c>
      <c r="CF397" s="5">
        <v>16652.0</v>
      </c>
      <c r="CG397" s="5">
        <v>81452.0</v>
      </c>
      <c r="CH397" s="5">
        <v>16652.0</v>
      </c>
      <c r="CI397" s="5">
        <v>81453.0</v>
      </c>
      <c r="CJ397" s="5">
        <v>16653.0</v>
      </c>
      <c r="CK397" s="5">
        <v>1070.0</v>
      </c>
      <c r="CL397" s="5">
        <v>1070.0</v>
      </c>
      <c r="CM397" s="5">
        <v>1070.0</v>
      </c>
      <c r="CN397" s="5">
        <v>1070.0</v>
      </c>
      <c r="CO397" s="5">
        <v>25.0</v>
      </c>
      <c r="CP397" s="3"/>
      <c r="CQ397" s="3"/>
      <c r="CR397" s="4" t="s">
        <v>1666</v>
      </c>
    </row>
    <row r="398">
      <c r="A398" s="1" t="s">
        <v>1667</v>
      </c>
      <c r="B398" s="2">
        <v>46055.47105324074</v>
      </c>
      <c r="C398" s="1" t="str">
        <f t="array" ref="C398">INDEX('User data'!E:E, MATCH(E398, 'User data'!B:B, 0))</f>
        <v>주식회사 큐엔티</v>
      </c>
      <c r="D398" s="1" t="str">
        <f t="array" ref="D398">INDEX('User data'!F:F, MATCH(C398, 'User data'!E:E, 0))</f>
        <v>113-87-00777</v>
      </c>
      <c r="E398" s="1" t="s">
        <v>1668</v>
      </c>
      <c r="F398" s="3"/>
      <c r="G398" s="3"/>
      <c r="H398" s="3"/>
      <c r="I398" s="3"/>
      <c r="J398" s="1" t="s">
        <v>100</v>
      </c>
      <c r="K398" s="1" t="s">
        <v>101</v>
      </c>
      <c r="L398" s="1" t="b">
        <v>0</v>
      </c>
      <c r="M398" s="4" t="s">
        <v>102</v>
      </c>
      <c r="N398" s="1" t="s">
        <v>1669</v>
      </c>
      <c r="P398" s="3"/>
      <c r="Q398" s="3"/>
      <c r="R398" s="3"/>
      <c r="S398" s="1">
        <v>13285.0</v>
      </c>
      <c r="T398" s="1" t="s">
        <v>104</v>
      </c>
      <c r="U398" s="3"/>
      <c r="V398" s="3"/>
      <c r="W398" s="1" t="s">
        <v>105</v>
      </c>
      <c r="X398" s="3"/>
      <c r="Y398" s="1" t="s">
        <v>106</v>
      </c>
      <c r="Z398" s="3"/>
      <c r="AA398" s="1" t="b">
        <v>0</v>
      </c>
      <c r="AB398" s="1" t="b">
        <v>0</v>
      </c>
      <c r="AC398" s="1" t="b">
        <v>0</v>
      </c>
      <c r="AD398" s="1" t="b">
        <v>1</v>
      </c>
      <c r="AE398" s="1" t="b">
        <v>1</v>
      </c>
      <c r="AF398" s="3"/>
      <c r="AG398" s="3"/>
      <c r="AH398" s="3"/>
      <c r="AI398" s="3"/>
      <c r="AJ398" s="2">
        <v>46055.46990740741</v>
      </c>
      <c r="AK398" s="2">
        <v>46056.4718287037</v>
      </c>
      <c r="AL398" s="2">
        <v>46055.46990740741</v>
      </c>
      <c r="AM398" s="2">
        <v>46055.46994212963</v>
      </c>
      <c r="AN398" s="2">
        <v>46055.47105324074</v>
      </c>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5">
        <v>5.0</v>
      </c>
      <c r="CR398" s="4" t="s">
        <v>1670</v>
      </c>
    </row>
    <row r="399">
      <c r="A399" s="1" t="s">
        <v>1671</v>
      </c>
      <c r="B399" s="2">
        <v>46055.46702546296</v>
      </c>
      <c r="C399" s="1" t="str">
        <f t="array" ref="C399">INDEX('User data'!E:E, MATCH(E399, 'User data'!B:B, 0))</f>
        <v>주식회사 노래하는새</v>
      </c>
      <c r="D399" s="1" t="str">
        <f t="array" ref="D399">INDEX('User data'!F:F, MATCH(C399, 'User data'!E:E, 0))</f>
        <v>237-81-03345</v>
      </c>
      <c r="E399" s="1" t="s">
        <v>1672</v>
      </c>
      <c r="F399" s="3"/>
      <c r="G399" s="3"/>
      <c r="H399" s="3"/>
      <c r="I399" s="1" t="s">
        <v>1114</v>
      </c>
      <c r="J399" s="1" t="s">
        <v>100</v>
      </c>
      <c r="K399" s="1" t="s">
        <v>173</v>
      </c>
      <c r="L399" s="1" t="b">
        <v>0</v>
      </c>
      <c r="M399" s="3"/>
      <c r="N399" s="1" t="s">
        <v>1673</v>
      </c>
      <c r="O399" s="1">
        <v>506375.0</v>
      </c>
      <c r="P399" s="1">
        <v>506375.0</v>
      </c>
      <c r="Q399" s="1">
        <v>506375.0</v>
      </c>
      <c r="R399" s="1" t="s">
        <v>1674</v>
      </c>
      <c r="S399" s="3"/>
      <c r="T399" s="1" t="s">
        <v>175</v>
      </c>
      <c r="U399" s="1" t="s">
        <v>175</v>
      </c>
      <c r="V399" s="3"/>
      <c r="W399" s="1" t="s">
        <v>118</v>
      </c>
      <c r="X399" s="3"/>
      <c r="Y399" s="1" t="s">
        <v>106</v>
      </c>
      <c r="Z399" s="3"/>
      <c r="AA399" s="1" t="b">
        <v>1</v>
      </c>
      <c r="AB399" s="1" t="b">
        <v>0</v>
      </c>
      <c r="AC399" s="1" t="b">
        <v>0</v>
      </c>
      <c r="AD399" s="1" t="b">
        <v>1</v>
      </c>
      <c r="AE399" s="1" t="b">
        <v>0</v>
      </c>
      <c r="AF399" s="5">
        <v>1.0</v>
      </c>
      <c r="AG399" s="5">
        <v>1.0</v>
      </c>
      <c r="AH399" s="3"/>
      <c r="AI399" s="3"/>
      <c r="AJ399" s="2">
        <v>46055.42423611111</v>
      </c>
      <c r="AK399" s="2">
        <v>46056.46949074074</v>
      </c>
      <c r="AL399" s="2">
        <v>46055.46773148148</v>
      </c>
      <c r="AM399" s="2">
        <v>46055.46702546296</v>
      </c>
      <c r="AO399" s="3"/>
      <c r="AP399" s="2">
        <v>46055.46776620371</v>
      </c>
      <c r="AR399" s="3"/>
      <c r="AS399" s="3"/>
      <c r="AT399" s="2">
        <v>46055.46702546296</v>
      </c>
      <c r="AU399" s="2">
        <v>46056.37541666667</v>
      </c>
      <c r="AW399" s="3"/>
      <c r="AX399" s="2">
        <v>46055.42423611111</v>
      </c>
      <c r="AY399" s="2">
        <v>46055.46702546296</v>
      </c>
      <c r="AZ399" s="2">
        <v>46055.47289351852</v>
      </c>
      <c r="BA399" s="2">
        <v>46055.47289351852</v>
      </c>
      <c r="BB399" s="2">
        <v>46055.47478009259</v>
      </c>
      <c r="BC399" s="2">
        <v>46056.4278125</v>
      </c>
      <c r="BD399" s="2">
        <v>46056.4278125</v>
      </c>
      <c r="BE399" s="5">
        <v>507.0</v>
      </c>
      <c r="BF399" s="5">
        <v>507.0</v>
      </c>
      <c r="BG399" s="5">
        <v>507.0</v>
      </c>
      <c r="BH399" s="5">
        <v>507.0</v>
      </c>
      <c r="BI399" s="5">
        <v>77814.0</v>
      </c>
      <c r="BJ399" s="5">
        <v>16578.0</v>
      </c>
      <c r="BK399" s="3"/>
      <c r="BL399" s="3"/>
      <c r="BM399" s="3"/>
      <c r="BN399" s="3"/>
      <c r="BO399" s="5">
        <v>507.0</v>
      </c>
      <c r="BP399" s="5">
        <v>507.0</v>
      </c>
      <c r="BQ399" s="5">
        <v>507.0</v>
      </c>
      <c r="BR399" s="5">
        <v>507.0</v>
      </c>
      <c r="BS399" s="5">
        <v>4204.0</v>
      </c>
      <c r="BT399" s="5">
        <v>4204.0</v>
      </c>
      <c r="BU399" s="5">
        <v>507.0</v>
      </c>
      <c r="BV399" s="5">
        <v>507.0</v>
      </c>
      <c r="BW399" s="5">
        <v>507.0</v>
      </c>
      <c r="BX399" s="5">
        <v>507.0</v>
      </c>
      <c r="BY399" s="5">
        <v>83012.0</v>
      </c>
      <c r="BZ399" s="5">
        <v>18212.0</v>
      </c>
      <c r="CA399" s="5">
        <v>83012.0</v>
      </c>
      <c r="CB399" s="5">
        <v>18212.0</v>
      </c>
      <c r="CC399" s="5">
        <v>83012.0</v>
      </c>
      <c r="CD399" s="5">
        <v>18212.0</v>
      </c>
      <c r="CE399" s="5">
        <v>86709.0</v>
      </c>
      <c r="CF399" s="5">
        <v>21909.0</v>
      </c>
      <c r="CG399" s="5">
        <v>83012.0</v>
      </c>
      <c r="CH399" s="5">
        <v>18212.0</v>
      </c>
      <c r="CI399" s="5">
        <v>83012.0</v>
      </c>
      <c r="CJ399" s="5">
        <v>18212.0</v>
      </c>
      <c r="CK399" s="5">
        <v>5197.0</v>
      </c>
      <c r="CL399" s="5">
        <v>1634.0</v>
      </c>
      <c r="CM399" s="5">
        <v>5197.0</v>
      </c>
      <c r="CN399" s="5">
        <v>1634.0</v>
      </c>
      <c r="CO399" s="5">
        <v>3.0</v>
      </c>
      <c r="CP399" s="3"/>
      <c r="CQ399" s="3"/>
      <c r="CR399" s="4" t="s">
        <v>1675</v>
      </c>
    </row>
    <row r="400">
      <c r="A400" s="1" t="s">
        <v>1676</v>
      </c>
      <c r="B400" s="2">
        <v>46055.440729166665</v>
      </c>
      <c r="C400" s="1" t="str">
        <f t="array" ref="C400">INDEX('User data'!E:E, MATCH(E400, 'User data'!B:B, 0))</f>
        <v>주식회사 더파운더즈 (The Founders Inc.)</v>
      </c>
      <c r="D400" s="1" t="str">
        <f t="array" ref="D400">INDEX('User data'!F:F, MATCH(C400, 'User data'!E:E, 0))</f>
        <v>814-86-00820</v>
      </c>
      <c r="E400" s="1" t="s">
        <v>1677</v>
      </c>
      <c r="F400" s="3"/>
      <c r="G400" s="3"/>
      <c r="H400" s="3"/>
      <c r="I400" s="1" t="s">
        <v>624</v>
      </c>
      <c r="J400" s="1" t="s">
        <v>100</v>
      </c>
      <c r="K400" s="1" t="s">
        <v>101</v>
      </c>
      <c r="L400" s="1" t="b">
        <v>0</v>
      </c>
      <c r="M400" s="4" t="s">
        <v>102</v>
      </c>
      <c r="N400" s="1" t="s">
        <v>1678</v>
      </c>
      <c r="O400" s="1">
        <v>574085.0</v>
      </c>
      <c r="P400" s="1">
        <v>574085.0</v>
      </c>
      <c r="Q400" s="1">
        <v>574085.0</v>
      </c>
      <c r="R400" s="1" t="s">
        <v>1679</v>
      </c>
      <c r="S400" s="1">
        <v>13285.0</v>
      </c>
      <c r="T400" s="1" t="s">
        <v>104</v>
      </c>
      <c r="U400" s="3"/>
      <c r="V400" s="3"/>
      <c r="W400" s="1" t="s">
        <v>118</v>
      </c>
      <c r="X400" s="3"/>
      <c r="Y400" s="1" t="s">
        <v>119</v>
      </c>
      <c r="Z400" s="3"/>
      <c r="AA400" s="1" t="b">
        <v>1</v>
      </c>
      <c r="AB400" s="1" t="b">
        <v>0</v>
      </c>
      <c r="AC400" s="1" t="b">
        <v>0</v>
      </c>
      <c r="AD400" s="1" t="b">
        <v>1</v>
      </c>
      <c r="AE400" s="1" t="b">
        <v>0</v>
      </c>
      <c r="AF400" s="5">
        <v>8.0</v>
      </c>
      <c r="AG400" s="5">
        <v>7.0</v>
      </c>
      <c r="AH400" s="3"/>
      <c r="AI400" s="3"/>
      <c r="AJ400" s="2">
        <v>46055.4393287037</v>
      </c>
      <c r="AK400" s="2">
        <v>46056.631898148145</v>
      </c>
      <c r="AL400" s="2">
        <v>46055.4393287037</v>
      </c>
      <c r="AM400" s="2">
        <v>46055.439351851855</v>
      </c>
      <c r="AO400" s="3"/>
      <c r="AP400" s="2">
        <v>46055.44011574074</v>
      </c>
      <c r="AQ400" s="2">
        <v>46055.440729166665</v>
      </c>
      <c r="AS400" s="2">
        <v>46055.44074074074</v>
      </c>
      <c r="AT400" s="2">
        <v>46055.440729166665</v>
      </c>
      <c r="AU400" s="2">
        <v>46056.59001157407</v>
      </c>
      <c r="AW400" s="3"/>
      <c r="AX400" s="2">
        <v>46055.44074074074</v>
      </c>
      <c r="AY400" s="2">
        <v>46055.44074074074</v>
      </c>
      <c r="AZ400" s="2">
        <v>46055.44609953704</v>
      </c>
      <c r="BA400" s="2">
        <v>46056.59019675926</v>
      </c>
      <c r="BB400" s="2">
        <v>46056.42334490741</v>
      </c>
      <c r="BC400" s="2">
        <v>46056.59023148148</v>
      </c>
      <c r="BD400" s="2">
        <v>46056.59023148148</v>
      </c>
      <c r="BE400" s="5">
        <v>4326.0</v>
      </c>
      <c r="BF400" s="5">
        <v>2028.0</v>
      </c>
      <c r="BG400" s="5">
        <v>540.0</v>
      </c>
      <c r="BH400" s="5">
        <v>289.0</v>
      </c>
      <c r="BI400" s="5">
        <v>30380.0</v>
      </c>
      <c r="BJ400" s="5">
        <v>21458.0</v>
      </c>
      <c r="BK400" s="5">
        <v>0.0</v>
      </c>
      <c r="BL400" s="5">
        <v>0.0</v>
      </c>
      <c r="BM400" s="5">
        <v>0.0</v>
      </c>
      <c r="BN400" s="5">
        <v>0.0</v>
      </c>
      <c r="BO400" s="5">
        <v>463.0</v>
      </c>
      <c r="BP400" s="5">
        <v>463.0</v>
      </c>
      <c r="BQ400" s="5">
        <v>582.0</v>
      </c>
      <c r="BR400" s="5">
        <v>582.0</v>
      </c>
      <c r="BS400" s="5">
        <v>463.0</v>
      </c>
      <c r="BT400" s="5">
        <v>463.0</v>
      </c>
      <c r="BU400" s="5">
        <v>463.0</v>
      </c>
      <c r="BV400" s="5">
        <v>463.0</v>
      </c>
      <c r="BW400" s="5">
        <v>463.0</v>
      </c>
      <c r="BX400" s="5">
        <v>463.0</v>
      </c>
      <c r="BY400" s="5">
        <v>99316.0</v>
      </c>
      <c r="BZ400" s="5">
        <v>30916.0</v>
      </c>
      <c r="CA400" s="5">
        <v>99316.0</v>
      </c>
      <c r="CB400" s="5">
        <v>30916.0</v>
      </c>
      <c r="CC400" s="5">
        <v>99435.0</v>
      </c>
      <c r="CD400" s="5">
        <v>31035.0</v>
      </c>
      <c r="CE400" s="5">
        <v>99315.0</v>
      </c>
      <c r="CF400" s="5">
        <v>30915.0</v>
      </c>
      <c r="CG400" s="5">
        <v>99315.0</v>
      </c>
      <c r="CH400" s="5">
        <v>30915.0</v>
      </c>
      <c r="CI400" s="5">
        <v>99316.0</v>
      </c>
      <c r="CJ400" s="5">
        <v>30916.0</v>
      </c>
      <c r="CK400" s="5">
        <v>68935.0</v>
      </c>
      <c r="CL400" s="5">
        <v>9457.0</v>
      </c>
      <c r="CM400" s="5">
        <v>68935.0</v>
      </c>
      <c r="CN400" s="5">
        <v>9457.0</v>
      </c>
      <c r="CO400" s="5">
        <v>68.0</v>
      </c>
      <c r="CP400" s="3"/>
      <c r="CQ400" s="3"/>
      <c r="CR400" s="4" t="s">
        <v>1680</v>
      </c>
    </row>
    <row r="401">
      <c r="A401" s="1" t="s">
        <v>1681</v>
      </c>
      <c r="B401" s="2">
        <v>46055.43278935185</v>
      </c>
      <c r="C401" s="1" t="str">
        <f t="array" ref="C401">INDEX('User data'!E:E, MATCH(E401, 'User data'!B:B, 0))</f>
        <v>주식회사 딥블루인사이트에이아이</v>
      </c>
      <c r="D401" s="1" t="str">
        <f t="array" ref="D401">INDEX('User data'!F:F, MATCH(C401, 'User data'!E:E, 0))</f>
        <v>838-81-03982</v>
      </c>
      <c r="E401" s="1" t="s">
        <v>1682</v>
      </c>
      <c r="F401" s="3"/>
      <c r="G401" s="3"/>
      <c r="H401" s="3"/>
      <c r="I401" s="1" t="s">
        <v>1253</v>
      </c>
      <c r="J401" s="1" t="s">
        <v>100</v>
      </c>
      <c r="K401" s="1" t="s">
        <v>101</v>
      </c>
      <c r="L401" s="1" t="b">
        <v>0</v>
      </c>
      <c r="M401" s="4" t="s">
        <v>102</v>
      </c>
      <c r="N401" s="1" t="s">
        <v>1683</v>
      </c>
      <c r="O401" s="1">
        <v>574085.0</v>
      </c>
      <c r="P401" s="1">
        <v>574085.0</v>
      </c>
      <c r="Q401" s="1">
        <v>574085.0</v>
      </c>
      <c r="R401" s="1" t="s">
        <v>145</v>
      </c>
      <c r="S401" s="1">
        <v>13285.0</v>
      </c>
      <c r="T401" s="1" t="s">
        <v>104</v>
      </c>
      <c r="U401" s="3"/>
      <c r="V401" s="3"/>
      <c r="W401" s="1" t="s">
        <v>118</v>
      </c>
      <c r="X401" s="3"/>
      <c r="Y401" s="1" t="s">
        <v>119</v>
      </c>
      <c r="Z401" s="3"/>
      <c r="AA401" s="1" t="b">
        <v>1</v>
      </c>
      <c r="AB401" s="1" t="b">
        <v>1</v>
      </c>
      <c r="AC401" s="1" t="b">
        <v>0</v>
      </c>
      <c r="AD401" s="1" t="b">
        <v>1</v>
      </c>
      <c r="AE401" s="1" t="b">
        <v>0</v>
      </c>
      <c r="AF401" s="5">
        <v>7.0</v>
      </c>
      <c r="AG401" s="5">
        <v>5.0</v>
      </c>
      <c r="AH401" s="5">
        <v>1.0</v>
      </c>
      <c r="AI401" s="3"/>
      <c r="AJ401" s="2">
        <v>46055.43162037037</v>
      </c>
      <c r="AK401" s="2">
        <v>46062.45119212963</v>
      </c>
      <c r="AL401" s="2">
        <v>46055.43162037037</v>
      </c>
      <c r="AM401" s="2">
        <v>46055.43168981482</v>
      </c>
      <c r="AO401" s="3"/>
      <c r="AP401" s="2">
        <v>46055.4321875</v>
      </c>
      <c r="AQ401" s="2">
        <v>46055.43278935185</v>
      </c>
      <c r="AS401" s="2">
        <v>46055.432800925926</v>
      </c>
      <c r="AT401" s="2">
        <v>46055.43278935185</v>
      </c>
      <c r="AU401" s="2">
        <v>46062.3753125</v>
      </c>
      <c r="AW401" s="3"/>
      <c r="AX401" s="2">
        <v>46055.432800925926</v>
      </c>
      <c r="AY401" s="2">
        <v>46055.432800925926</v>
      </c>
      <c r="AZ401" s="2">
        <v>46055.43310185185</v>
      </c>
      <c r="BA401" s="2">
        <v>46062.409479166665</v>
      </c>
      <c r="BB401" s="2">
        <v>46056.70758101852</v>
      </c>
      <c r="BC401" s="2">
        <v>46055.704363425924</v>
      </c>
      <c r="BD401" s="2">
        <v>46062.40951388889</v>
      </c>
      <c r="BE401" s="5">
        <v>8604.0</v>
      </c>
      <c r="BF401" s="5">
        <v>2796.0</v>
      </c>
      <c r="BG401" s="5">
        <v>1229.0</v>
      </c>
      <c r="BH401" s="5">
        <v>559.0</v>
      </c>
      <c r="BI401" s="5">
        <v>511837.0</v>
      </c>
      <c r="BJ401" s="5">
        <v>83409.0</v>
      </c>
      <c r="BK401" s="5">
        <v>0.0</v>
      </c>
      <c r="BL401" s="5">
        <v>0.0</v>
      </c>
      <c r="BM401" s="5">
        <v>0.0</v>
      </c>
      <c r="BN401" s="5">
        <v>0.0</v>
      </c>
      <c r="BO401" s="5">
        <v>27.0</v>
      </c>
      <c r="BP401" s="5">
        <v>27.0</v>
      </c>
      <c r="BQ401" s="5">
        <v>122.0</v>
      </c>
      <c r="BR401" s="5">
        <v>122.0</v>
      </c>
      <c r="BS401" s="5">
        <v>26.0</v>
      </c>
      <c r="BT401" s="5">
        <v>26.0</v>
      </c>
      <c r="BU401" s="5">
        <v>26.0</v>
      </c>
      <c r="BV401" s="5">
        <v>26.0</v>
      </c>
      <c r="BW401" s="5">
        <v>27.0</v>
      </c>
      <c r="BX401" s="5">
        <v>27.0</v>
      </c>
      <c r="BY401" s="5">
        <v>23463.0</v>
      </c>
      <c r="BZ401" s="5">
        <v>19863.0</v>
      </c>
      <c r="CA401" s="5">
        <v>602789.0</v>
      </c>
      <c r="CB401" s="5">
        <v>106606.0</v>
      </c>
      <c r="CC401" s="5">
        <v>23558.0</v>
      </c>
      <c r="CD401" s="5">
        <v>19958.0</v>
      </c>
      <c r="CE401" s="5">
        <v>23462.0</v>
      </c>
      <c r="CF401" s="5">
        <v>19862.0</v>
      </c>
      <c r="CG401" s="5">
        <v>23462.0</v>
      </c>
      <c r="CH401" s="5">
        <v>19862.0</v>
      </c>
      <c r="CI401" s="5">
        <v>23463.0</v>
      </c>
      <c r="CJ401" s="5">
        <v>19863.0</v>
      </c>
      <c r="CK401" s="5">
        <v>19396.0</v>
      </c>
      <c r="CL401" s="5">
        <v>13853.0</v>
      </c>
      <c r="CM401" s="5">
        <v>8328.0</v>
      </c>
      <c r="CN401" s="5">
        <v>8328.0</v>
      </c>
      <c r="CO401" s="5">
        <v>49.0</v>
      </c>
      <c r="CP401" s="3"/>
      <c r="CQ401" s="3"/>
      <c r="CR401" s="4" t="s">
        <v>1684</v>
      </c>
      <c r="CS401" s="5">
        <v>5.0</v>
      </c>
      <c r="CT401" s="3"/>
    </row>
    <row r="402">
      <c r="A402" s="1" t="s">
        <v>1685</v>
      </c>
      <c r="B402" s="2">
        <v>46055.42388888889</v>
      </c>
      <c r="C402" s="1" t="str">
        <f t="array" ref="C402">INDEX('User data'!E:E, MATCH(E402, 'User data'!B:B, 0))</f>
        <v>주식회사 노래하는새</v>
      </c>
      <c r="D402" s="1" t="str">
        <f t="array" ref="D402">INDEX('User data'!F:F, MATCH(C402, 'User data'!E:E, 0))</f>
        <v>237-81-03345</v>
      </c>
      <c r="E402" s="1" t="s">
        <v>1672</v>
      </c>
      <c r="F402" s="3"/>
      <c r="G402" s="3"/>
      <c r="H402" s="1" t="s">
        <v>1686</v>
      </c>
      <c r="J402" s="1" t="s">
        <v>100</v>
      </c>
      <c r="K402" s="1" t="s">
        <v>173</v>
      </c>
      <c r="L402" s="1" t="b">
        <v>0</v>
      </c>
      <c r="M402" s="3"/>
      <c r="N402" s="1" t="s">
        <v>1673</v>
      </c>
      <c r="O402" s="1">
        <v>506375.0</v>
      </c>
      <c r="P402" s="1">
        <v>506375.0</v>
      </c>
      <c r="Q402" s="1">
        <v>506375.0</v>
      </c>
      <c r="R402" s="1">
        <v>506375.0</v>
      </c>
      <c r="S402" s="3"/>
      <c r="T402" s="1" t="s">
        <v>104</v>
      </c>
      <c r="U402" s="3"/>
      <c r="V402" s="3"/>
      <c r="W402" s="1" t="s">
        <v>118</v>
      </c>
      <c r="X402" s="3"/>
      <c r="Y402" s="1" t="s">
        <v>106</v>
      </c>
      <c r="Z402" s="3"/>
      <c r="AA402" s="1" t="b">
        <v>1</v>
      </c>
      <c r="AB402" s="1" t="b">
        <v>0</v>
      </c>
      <c r="AC402" s="1" t="b">
        <v>0</v>
      </c>
      <c r="AD402" s="1" t="b">
        <v>1</v>
      </c>
      <c r="AE402" s="1" t="b">
        <v>0</v>
      </c>
      <c r="AF402" s="3"/>
      <c r="AG402" s="3"/>
      <c r="AH402" s="3"/>
      <c r="AI402" s="3"/>
      <c r="AJ402" s="2">
        <v>46055.42387731482</v>
      </c>
      <c r="AK402" s="2">
        <v>46073.569027777776</v>
      </c>
      <c r="AL402" s="2">
        <v>46073.56899305555</v>
      </c>
      <c r="AN402" s="3"/>
      <c r="AO402" s="3"/>
      <c r="AP402" s="3"/>
      <c r="AQ402" s="3"/>
      <c r="AR402" s="3"/>
      <c r="AS402" s="3"/>
      <c r="AT402" s="2">
        <v>46055.42388888889</v>
      </c>
      <c r="AU402" s="2">
        <v>46073.541817129626</v>
      </c>
      <c r="AW402" s="3"/>
      <c r="AX402" s="2">
        <v>46055.42387731482</v>
      </c>
      <c r="AY402" s="2">
        <v>46055.42388888889</v>
      </c>
      <c r="BA402" s="3"/>
      <c r="BB402" s="2">
        <v>46072.56689814815</v>
      </c>
      <c r="BC402" s="2">
        <v>46073.56899305555</v>
      </c>
      <c r="BD402" s="2">
        <v>46073.56899305555</v>
      </c>
      <c r="BF402" s="3"/>
      <c r="BG402" s="3"/>
      <c r="BH402" s="3"/>
      <c r="BI402" s="5">
        <v>1259062.0</v>
      </c>
      <c r="BJ402" s="5">
        <v>218517.0</v>
      </c>
      <c r="BK402" s="3"/>
      <c r="BL402" s="3"/>
      <c r="BM402" s="3"/>
      <c r="BN402" s="3"/>
      <c r="BO402" s="3"/>
      <c r="BP402" s="3"/>
      <c r="BQ402" s="3"/>
      <c r="BR402" s="3"/>
      <c r="BS402" s="3"/>
      <c r="BT402" s="3"/>
      <c r="BU402" s="3"/>
      <c r="BV402" s="3"/>
      <c r="BW402" s="3"/>
      <c r="BX402" s="3"/>
      <c r="BY402" s="5">
        <v>1567737.0</v>
      </c>
      <c r="BZ402" s="5">
        <v>311337.0</v>
      </c>
      <c r="CA402" s="5">
        <v>1567737.0</v>
      </c>
      <c r="CB402" s="5">
        <v>311337.0</v>
      </c>
      <c r="CC402" s="3"/>
      <c r="CD402" s="3"/>
      <c r="CE402" s="5">
        <v>1567737.0</v>
      </c>
      <c r="CF402" s="5">
        <v>311337.0</v>
      </c>
      <c r="CG402" s="5">
        <v>1567737.0</v>
      </c>
      <c r="CH402" s="5">
        <v>311337.0</v>
      </c>
      <c r="CI402" s="5">
        <v>1567737.0</v>
      </c>
      <c r="CJ402" s="5">
        <v>311337.0</v>
      </c>
      <c r="CK402" s="5">
        <v>308674.0</v>
      </c>
      <c r="CL402" s="5">
        <v>92819.0</v>
      </c>
      <c r="CM402" s="5">
        <v>308674.0</v>
      </c>
      <c r="CN402" s="5">
        <v>92819.0</v>
      </c>
      <c r="CO402" s="3"/>
      <c r="CP402" s="3"/>
      <c r="CQ402" s="3"/>
      <c r="CR402" s="4" t="s">
        <v>1687</v>
      </c>
    </row>
    <row r="403">
      <c r="A403" s="1" t="s">
        <v>1688</v>
      </c>
      <c r="B403" s="2">
        <v>46055.41961805556</v>
      </c>
      <c r="C403" s="1" t="str">
        <f t="array" ref="C403">INDEX('User data'!E:E, MATCH(E403, 'User data'!B:B, 0))</f>
        <v>(주)싸이어스</v>
      </c>
      <c r="D403" s="1" t="str">
        <f t="array" ref="D403">INDEX('User data'!F:F, MATCH(C403, 'User data'!E:E, 0))</f>
        <v>367-81-02555</v>
      </c>
      <c r="E403" s="1" t="s">
        <v>1689</v>
      </c>
      <c r="F403" s="3"/>
      <c r="G403" s="3"/>
      <c r="H403" s="3"/>
      <c r="I403" s="1" t="s">
        <v>1253</v>
      </c>
      <c r="J403" s="1" t="s">
        <v>100</v>
      </c>
      <c r="K403" s="1" t="s">
        <v>101</v>
      </c>
      <c r="L403" s="1" t="b">
        <v>0</v>
      </c>
      <c r="M403" s="4" t="s">
        <v>102</v>
      </c>
      <c r="N403" s="1" t="s">
        <v>1690</v>
      </c>
      <c r="O403" s="1">
        <v>574085.0</v>
      </c>
      <c r="P403" s="1">
        <v>574085.0</v>
      </c>
      <c r="Q403" s="1">
        <v>574085.0</v>
      </c>
      <c r="R403" s="1" t="s">
        <v>145</v>
      </c>
      <c r="S403" s="1">
        <v>13285.0</v>
      </c>
      <c r="T403" s="1" t="s">
        <v>104</v>
      </c>
      <c r="U403" s="3"/>
      <c r="V403" s="3"/>
      <c r="W403" s="1" t="s">
        <v>118</v>
      </c>
      <c r="X403" s="3"/>
      <c r="Y403" s="1" t="s">
        <v>119</v>
      </c>
      <c r="Z403" s="3"/>
      <c r="AA403" s="1" t="b">
        <v>1</v>
      </c>
      <c r="AB403" s="1" t="b">
        <v>0</v>
      </c>
      <c r="AC403" s="1" t="b">
        <v>0</v>
      </c>
      <c r="AD403" s="1" t="b">
        <v>1</v>
      </c>
      <c r="AE403" s="1" t="b">
        <v>1</v>
      </c>
      <c r="AF403" s="5">
        <v>14.0</v>
      </c>
      <c r="AG403" s="5">
        <v>14.0</v>
      </c>
      <c r="AH403" s="3"/>
      <c r="AI403" s="3"/>
      <c r="AJ403" s="2">
        <v>46055.419270833336</v>
      </c>
      <c r="AK403" s="2">
        <v>46055.70769675926</v>
      </c>
      <c r="AL403" s="2">
        <v>46055.419270833336</v>
      </c>
      <c r="AM403" s="2">
        <v>46055.419282407405</v>
      </c>
      <c r="AN403" s="2">
        <v>46055.41961805556</v>
      </c>
      <c r="AO403" s="2">
        <v>46055.420694444445</v>
      </c>
      <c r="AP403" s="2">
        <v>46055.420694444445</v>
      </c>
      <c r="AQ403" s="2">
        <v>46055.420694444445</v>
      </c>
      <c r="AS403" s="2">
        <v>46055.42070601852</v>
      </c>
      <c r="AT403" s="2">
        <v>46055.420694444445</v>
      </c>
      <c r="AU403" s="2">
        <v>46055.60899305555</v>
      </c>
      <c r="AW403" s="3"/>
      <c r="AX403" s="2">
        <v>46055.42070601852</v>
      </c>
      <c r="AY403" s="2">
        <v>46055.42070601852</v>
      </c>
      <c r="AZ403" s="2">
        <v>46055.42108796296</v>
      </c>
      <c r="BA403" s="2">
        <v>46055.6659375</v>
      </c>
      <c r="BB403" s="2">
        <v>46055.596967592595</v>
      </c>
      <c r="BC403" s="2">
        <v>46055.66601851852</v>
      </c>
      <c r="BD403" s="2">
        <v>46055.66601851852</v>
      </c>
      <c r="BE403" s="5">
        <v>5336.0</v>
      </c>
      <c r="BF403" s="5">
        <v>5336.0</v>
      </c>
      <c r="BG403" s="5">
        <v>381.0</v>
      </c>
      <c r="BH403" s="5">
        <v>381.0</v>
      </c>
      <c r="BI403" s="5">
        <v>2891.0</v>
      </c>
      <c r="BJ403" s="5">
        <v>2891.0</v>
      </c>
      <c r="BK403" s="5">
        <v>1.0</v>
      </c>
      <c r="BL403" s="5">
        <v>1.0</v>
      </c>
      <c r="BM403" s="5">
        <v>94.0</v>
      </c>
      <c r="BN403" s="5">
        <v>94.0</v>
      </c>
      <c r="BO403" s="5">
        <v>126.0</v>
      </c>
      <c r="BP403" s="5">
        <v>126.0</v>
      </c>
      <c r="BQ403" s="5">
        <v>155.0</v>
      </c>
      <c r="BR403" s="5">
        <v>155.0</v>
      </c>
      <c r="BS403" s="5">
        <v>32.0</v>
      </c>
      <c r="BT403" s="5">
        <v>32.0</v>
      </c>
      <c r="BU403" s="5">
        <v>32.0</v>
      </c>
      <c r="BV403" s="5">
        <v>32.0</v>
      </c>
      <c r="BW403" s="5">
        <v>33.0</v>
      </c>
      <c r="BX403" s="5">
        <v>33.0</v>
      </c>
      <c r="BY403" s="5">
        <v>21288.0</v>
      </c>
      <c r="BZ403" s="5">
        <v>17688.0</v>
      </c>
      <c r="CA403" s="5">
        <v>21288.0</v>
      </c>
      <c r="CB403" s="5">
        <v>17688.0</v>
      </c>
      <c r="CC403" s="5">
        <v>21317.0</v>
      </c>
      <c r="CD403" s="5">
        <v>17717.0</v>
      </c>
      <c r="CE403" s="5">
        <v>21194.0</v>
      </c>
      <c r="CF403" s="5">
        <v>17594.0</v>
      </c>
      <c r="CG403" s="5">
        <v>21194.0</v>
      </c>
      <c r="CH403" s="5">
        <v>17594.0</v>
      </c>
      <c r="CI403" s="5">
        <v>21195.0</v>
      </c>
      <c r="CJ403" s="5">
        <v>17595.0</v>
      </c>
      <c r="CK403" s="5">
        <v>18302.0</v>
      </c>
      <c r="CL403" s="5">
        <v>14702.0</v>
      </c>
      <c r="CM403" s="5">
        <v>18302.0</v>
      </c>
      <c r="CN403" s="5">
        <v>14702.0</v>
      </c>
      <c r="CO403" s="5">
        <v>122.0</v>
      </c>
      <c r="CP403" s="5">
        <v>92.0</v>
      </c>
      <c r="CQ403" s="3"/>
      <c r="CR403" s="4" t="s">
        <v>1691</v>
      </c>
    </row>
    <row r="404">
      <c r="A404" s="1" t="s">
        <v>1692</v>
      </c>
      <c r="B404" s="2">
        <v>46054.014710648145</v>
      </c>
      <c r="C404" s="1" t="str">
        <f t="array" ref="C404">INDEX('User data'!E:E, MATCH(E404, 'User data'!B:B, 0))</f>
        <v>(주) 데이터뱅크</v>
      </c>
      <c r="D404" s="1" t="str">
        <f t="array" ref="D404">INDEX('User data'!F:F, MATCH(C404, 'User data'!E:E, 0))</f>
        <v>725-81-01484</v>
      </c>
      <c r="E404" s="1" t="s">
        <v>1693</v>
      </c>
      <c r="F404" s="3"/>
      <c r="G404" s="3"/>
      <c r="H404" s="3"/>
      <c r="I404" s="1" t="s">
        <v>1563</v>
      </c>
      <c r="J404" s="1" t="s">
        <v>100</v>
      </c>
      <c r="K404" s="1" t="s">
        <v>101</v>
      </c>
      <c r="L404" s="1" t="b">
        <v>0</v>
      </c>
      <c r="M404" s="4" t="s">
        <v>102</v>
      </c>
      <c r="N404" s="1" t="s">
        <v>1694</v>
      </c>
      <c r="O404" s="1">
        <v>506375.0</v>
      </c>
      <c r="P404" s="1">
        <v>506375.0</v>
      </c>
      <c r="Q404" s="1">
        <v>506375.0</v>
      </c>
      <c r="R404" s="1" t="s">
        <v>1695</v>
      </c>
      <c r="S404" s="1">
        <v>13287.0</v>
      </c>
      <c r="T404" s="1" t="s">
        <v>104</v>
      </c>
      <c r="U404" s="3"/>
      <c r="V404" s="3"/>
      <c r="W404" s="1" t="s">
        <v>118</v>
      </c>
      <c r="X404" s="3"/>
      <c r="Y404" s="1" t="s">
        <v>119</v>
      </c>
      <c r="Z404" s="3"/>
      <c r="AA404" s="1" t="b">
        <v>1</v>
      </c>
      <c r="AB404" s="1" t="b">
        <v>0</v>
      </c>
      <c r="AC404" s="1" t="b">
        <v>0</v>
      </c>
      <c r="AD404" s="1" t="b">
        <v>1</v>
      </c>
      <c r="AE404" s="1" t="b">
        <v>0</v>
      </c>
      <c r="AF404" s="5">
        <v>2.0</v>
      </c>
      <c r="AG404" s="3"/>
      <c r="AH404" s="3"/>
      <c r="AI404" s="3"/>
      <c r="AJ404" s="2">
        <v>46054.0102662037</v>
      </c>
      <c r="AK404" s="2">
        <v>46056.47184027778</v>
      </c>
      <c r="AL404" s="2">
        <v>46054.0102662037</v>
      </c>
      <c r="AM404" s="2">
        <v>46054.01027777778</v>
      </c>
      <c r="AO404" s="3"/>
      <c r="AP404" s="2">
        <v>46054.01451388889</v>
      </c>
      <c r="AR404" s="3"/>
      <c r="AS404" s="3"/>
      <c r="AT404" s="2">
        <v>46054.014710648145</v>
      </c>
      <c r="AU404" s="2">
        <v>46056.37520833333</v>
      </c>
      <c r="AW404" s="3"/>
      <c r="AX404" s="2">
        <v>46055.39418981481</v>
      </c>
      <c r="AY404" s="2">
        <v>46054.014710648145</v>
      </c>
      <c r="AZ404" s="2">
        <v>46055.42061342593</v>
      </c>
      <c r="BA404" s="2">
        <v>46056.421956018516</v>
      </c>
      <c r="BB404" s="2">
        <v>46055.43069444445</v>
      </c>
      <c r="BC404" s="2">
        <v>46056.43016203704</v>
      </c>
      <c r="BD404" s="2">
        <v>46056.43016203704</v>
      </c>
      <c r="BE404" s="5">
        <v>125508.0</v>
      </c>
      <c r="BF404" s="3"/>
      <c r="BG404" s="5">
        <v>62754.0</v>
      </c>
      <c r="BH404" s="3"/>
      <c r="BI404" s="5">
        <v>81606.0</v>
      </c>
      <c r="BJ404" s="5">
        <v>20387.0</v>
      </c>
      <c r="BK404" s="3"/>
      <c r="BL404" s="3"/>
      <c r="BM404" s="5">
        <v>119186.0</v>
      </c>
      <c r="BN404" s="5">
        <v>0.0</v>
      </c>
      <c r="BO404" s="5">
        <v>121469.0</v>
      </c>
      <c r="BP404" s="5">
        <v>341.0</v>
      </c>
      <c r="BQ404" s="5">
        <v>121852.0</v>
      </c>
      <c r="BR404" s="5">
        <v>341.0</v>
      </c>
      <c r="BS404" s="5">
        <v>2283.0</v>
      </c>
      <c r="BT404" s="5">
        <v>341.0</v>
      </c>
      <c r="BU404" s="5">
        <v>121469.0</v>
      </c>
      <c r="BV404" s="5">
        <v>341.0</v>
      </c>
      <c r="BW404" s="5">
        <v>121469.0</v>
      </c>
      <c r="BX404" s="5">
        <v>341.0</v>
      </c>
      <c r="BY404" s="5">
        <v>208694.0</v>
      </c>
      <c r="BZ404" s="5">
        <v>22766.0</v>
      </c>
      <c r="CA404" s="5">
        <v>208694.0</v>
      </c>
      <c r="CB404" s="5">
        <v>22766.0</v>
      </c>
      <c r="CC404" s="5">
        <v>209077.0</v>
      </c>
      <c r="CD404" s="5">
        <v>22766.0</v>
      </c>
      <c r="CE404" s="5">
        <v>89508.0</v>
      </c>
      <c r="CF404" s="5">
        <v>22766.0</v>
      </c>
      <c r="CG404" s="5">
        <v>208694.0</v>
      </c>
      <c r="CH404" s="5">
        <v>22766.0</v>
      </c>
      <c r="CI404" s="5">
        <v>208694.0</v>
      </c>
      <c r="CJ404" s="5">
        <v>22766.0</v>
      </c>
      <c r="CK404" s="5">
        <v>127088.0</v>
      </c>
      <c r="CL404" s="5">
        <v>2378.0</v>
      </c>
      <c r="CM404" s="5">
        <v>127088.0</v>
      </c>
      <c r="CN404" s="5">
        <v>2378.0</v>
      </c>
      <c r="CO404" s="5">
        <v>367.0</v>
      </c>
      <c r="CP404" s="3"/>
      <c r="CQ404" s="3"/>
      <c r="CR404" s="4" t="s">
        <v>1696</v>
      </c>
    </row>
    <row r="405">
      <c r="A405" s="1" t="s">
        <v>1697</v>
      </c>
      <c r="B405" s="2">
        <v>46053.562060185184</v>
      </c>
      <c r="C405" s="1" t="str">
        <f t="array" ref="C405">INDEX('User data'!E:E, MATCH(E405, 'User data'!B:B, 0))</f>
        <v>주식회사 뤼튼테크놀로지스</v>
      </c>
      <c r="D405" s="1" t="str">
        <f t="array" ref="D405">INDEX('User data'!F:F, MATCH(C405, 'User data'!E:E, 0))</f>
        <v>202-81-67042</v>
      </c>
      <c r="E405" s="1" t="s">
        <v>1698</v>
      </c>
      <c r="F405" s="3"/>
      <c r="G405" s="3"/>
      <c r="H405" s="3"/>
      <c r="I405" s="3"/>
      <c r="J405" s="1" t="s">
        <v>100</v>
      </c>
      <c r="K405" s="1" t="s">
        <v>101</v>
      </c>
      <c r="L405" s="1" t="b">
        <v>0</v>
      </c>
      <c r="M405" s="1" t="s">
        <v>1592</v>
      </c>
      <c r="N405" s="1" t="s">
        <v>1699</v>
      </c>
      <c r="P405" s="3"/>
      <c r="Q405" s="3"/>
      <c r="R405" s="3"/>
      <c r="S405" s="1">
        <v>13285.0</v>
      </c>
      <c r="T405" s="1" t="s">
        <v>104</v>
      </c>
      <c r="U405" s="3"/>
      <c r="V405" s="3"/>
      <c r="W405" s="1" t="s">
        <v>105</v>
      </c>
      <c r="X405" s="3"/>
      <c r="Y405" s="1" t="s">
        <v>106</v>
      </c>
      <c r="Z405" s="3"/>
      <c r="AA405" s="1" t="b">
        <v>0</v>
      </c>
      <c r="AB405" s="1" t="b">
        <v>0</v>
      </c>
      <c r="AC405" s="1" t="b">
        <v>0</v>
      </c>
      <c r="AD405" s="1" t="b">
        <v>1</v>
      </c>
      <c r="AE405" s="1" t="b">
        <v>1</v>
      </c>
      <c r="AF405" s="3"/>
      <c r="AG405" s="3"/>
      <c r="AH405" s="3"/>
      <c r="AI405" s="3"/>
      <c r="AJ405" s="2">
        <v>46053.56165509259</v>
      </c>
      <c r="AK405" s="2">
        <v>46054.56244212963</v>
      </c>
      <c r="AL405" s="2">
        <v>46053.56165509259</v>
      </c>
      <c r="AM405" s="2">
        <v>46053.56170138889</v>
      </c>
      <c r="AN405" s="2">
        <v>46053.562060185184</v>
      </c>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5">
        <v>4.4</v>
      </c>
      <c r="CR405" s="4" t="s">
        <v>1700</v>
      </c>
    </row>
    <row r="406">
      <c r="A406" s="1" t="s">
        <v>1701</v>
      </c>
      <c r="B406" s="2">
        <v>46052.71292824074</v>
      </c>
      <c r="C406" s="1" t="str">
        <f t="array" ref="C406">INDEX('User data'!E:E, MATCH(E406, 'User data'!B:B, 0))</f>
        <v>주식회사 씨앤디</v>
      </c>
      <c r="D406" s="1" t="str">
        <f t="array" ref="D406">INDEX('User data'!F:F, MATCH(C406, 'User data'!E:E, 0))</f>
        <v>858-87-01942</v>
      </c>
      <c r="E406" s="1" t="s">
        <v>1508</v>
      </c>
      <c r="F406" s="3"/>
      <c r="G406" s="3"/>
      <c r="H406" s="3"/>
      <c r="I406" s="1" t="s">
        <v>1702</v>
      </c>
      <c r="J406" s="1" t="s">
        <v>100</v>
      </c>
      <c r="K406" s="1" t="s">
        <v>101</v>
      </c>
      <c r="L406" s="1" t="b">
        <v>0</v>
      </c>
      <c r="M406" s="4" t="s">
        <v>102</v>
      </c>
      <c r="N406" s="1" t="s">
        <v>1703</v>
      </c>
      <c r="O406" s="1">
        <v>574085.0</v>
      </c>
      <c r="P406" s="1">
        <v>574085.0</v>
      </c>
      <c r="Q406" s="1">
        <v>574085.0</v>
      </c>
      <c r="R406" s="1">
        <v>574085.0</v>
      </c>
      <c r="S406" s="1">
        <v>13285.0</v>
      </c>
      <c r="T406" s="1" t="s">
        <v>104</v>
      </c>
      <c r="U406" s="3"/>
      <c r="V406" s="3"/>
      <c r="W406" s="1" t="s">
        <v>118</v>
      </c>
      <c r="X406" s="3"/>
      <c r="Y406" s="1" t="s">
        <v>119</v>
      </c>
      <c r="Z406" s="3"/>
      <c r="AA406" s="1" t="b">
        <v>1</v>
      </c>
      <c r="AB406" s="1" t="b">
        <v>0</v>
      </c>
      <c r="AC406" s="1" t="b">
        <v>0</v>
      </c>
      <c r="AD406" s="1" t="b">
        <v>1</v>
      </c>
      <c r="AE406" s="1" t="b">
        <v>0</v>
      </c>
      <c r="AF406" s="5">
        <v>3.0</v>
      </c>
      <c r="AG406" s="5">
        <v>1.0</v>
      </c>
      <c r="AH406" s="3"/>
      <c r="AI406" s="3"/>
      <c r="AJ406" s="2">
        <v>46052.712233796294</v>
      </c>
      <c r="AK406" s="2">
        <v>46056.631516203706</v>
      </c>
      <c r="AL406" s="2">
        <v>46052.712233796294</v>
      </c>
      <c r="AM406" s="2">
        <v>46052.71224537037</v>
      </c>
      <c r="AO406" s="3"/>
      <c r="AP406" s="2">
        <v>46052.71270833333</v>
      </c>
      <c r="AQ406" s="2">
        <v>46052.71292824074</v>
      </c>
      <c r="AS406" s="2">
        <v>46052.71293981482</v>
      </c>
      <c r="AT406" s="2">
        <v>46052.71292824074</v>
      </c>
      <c r="AU406" s="2">
        <v>46056.58945601852</v>
      </c>
      <c r="AW406" s="3"/>
      <c r="AX406" s="2">
        <v>46052.71293981482</v>
      </c>
      <c r="AY406" s="2">
        <v>46052.71293981482</v>
      </c>
      <c r="AZ406" s="2">
        <v>46055.41594907407</v>
      </c>
      <c r="BA406" s="2">
        <v>46056.589791666665</v>
      </c>
      <c r="BB406" s="2">
        <v>46056.42289351852</v>
      </c>
      <c r="BC406" s="2">
        <v>46056.589837962965</v>
      </c>
      <c r="BD406" s="2">
        <v>46056.589837962965</v>
      </c>
      <c r="BE406" s="5">
        <v>237662.0</v>
      </c>
      <c r="BF406" s="5">
        <v>29.0</v>
      </c>
      <c r="BG406" s="5">
        <v>79220.0</v>
      </c>
      <c r="BH406" s="5">
        <v>29.0</v>
      </c>
      <c r="BI406" s="5">
        <v>96029.0</v>
      </c>
      <c r="BJ406" s="5">
        <v>31191.0</v>
      </c>
      <c r="BK406" s="5">
        <v>0.0</v>
      </c>
      <c r="BL406" s="5">
        <v>0.0</v>
      </c>
      <c r="BM406" s="5">
        <v>0.0</v>
      </c>
      <c r="BN406" s="5">
        <v>0.0</v>
      </c>
      <c r="BO406" s="5">
        <v>233540.0</v>
      </c>
      <c r="BP406" s="5">
        <v>0.0</v>
      </c>
      <c r="BQ406" s="5">
        <v>233600.0</v>
      </c>
      <c r="BR406" s="5">
        <v>0.0</v>
      </c>
      <c r="BS406" s="5">
        <v>233540.0</v>
      </c>
      <c r="BT406" s="5">
        <v>0.0</v>
      </c>
      <c r="BU406" s="5">
        <v>233540.0</v>
      </c>
      <c r="BV406" s="5">
        <v>0.0</v>
      </c>
      <c r="BW406" s="5">
        <v>233540.0</v>
      </c>
      <c r="BX406" s="5">
        <v>0.0</v>
      </c>
      <c r="BY406" s="5">
        <v>334964.0</v>
      </c>
      <c r="BZ406" s="5">
        <v>32962.0</v>
      </c>
      <c r="CA406" s="5">
        <v>334964.0</v>
      </c>
      <c r="CB406" s="5">
        <v>32962.0</v>
      </c>
      <c r="CC406" s="5">
        <v>335024.0</v>
      </c>
      <c r="CD406" s="5">
        <v>32962.0</v>
      </c>
      <c r="CE406" s="5">
        <v>334964.0</v>
      </c>
      <c r="CF406" s="5">
        <v>32962.0</v>
      </c>
      <c r="CG406" s="5">
        <v>334963.0</v>
      </c>
      <c r="CH406" s="5">
        <v>32962.0</v>
      </c>
      <c r="CI406" s="5">
        <v>334964.0</v>
      </c>
      <c r="CJ406" s="5">
        <v>32962.0</v>
      </c>
      <c r="CK406" s="5">
        <v>238934.0</v>
      </c>
      <c r="CL406" s="5">
        <v>1771.0</v>
      </c>
      <c r="CM406" s="5">
        <v>238934.0</v>
      </c>
      <c r="CN406" s="5">
        <v>1771.0</v>
      </c>
      <c r="CO406" s="5">
        <v>40.0</v>
      </c>
      <c r="CP406" s="3"/>
      <c r="CQ406" s="3"/>
      <c r="CR406" s="4" t="s">
        <v>1704</v>
      </c>
    </row>
    <row r="407">
      <c r="A407" s="1" t="s">
        <v>1705</v>
      </c>
      <c r="B407" s="2">
        <v>46052.67721064815</v>
      </c>
      <c r="C407" s="1" t="str">
        <f t="array" ref="C407">INDEX('User data'!E:E, MATCH(E407, 'User data'!B:B, 0))</f>
        <v/>
      </c>
      <c r="D407" s="1" t="str">
        <f t="array" ref="D407">INDEX('User data'!F:F, MATCH(C407, 'User data'!E:E, 0))</f>
        <v>#N/A</v>
      </c>
      <c r="E407" s="1" t="s">
        <v>1706</v>
      </c>
      <c r="F407" s="3"/>
      <c r="G407" s="3"/>
      <c r="H407" s="3"/>
      <c r="I407" s="3"/>
      <c r="J407" s="1" t="s">
        <v>100</v>
      </c>
      <c r="K407" s="1" t="s">
        <v>101</v>
      </c>
      <c r="L407" s="1" t="b">
        <v>0</v>
      </c>
      <c r="M407" s="4" t="s">
        <v>570</v>
      </c>
      <c r="N407" s="1" t="s">
        <v>1707</v>
      </c>
      <c r="P407" s="3"/>
      <c r="Q407" s="3"/>
      <c r="R407" s="3"/>
      <c r="S407" s="1">
        <v>13285.0</v>
      </c>
      <c r="T407" s="1" t="s">
        <v>104</v>
      </c>
      <c r="U407" s="3"/>
      <c r="V407" s="3"/>
      <c r="W407" s="1" t="s">
        <v>105</v>
      </c>
      <c r="X407" s="3"/>
      <c r="Y407" s="1" t="s">
        <v>106</v>
      </c>
      <c r="Z407" s="3"/>
      <c r="AA407" s="1" t="b">
        <v>0</v>
      </c>
      <c r="AB407" s="1" t="b">
        <v>0</v>
      </c>
      <c r="AC407" s="1" t="b">
        <v>0</v>
      </c>
      <c r="AD407" s="1" t="b">
        <v>1</v>
      </c>
      <c r="AE407" s="1" t="b">
        <v>1</v>
      </c>
      <c r="AF407" s="3"/>
      <c r="AG407" s="3"/>
      <c r="AH407" s="3"/>
      <c r="AI407" s="3"/>
      <c r="AJ407" s="2">
        <v>46052.67497685185</v>
      </c>
      <c r="AK407" s="2">
        <v>46053.67726851852</v>
      </c>
      <c r="AL407" s="2">
        <v>46052.67497685185</v>
      </c>
      <c r="AM407" s="2">
        <v>46052.67502314815</v>
      </c>
      <c r="AN407" s="2">
        <v>46052.67721064815</v>
      </c>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5">
        <v>2.8</v>
      </c>
      <c r="CR407" s="4" t="s">
        <v>1708</v>
      </c>
    </row>
    <row r="408">
      <c r="A408" s="1" t="s">
        <v>1709</v>
      </c>
      <c r="B408" s="2">
        <v>46052.65967592593</v>
      </c>
      <c r="C408" s="1" t="str">
        <f t="array" ref="C408">INDEX('User data'!E:E, MATCH(E408, 'User data'!B:B, 0))</f>
        <v>(주)싸이어스</v>
      </c>
      <c r="D408" s="1" t="str">
        <f t="array" ref="D408">INDEX('User data'!F:F, MATCH(C408, 'User data'!E:E, 0))</f>
        <v>367-81-02555</v>
      </c>
      <c r="E408" s="1" t="s">
        <v>1689</v>
      </c>
      <c r="F408" s="3"/>
      <c r="G408" s="3"/>
      <c r="H408" s="3"/>
      <c r="I408" s="1" t="s">
        <v>1537</v>
      </c>
      <c r="J408" s="1" t="s">
        <v>100</v>
      </c>
      <c r="K408" s="1" t="s">
        <v>173</v>
      </c>
      <c r="L408" s="1" t="b">
        <v>0</v>
      </c>
      <c r="M408" s="3"/>
      <c r="N408" s="1" t="s">
        <v>1690</v>
      </c>
      <c r="O408" s="1">
        <v>506375.0</v>
      </c>
      <c r="P408" s="1">
        <v>506375.0</v>
      </c>
      <c r="Q408" s="1">
        <v>506375.0</v>
      </c>
      <c r="R408" s="1" t="s">
        <v>1201</v>
      </c>
      <c r="T408" s="1" t="s">
        <v>104</v>
      </c>
      <c r="U408" s="3"/>
      <c r="V408" s="3"/>
      <c r="W408" s="1" t="s">
        <v>118</v>
      </c>
      <c r="X408" s="3"/>
      <c r="Y408" s="1" t="s">
        <v>119</v>
      </c>
      <c r="Z408" s="3"/>
      <c r="AA408" s="1" t="b">
        <v>1</v>
      </c>
      <c r="AB408" s="1" t="b">
        <v>0</v>
      </c>
      <c r="AC408" s="1" t="b">
        <v>0</v>
      </c>
      <c r="AD408" s="1" t="b">
        <v>0</v>
      </c>
      <c r="AE408" s="1" t="b">
        <v>0</v>
      </c>
      <c r="AF408" s="5">
        <v>7.0</v>
      </c>
      <c r="AG408" s="5">
        <v>6.0</v>
      </c>
      <c r="AH408" s="3"/>
      <c r="AI408" s="3"/>
      <c r="AJ408" s="2">
        <v>46052.65967592593</v>
      </c>
      <c r="AK408" s="2">
        <v>46052.752858796295</v>
      </c>
      <c r="AM408" s="2">
        <v>46052.66105324074</v>
      </c>
      <c r="AO408" s="3"/>
      <c r="AP408" s="3"/>
      <c r="AQ408" s="3"/>
      <c r="AR408" s="3"/>
      <c r="AS408" s="3"/>
      <c r="AT408" s="2">
        <v>46052.65967592593</v>
      </c>
      <c r="AU408" s="2">
        <v>46052.65967592593</v>
      </c>
      <c r="AW408" s="3"/>
      <c r="AX408" s="2">
        <v>46052.65967592593</v>
      </c>
      <c r="AY408" s="2">
        <v>46052.65967592593</v>
      </c>
      <c r="AZ408" s="2">
        <v>46052.663252314815</v>
      </c>
      <c r="BA408" s="2">
        <v>46052.71115740741</v>
      </c>
      <c r="BC408" s="2">
        <v>46052.711180555554</v>
      </c>
      <c r="BD408" s="2">
        <v>46052.711180555554</v>
      </c>
      <c r="BE408" s="5">
        <v>3374.0</v>
      </c>
      <c r="BF408" s="5">
        <v>1088.0</v>
      </c>
      <c r="BG408" s="5">
        <v>482.0</v>
      </c>
      <c r="BH408" s="5">
        <v>181.0</v>
      </c>
      <c r="BI408" s="3"/>
      <c r="BJ408" s="3"/>
      <c r="BK408" s="3"/>
      <c r="BL408" s="3"/>
      <c r="BM408" s="3"/>
      <c r="BN408" s="3"/>
      <c r="BO408" s="5">
        <v>308.0</v>
      </c>
      <c r="BP408" s="5">
        <v>308.0</v>
      </c>
      <c r="BQ408" s="5">
        <v>189.0</v>
      </c>
      <c r="BR408" s="5">
        <v>189.0</v>
      </c>
      <c r="BS408" s="5">
        <v>308.0</v>
      </c>
      <c r="BT408" s="5">
        <v>308.0</v>
      </c>
      <c r="BU408" s="5">
        <v>308.0</v>
      </c>
      <c r="BV408" s="5">
        <v>308.0</v>
      </c>
      <c r="BW408" s="5">
        <v>308.0</v>
      </c>
      <c r="BX408" s="5">
        <v>308.0</v>
      </c>
      <c r="BY408" s="5">
        <v>4449.0</v>
      </c>
      <c r="BZ408" s="5">
        <v>4203.0</v>
      </c>
      <c r="CA408" s="5">
        <v>4449.0</v>
      </c>
      <c r="CB408" s="5">
        <v>4203.0</v>
      </c>
      <c r="CC408" s="5">
        <v>4331.0</v>
      </c>
      <c r="CD408" s="5">
        <v>4084.0</v>
      </c>
      <c r="CE408" s="5">
        <v>4449.0</v>
      </c>
      <c r="CF408" s="5">
        <v>4203.0</v>
      </c>
      <c r="CG408" s="5">
        <v>4449.0</v>
      </c>
      <c r="CH408" s="5">
        <v>4203.0</v>
      </c>
      <c r="CI408" s="5">
        <v>4449.0</v>
      </c>
      <c r="CJ408" s="5">
        <v>4203.0</v>
      </c>
      <c r="CK408" s="5">
        <v>4449.0</v>
      </c>
      <c r="CL408" s="5">
        <v>4203.0</v>
      </c>
      <c r="CM408" s="5">
        <v>4449.0</v>
      </c>
      <c r="CN408" s="5">
        <v>4203.0</v>
      </c>
      <c r="CO408" s="3"/>
      <c r="CP408" s="3"/>
      <c r="CQ408" s="3"/>
      <c r="CR408" s="4" t="s">
        <v>1710</v>
      </c>
    </row>
    <row r="409">
      <c r="A409" s="1" t="s">
        <v>1711</v>
      </c>
      <c r="B409" s="2">
        <v>46052.656909722224</v>
      </c>
      <c r="C409" s="1" t="str">
        <f t="array" ref="C409">INDEX('User data'!E:E, MATCH(E409, 'User data'!B:B, 0))</f>
        <v>주식회사 에프엠더블유</v>
      </c>
      <c r="D409" s="1" t="str">
        <f t="array" ref="D409">INDEX('User data'!F:F, MATCH(C409, 'User data'!E:E, 0))</f>
        <v>234-87-02000</v>
      </c>
      <c r="E409" s="1" t="s">
        <v>1712</v>
      </c>
      <c r="F409" s="3"/>
      <c r="G409" s="1" t="s">
        <v>1713</v>
      </c>
      <c r="I409" s="1" t="s">
        <v>1537</v>
      </c>
      <c r="J409" s="1" t="s">
        <v>100</v>
      </c>
      <c r="K409" s="1" t="s">
        <v>101</v>
      </c>
      <c r="L409" s="1" t="b">
        <v>0</v>
      </c>
      <c r="M409" s="4" t="s">
        <v>102</v>
      </c>
      <c r="N409" s="1" t="s">
        <v>1714</v>
      </c>
      <c r="O409" s="1">
        <v>574085.0</v>
      </c>
      <c r="P409" s="1">
        <v>574085.0</v>
      </c>
      <c r="Q409" s="1">
        <v>574085.0</v>
      </c>
      <c r="R409" s="1" t="s">
        <v>145</v>
      </c>
      <c r="S409" s="1">
        <v>13285.0</v>
      </c>
      <c r="T409" s="1" t="s">
        <v>104</v>
      </c>
      <c r="U409" s="3"/>
      <c r="V409" s="3"/>
      <c r="W409" s="1" t="s">
        <v>118</v>
      </c>
      <c r="X409" s="3"/>
      <c r="Y409" s="1" t="s">
        <v>119</v>
      </c>
      <c r="Z409" s="3"/>
      <c r="AA409" s="1" t="b">
        <v>1</v>
      </c>
      <c r="AB409" s="1" t="b">
        <v>0</v>
      </c>
      <c r="AC409" s="1" t="b">
        <v>0</v>
      </c>
      <c r="AD409" s="1" t="b">
        <v>1</v>
      </c>
      <c r="AE409" s="1" t="b">
        <v>0</v>
      </c>
      <c r="AF409" s="5">
        <v>4.0</v>
      </c>
      <c r="AG409" s="5">
        <v>3.0</v>
      </c>
      <c r="AH409" s="3"/>
      <c r="AI409" s="3"/>
      <c r="AJ409" s="2">
        <v>46052.65642361111</v>
      </c>
      <c r="AK409" s="2">
        <v>46055.46178240741</v>
      </c>
      <c r="AL409" s="2">
        <v>46052.65642361111</v>
      </c>
      <c r="AM409" s="2">
        <v>46052.65644675926</v>
      </c>
      <c r="AO409" s="3"/>
      <c r="AP409" s="2">
        <v>46052.656701388885</v>
      </c>
      <c r="AQ409" s="2">
        <v>46052.656909722224</v>
      </c>
      <c r="AS409" s="2">
        <v>46052.65692129629</v>
      </c>
      <c r="AT409" s="2">
        <v>46052.656909722224</v>
      </c>
      <c r="AU409" s="2">
        <v>46053.66668981482</v>
      </c>
      <c r="AW409" s="3"/>
      <c r="AX409" s="2">
        <v>46052.65692129629</v>
      </c>
      <c r="AY409" s="2">
        <v>46052.65692129629</v>
      </c>
      <c r="AZ409" s="2">
        <v>46052.65738425926</v>
      </c>
      <c r="BA409" s="2">
        <v>46055.420069444444</v>
      </c>
      <c r="BB409" s="2">
        <v>46052.70150462963</v>
      </c>
      <c r="BC409" s="2">
        <v>46055.42010416667</v>
      </c>
      <c r="BD409" s="2">
        <v>46055.42010416667</v>
      </c>
      <c r="BE409" s="5">
        <v>151834.0</v>
      </c>
      <c r="BF409" s="5">
        <v>342.0</v>
      </c>
      <c r="BG409" s="5">
        <v>37958.0</v>
      </c>
      <c r="BH409" s="5">
        <v>114.0</v>
      </c>
      <c r="BI409" s="5">
        <v>83391.0</v>
      </c>
      <c r="BJ409" s="5">
        <v>589.0</v>
      </c>
      <c r="BK409" s="5">
        <v>0.0</v>
      </c>
      <c r="BL409" s="5">
        <v>0.0</v>
      </c>
      <c r="BM409" s="5">
        <v>0.0</v>
      </c>
      <c r="BN409" s="5">
        <v>0.0</v>
      </c>
      <c r="BO409" s="5">
        <v>40.0</v>
      </c>
      <c r="BP409" s="5">
        <v>40.0</v>
      </c>
      <c r="BQ409" s="5">
        <v>80.0</v>
      </c>
      <c r="BR409" s="5">
        <v>80.0</v>
      </c>
      <c r="BS409" s="5">
        <v>39.0</v>
      </c>
      <c r="BT409" s="5">
        <v>39.0</v>
      </c>
      <c r="BU409" s="5">
        <v>39.0</v>
      </c>
      <c r="BV409" s="5">
        <v>39.0</v>
      </c>
      <c r="BW409" s="5">
        <v>40.0</v>
      </c>
      <c r="BX409" s="5">
        <v>40.0</v>
      </c>
      <c r="BY409" s="5">
        <v>238739.0</v>
      </c>
      <c r="BZ409" s="5">
        <v>4739.0</v>
      </c>
      <c r="CA409" s="5">
        <v>238739.0</v>
      </c>
      <c r="CB409" s="5">
        <v>4739.0</v>
      </c>
      <c r="CC409" s="5">
        <v>238779.0</v>
      </c>
      <c r="CD409" s="5">
        <v>4779.0</v>
      </c>
      <c r="CE409" s="5">
        <v>238738.0</v>
      </c>
      <c r="CF409" s="5">
        <v>4738.0</v>
      </c>
      <c r="CG409" s="5">
        <v>238738.0</v>
      </c>
      <c r="CH409" s="5">
        <v>4738.0</v>
      </c>
      <c r="CI409" s="5">
        <v>238739.0</v>
      </c>
      <c r="CJ409" s="5">
        <v>4739.0</v>
      </c>
      <c r="CK409" s="5">
        <v>155347.0</v>
      </c>
      <c r="CL409" s="5">
        <v>4149.0</v>
      </c>
      <c r="CM409" s="5">
        <v>155347.0</v>
      </c>
      <c r="CN409" s="5">
        <v>4149.0</v>
      </c>
      <c r="CO409" s="5">
        <v>24.0</v>
      </c>
      <c r="CP409" s="3"/>
      <c r="CQ409" s="3"/>
      <c r="CR409" s="4" t="s">
        <v>1715</v>
      </c>
    </row>
    <row r="410">
      <c r="A410" s="1" t="s">
        <v>1716</v>
      </c>
      <c r="B410" s="2">
        <v>46052.64670138889</v>
      </c>
      <c r="C410" s="1" t="str">
        <f t="array" ref="C410">INDEX('User data'!E:E, MATCH(E410, 'User data'!B:B, 0))</f>
        <v/>
      </c>
      <c r="D410" s="1" t="str">
        <f t="array" ref="D410">INDEX('User data'!F:F, MATCH(C410, 'User data'!E:E, 0))</f>
        <v>#N/A</v>
      </c>
      <c r="E410" s="1" t="s">
        <v>1717</v>
      </c>
      <c r="F410" s="3"/>
      <c r="G410" s="3"/>
      <c r="H410" s="3"/>
      <c r="I410" s="3"/>
      <c r="J410" s="1" t="s">
        <v>100</v>
      </c>
      <c r="K410" s="1" t="s">
        <v>101</v>
      </c>
      <c r="L410" s="1" t="b">
        <v>0</v>
      </c>
      <c r="M410" s="1" t="s">
        <v>1718</v>
      </c>
      <c r="N410" s="1" t="s">
        <v>1719</v>
      </c>
      <c r="P410" s="3"/>
      <c r="Q410" s="3"/>
      <c r="R410" s="3"/>
      <c r="S410" s="1">
        <v>13285.0</v>
      </c>
      <c r="T410" s="1" t="s">
        <v>104</v>
      </c>
      <c r="U410" s="3"/>
      <c r="V410" s="3"/>
      <c r="W410" s="1" t="s">
        <v>118</v>
      </c>
      <c r="X410" s="3"/>
      <c r="Y410" s="1" t="s">
        <v>106</v>
      </c>
      <c r="Z410" s="3"/>
      <c r="AA410" s="1" t="b">
        <v>0</v>
      </c>
      <c r="AB410" s="1" t="b">
        <v>0</v>
      </c>
      <c r="AC410" s="1" t="b">
        <v>0</v>
      </c>
      <c r="AD410" s="1" t="b">
        <v>1</v>
      </c>
      <c r="AE410" s="1" t="b">
        <v>1</v>
      </c>
      <c r="AF410" s="3"/>
      <c r="AG410" s="3"/>
      <c r="AH410" s="3"/>
      <c r="AI410" s="3"/>
      <c r="AJ410" s="2">
        <v>46052.64630787037</v>
      </c>
      <c r="AK410" s="2">
        <v>46053.65924768519</v>
      </c>
      <c r="AL410" s="2">
        <v>46052.64630787037</v>
      </c>
      <c r="AM410" s="2">
        <v>46052.64633101852</v>
      </c>
      <c r="AN410" s="2">
        <v>46052.64670138889</v>
      </c>
      <c r="AP410" s="3"/>
      <c r="AQ410" s="3"/>
      <c r="AR410" s="3"/>
      <c r="AS410" s="3"/>
      <c r="AT410" s="3"/>
      <c r="AU410" s="3"/>
      <c r="AV410" s="3"/>
      <c r="AW410" s="3"/>
      <c r="AX410" s="3"/>
      <c r="AY410" s="3"/>
      <c r="AZ410" s="3"/>
      <c r="BA410" s="3"/>
      <c r="BB410" s="3"/>
      <c r="BC410" s="2">
        <v>46052.65966435185</v>
      </c>
      <c r="BD410" s="2">
        <v>46052.65966435185</v>
      </c>
      <c r="BF410" s="3"/>
      <c r="BG410" s="3"/>
      <c r="BH410" s="3"/>
      <c r="BI410" s="3"/>
      <c r="BJ410" s="3"/>
      <c r="BK410" s="3"/>
      <c r="BL410" s="3"/>
      <c r="BM410" s="3"/>
      <c r="BN410" s="3"/>
      <c r="BO410" s="3"/>
      <c r="BP410" s="3"/>
      <c r="BQ410" s="3"/>
      <c r="BR410" s="3"/>
      <c r="BS410" s="3"/>
      <c r="BT410" s="3"/>
      <c r="BU410" s="3"/>
      <c r="BV410" s="3"/>
      <c r="BW410" s="3"/>
      <c r="BX410" s="3"/>
      <c r="BY410" s="5">
        <v>1119.0</v>
      </c>
      <c r="BZ410" s="5">
        <v>1119.0</v>
      </c>
      <c r="CA410" s="5">
        <v>1119.0</v>
      </c>
      <c r="CB410" s="5">
        <v>1119.0</v>
      </c>
      <c r="CC410" s="5">
        <v>1152.0</v>
      </c>
      <c r="CD410" s="5">
        <v>1152.0</v>
      </c>
      <c r="CE410" s="3"/>
      <c r="CF410" s="3"/>
      <c r="CG410" s="3"/>
      <c r="CH410" s="3"/>
      <c r="CI410" s="3"/>
      <c r="CJ410" s="3"/>
      <c r="CK410" s="3"/>
      <c r="CL410" s="3"/>
      <c r="CM410" s="3"/>
      <c r="CN410" s="3"/>
      <c r="CO410" s="3"/>
      <c r="CP410" s="3"/>
      <c r="CQ410" s="5">
        <v>3.4</v>
      </c>
      <c r="CR410" s="4" t="s">
        <v>1720</v>
      </c>
    </row>
    <row r="411">
      <c r="A411" s="1" t="s">
        <v>1721</v>
      </c>
      <c r="B411" s="2">
        <v>46052.585694444446</v>
      </c>
      <c r="C411" s="1" t="str">
        <f t="array" ref="C411">INDEX('User data'!E:E, MATCH(E411, 'User data'!B:B, 0))</f>
        <v>주식회사 엘로이랩</v>
      </c>
      <c r="D411" s="1" t="str">
        <f t="array" ref="D411">INDEX('User data'!F:F, MATCH(C411, 'User data'!E:E, 0))</f>
        <v>208-88-01770</v>
      </c>
      <c r="E411" s="1" t="s">
        <v>1722</v>
      </c>
      <c r="F411" s="3"/>
      <c r="G411" s="1" t="s">
        <v>1723</v>
      </c>
      <c r="I411" s="1" t="s">
        <v>1430</v>
      </c>
      <c r="J411" s="1" t="s">
        <v>100</v>
      </c>
      <c r="K411" s="1" t="s">
        <v>101</v>
      </c>
      <c r="L411" s="1" t="b">
        <v>0</v>
      </c>
      <c r="M411" s="4" t="s">
        <v>102</v>
      </c>
      <c r="N411" s="1" t="s">
        <v>1724</v>
      </c>
      <c r="O411" s="1">
        <v>574085.0</v>
      </c>
      <c r="P411" s="1">
        <v>574085.0</v>
      </c>
      <c r="Q411" s="1">
        <v>574085.0</v>
      </c>
      <c r="R411" s="1">
        <v>574085.0</v>
      </c>
      <c r="S411" s="1">
        <v>13285.0</v>
      </c>
      <c r="T411" s="1" t="s">
        <v>104</v>
      </c>
      <c r="U411" s="3"/>
      <c r="V411" s="3"/>
      <c r="W411" s="1" t="s">
        <v>118</v>
      </c>
      <c r="X411" s="3"/>
      <c r="Y411" s="1" t="s">
        <v>119</v>
      </c>
      <c r="Z411" s="3"/>
      <c r="AA411" s="1" t="b">
        <v>1</v>
      </c>
      <c r="AB411" s="1" t="b">
        <v>0</v>
      </c>
      <c r="AC411" s="1" t="b">
        <v>0</v>
      </c>
      <c r="AD411" s="1" t="b">
        <v>1</v>
      </c>
      <c r="AE411" s="1" t="b">
        <v>0</v>
      </c>
      <c r="AF411" s="5">
        <v>2.0</v>
      </c>
      <c r="AG411" s="5">
        <v>2.0</v>
      </c>
      <c r="AH411" s="3"/>
      <c r="AI411" s="3"/>
      <c r="AJ411" s="2">
        <v>46051.866064814814</v>
      </c>
      <c r="AK411" s="2">
        <v>46055.36255787037</v>
      </c>
      <c r="AL411" s="2">
        <v>46051.866064814814</v>
      </c>
      <c r="AM411" s="2">
        <v>46051.86608796296</v>
      </c>
      <c r="AO411" s="3"/>
      <c r="AP411" s="2">
        <v>46051.88728009259</v>
      </c>
      <c r="AQ411" s="2">
        <v>46052.585694444446</v>
      </c>
      <c r="AS411" s="2">
        <v>46052.585706018515</v>
      </c>
      <c r="AT411" s="2">
        <v>46052.585694444446</v>
      </c>
      <c r="AU411" s="2">
        <v>46052.585706018515</v>
      </c>
      <c r="AW411" s="3"/>
      <c r="AX411" s="2">
        <v>46052.585706018515</v>
      </c>
      <c r="AY411" s="2">
        <v>46052.585706018515</v>
      </c>
      <c r="AZ411" s="2">
        <v>46052.5874537037</v>
      </c>
      <c r="BA411" s="2">
        <v>46052.58888888889</v>
      </c>
      <c r="BC411" s="2">
        <v>46052.58893518519</v>
      </c>
      <c r="BD411" s="2">
        <v>46052.58893518519</v>
      </c>
      <c r="BE411" s="5">
        <v>183.0</v>
      </c>
      <c r="BF411" s="5">
        <v>183.0</v>
      </c>
      <c r="BG411" s="5">
        <v>91.0</v>
      </c>
      <c r="BH411" s="5">
        <v>91.0</v>
      </c>
      <c r="BI411" s="3"/>
      <c r="BJ411" s="3"/>
      <c r="BK411" s="5">
        <v>0.0</v>
      </c>
      <c r="BL411" s="5">
        <v>0.0</v>
      </c>
      <c r="BM411" s="5">
        <v>0.0</v>
      </c>
      <c r="BN411" s="5">
        <v>0.0</v>
      </c>
      <c r="BO411" s="5">
        <v>152.0</v>
      </c>
      <c r="BP411" s="5">
        <v>152.0</v>
      </c>
      <c r="BQ411" s="5">
        <v>62326.0</v>
      </c>
      <c r="BR411" s="5">
        <v>11156.0</v>
      </c>
      <c r="BS411" s="5">
        <v>151.0</v>
      </c>
      <c r="BT411" s="5">
        <v>151.0</v>
      </c>
      <c r="BU411" s="5">
        <v>151.0</v>
      </c>
      <c r="BV411" s="5">
        <v>151.0</v>
      </c>
      <c r="BW411" s="5">
        <v>152.0</v>
      </c>
      <c r="BX411" s="5">
        <v>152.0</v>
      </c>
      <c r="BY411" s="5">
        <v>279.0</v>
      </c>
      <c r="BZ411" s="5">
        <v>279.0</v>
      </c>
      <c r="CA411" s="5">
        <v>279.0</v>
      </c>
      <c r="CB411" s="5">
        <v>279.0</v>
      </c>
      <c r="CC411" s="5">
        <v>62453.0</v>
      </c>
      <c r="CD411" s="5">
        <v>11284.0</v>
      </c>
      <c r="CE411" s="5">
        <v>278.0</v>
      </c>
      <c r="CF411" s="5">
        <v>278.0</v>
      </c>
      <c r="CG411" s="5">
        <v>278.0</v>
      </c>
      <c r="CH411" s="5">
        <v>278.0</v>
      </c>
      <c r="CI411" s="5">
        <v>279.0</v>
      </c>
      <c r="CJ411" s="5">
        <v>279.0</v>
      </c>
      <c r="CK411" s="5">
        <v>278.0</v>
      </c>
      <c r="CL411" s="5">
        <v>278.0</v>
      </c>
      <c r="CM411" s="5">
        <v>278.0</v>
      </c>
      <c r="CN411" s="5">
        <v>278.0</v>
      </c>
      <c r="CO411" s="5">
        <v>1833.0</v>
      </c>
      <c r="CP411" s="3"/>
      <c r="CQ411" s="3"/>
      <c r="CR411" s="4" t="s">
        <v>1725</v>
      </c>
    </row>
    <row r="412">
      <c r="A412" s="1" t="s">
        <v>1726</v>
      </c>
      <c r="B412" s="2">
        <v>46052.58453703704</v>
      </c>
      <c r="C412" s="1" t="str">
        <f t="array" ref="C412">INDEX('User data'!E:E, MATCH(E412, 'User data'!B:B, 0))</f>
        <v>모바일닥터</v>
      </c>
      <c r="D412" s="1" t="str">
        <f t="array" ref="D412">INDEX('User data'!F:F, MATCH(C412, 'User data'!E:E, 0))</f>
        <v>211-88-95444</v>
      </c>
      <c r="E412" s="1" t="s">
        <v>1727</v>
      </c>
      <c r="F412" s="3"/>
      <c r="G412" s="3"/>
      <c r="H412" s="3"/>
      <c r="I412" s="1" t="s">
        <v>258</v>
      </c>
      <c r="J412" s="1" t="s">
        <v>100</v>
      </c>
      <c r="K412" s="1" t="s">
        <v>101</v>
      </c>
      <c r="L412" s="1" t="b">
        <v>0</v>
      </c>
      <c r="M412" s="4" t="s">
        <v>102</v>
      </c>
      <c r="N412" s="1" t="s">
        <v>1728</v>
      </c>
      <c r="O412" s="1">
        <v>594863.0</v>
      </c>
      <c r="P412" s="1">
        <v>594863.0</v>
      </c>
      <c r="Q412" s="1">
        <v>594863.0</v>
      </c>
      <c r="R412" s="1" t="s">
        <v>1729</v>
      </c>
      <c r="S412" s="1">
        <v>13288.0</v>
      </c>
      <c r="T412" s="1" t="s">
        <v>104</v>
      </c>
      <c r="U412" s="3"/>
      <c r="V412" s="3"/>
      <c r="W412" s="1" t="s">
        <v>118</v>
      </c>
      <c r="X412" s="3"/>
      <c r="Y412" s="1" t="s">
        <v>119</v>
      </c>
      <c r="Z412" s="3"/>
      <c r="AA412" s="1" t="b">
        <v>1</v>
      </c>
      <c r="AB412" s="1" t="b">
        <v>0</v>
      </c>
      <c r="AC412" s="1" t="b">
        <v>0</v>
      </c>
      <c r="AD412" s="1" t="b">
        <v>1</v>
      </c>
      <c r="AE412" s="1" t="b">
        <v>0</v>
      </c>
      <c r="AF412" s="5">
        <v>1.0</v>
      </c>
      <c r="AG412" s="5">
        <v>1.0</v>
      </c>
      <c r="AH412" s="3"/>
      <c r="AI412" s="3"/>
      <c r="AJ412" s="2">
        <v>46052.580729166664</v>
      </c>
      <c r="AK412" s="2">
        <v>46052.68895833333</v>
      </c>
      <c r="AL412" s="2">
        <v>46052.580729166664</v>
      </c>
      <c r="AM412" s="2">
        <v>46052.58074074074</v>
      </c>
      <c r="AO412" s="3"/>
      <c r="AP412" s="2">
        <v>46052.58405092593</v>
      </c>
      <c r="AR412" s="3"/>
      <c r="AS412" s="3"/>
      <c r="AT412" s="2">
        <v>46052.58453703704</v>
      </c>
      <c r="AU412" s="2">
        <v>46052.58453703704</v>
      </c>
      <c r="AW412" s="3"/>
      <c r="AX412" s="2">
        <v>46052.58084490741</v>
      </c>
      <c r="AY412" s="2">
        <v>46052.58453703704</v>
      </c>
      <c r="AZ412" s="2">
        <v>46052.596134259256</v>
      </c>
      <c r="BA412" s="2">
        <v>46052.596134259256</v>
      </c>
      <c r="BC412" s="2">
        <v>46052.64728009259</v>
      </c>
      <c r="BD412" s="2">
        <v>46052.64728009259</v>
      </c>
      <c r="BE412" s="5">
        <v>1002.0</v>
      </c>
      <c r="BF412" s="5">
        <v>1002.0</v>
      </c>
      <c r="BG412" s="5">
        <v>1002.0</v>
      </c>
      <c r="BH412" s="5">
        <v>1002.0</v>
      </c>
      <c r="BI412" s="3"/>
      <c r="BJ412" s="3"/>
      <c r="BK412" s="3"/>
      <c r="BL412" s="3"/>
      <c r="BM412" s="3"/>
      <c r="BN412" s="3"/>
      <c r="BO412" s="5">
        <v>1002.0</v>
      </c>
      <c r="BP412" s="5">
        <v>1002.0</v>
      </c>
      <c r="BQ412" s="5">
        <v>1329.0</v>
      </c>
      <c r="BR412" s="5">
        <v>1329.0</v>
      </c>
      <c r="BS412" s="5">
        <v>1320.0</v>
      </c>
      <c r="BT412" s="5">
        <v>1320.0</v>
      </c>
      <c r="BU412" s="5">
        <v>1002.0</v>
      </c>
      <c r="BV412" s="5">
        <v>1002.0</v>
      </c>
      <c r="BW412" s="5">
        <v>1002.0</v>
      </c>
      <c r="BX412" s="5">
        <v>1002.0</v>
      </c>
      <c r="BY412" s="5">
        <v>5420.0</v>
      </c>
      <c r="BZ412" s="5">
        <v>5420.0</v>
      </c>
      <c r="CA412" s="5">
        <v>5420.0</v>
      </c>
      <c r="CB412" s="5">
        <v>5420.0</v>
      </c>
      <c r="CC412" s="5">
        <v>5748.0</v>
      </c>
      <c r="CD412" s="5">
        <v>5748.0</v>
      </c>
      <c r="CE412" s="5">
        <v>5739.0</v>
      </c>
      <c r="CF412" s="5">
        <v>5739.0</v>
      </c>
      <c r="CG412" s="5">
        <v>5420.0</v>
      </c>
      <c r="CH412" s="5">
        <v>5420.0</v>
      </c>
      <c r="CI412" s="5">
        <v>5420.0</v>
      </c>
      <c r="CJ412" s="5">
        <v>5420.0</v>
      </c>
      <c r="CK412" s="5">
        <v>5420.0</v>
      </c>
      <c r="CL412" s="5">
        <v>5420.0</v>
      </c>
      <c r="CM412" s="5">
        <v>5420.0</v>
      </c>
      <c r="CN412" s="5">
        <v>5420.0</v>
      </c>
      <c r="CO412" s="5">
        <v>287.0</v>
      </c>
      <c r="CP412" s="3"/>
      <c r="CQ412" s="3"/>
      <c r="CR412" s="4" t="s">
        <v>1730</v>
      </c>
    </row>
    <row r="413">
      <c r="A413" s="1" t="s">
        <v>1731</v>
      </c>
      <c r="B413" s="2">
        <v>46052.56979166667</v>
      </c>
      <c r="C413" s="1" t="str">
        <f t="array" ref="C413">INDEX('User data'!E:E, MATCH(E413, 'User data'!B:B, 0))</f>
        <v>캔디드 유한회사</v>
      </c>
      <c r="D413" s="1" t="str">
        <f t="array" ref="D413">INDEX('User data'!F:F, MATCH(C413, 'User data'!E:E, 0))</f>
        <v>717-87-02844</v>
      </c>
      <c r="E413" s="1" t="s">
        <v>334</v>
      </c>
      <c r="F413" s="3"/>
      <c r="G413" s="3"/>
      <c r="H413" s="3"/>
      <c r="I413" s="1" t="s">
        <v>1510</v>
      </c>
      <c r="J413" s="1" t="s">
        <v>100</v>
      </c>
      <c r="K413" s="1" t="s">
        <v>101</v>
      </c>
      <c r="L413" s="1" t="b">
        <v>0</v>
      </c>
      <c r="M413" s="4" t="s">
        <v>102</v>
      </c>
      <c r="N413" s="1" t="s">
        <v>335</v>
      </c>
      <c r="O413" s="1">
        <v>574085.0</v>
      </c>
      <c r="P413" s="1">
        <v>574085.0</v>
      </c>
      <c r="Q413" s="1">
        <v>574085.0</v>
      </c>
      <c r="R413" s="1" t="s">
        <v>1201</v>
      </c>
      <c r="S413" s="1">
        <v>13285.0</v>
      </c>
      <c r="T413" s="1" t="s">
        <v>104</v>
      </c>
      <c r="U413" s="3"/>
      <c r="V413" s="3"/>
      <c r="W413" s="1" t="s">
        <v>118</v>
      </c>
      <c r="X413" s="3"/>
      <c r="Y413" s="1" t="s">
        <v>119</v>
      </c>
      <c r="Z413" s="3"/>
      <c r="AA413" s="1" t="b">
        <v>1</v>
      </c>
      <c r="AB413" s="1" t="b">
        <v>0</v>
      </c>
      <c r="AC413" s="1" t="b">
        <v>0</v>
      </c>
      <c r="AD413" s="1" t="b">
        <v>1</v>
      </c>
      <c r="AE413" s="1" t="b">
        <v>0</v>
      </c>
      <c r="AF413" s="5">
        <v>2.0</v>
      </c>
      <c r="AG413" s="5">
        <v>2.0</v>
      </c>
      <c r="AH413" s="3"/>
      <c r="AI413" s="3"/>
      <c r="AJ413" s="2">
        <v>46052.569027777776</v>
      </c>
      <c r="AK413" s="2">
        <v>46052.70752314815</v>
      </c>
      <c r="AL413" s="2">
        <v>46052.569027777776</v>
      </c>
      <c r="AM413" s="2">
        <v>46052.56903935185</v>
      </c>
      <c r="AO413" s="3"/>
      <c r="AP413" s="2">
        <v>46052.56932870371</v>
      </c>
      <c r="AQ413" s="2">
        <v>46052.56979166667</v>
      </c>
      <c r="AS413" s="2">
        <v>46052.569814814815</v>
      </c>
      <c r="AT413" s="2">
        <v>46052.56979166667</v>
      </c>
      <c r="AU413" s="2">
        <v>46052.63474537037</v>
      </c>
      <c r="AW413" s="3"/>
      <c r="AX413" s="2">
        <v>46052.569814814815</v>
      </c>
      <c r="AY413" s="2">
        <v>46052.569814814815</v>
      </c>
      <c r="AZ413" s="2">
        <v>46052.577199074076</v>
      </c>
      <c r="BA413" s="2">
        <v>46052.66579861111</v>
      </c>
      <c r="BB413" s="2">
        <v>46052.579872685186</v>
      </c>
      <c r="BC413" s="2">
        <v>46052.66584490741</v>
      </c>
      <c r="BD413" s="2">
        <v>46052.66584490741</v>
      </c>
      <c r="BE413" s="5">
        <v>3323.0</v>
      </c>
      <c r="BF413" s="5">
        <v>3323.0</v>
      </c>
      <c r="BG413" s="5">
        <v>1661.0</v>
      </c>
      <c r="BH413" s="5">
        <v>1661.0</v>
      </c>
      <c r="BI413" s="5">
        <v>4740.0</v>
      </c>
      <c r="BJ413" s="5">
        <v>4740.0</v>
      </c>
      <c r="BK413" s="5">
        <v>1.0</v>
      </c>
      <c r="BL413" s="5">
        <v>1.0</v>
      </c>
      <c r="BM413" s="5">
        <v>1.0</v>
      </c>
      <c r="BN413" s="5">
        <v>1.0</v>
      </c>
      <c r="BO413" s="5">
        <v>639.0</v>
      </c>
      <c r="BP413" s="5">
        <v>639.0</v>
      </c>
      <c r="BQ413" s="5">
        <v>704.0</v>
      </c>
      <c r="BR413" s="5">
        <v>704.0</v>
      </c>
      <c r="BS413" s="5">
        <v>638.0</v>
      </c>
      <c r="BT413" s="5">
        <v>638.0</v>
      </c>
      <c r="BU413" s="5">
        <v>637.0</v>
      </c>
      <c r="BV413" s="5">
        <v>637.0</v>
      </c>
      <c r="BW413" s="5">
        <v>639.0</v>
      </c>
      <c r="BX413" s="5">
        <v>639.0</v>
      </c>
      <c r="BY413" s="5">
        <v>8298.0</v>
      </c>
      <c r="BZ413" s="5">
        <v>8298.0</v>
      </c>
      <c r="CA413" s="5">
        <v>8298.0</v>
      </c>
      <c r="CB413" s="5">
        <v>8298.0</v>
      </c>
      <c r="CC413" s="5">
        <v>8363.0</v>
      </c>
      <c r="CD413" s="5">
        <v>8363.0</v>
      </c>
      <c r="CE413" s="5">
        <v>8297.0</v>
      </c>
      <c r="CF413" s="5">
        <v>8297.0</v>
      </c>
      <c r="CG413" s="5">
        <v>8297.0</v>
      </c>
      <c r="CH413" s="5">
        <v>8297.0</v>
      </c>
      <c r="CI413" s="5">
        <v>8298.0</v>
      </c>
      <c r="CJ413" s="5">
        <v>8298.0</v>
      </c>
      <c r="CK413" s="5">
        <v>3556.0</v>
      </c>
      <c r="CL413" s="5">
        <v>3556.0</v>
      </c>
      <c r="CM413" s="5">
        <v>3556.0</v>
      </c>
      <c r="CN413" s="5">
        <v>3556.0</v>
      </c>
      <c r="CO413" s="5">
        <v>26.0</v>
      </c>
      <c r="CP413" s="3"/>
      <c r="CQ413" s="3"/>
      <c r="CR413" s="4" t="s">
        <v>1732</v>
      </c>
    </row>
    <row r="414">
      <c r="A414" s="1" t="s">
        <v>1733</v>
      </c>
      <c r="B414" s="2">
        <v>46052.547685185185</v>
      </c>
      <c r="C414" s="1" t="str">
        <f t="array" ref="C414">INDEX('User data'!E:E, MATCH(E414, 'User data'!B:B, 0))</f>
        <v>라온 자산운용 주식회사 (RAON ASSET MANAGEMENT Co., Ltd)</v>
      </c>
      <c r="D414" s="1" t="str">
        <f t="array" ref="D414">INDEX('User data'!F:F, MATCH(C414, 'User data'!E:E, 0))</f>
        <v>393-87-02667</v>
      </c>
      <c r="E414" s="1" t="s">
        <v>1734</v>
      </c>
      <c r="F414" s="3"/>
      <c r="G414" s="3"/>
      <c r="H414" s="3"/>
      <c r="I414" s="3"/>
      <c r="J414" s="1" t="s">
        <v>100</v>
      </c>
      <c r="K414" s="1" t="s">
        <v>101</v>
      </c>
      <c r="L414" s="1" t="b">
        <v>0</v>
      </c>
      <c r="M414" s="1" t="s">
        <v>1619</v>
      </c>
      <c r="N414" s="1" t="s">
        <v>1735</v>
      </c>
      <c r="P414" s="3"/>
      <c r="Q414" s="3"/>
      <c r="R414" s="3"/>
      <c r="S414" s="1">
        <v>13285.0</v>
      </c>
      <c r="T414" s="1" t="s">
        <v>104</v>
      </c>
      <c r="U414" s="3"/>
      <c r="V414" s="3"/>
      <c r="W414" s="1" t="s">
        <v>105</v>
      </c>
      <c r="X414" s="3"/>
      <c r="Y414" s="1" t="s">
        <v>106</v>
      </c>
      <c r="Z414" s="3"/>
      <c r="AA414" s="1" t="b">
        <v>0</v>
      </c>
      <c r="AB414" s="1" t="b">
        <v>0</v>
      </c>
      <c r="AC414" s="1" t="b">
        <v>0</v>
      </c>
      <c r="AD414" s="1" t="b">
        <v>1</v>
      </c>
      <c r="AE414" s="1" t="b">
        <v>1</v>
      </c>
      <c r="AF414" s="3"/>
      <c r="AG414" s="3"/>
      <c r="AH414" s="3"/>
      <c r="AI414" s="3"/>
      <c r="AJ414" s="2">
        <v>46052.547118055554</v>
      </c>
      <c r="AK414" s="2">
        <v>46053.547743055555</v>
      </c>
      <c r="AL414" s="2">
        <v>46052.547118055554</v>
      </c>
      <c r="AM414" s="2">
        <v>46052.54712962963</v>
      </c>
      <c r="AN414" s="2">
        <v>46052.547685185185</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5">
        <v>4.4</v>
      </c>
      <c r="CR414" s="4" t="s">
        <v>1736</v>
      </c>
    </row>
    <row r="415">
      <c r="A415" s="1" t="s">
        <v>1737</v>
      </c>
      <c r="B415" s="2">
        <v>46052.53923611111</v>
      </c>
      <c r="C415" s="1" t="str">
        <f t="array" ref="C415">INDEX('User data'!E:E, MATCH(E415, 'User data'!B:B, 0))</f>
        <v>(주)더릭스</v>
      </c>
      <c r="D415" s="1" t="str">
        <f t="array" ref="D415">INDEX('User data'!F:F, MATCH(C415, 'User data'!E:E, 0))</f>
        <v>880-87-01202</v>
      </c>
      <c r="E415" s="1" t="s">
        <v>1583</v>
      </c>
      <c r="F415" s="3"/>
      <c r="G415" s="3"/>
      <c r="H415" s="3"/>
      <c r="I415" s="1" t="s">
        <v>306</v>
      </c>
      <c r="J415" s="1" t="s">
        <v>100</v>
      </c>
      <c r="K415" s="1" t="s">
        <v>101</v>
      </c>
      <c r="L415" s="1" t="b">
        <v>0</v>
      </c>
      <c r="M415" s="1" t="s">
        <v>1738</v>
      </c>
      <c r="N415" s="1" t="s">
        <v>1584</v>
      </c>
      <c r="O415" s="1">
        <v>574085.0</v>
      </c>
      <c r="P415" s="1">
        <v>574085.0</v>
      </c>
      <c r="Q415" s="1">
        <v>574085.0</v>
      </c>
      <c r="R415" s="1" t="s">
        <v>145</v>
      </c>
      <c r="S415" s="1">
        <v>13285.0</v>
      </c>
      <c r="T415" s="1" t="s">
        <v>104</v>
      </c>
      <c r="U415" s="3"/>
      <c r="V415" s="3"/>
      <c r="W415" s="1" t="s">
        <v>118</v>
      </c>
      <c r="X415" s="3"/>
      <c r="Y415" s="1" t="s">
        <v>119</v>
      </c>
      <c r="Z415" s="3"/>
      <c r="AA415" s="1" t="b">
        <v>1</v>
      </c>
      <c r="AB415" s="1" t="b">
        <v>0</v>
      </c>
      <c r="AC415" s="1" t="b">
        <v>0</v>
      </c>
      <c r="AD415" s="1" t="b">
        <v>1</v>
      </c>
      <c r="AE415" s="1" t="b">
        <v>0</v>
      </c>
      <c r="AF415" s="5">
        <v>4.0</v>
      </c>
      <c r="AG415" s="5">
        <v>3.0</v>
      </c>
      <c r="AH415" s="3"/>
      <c r="AI415" s="3"/>
      <c r="AJ415" s="2">
        <v>46052.53849537037</v>
      </c>
      <c r="AK415" s="2">
        <v>46052.66100694444</v>
      </c>
      <c r="AL415" s="2">
        <v>46052.53849537037</v>
      </c>
      <c r="AM415" s="2">
        <v>46052.538518518515</v>
      </c>
      <c r="AO415" s="3"/>
      <c r="AP415" s="2">
        <v>46052.538773148146</v>
      </c>
      <c r="AQ415" s="2">
        <v>46052.53923611111</v>
      </c>
      <c r="AS415" s="2">
        <v>46052.539247685185</v>
      </c>
      <c r="AT415" s="2">
        <v>46052.53923611111</v>
      </c>
      <c r="AU415" s="2">
        <v>46052.604421296295</v>
      </c>
      <c r="AW415" s="3"/>
      <c r="AX415" s="2">
        <v>46052.539247685185</v>
      </c>
      <c r="AY415" s="2">
        <v>46052.539247685185</v>
      </c>
      <c r="AZ415" s="2">
        <v>46052.563738425924</v>
      </c>
      <c r="BA415" s="2">
        <v>46052.60934027778</v>
      </c>
      <c r="BB415" s="2">
        <v>46052.575891203705</v>
      </c>
      <c r="BC415" s="2">
        <v>46052.6193287037</v>
      </c>
      <c r="BD415" s="2">
        <v>46052.6193287037</v>
      </c>
      <c r="BE415" s="5">
        <v>2742.0</v>
      </c>
      <c r="BF415" s="5">
        <v>624.0</v>
      </c>
      <c r="BG415" s="5">
        <v>685.0</v>
      </c>
      <c r="BH415" s="5">
        <v>208.0</v>
      </c>
      <c r="BI415" s="5">
        <v>2465.0</v>
      </c>
      <c r="BJ415" s="5">
        <v>2465.0</v>
      </c>
      <c r="BK415" s="5">
        <v>0.0</v>
      </c>
      <c r="BL415" s="5">
        <v>0.0</v>
      </c>
      <c r="BM415" s="5">
        <v>0.0</v>
      </c>
      <c r="BN415" s="5">
        <v>0.0</v>
      </c>
      <c r="BO415" s="5">
        <v>2117.0</v>
      </c>
      <c r="BP415" s="5">
        <v>107.0</v>
      </c>
      <c r="BQ415" s="5">
        <v>2179.0</v>
      </c>
      <c r="BR415" s="5">
        <v>107.0</v>
      </c>
      <c r="BS415" s="5">
        <v>2116.0</v>
      </c>
      <c r="BT415" s="5">
        <v>107.0</v>
      </c>
      <c r="BU415" s="5">
        <v>2116.0</v>
      </c>
      <c r="BV415" s="5">
        <v>107.0</v>
      </c>
      <c r="BW415" s="5">
        <v>2117.0</v>
      </c>
      <c r="BX415" s="5">
        <v>107.0</v>
      </c>
      <c r="BY415" s="5">
        <v>6920.0</v>
      </c>
      <c r="BZ415" s="5">
        <v>4910.0</v>
      </c>
      <c r="CA415" s="5">
        <v>6920.0</v>
      </c>
      <c r="CB415" s="5">
        <v>4910.0</v>
      </c>
      <c r="CC415" s="5">
        <v>6982.0</v>
      </c>
      <c r="CD415" s="5">
        <v>4910.0</v>
      </c>
      <c r="CE415" s="5">
        <v>6919.0</v>
      </c>
      <c r="CF415" s="5">
        <v>4910.0</v>
      </c>
      <c r="CG415" s="5">
        <v>6919.0</v>
      </c>
      <c r="CH415" s="5">
        <v>4910.0</v>
      </c>
      <c r="CI415" s="5">
        <v>6920.0</v>
      </c>
      <c r="CJ415" s="5">
        <v>4910.0</v>
      </c>
      <c r="CK415" s="5">
        <v>4454.0</v>
      </c>
      <c r="CL415" s="5">
        <v>2445.0</v>
      </c>
      <c r="CM415" s="5">
        <v>4454.0</v>
      </c>
      <c r="CN415" s="5">
        <v>2445.0</v>
      </c>
      <c r="CO415" s="5">
        <v>23.0</v>
      </c>
      <c r="CP415" s="3"/>
      <c r="CQ415" s="3"/>
      <c r="CR415" s="4" t="s">
        <v>1739</v>
      </c>
    </row>
    <row r="416">
      <c r="A416" s="1" t="s">
        <v>1740</v>
      </c>
      <c r="B416" s="2">
        <v>46052.47042824074</v>
      </c>
      <c r="C416" s="1" t="str">
        <f t="array" ref="C416">INDEX('User data'!E:E, MATCH(E416, 'User data'!B:B, 0))</f>
        <v>테바소프트 주식회사</v>
      </c>
      <c r="D416" s="1" t="str">
        <f t="array" ref="D416">INDEX('User data'!F:F, MATCH(C416, 'User data'!E:E, 0))</f>
        <v>440-87-02207</v>
      </c>
      <c r="E416" s="1" t="s">
        <v>1741</v>
      </c>
      <c r="F416" s="3"/>
      <c r="G416" s="3"/>
      <c r="H416" s="3"/>
      <c r="I416" s="3"/>
      <c r="J416" s="1" t="s">
        <v>100</v>
      </c>
      <c r="K416" s="1" t="s">
        <v>101</v>
      </c>
      <c r="L416" s="1" t="b">
        <v>0</v>
      </c>
      <c r="M416" s="4" t="s">
        <v>102</v>
      </c>
      <c r="N416" s="1" t="s">
        <v>1742</v>
      </c>
      <c r="P416" s="3"/>
      <c r="Q416" s="3"/>
      <c r="R416" s="3"/>
      <c r="S416" s="1">
        <v>13285.0</v>
      </c>
      <c r="T416" s="1" t="s">
        <v>104</v>
      </c>
      <c r="U416" s="3"/>
      <c r="V416" s="3"/>
      <c r="W416" s="1" t="s">
        <v>118</v>
      </c>
      <c r="X416" s="3"/>
      <c r="Y416" s="1" t="s">
        <v>106</v>
      </c>
      <c r="Z416" s="3"/>
      <c r="AA416" s="1" t="b">
        <v>0</v>
      </c>
      <c r="AB416" s="1" t="b">
        <v>0</v>
      </c>
      <c r="AC416" s="1" t="b">
        <v>0</v>
      </c>
      <c r="AD416" s="1" t="b">
        <v>1</v>
      </c>
      <c r="AE416" s="1" t="b">
        <v>1</v>
      </c>
      <c r="AF416" s="3"/>
      <c r="AG416" s="3"/>
      <c r="AH416" s="3"/>
      <c r="AI416" s="3"/>
      <c r="AJ416" s="2">
        <v>46052.46928240741</v>
      </c>
      <c r="AK416" s="2">
        <v>46053.47216435185</v>
      </c>
      <c r="AL416" s="2">
        <v>46052.46928240741</v>
      </c>
      <c r="AM416" s="2">
        <v>46052.469293981485</v>
      </c>
      <c r="AN416" s="2">
        <v>46052.47042824074</v>
      </c>
      <c r="AP416" s="3"/>
      <c r="AQ416" s="3"/>
      <c r="AR416" s="3"/>
      <c r="AS416" s="3"/>
      <c r="AT416" s="3"/>
      <c r="AU416" s="3"/>
      <c r="AV416" s="3"/>
      <c r="AW416" s="3"/>
      <c r="AX416" s="3"/>
      <c r="AY416" s="3"/>
      <c r="AZ416" s="3"/>
      <c r="BA416" s="3"/>
      <c r="BB416" s="3"/>
      <c r="BC416" s="2">
        <v>46052.47319444444</v>
      </c>
      <c r="BD416" s="2">
        <v>46052.47319444444</v>
      </c>
      <c r="BF416" s="3"/>
      <c r="BG416" s="3"/>
      <c r="BH416" s="3"/>
      <c r="BI416" s="3"/>
      <c r="BJ416" s="3"/>
      <c r="BK416" s="3"/>
      <c r="BL416" s="3"/>
      <c r="BM416" s="3"/>
      <c r="BN416" s="3"/>
      <c r="BO416" s="3"/>
      <c r="BP416" s="3"/>
      <c r="BQ416" s="3"/>
      <c r="BR416" s="3"/>
      <c r="BS416" s="3"/>
      <c r="BT416" s="3"/>
      <c r="BU416" s="3"/>
      <c r="BV416" s="3"/>
      <c r="BW416" s="3"/>
      <c r="BX416" s="3"/>
      <c r="BY416" s="5">
        <v>238.0</v>
      </c>
      <c r="BZ416" s="5">
        <v>238.0</v>
      </c>
      <c r="CA416" s="5">
        <v>238.0</v>
      </c>
      <c r="CB416" s="5">
        <v>238.0</v>
      </c>
      <c r="CC416" s="5">
        <v>336.0</v>
      </c>
      <c r="CD416" s="5">
        <v>336.0</v>
      </c>
      <c r="CE416" s="3"/>
      <c r="CF416" s="3"/>
      <c r="CG416" s="3"/>
      <c r="CH416" s="3"/>
      <c r="CI416" s="3"/>
      <c r="CJ416" s="3"/>
      <c r="CK416" s="3"/>
      <c r="CL416" s="3"/>
      <c r="CM416" s="3"/>
      <c r="CN416" s="3"/>
      <c r="CO416" s="3"/>
      <c r="CP416" s="3"/>
      <c r="CQ416" s="5">
        <v>2.4</v>
      </c>
      <c r="CR416" s="4" t="s">
        <v>1743</v>
      </c>
    </row>
    <row r="417">
      <c r="A417" s="1" t="s">
        <v>1744</v>
      </c>
      <c r="B417" s="2">
        <v>46052.40956018519</v>
      </c>
      <c r="C417" s="1" t="str">
        <f t="array" ref="C417">INDEX('User data'!E:E, MATCH(E417, 'User data'!B:B, 0))</f>
        <v>주식회사 콕스인터랙티브</v>
      </c>
      <c r="D417" s="1" t="str">
        <f t="array" ref="D417">INDEX('User data'!F:F, MATCH(C417, 'User data'!E:E, 0))</f>
        <v>420-81-02142</v>
      </c>
      <c r="E417" s="1" t="s">
        <v>1745</v>
      </c>
      <c r="F417" s="3"/>
      <c r="G417" s="3"/>
      <c r="H417" s="3"/>
      <c r="I417" s="3"/>
      <c r="J417" s="1" t="s">
        <v>100</v>
      </c>
      <c r="K417" s="1" t="s">
        <v>101</v>
      </c>
      <c r="L417" s="1" t="b">
        <v>0</v>
      </c>
      <c r="M417" s="1" t="s">
        <v>1619</v>
      </c>
      <c r="N417" s="1" t="s">
        <v>1746</v>
      </c>
      <c r="P417" s="3"/>
      <c r="Q417" s="3"/>
      <c r="R417" s="3"/>
      <c r="S417" s="1">
        <v>13285.0</v>
      </c>
      <c r="T417" s="1" t="s">
        <v>104</v>
      </c>
      <c r="U417" s="3"/>
      <c r="V417" s="3"/>
      <c r="W417" s="1" t="s">
        <v>105</v>
      </c>
      <c r="X417" s="3"/>
      <c r="Y417" s="1" t="s">
        <v>106</v>
      </c>
      <c r="Z417" s="3"/>
      <c r="AA417" s="1" t="b">
        <v>0</v>
      </c>
      <c r="AB417" s="1" t="b">
        <v>0</v>
      </c>
      <c r="AC417" s="1" t="b">
        <v>0</v>
      </c>
      <c r="AD417" s="1" t="b">
        <v>1</v>
      </c>
      <c r="AE417" s="1" t="b">
        <v>1</v>
      </c>
      <c r="AF417" s="3"/>
      <c r="AG417" s="3"/>
      <c r="AH417" s="3"/>
      <c r="AI417" s="3"/>
      <c r="AJ417" s="2">
        <v>46052.40871527778</v>
      </c>
      <c r="AK417" s="2">
        <v>46053.40962962963</v>
      </c>
      <c r="AL417" s="2">
        <v>46052.40871527778</v>
      </c>
      <c r="AM417" s="2">
        <v>46052.408738425926</v>
      </c>
      <c r="AN417" s="2">
        <v>46052.40956018519</v>
      </c>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5">
        <v>3.4</v>
      </c>
      <c r="CR417" s="4" t="s">
        <v>1747</v>
      </c>
    </row>
    <row r="418">
      <c r="A418" s="1" t="s">
        <v>1748</v>
      </c>
      <c r="B418" s="2">
        <v>46052.36576388889</v>
      </c>
      <c r="C418" s="1" t="str">
        <f t="array" ref="C418">INDEX('User data'!E:E, MATCH(E418, 'User data'!B:B, 0))</f>
        <v>주식회사 레이첼블루</v>
      </c>
      <c r="D418" s="1" t="str">
        <f t="array" ref="D418">INDEX('User data'!F:F, MATCH(C418, 'User data'!E:E, 0))</f>
        <v>710-81-02012</v>
      </c>
      <c r="E418" s="1" t="s">
        <v>1749</v>
      </c>
      <c r="F418" s="3"/>
      <c r="G418" s="1" t="s">
        <v>1750</v>
      </c>
      <c r="I418" s="1" t="s">
        <v>1537</v>
      </c>
      <c r="J418" s="1" t="s">
        <v>100</v>
      </c>
      <c r="K418" s="1" t="s">
        <v>101</v>
      </c>
      <c r="L418" s="1" t="b">
        <v>0</v>
      </c>
      <c r="M418" s="1" t="s">
        <v>1751</v>
      </c>
      <c r="N418" s="1" t="s">
        <v>1752</v>
      </c>
      <c r="O418" s="1">
        <v>574085.0</v>
      </c>
      <c r="P418" s="1">
        <v>574085.0</v>
      </c>
      <c r="Q418" s="1">
        <v>574085.0</v>
      </c>
      <c r="R418" s="1" t="s">
        <v>1201</v>
      </c>
      <c r="S418" s="1">
        <v>13285.0</v>
      </c>
      <c r="T418" s="1" t="s">
        <v>104</v>
      </c>
      <c r="U418" s="3"/>
      <c r="V418" s="3"/>
      <c r="W418" s="1" t="s">
        <v>118</v>
      </c>
      <c r="X418" s="3"/>
      <c r="Y418" s="1" t="s">
        <v>119</v>
      </c>
      <c r="Z418" s="3"/>
      <c r="AA418" s="1" t="b">
        <v>1</v>
      </c>
      <c r="AB418" s="1" t="b">
        <v>0</v>
      </c>
      <c r="AC418" s="1" t="b">
        <v>0</v>
      </c>
      <c r="AD418" s="1" t="b">
        <v>1</v>
      </c>
      <c r="AE418" s="1" t="b">
        <v>0</v>
      </c>
      <c r="AF418" s="5">
        <v>7.0</v>
      </c>
      <c r="AG418" s="5">
        <v>4.0</v>
      </c>
      <c r="AH418" s="3"/>
      <c r="AI418" s="3"/>
      <c r="AJ418" s="2">
        <v>46052.36417824074</v>
      </c>
      <c r="AK418" s="2">
        <v>46052.755625</v>
      </c>
      <c r="AL418" s="2">
        <v>46052.36417824074</v>
      </c>
      <c r="AM418" s="2">
        <v>46052.36420138889</v>
      </c>
      <c r="AO418" s="3"/>
      <c r="AP418" s="2">
        <v>46052.36510416667</v>
      </c>
      <c r="AQ418" s="2">
        <v>46052.36576388889</v>
      </c>
      <c r="AS418" s="2">
        <v>46052.36577546296</v>
      </c>
      <c r="AT418" s="2">
        <v>46052.36576388889</v>
      </c>
      <c r="AU418" s="2">
        <v>46052.70646990741</v>
      </c>
      <c r="AW418" s="3"/>
      <c r="AX418" s="2">
        <v>46052.36577546296</v>
      </c>
      <c r="AY418" s="2">
        <v>46052.36577546296</v>
      </c>
      <c r="AZ418" s="2">
        <v>46052.46087962963</v>
      </c>
      <c r="BA418" s="2">
        <v>46052.71376157407</v>
      </c>
      <c r="BB418" s="2">
        <v>46052.70099537037</v>
      </c>
      <c r="BC418" s="2">
        <v>46052.71394675926</v>
      </c>
      <c r="BD418" s="2">
        <v>46052.71394675926</v>
      </c>
      <c r="BE418" s="5">
        <v>17831.0</v>
      </c>
      <c r="BF418" s="5">
        <v>9173.0</v>
      </c>
      <c r="BG418" s="5">
        <v>2547.0</v>
      </c>
      <c r="BH418" s="5">
        <v>2293.0</v>
      </c>
      <c r="BI418" s="5">
        <v>6372.0</v>
      </c>
      <c r="BJ418" s="5">
        <v>6372.0</v>
      </c>
      <c r="BK418" s="5">
        <v>0.0</v>
      </c>
      <c r="BL418" s="5">
        <v>0.0</v>
      </c>
      <c r="BM418" s="5">
        <v>0.0</v>
      </c>
      <c r="BN418" s="5">
        <v>0.0</v>
      </c>
      <c r="BO418" s="5">
        <v>8218.0</v>
      </c>
      <c r="BP418" s="5">
        <v>3820.0</v>
      </c>
      <c r="BQ418" s="5">
        <v>8353.0</v>
      </c>
      <c r="BR418" s="5">
        <v>3820.0</v>
      </c>
      <c r="BS418" s="5">
        <v>8217.0</v>
      </c>
      <c r="BT418" s="5">
        <v>3820.0</v>
      </c>
      <c r="BU418" s="5">
        <v>8217.0</v>
      </c>
      <c r="BV418" s="5">
        <v>3820.0</v>
      </c>
      <c r="BW418" s="5">
        <v>8218.0</v>
      </c>
      <c r="BX418" s="5">
        <v>3820.0</v>
      </c>
      <c r="BY418" s="5">
        <v>30083.0</v>
      </c>
      <c r="BZ418" s="5">
        <v>21600.0</v>
      </c>
      <c r="CA418" s="5">
        <v>30083.0</v>
      </c>
      <c r="CB418" s="5">
        <v>21600.0</v>
      </c>
      <c r="CC418" s="5">
        <v>30218.0</v>
      </c>
      <c r="CD418" s="5">
        <v>21600.0</v>
      </c>
      <c r="CE418" s="5">
        <v>30082.0</v>
      </c>
      <c r="CF418" s="5">
        <v>21600.0</v>
      </c>
      <c r="CG418" s="5">
        <v>30082.0</v>
      </c>
      <c r="CH418" s="5">
        <v>21600.0</v>
      </c>
      <c r="CI418" s="5">
        <v>30083.0</v>
      </c>
      <c r="CJ418" s="5">
        <v>21600.0</v>
      </c>
      <c r="CK418" s="5">
        <v>23710.0</v>
      </c>
      <c r="CL418" s="5">
        <v>15227.0</v>
      </c>
      <c r="CM418" s="5">
        <v>23710.0</v>
      </c>
      <c r="CN418" s="5">
        <v>15227.0</v>
      </c>
      <c r="CO418" s="5">
        <v>79.0</v>
      </c>
      <c r="CP418" s="3"/>
      <c r="CQ418" s="3"/>
      <c r="CR418" s="4" t="s">
        <v>1753</v>
      </c>
    </row>
    <row r="419">
      <c r="A419" s="1" t="s">
        <v>1754</v>
      </c>
      <c r="B419" s="2">
        <v>46051.863587962966</v>
      </c>
      <c r="C419" s="1" t="str">
        <f t="array" ref="C419">INDEX('User data'!E:E, MATCH(E419, 'User data'!B:B, 0))</f>
        <v>주식회사 엘로이랩</v>
      </c>
      <c r="D419" s="1" t="str">
        <f t="array" ref="D419">INDEX('User data'!F:F, MATCH(C419, 'User data'!E:E, 0))</f>
        <v>208-88-01770</v>
      </c>
      <c r="E419" s="1" t="s">
        <v>1722</v>
      </c>
      <c r="F419" s="3"/>
      <c r="G419" s="3"/>
      <c r="H419" s="3"/>
      <c r="I419" s="3"/>
      <c r="J419" s="1" t="s">
        <v>100</v>
      </c>
      <c r="K419" s="1" t="s">
        <v>101</v>
      </c>
      <c r="L419" s="1" t="b">
        <v>0</v>
      </c>
      <c r="M419" s="4" t="s">
        <v>102</v>
      </c>
      <c r="N419" s="1" t="s">
        <v>1724</v>
      </c>
      <c r="P419" s="3"/>
      <c r="Q419" s="3"/>
      <c r="R419" s="3"/>
      <c r="S419" s="1">
        <v>13285.0</v>
      </c>
      <c r="T419" s="1" t="s">
        <v>104</v>
      </c>
      <c r="U419" s="3"/>
      <c r="V419" s="3"/>
      <c r="W419" s="1" t="s">
        <v>118</v>
      </c>
      <c r="X419" s="3"/>
      <c r="Y419" s="1" t="s">
        <v>106</v>
      </c>
      <c r="Z419" s="3"/>
      <c r="AA419" s="1" t="b">
        <v>0</v>
      </c>
      <c r="AB419" s="1" t="b">
        <v>0</v>
      </c>
      <c r="AC419" s="1" t="b">
        <v>0</v>
      </c>
      <c r="AD419" s="1" t="b">
        <v>1</v>
      </c>
      <c r="AE419" s="1" t="b">
        <v>1</v>
      </c>
      <c r="AF419" s="3"/>
      <c r="AG419" s="3"/>
      <c r="AH419" s="3"/>
      <c r="AI419" s="3"/>
      <c r="AJ419" s="2">
        <v>46051.86262731482</v>
      </c>
      <c r="AK419" s="2">
        <v>46052.86439814815</v>
      </c>
      <c r="AL419" s="2">
        <v>46051.86262731482</v>
      </c>
      <c r="AM419" s="2">
        <v>46051.862650462965</v>
      </c>
      <c r="AN419" s="2">
        <v>46051.863587962966</v>
      </c>
      <c r="AP419" s="3"/>
      <c r="AQ419" s="3"/>
      <c r="AR419" s="3"/>
      <c r="AS419" s="3"/>
      <c r="AT419" s="3"/>
      <c r="AU419" s="3"/>
      <c r="AV419" s="3"/>
      <c r="AW419" s="3"/>
      <c r="AX419" s="3"/>
      <c r="AY419" s="3"/>
      <c r="AZ419" s="3"/>
      <c r="BA419" s="3"/>
      <c r="BB419" s="3"/>
      <c r="BC419" s="2">
        <v>46051.86546296296</v>
      </c>
      <c r="BD419" s="2">
        <v>46051.86546296296</v>
      </c>
      <c r="BF419" s="3"/>
      <c r="BG419" s="3"/>
      <c r="BH419" s="3"/>
      <c r="BI419" s="3"/>
      <c r="BJ419" s="3"/>
      <c r="BK419" s="3"/>
      <c r="BL419" s="3"/>
      <c r="BM419" s="3"/>
      <c r="BN419" s="3"/>
      <c r="BO419" s="3"/>
      <c r="BP419" s="3"/>
      <c r="BQ419" s="3"/>
      <c r="BR419" s="3"/>
      <c r="BS419" s="3"/>
      <c r="BT419" s="3"/>
      <c r="BU419" s="3"/>
      <c r="BV419" s="3"/>
      <c r="BW419" s="3"/>
      <c r="BX419" s="3"/>
      <c r="BY419" s="5">
        <v>161.0</v>
      </c>
      <c r="BZ419" s="5">
        <v>0.0</v>
      </c>
      <c r="CA419" s="5">
        <v>161.0</v>
      </c>
      <c r="CB419" s="5">
        <v>0.0</v>
      </c>
      <c r="CC419" s="5">
        <v>242.0</v>
      </c>
      <c r="CD419" s="5">
        <v>0.0</v>
      </c>
      <c r="CE419" s="3"/>
      <c r="CF419" s="3"/>
      <c r="CG419" s="3"/>
      <c r="CH419" s="3"/>
      <c r="CI419" s="3"/>
      <c r="CJ419" s="3"/>
      <c r="CK419" s="3"/>
      <c r="CL419" s="3"/>
      <c r="CM419" s="3"/>
      <c r="CN419" s="3"/>
      <c r="CO419" s="3"/>
      <c r="CP419" s="3"/>
      <c r="CQ419" s="5">
        <v>3.4</v>
      </c>
      <c r="CR419" s="4" t="s">
        <v>1755</v>
      </c>
    </row>
    <row r="420">
      <c r="A420" s="1" t="s">
        <v>1756</v>
      </c>
      <c r="B420" s="2">
        <v>46051.763020833336</v>
      </c>
      <c r="C420" s="1" t="str">
        <f t="array" ref="C420">INDEX('User data'!E:E, MATCH(E420, 'User data'!B:B, 0))</f>
        <v/>
      </c>
      <c r="D420" s="1" t="str">
        <f t="array" ref="D420">INDEX('User data'!F:F, MATCH(C420, 'User data'!E:E, 0))</f>
        <v>#N/A</v>
      </c>
      <c r="E420" s="1" t="s">
        <v>1757</v>
      </c>
      <c r="F420" s="3"/>
      <c r="G420" s="3"/>
      <c r="H420" s="3"/>
      <c r="I420" s="3"/>
      <c r="J420" s="1" t="s">
        <v>100</v>
      </c>
      <c r="K420" s="1" t="s">
        <v>101</v>
      </c>
      <c r="L420" s="1" t="b">
        <v>0</v>
      </c>
      <c r="M420" s="4" t="s">
        <v>180</v>
      </c>
      <c r="N420" s="1" t="s">
        <v>1758</v>
      </c>
      <c r="P420" s="3"/>
      <c r="Q420" s="3"/>
      <c r="R420" s="3"/>
      <c r="S420" s="1">
        <v>13285.0</v>
      </c>
      <c r="T420" s="1" t="s">
        <v>104</v>
      </c>
      <c r="U420" s="3"/>
      <c r="V420" s="3"/>
      <c r="W420" s="1" t="s">
        <v>105</v>
      </c>
      <c r="X420" s="3"/>
      <c r="Y420" s="1" t="s">
        <v>106</v>
      </c>
      <c r="Z420" s="3"/>
      <c r="AA420" s="1" t="b">
        <v>0</v>
      </c>
      <c r="AB420" s="1" t="b">
        <v>0</v>
      </c>
      <c r="AC420" s="1" t="b">
        <v>0</v>
      </c>
      <c r="AD420" s="1" t="b">
        <v>1</v>
      </c>
      <c r="AE420" s="1" t="b">
        <v>1</v>
      </c>
      <c r="AF420" s="3"/>
      <c r="AG420" s="3"/>
      <c r="AH420" s="3"/>
      <c r="AI420" s="3"/>
      <c r="AJ420" s="2">
        <v>46051.762291666666</v>
      </c>
      <c r="AK420" s="2">
        <v>46053.645</v>
      </c>
      <c r="AL420" s="2">
        <v>46051.762291666666</v>
      </c>
      <c r="AM420" s="2">
        <v>46051.76230324074</v>
      </c>
      <c r="AN420" s="2">
        <v>46051.763020833336</v>
      </c>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5">
        <v>1.6</v>
      </c>
      <c r="CR420" s="4" t="s">
        <v>1759</v>
      </c>
    </row>
    <row r="421">
      <c r="A421" s="1" t="s">
        <v>1760</v>
      </c>
      <c r="B421" s="2">
        <v>46051.74193287037</v>
      </c>
      <c r="C421" s="1" t="str">
        <f t="array" ref="C421">INDEX('User data'!E:E, MATCH(E421, 'User data'!B:B, 0))</f>
        <v>주식회사 스위트스팟</v>
      </c>
      <c r="D421" s="1" t="str">
        <f t="array" ref="D421">INDEX('User data'!F:F, MATCH(C421, 'User data'!E:E, 0))</f>
        <v>846-86-00225</v>
      </c>
      <c r="E421" s="1" t="s">
        <v>314</v>
      </c>
      <c r="F421" s="3"/>
      <c r="G421" s="3"/>
      <c r="H421" s="3"/>
      <c r="I421" s="1" t="s">
        <v>258</v>
      </c>
      <c r="J421" s="1" t="s">
        <v>100</v>
      </c>
      <c r="K421" s="1" t="s">
        <v>101</v>
      </c>
      <c r="L421" s="1" t="b">
        <v>0</v>
      </c>
      <c r="M421" s="4" t="s">
        <v>102</v>
      </c>
      <c r="N421" s="1" t="s">
        <v>1761</v>
      </c>
      <c r="O421" s="1">
        <v>594863.0</v>
      </c>
      <c r="P421" s="1">
        <v>594863.0</v>
      </c>
      <c r="Q421" s="1">
        <v>594863.0</v>
      </c>
      <c r="R421" s="1" t="s">
        <v>1762</v>
      </c>
      <c r="S421" s="1">
        <v>13288.0</v>
      </c>
      <c r="T421" s="1" t="s">
        <v>104</v>
      </c>
      <c r="U421" s="3"/>
      <c r="V421" s="3"/>
      <c r="W421" s="1" t="s">
        <v>118</v>
      </c>
      <c r="X421" s="3"/>
      <c r="Y421" s="1" t="s">
        <v>119</v>
      </c>
      <c r="Z421" s="3"/>
      <c r="AA421" s="1" t="b">
        <v>1</v>
      </c>
      <c r="AB421" s="1" t="b">
        <v>0</v>
      </c>
      <c r="AC421" s="1" t="b">
        <v>0</v>
      </c>
      <c r="AD421" s="1" t="b">
        <v>1</v>
      </c>
      <c r="AE421" s="1" t="b">
        <v>0</v>
      </c>
      <c r="AF421" s="5">
        <v>3.0</v>
      </c>
      <c r="AG421" s="5">
        <v>1.0</v>
      </c>
      <c r="AH421" s="3"/>
      <c r="AI421" s="3"/>
      <c r="AJ421" s="2">
        <v>46051.74115740741</v>
      </c>
      <c r="AK421" s="2">
        <v>46055.46392361111</v>
      </c>
      <c r="AL421" s="2">
        <v>46051.74115740741</v>
      </c>
      <c r="AM421" s="2">
        <v>46051.74116898148</v>
      </c>
      <c r="AO421" s="3"/>
      <c r="AP421" s="2">
        <v>46051.74186342592</v>
      </c>
      <c r="AR421" s="3"/>
      <c r="AS421" s="3"/>
      <c r="AT421" s="2">
        <v>46051.74193287037</v>
      </c>
      <c r="AU421" s="2">
        <v>46051.74193287037</v>
      </c>
      <c r="AW421" s="3"/>
      <c r="AX421" s="2">
        <v>46051.74149305555</v>
      </c>
      <c r="AY421" s="2">
        <v>46051.74193287037</v>
      </c>
      <c r="AZ421" s="2">
        <v>46051.76642361111</v>
      </c>
      <c r="BA421" s="2">
        <v>46052.48650462963</v>
      </c>
      <c r="BC421" s="2">
        <v>46055.42224537037</v>
      </c>
      <c r="BD421" s="2">
        <v>46055.42224537037</v>
      </c>
      <c r="BE421" s="5">
        <v>63750.0</v>
      </c>
      <c r="BF421" s="5">
        <v>2270.0</v>
      </c>
      <c r="BG421" s="5">
        <v>21250.0</v>
      </c>
      <c r="BH421" s="5">
        <v>2270.0</v>
      </c>
      <c r="BI421" s="3"/>
      <c r="BJ421" s="3"/>
      <c r="BK421" s="3"/>
      <c r="BL421" s="3"/>
      <c r="BM421" s="3"/>
      <c r="BN421" s="3"/>
      <c r="BO421" s="5">
        <v>2116.0</v>
      </c>
      <c r="BP421" s="5">
        <v>0.0</v>
      </c>
      <c r="BQ421" s="5">
        <v>2182.0</v>
      </c>
      <c r="BR421" s="5">
        <v>0.0</v>
      </c>
      <c r="BS421" s="5">
        <v>2154.0</v>
      </c>
      <c r="BT421" s="5">
        <v>0.0</v>
      </c>
      <c r="BU421" s="5">
        <v>2116.0</v>
      </c>
      <c r="BV421" s="5">
        <v>0.0</v>
      </c>
      <c r="BW421" s="5">
        <v>2116.0</v>
      </c>
      <c r="BX421" s="5">
        <v>0.0</v>
      </c>
      <c r="BY421" s="5">
        <v>317978.0</v>
      </c>
      <c r="BZ421" s="5">
        <v>22082.0</v>
      </c>
      <c r="CA421" s="5">
        <v>317978.0</v>
      </c>
      <c r="CB421" s="5">
        <v>22082.0</v>
      </c>
      <c r="CC421" s="5">
        <v>318044.0</v>
      </c>
      <c r="CD421" s="5">
        <v>22082.0</v>
      </c>
      <c r="CE421" s="5">
        <v>318016.0</v>
      </c>
      <c r="CF421" s="5">
        <v>22082.0</v>
      </c>
      <c r="CG421" s="5">
        <v>317978.0</v>
      </c>
      <c r="CH421" s="5">
        <v>22082.0</v>
      </c>
      <c r="CI421" s="5">
        <v>317978.0</v>
      </c>
      <c r="CJ421" s="5">
        <v>22082.0</v>
      </c>
      <c r="CK421" s="5">
        <v>317978.0</v>
      </c>
      <c r="CL421" s="5">
        <v>22082.0</v>
      </c>
      <c r="CM421" s="5">
        <v>317978.0</v>
      </c>
      <c r="CN421" s="5">
        <v>22082.0</v>
      </c>
      <c r="CO421" s="5">
        <v>60.0</v>
      </c>
      <c r="CP421" s="3"/>
      <c r="CQ421" s="3"/>
      <c r="CR421" s="4" t="s">
        <v>1763</v>
      </c>
    </row>
    <row r="422">
      <c r="A422" s="1" t="s">
        <v>1764</v>
      </c>
      <c r="B422" s="2">
        <v>46051.721712962964</v>
      </c>
      <c r="C422" s="1" t="str">
        <f t="array" ref="C422">INDEX('User data'!E:E, MATCH(E422, 'User data'!B:B, 0))</f>
        <v>주식회사 벤치링크</v>
      </c>
      <c r="D422" s="1" t="str">
        <f t="array" ref="D422">INDEX('User data'!F:F, MATCH(C422, 'User data'!E:E, 0))</f>
        <v>323-87-02784</v>
      </c>
      <c r="E422" s="1" t="s">
        <v>1623</v>
      </c>
      <c r="F422" s="3"/>
      <c r="G422" s="3"/>
      <c r="H422" s="3"/>
      <c r="I422" s="1" t="s">
        <v>1114</v>
      </c>
      <c r="J422" s="1" t="s">
        <v>100</v>
      </c>
      <c r="K422" s="1" t="s">
        <v>101</v>
      </c>
      <c r="L422" s="1" t="b">
        <v>0</v>
      </c>
      <c r="M422" s="4" t="s">
        <v>102</v>
      </c>
      <c r="N422" s="1" t="s">
        <v>1625</v>
      </c>
      <c r="O422" s="1">
        <v>574085.0</v>
      </c>
      <c r="P422" s="1">
        <v>574085.0</v>
      </c>
      <c r="Q422" s="1">
        <v>574085.0</v>
      </c>
      <c r="R422" s="1" t="s">
        <v>1674</v>
      </c>
      <c r="S422" s="1">
        <v>13285.0</v>
      </c>
      <c r="T422" s="1" t="s">
        <v>104</v>
      </c>
      <c r="U422" s="3"/>
      <c r="V422" s="3"/>
      <c r="W422" s="1" t="s">
        <v>118</v>
      </c>
      <c r="X422" s="3"/>
      <c r="Y422" s="1" t="s">
        <v>106</v>
      </c>
      <c r="Z422" s="3"/>
      <c r="AA422" s="1" t="b">
        <v>1</v>
      </c>
      <c r="AB422" s="1" t="b">
        <v>0</v>
      </c>
      <c r="AC422" s="1" t="b">
        <v>0</v>
      </c>
      <c r="AD422" s="1" t="b">
        <v>1</v>
      </c>
      <c r="AE422" s="1" t="b">
        <v>1</v>
      </c>
      <c r="AF422" s="5">
        <v>1.0</v>
      </c>
      <c r="AG422" s="3"/>
      <c r="AH422" s="3"/>
      <c r="AI422" s="3"/>
      <c r="AJ422" s="2">
        <v>46051.71965277778</v>
      </c>
      <c r="AK422" s="2">
        <v>46052.71040509259</v>
      </c>
      <c r="AL422" s="2">
        <v>46051.71965277778</v>
      </c>
      <c r="AM422" s="2">
        <v>46051.71971064815</v>
      </c>
      <c r="AN422" s="2">
        <v>46051.721712962964</v>
      </c>
      <c r="AO422" s="2">
        <v>46051.72697916667</v>
      </c>
      <c r="AP422" s="2">
        <v>46051.72697916667</v>
      </c>
      <c r="AQ422" s="2">
        <v>46051.72697916667</v>
      </c>
      <c r="AS422" s="2">
        <v>46051.72699074074</v>
      </c>
      <c r="AT422" s="2">
        <v>46051.72697916667</v>
      </c>
      <c r="AU422" s="2">
        <v>46052.65671296296</v>
      </c>
      <c r="AW422" s="3"/>
      <c r="AX422" s="2">
        <v>46051.72699074074</v>
      </c>
      <c r="AY422" s="2">
        <v>46051.72699074074</v>
      </c>
      <c r="AZ422" s="2">
        <v>46051.74329861111</v>
      </c>
      <c r="BA422" s="2">
        <v>46051.74329861111</v>
      </c>
      <c r="BB422" s="2">
        <v>46052.4900462963</v>
      </c>
      <c r="BC422" s="2">
        <v>46052.66872685185</v>
      </c>
      <c r="BD422" s="2">
        <v>46052.66872685185</v>
      </c>
      <c r="BE422" s="5">
        <v>1409.0</v>
      </c>
      <c r="BF422" s="3"/>
      <c r="BG422" s="5">
        <v>1409.0</v>
      </c>
      <c r="BH422" s="3"/>
      <c r="BI422" s="5">
        <v>68743.0</v>
      </c>
      <c r="BJ422" s="5">
        <v>10800.0</v>
      </c>
      <c r="BK422" s="5">
        <v>0.0</v>
      </c>
      <c r="BL422" s="5">
        <v>0.0</v>
      </c>
      <c r="BM422" s="5">
        <v>456.0</v>
      </c>
      <c r="BN422" s="5">
        <v>0.0</v>
      </c>
      <c r="BO422" s="5">
        <v>1865.0</v>
      </c>
      <c r="BP422" s="5">
        <v>0.0</v>
      </c>
      <c r="BQ422" s="5">
        <v>2037.0</v>
      </c>
      <c r="BR422" s="5">
        <v>0.0</v>
      </c>
      <c r="BS422" s="5">
        <v>1409.0</v>
      </c>
      <c r="BT422" s="5">
        <v>0.0</v>
      </c>
      <c r="BU422" s="5">
        <v>1409.0</v>
      </c>
      <c r="BV422" s="5">
        <v>0.0</v>
      </c>
      <c r="BW422" s="5">
        <v>1409.0</v>
      </c>
      <c r="BX422" s="5">
        <v>0.0</v>
      </c>
      <c r="BY422" s="5">
        <v>81822.0</v>
      </c>
      <c r="BZ422" s="5">
        <v>18178.0</v>
      </c>
      <c r="CA422" s="5">
        <v>81822.0</v>
      </c>
      <c r="CB422" s="5">
        <v>18178.0</v>
      </c>
      <c r="CC422" s="5">
        <v>81994.0</v>
      </c>
      <c r="CD422" s="5">
        <v>18178.0</v>
      </c>
      <c r="CE422" s="5">
        <v>81366.0</v>
      </c>
      <c r="CF422" s="5">
        <v>18178.0</v>
      </c>
      <c r="CG422" s="5">
        <v>81366.0</v>
      </c>
      <c r="CH422" s="5">
        <v>18178.0</v>
      </c>
      <c r="CI422" s="5">
        <v>81366.0</v>
      </c>
      <c r="CJ422" s="5">
        <v>18178.0</v>
      </c>
      <c r="CK422" s="5">
        <v>12622.0</v>
      </c>
      <c r="CL422" s="5">
        <v>7378.0</v>
      </c>
      <c r="CM422" s="5">
        <v>12622.0</v>
      </c>
      <c r="CN422" s="5">
        <v>7378.0</v>
      </c>
      <c r="CO422" s="5">
        <v>633.0</v>
      </c>
      <c r="CP422" s="5">
        <v>455.0</v>
      </c>
      <c r="CQ422" s="3"/>
      <c r="CR422" s="4" t="s">
        <v>1765</v>
      </c>
    </row>
    <row r="423">
      <c r="A423" s="1" t="s">
        <v>1766</v>
      </c>
      <c r="B423" s="2">
        <v>46051.718993055554</v>
      </c>
      <c r="C423" s="1" t="str">
        <f t="array" ref="C423">INDEX('User data'!E:E, MATCH(E423, 'User data'!B:B, 0))</f>
        <v>주식회사 지투시그마 (Z to Sigma Inc.)</v>
      </c>
      <c r="D423" s="1" t="str">
        <f t="array" ref="D423">INDEX('User data'!F:F, MATCH(C423, 'User data'!E:E, 0))</f>
        <v>893-81-01579</v>
      </c>
      <c r="E423" s="1" t="s">
        <v>1767</v>
      </c>
      <c r="F423" s="3"/>
      <c r="G423" s="3"/>
      <c r="H423" s="3"/>
      <c r="I423" s="3"/>
      <c r="J423" s="1" t="s">
        <v>100</v>
      </c>
      <c r="K423" s="1" t="s">
        <v>101</v>
      </c>
      <c r="L423" s="1" t="b">
        <v>0</v>
      </c>
      <c r="M423" s="4" t="s">
        <v>102</v>
      </c>
      <c r="N423" s="1" t="s">
        <v>1768</v>
      </c>
      <c r="P423" s="3"/>
      <c r="Q423" s="3"/>
      <c r="R423" s="3"/>
      <c r="S423" s="1">
        <v>13285.0</v>
      </c>
      <c r="T423" s="1" t="s">
        <v>104</v>
      </c>
      <c r="U423" s="3"/>
      <c r="V423" s="3"/>
      <c r="W423" s="1" t="s">
        <v>105</v>
      </c>
      <c r="X423" s="3"/>
      <c r="Y423" s="1" t="s">
        <v>106</v>
      </c>
      <c r="Z423" s="3"/>
      <c r="AA423" s="1" t="b">
        <v>0</v>
      </c>
      <c r="AB423" s="1" t="b">
        <v>0</v>
      </c>
      <c r="AC423" s="1" t="b">
        <v>0</v>
      </c>
      <c r="AD423" s="1" t="b">
        <v>1</v>
      </c>
      <c r="AE423" s="1" t="b">
        <v>1</v>
      </c>
      <c r="AF423" s="3"/>
      <c r="AG423" s="3"/>
      <c r="AH423" s="3"/>
      <c r="AI423" s="3"/>
      <c r="AJ423" s="2">
        <v>46051.715775462966</v>
      </c>
      <c r="AK423" s="2">
        <v>46052.719039351854</v>
      </c>
      <c r="AL423" s="2">
        <v>46051.715775462966</v>
      </c>
      <c r="AM423" s="2">
        <v>46051.71579861111</v>
      </c>
      <c r="AN423" s="2">
        <v>46051.718993055554</v>
      </c>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5">
        <v>5.0</v>
      </c>
      <c r="CR423" s="4" t="s">
        <v>1769</v>
      </c>
    </row>
    <row r="424">
      <c r="A424" s="1" t="s">
        <v>1770</v>
      </c>
      <c r="B424" s="2">
        <v>46051.64803240741</v>
      </c>
      <c r="C424" s="1" t="str">
        <f t="array" ref="C424">INDEX('User data'!E:E, MATCH(E424, 'User data'!B:B, 0))</f>
        <v>주식회사 비즈니스캔버스</v>
      </c>
      <c r="D424" s="1" t="str">
        <f t="array" ref="D424">INDEX('User data'!F:F, MATCH(C424, 'User data'!E:E, 0))</f>
        <v>714-86-01927</v>
      </c>
      <c r="E424" s="1" t="s">
        <v>1067</v>
      </c>
      <c r="F424" s="3"/>
      <c r="G424" s="3"/>
      <c r="H424" s="3"/>
      <c r="I424" s="1" t="s">
        <v>1563</v>
      </c>
      <c r="J424" s="1" t="s">
        <v>100</v>
      </c>
      <c r="K424" s="1" t="s">
        <v>101</v>
      </c>
      <c r="L424" s="1" t="b">
        <v>0</v>
      </c>
      <c r="M424" s="4" t="s">
        <v>102</v>
      </c>
      <c r="N424" s="1" t="s">
        <v>1068</v>
      </c>
      <c r="O424" s="1">
        <v>574085.0</v>
      </c>
      <c r="P424" s="1">
        <v>574085.0</v>
      </c>
      <c r="Q424" s="1">
        <v>574085.0</v>
      </c>
      <c r="R424" s="1" t="s">
        <v>145</v>
      </c>
      <c r="S424" s="1">
        <v>13285.0</v>
      </c>
      <c r="T424" s="1" t="s">
        <v>104</v>
      </c>
      <c r="U424" s="3"/>
      <c r="V424" s="3"/>
      <c r="W424" s="1" t="s">
        <v>118</v>
      </c>
      <c r="X424" s="3"/>
      <c r="Y424" s="1" t="s">
        <v>119</v>
      </c>
      <c r="Z424" s="3"/>
      <c r="AA424" s="1" t="b">
        <v>1</v>
      </c>
      <c r="AB424" s="1" t="b">
        <v>0</v>
      </c>
      <c r="AC424" s="1" t="b">
        <v>0</v>
      </c>
      <c r="AD424" s="1" t="b">
        <v>1</v>
      </c>
      <c r="AE424" s="1" t="b">
        <v>1</v>
      </c>
      <c r="AF424" s="5">
        <v>5.0</v>
      </c>
      <c r="AG424" s="5">
        <v>5.0</v>
      </c>
      <c r="AH424" s="3"/>
      <c r="AI424" s="3"/>
      <c r="AJ424" s="2">
        <v>46051.64730324074</v>
      </c>
      <c r="AK424" s="2">
        <v>46052.62787037037</v>
      </c>
      <c r="AL424" s="2">
        <v>46051.64730324074</v>
      </c>
      <c r="AM424" s="2">
        <v>46051.64733796296</v>
      </c>
      <c r="AN424" s="2">
        <v>46051.64803240741</v>
      </c>
      <c r="AO424" s="2">
        <v>46051.64989583333</v>
      </c>
      <c r="AP424" s="2">
        <v>46051.64989583333</v>
      </c>
      <c r="AQ424" s="2">
        <v>46051.64989583333</v>
      </c>
      <c r="AS424" s="2">
        <v>46051.64990740741</v>
      </c>
      <c r="AT424" s="2">
        <v>46051.64989583333</v>
      </c>
      <c r="AU424" s="2">
        <v>46051.64990740741</v>
      </c>
      <c r="AW424" s="3"/>
      <c r="AX424" s="2">
        <v>46051.64990740741</v>
      </c>
      <c r="AY424" s="2">
        <v>46051.64990740741</v>
      </c>
      <c r="AZ424" s="2">
        <v>46051.6505787037</v>
      </c>
      <c r="BA424" s="2">
        <v>46051.6625</v>
      </c>
      <c r="BC424" s="2">
        <v>46051.675405092596</v>
      </c>
      <c r="BD424" s="2">
        <v>46051.675405092596</v>
      </c>
      <c r="BE424" s="5">
        <v>205.0</v>
      </c>
      <c r="BF424" s="5">
        <v>205.0</v>
      </c>
      <c r="BG424" s="5">
        <v>41.0</v>
      </c>
      <c r="BH424" s="5">
        <v>41.0</v>
      </c>
      <c r="BI424" s="3"/>
      <c r="BJ424" s="3"/>
      <c r="BK424" s="5">
        <v>0.0</v>
      </c>
      <c r="BL424" s="5">
        <v>0.0</v>
      </c>
      <c r="BM424" s="5">
        <v>162.0</v>
      </c>
      <c r="BN424" s="5">
        <v>162.0</v>
      </c>
      <c r="BO424" s="5">
        <v>220.0</v>
      </c>
      <c r="BP424" s="5">
        <v>220.0</v>
      </c>
      <c r="BQ424" s="5">
        <v>280.0</v>
      </c>
      <c r="BR424" s="5">
        <v>280.0</v>
      </c>
      <c r="BS424" s="5">
        <v>57.0</v>
      </c>
      <c r="BT424" s="5">
        <v>57.0</v>
      </c>
      <c r="BU424" s="5">
        <v>57.0</v>
      </c>
      <c r="BV424" s="5">
        <v>57.0</v>
      </c>
      <c r="BW424" s="5">
        <v>58.0</v>
      </c>
      <c r="BX424" s="5">
        <v>58.0</v>
      </c>
      <c r="BY424" s="5">
        <v>2365.0</v>
      </c>
      <c r="BZ424" s="5">
        <v>2365.0</v>
      </c>
      <c r="CA424" s="5">
        <v>2365.0</v>
      </c>
      <c r="CB424" s="5">
        <v>2365.0</v>
      </c>
      <c r="CC424" s="5">
        <v>2425.0</v>
      </c>
      <c r="CD424" s="5">
        <v>2425.0</v>
      </c>
      <c r="CE424" s="5">
        <v>2203.0</v>
      </c>
      <c r="CF424" s="5">
        <v>2203.0</v>
      </c>
      <c r="CG424" s="5">
        <v>2203.0</v>
      </c>
      <c r="CH424" s="5">
        <v>2203.0</v>
      </c>
      <c r="CI424" s="5">
        <v>2203.0</v>
      </c>
      <c r="CJ424" s="5">
        <v>2203.0</v>
      </c>
      <c r="CK424" s="5">
        <v>2203.0</v>
      </c>
      <c r="CL424" s="5">
        <v>2203.0</v>
      </c>
      <c r="CM424" s="5">
        <v>2203.0</v>
      </c>
      <c r="CN424" s="5">
        <v>2203.0</v>
      </c>
      <c r="CO424" s="5">
        <v>223.0</v>
      </c>
      <c r="CP424" s="5">
        <v>161.0</v>
      </c>
      <c r="CQ424" s="3"/>
      <c r="CR424" s="4" t="s">
        <v>1771</v>
      </c>
    </row>
    <row r="425">
      <c r="A425" s="1" t="s">
        <v>1772</v>
      </c>
      <c r="B425" s="2">
        <v>46051.60979166667</v>
      </c>
      <c r="C425" s="1" t="str">
        <f t="array" ref="C425">INDEX('User data'!E:E, MATCH(E425, 'User data'!B:B, 0))</f>
        <v>주식회사 데이탄소프트</v>
      </c>
      <c r="D425" s="1" t="str">
        <f t="array" ref="D425">INDEX('User data'!F:F, MATCH(C425, 'User data'!E:E, 0))</f>
        <v>326-88-01855</v>
      </c>
      <c r="E425" s="1" t="s">
        <v>1773</v>
      </c>
      <c r="F425" s="3"/>
      <c r="G425" s="3"/>
      <c r="H425" s="3"/>
      <c r="I425" s="1" t="s">
        <v>1702</v>
      </c>
      <c r="J425" s="1" t="s">
        <v>100</v>
      </c>
      <c r="K425" s="1" t="s">
        <v>173</v>
      </c>
      <c r="L425" s="1" t="b">
        <v>0</v>
      </c>
      <c r="M425" s="3"/>
      <c r="N425" s="1" t="s">
        <v>1774</v>
      </c>
      <c r="O425" s="1">
        <v>594863.0</v>
      </c>
      <c r="P425" s="1">
        <v>594863.0</v>
      </c>
      <c r="Q425" s="1">
        <v>594863.0</v>
      </c>
      <c r="R425" s="1" t="s">
        <v>1775</v>
      </c>
      <c r="S425" s="3"/>
      <c r="T425" s="1" t="s">
        <v>175</v>
      </c>
      <c r="U425" s="1" t="s">
        <v>175</v>
      </c>
      <c r="V425" s="3"/>
      <c r="W425" s="1" t="s">
        <v>118</v>
      </c>
      <c r="X425" s="3"/>
      <c r="Y425" s="1" t="s">
        <v>106</v>
      </c>
      <c r="Z425" s="3"/>
      <c r="AA425" s="1" t="b">
        <v>1</v>
      </c>
      <c r="AB425" s="1" t="b">
        <v>0</v>
      </c>
      <c r="AC425" s="1" t="b">
        <v>0</v>
      </c>
      <c r="AD425" s="1" t="b">
        <v>1</v>
      </c>
      <c r="AE425" s="1" t="b">
        <v>0</v>
      </c>
      <c r="AF425" s="3"/>
      <c r="AG425" s="3"/>
      <c r="AH425" s="3"/>
      <c r="AI425" s="3"/>
      <c r="AJ425" s="2">
        <v>46051.579872685186</v>
      </c>
      <c r="AK425" s="2">
        <v>46051.71905092592</v>
      </c>
      <c r="AL425" s="2">
        <v>46051.610497685186</v>
      </c>
      <c r="AM425" s="2">
        <v>46051.60979166667</v>
      </c>
      <c r="AO425" s="3"/>
      <c r="AP425" s="2">
        <v>46051.61053240741</v>
      </c>
      <c r="AR425" s="3"/>
      <c r="AS425" s="3"/>
      <c r="AT425" s="2">
        <v>46051.60979166667</v>
      </c>
      <c r="AU425" s="2">
        <v>46051.60979166667</v>
      </c>
      <c r="AW425" s="3"/>
      <c r="AX425" s="2">
        <v>46051.579872685186</v>
      </c>
      <c r="AY425" s="2">
        <v>46051.60979166667</v>
      </c>
      <c r="BA425" s="3"/>
      <c r="BB425" s="3"/>
      <c r="BC425" s="2">
        <v>46051.67737268518</v>
      </c>
      <c r="BD425" s="2">
        <v>46051.67737268518</v>
      </c>
      <c r="BF425" s="3"/>
      <c r="BG425" s="3"/>
      <c r="BH425" s="3"/>
      <c r="BI425" s="3"/>
      <c r="BJ425" s="3"/>
      <c r="BK425" s="3"/>
      <c r="BL425" s="3"/>
      <c r="BM425" s="3"/>
      <c r="BN425" s="3"/>
      <c r="BO425" s="3"/>
      <c r="BP425" s="3"/>
      <c r="BQ425" s="3"/>
      <c r="BR425" s="3"/>
      <c r="BS425" s="3"/>
      <c r="BT425" s="3"/>
      <c r="BU425" s="3"/>
      <c r="BV425" s="3"/>
      <c r="BW425" s="3"/>
      <c r="BX425" s="3"/>
      <c r="BY425" s="5">
        <v>5839.0</v>
      </c>
      <c r="BZ425" s="5">
        <v>5839.0</v>
      </c>
      <c r="CA425" s="5">
        <v>5839.0</v>
      </c>
      <c r="CB425" s="5">
        <v>5839.0</v>
      </c>
      <c r="CC425" s="5">
        <v>5839.0</v>
      </c>
      <c r="CD425" s="5">
        <v>5839.0</v>
      </c>
      <c r="CE425" s="5">
        <v>8424.0</v>
      </c>
      <c r="CF425" s="5">
        <v>8424.0</v>
      </c>
      <c r="CG425" s="5">
        <v>5839.0</v>
      </c>
      <c r="CH425" s="5">
        <v>5839.0</v>
      </c>
      <c r="CI425" s="5">
        <v>5839.0</v>
      </c>
      <c r="CJ425" s="5">
        <v>5839.0</v>
      </c>
      <c r="CK425" s="5">
        <v>5839.0</v>
      </c>
      <c r="CL425" s="5">
        <v>5839.0</v>
      </c>
      <c r="CM425" s="5">
        <v>5839.0</v>
      </c>
      <c r="CN425" s="5">
        <v>5839.0</v>
      </c>
      <c r="CO425" s="5">
        <v>3.0</v>
      </c>
      <c r="CP425" s="3"/>
      <c r="CQ425" s="3"/>
      <c r="CR425" s="4" t="s">
        <v>1776</v>
      </c>
    </row>
    <row r="426">
      <c r="A426" s="1" t="s">
        <v>1777</v>
      </c>
      <c r="B426" s="2">
        <v>46051.541354166664</v>
      </c>
      <c r="C426" s="1" t="str">
        <f t="array" ref="C426">INDEX('User data'!E:E, MATCH(E426, 'User data'!B:B, 0))</f>
        <v>닥터블릿헬스케어 주식회사</v>
      </c>
      <c r="D426" s="1" t="str">
        <f t="array" ref="D426">INDEX('User data'!F:F, MATCH(C426, 'User data'!E:E, 0))</f>
        <v>382-88-01869</v>
      </c>
      <c r="E426" s="1" t="s">
        <v>284</v>
      </c>
      <c r="F426" s="3"/>
      <c r="G426" s="3"/>
      <c r="H426" s="3"/>
      <c r="I426" s="1" t="s">
        <v>1396</v>
      </c>
      <c r="J426" s="1" t="s">
        <v>100</v>
      </c>
      <c r="K426" s="1" t="s">
        <v>101</v>
      </c>
      <c r="L426" s="1" t="b">
        <v>0</v>
      </c>
      <c r="M426" s="1" t="s">
        <v>522</v>
      </c>
      <c r="N426" s="1" t="s">
        <v>285</v>
      </c>
      <c r="O426" s="1">
        <v>574085.0</v>
      </c>
      <c r="P426" s="1">
        <v>574085.0</v>
      </c>
      <c r="Q426" s="1">
        <v>574085.0</v>
      </c>
      <c r="R426" s="1" t="s">
        <v>1674</v>
      </c>
      <c r="S426" s="1">
        <v>13285.0</v>
      </c>
      <c r="T426" s="1" t="s">
        <v>104</v>
      </c>
      <c r="U426" s="3"/>
      <c r="V426" s="3"/>
      <c r="W426" s="1" t="s">
        <v>118</v>
      </c>
      <c r="X426" s="3"/>
      <c r="Y426" s="1" t="s">
        <v>119</v>
      </c>
      <c r="Z426" s="3"/>
      <c r="AA426" s="1" t="b">
        <v>1</v>
      </c>
      <c r="AB426" s="1" t="b">
        <v>0</v>
      </c>
      <c r="AC426" s="1" t="b">
        <v>0</v>
      </c>
      <c r="AD426" s="1" t="b">
        <v>1</v>
      </c>
      <c r="AE426" s="1" t="b">
        <v>0</v>
      </c>
      <c r="AF426" s="5">
        <v>2.0</v>
      </c>
      <c r="AG426" s="3"/>
      <c r="AH426" s="3"/>
      <c r="AI426" s="3"/>
      <c r="AJ426" s="2">
        <v>46051.53833333333</v>
      </c>
      <c r="AK426" s="2">
        <v>46052.68449074074</v>
      </c>
      <c r="AL426" s="2">
        <v>46051.53833333333</v>
      </c>
      <c r="AM426" s="2">
        <v>46051.53854166667</v>
      </c>
      <c r="AO426" s="3"/>
      <c r="AP426" s="2">
        <v>46051.53986111111</v>
      </c>
      <c r="AQ426" s="2">
        <v>46051.541354166664</v>
      </c>
      <c r="AS426" s="2">
        <v>46051.54137731482</v>
      </c>
      <c r="AT426" s="2">
        <v>46051.541354166664</v>
      </c>
      <c r="AU426" s="2">
        <v>46051.85481481482</v>
      </c>
      <c r="AW426" s="3"/>
      <c r="AX426" s="2">
        <v>46051.54137731482</v>
      </c>
      <c r="AY426" s="2">
        <v>46051.54137731482</v>
      </c>
      <c r="AZ426" s="2">
        <v>46051.61934027778</v>
      </c>
      <c r="BA426" s="2">
        <v>46052.4897337963</v>
      </c>
      <c r="BB426" s="2">
        <v>46051.70915509259</v>
      </c>
      <c r="BC426" s="2">
        <v>46052.489756944444</v>
      </c>
      <c r="BD426" s="2">
        <v>46052.489756944444</v>
      </c>
      <c r="BE426" s="5">
        <v>61593.0</v>
      </c>
      <c r="BF426" s="3"/>
      <c r="BG426" s="5">
        <v>30796.0</v>
      </c>
      <c r="BH426" s="3"/>
      <c r="BI426" s="5">
        <v>12585.0</v>
      </c>
      <c r="BJ426" s="5">
        <v>0.0</v>
      </c>
      <c r="BK426" s="5">
        <v>1.0</v>
      </c>
      <c r="BL426" s="5">
        <v>0.0</v>
      </c>
      <c r="BM426" s="5">
        <v>1.0</v>
      </c>
      <c r="BN426" s="5">
        <v>0.0</v>
      </c>
      <c r="BO426" s="5">
        <v>6737.0</v>
      </c>
      <c r="BP426" s="5">
        <v>4911.0</v>
      </c>
      <c r="BQ426" s="5">
        <v>6980.0</v>
      </c>
      <c r="BR426" s="5">
        <v>4911.0</v>
      </c>
      <c r="BS426" s="5">
        <v>6735.0</v>
      </c>
      <c r="BT426" s="5">
        <v>4911.0</v>
      </c>
      <c r="BU426" s="5">
        <v>6735.0</v>
      </c>
      <c r="BV426" s="5">
        <v>4911.0</v>
      </c>
      <c r="BW426" s="5">
        <v>6737.0</v>
      </c>
      <c r="BX426" s="5">
        <v>4911.0</v>
      </c>
      <c r="BY426" s="5">
        <v>81941.0</v>
      </c>
      <c r="BZ426" s="5">
        <v>18915.0</v>
      </c>
      <c r="CA426" s="5">
        <v>81941.0</v>
      </c>
      <c r="CB426" s="5">
        <v>18915.0</v>
      </c>
      <c r="CC426" s="5">
        <v>82185.0</v>
      </c>
      <c r="CD426" s="5">
        <v>18915.0</v>
      </c>
      <c r="CE426" s="5">
        <v>81940.0</v>
      </c>
      <c r="CF426" s="5">
        <v>18915.0</v>
      </c>
      <c r="CG426" s="5">
        <v>81940.0</v>
      </c>
      <c r="CH426" s="5">
        <v>18915.0</v>
      </c>
      <c r="CI426" s="5">
        <v>81941.0</v>
      </c>
      <c r="CJ426" s="5">
        <v>18915.0</v>
      </c>
      <c r="CK426" s="5">
        <v>69355.0</v>
      </c>
      <c r="CL426" s="5">
        <v>18915.0</v>
      </c>
      <c r="CM426" s="5">
        <v>69355.0</v>
      </c>
      <c r="CN426" s="5">
        <v>18915.0</v>
      </c>
      <c r="CO426" s="5">
        <v>132.0</v>
      </c>
      <c r="CP426" s="3"/>
      <c r="CQ426" s="3"/>
      <c r="CR426" s="4" t="s">
        <v>1778</v>
      </c>
    </row>
    <row r="427">
      <c r="A427" s="1" t="s">
        <v>1779</v>
      </c>
      <c r="B427" s="2">
        <v>46051.49998842592</v>
      </c>
      <c r="C427" s="1" t="str">
        <f t="array" ref="C427">INDEX('User data'!E:E, MATCH(E427, 'User data'!B:B, 0))</f>
        <v>주식회사 데이탄소프트</v>
      </c>
      <c r="D427" s="1" t="str">
        <f t="array" ref="D427">INDEX('User data'!F:F, MATCH(C427, 'User data'!E:E, 0))</f>
        <v>326-88-01855</v>
      </c>
      <c r="E427" s="1" t="s">
        <v>1773</v>
      </c>
      <c r="F427" s="3"/>
      <c r="G427" s="3"/>
      <c r="H427" s="3"/>
      <c r="I427" s="1" t="s">
        <v>258</v>
      </c>
      <c r="J427" s="1" t="s">
        <v>100</v>
      </c>
      <c r="K427" s="1" t="s">
        <v>101</v>
      </c>
      <c r="L427" s="1" t="b">
        <v>0</v>
      </c>
      <c r="M427" s="4" t="s">
        <v>180</v>
      </c>
      <c r="N427" s="1" t="s">
        <v>1774</v>
      </c>
      <c r="O427" s="1">
        <v>594863.0</v>
      </c>
      <c r="P427" s="1">
        <v>594863.0</v>
      </c>
      <c r="Q427" s="1">
        <v>594863.0</v>
      </c>
      <c r="R427" s="1" t="s">
        <v>1022</v>
      </c>
      <c r="S427" s="1">
        <v>13288.0</v>
      </c>
      <c r="T427" s="1" t="s">
        <v>104</v>
      </c>
      <c r="U427" s="3"/>
      <c r="V427" s="3"/>
      <c r="W427" s="1" t="s">
        <v>118</v>
      </c>
      <c r="X427" s="3"/>
      <c r="Y427" s="1" t="s">
        <v>119</v>
      </c>
      <c r="Z427" s="3"/>
      <c r="AA427" s="1" t="b">
        <v>1</v>
      </c>
      <c r="AB427" s="1" t="b">
        <v>0</v>
      </c>
      <c r="AC427" s="1" t="b">
        <v>0</v>
      </c>
      <c r="AD427" s="1" t="b">
        <v>1</v>
      </c>
      <c r="AE427" s="1" t="b">
        <v>0</v>
      </c>
      <c r="AF427" s="5">
        <v>1.0</v>
      </c>
      <c r="AG427" s="5">
        <v>1.0</v>
      </c>
      <c r="AH427" s="3"/>
      <c r="AI427" s="3"/>
      <c r="AJ427" s="2">
        <v>46051.499131944445</v>
      </c>
      <c r="AK427" s="2">
        <v>46051.64266203704</v>
      </c>
      <c r="AL427" s="2">
        <v>46051.499131944445</v>
      </c>
      <c r="AM427" s="2">
        <v>46051.49916666667</v>
      </c>
      <c r="AO427" s="3"/>
      <c r="AP427" s="2">
        <v>46051.49988425926</v>
      </c>
      <c r="AR427" s="3"/>
      <c r="AS427" s="3"/>
      <c r="AT427" s="2">
        <v>46051.49998842592</v>
      </c>
      <c r="AU427" s="2">
        <v>46051.49998842592</v>
      </c>
      <c r="AW427" s="3"/>
      <c r="AX427" s="2">
        <v>46051.49925925926</v>
      </c>
      <c r="AY427" s="2">
        <v>46051.49998842592</v>
      </c>
      <c r="AZ427" s="2">
        <v>46051.51435185185</v>
      </c>
      <c r="BA427" s="2">
        <v>46051.51435185185</v>
      </c>
      <c r="BC427" s="2">
        <v>46051.6009837963</v>
      </c>
      <c r="BD427" s="2">
        <v>46051.6009837963</v>
      </c>
      <c r="BE427" s="5">
        <v>1008.0</v>
      </c>
      <c r="BF427" s="5">
        <v>1008.0</v>
      </c>
      <c r="BG427" s="5">
        <v>1008.0</v>
      </c>
      <c r="BH427" s="5">
        <v>1008.0</v>
      </c>
      <c r="BI427" s="3"/>
      <c r="BJ427" s="3"/>
      <c r="BK427" s="3"/>
      <c r="BL427" s="3"/>
      <c r="BM427" s="3"/>
      <c r="BN427" s="3"/>
      <c r="BO427" s="5">
        <v>1240.0</v>
      </c>
      <c r="BP427" s="5">
        <v>1240.0</v>
      </c>
      <c r="BQ427" s="5">
        <v>1312.0</v>
      </c>
      <c r="BR427" s="5">
        <v>1312.0</v>
      </c>
      <c r="BS427" s="5">
        <v>1303.0</v>
      </c>
      <c r="BT427" s="5">
        <v>1303.0</v>
      </c>
      <c r="BU427" s="5">
        <v>1240.0</v>
      </c>
      <c r="BV427" s="5">
        <v>1240.0</v>
      </c>
      <c r="BW427" s="5">
        <v>1240.0</v>
      </c>
      <c r="BX427" s="5">
        <v>1240.0</v>
      </c>
      <c r="BY427" s="5">
        <v>8725.0</v>
      </c>
      <c r="BZ427" s="5">
        <v>5125.0</v>
      </c>
      <c r="CA427" s="5">
        <v>8725.0</v>
      </c>
      <c r="CB427" s="5">
        <v>5125.0</v>
      </c>
      <c r="CC427" s="5">
        <v>8797.0</v>
      </c>
      <c r="CD427" s="5">
        <v>5197.0</v>
      </c>
      <c r="CE427" s="5">
        <v>8789.0</v>
      </c>
      <c r="CF427" s="5">
        <v>5189.0</v>
      </c>
      <c r="CG427" s="5">
        <v>8725.0</v>
      </c>
      <c r="CH427" s="5">
        <v>5125.0</v>
      </c>
      <c r="CI427" s="5">
        <v>8725.0</v>
      </c>
      <c r="CJ427" s="5">
        <v>5125.0</v>
      </c>
      <c r="CK427" s="5">
        <v>8725.0</v>
      </c>
      <c r="CL427" s="5">
        <v>5125.0</v>
      </c>
      <c r="CM427" s="5">
        <v>8725.0</v>
      </c>
      <c r="CN427" s="5">
        <v>5125.0</v>
      </c>
      <c r="CO427" s="5">
        <v>65.0</v>
      </c>
      <c r="CP427" s="3"/>
      <c r="CQ427" s="3"/>
      <c r="CR427" s="4" t="s">
        <v>1780</v>
      </c>
    </row>
    <row r="428">
      <c r="A428" s="1" t="s">
        <v>1781</v>
      </c>
      <c r="B428" s="2">
        <v>46051.4562037037</v>
      </c>
      <c r="C428" s="1" t="str">
        <f t="array" ref="C428">INDEX('User data'!E:E, MATCH(E428, 'User data'!B:B, 0))</f>
        <v>프레시오리진 주식회사 농업회사법인</v>
      </c>
      <c r="D428" s="1" t="str">
        <f t="array" ref="D428">INDEX('User data'!F:F, MATCH(C428, 'User data'!E:E, 0))</f>
        <v>566-88-03446</v>
      </c>
      <c r="E428" s="1" t="s">
        <v>1002</v>
      </c>
      <c r="F428" s="3"/>
      <c r="G428" s="3"/>
      <c r="H428" s="3"/>
      <c r="I428" s="1" t="s">
        <v>1253</v>
      </c>
      <c r="J428" s="1" t="s">
        <v>100</v>
      </c>
      <c r="K428" s="1" t="s">
        <v>101</v>
      </c>
      <c r="L428" s="1" t="b">
        <v>0</v>
      </c>
      <c r="M428" s="4" t="s">
        <v>180</v>
      </c>
      <c r="N428" s="1" t="s">
        <v>1003</v>
      </c>
      <c r="O428" s="1">
        <v>574085.0</v>
      </c>
      <c r="P428" s="1">
        <v>574085.0</v>
      </c>
      <c r="Q428" s="1">
        <v>574085.0</v>
      </c>
      <c r="R428" s="1" t="s">
        <v>1674</v>
      </c>
      <c r="S428" s="1">
        <v>13285.0</v>
      </c>
      <c r="T428" s="1" t="s">
        <v>104</v>
      </c>
      <c r="U428" s="3"/>
      <c r="V428" s="3"/>
      <c r="W428" s="1" t="s">
        <v>118</v>
      </c>
      <c r="X428" s="3"/>
      <c r="Y428" s="1" t="s">
        <v>106</v>
      </c>
      <c r="Z428" s="3"/>
      <c r="AA428" s="1" t="b">
        <v>1</v>
      </c>
      <c r="AB428" s="1" t="b">
        <v>0</v>
      </c>
      <c r="AC428" s="1" t="b">
        <v>0</v>
      </c>
      <c r="AD428" s="1" t="b">
        <v>1</v>
      </c>
      <c r="AE428" s="1" t="b">
        <v>0</v>
      </c>
      <c r="AF428" s="5">
        <v>2.0</v>
      </c>
      <c r="AG428" s="5">
        <v>2.0</v>
      </c>
      <c r="AH428" s="3"/>
      <c r="AI428" s="3"/>
      <c r="AJ428" s="2">
        <v>46051.45297453704</v>
      </c>
      <c r="AK428" s="2">
        <v>46052.694918981484</v>
      </c>
      <c r="AL428" s="2">
        <v>46051.45297453704</v>
      </c>
      <c r="AM428" s="2">
        <v>46051.452997685185</v>
      </c>
      <c r="AO428" s="3"/>
      <c r="AP428" s="2">
        <v>46051.45564814815</v>
      </c>
      <c r="AQ428" s="2">
        <v>46051.4562037037</v>
      </c>
      <c r="AS428" s="2">
        <v>46051.45621527778</v>
      </c>
      <c r="AT428" s="2">
        <v>46051.4562037037</v>
      </c>
      <c r="AU428" s="2">
        <v>46051.859918981485</v>
      </c>
      <c r="AW428" s="3"/>
      <c r="AX428" s="2">
        <v>46051.45621527778</v>
      </c>
      <c r="AY428" s="2">
        <v>46051.45621527778</v>
      </c>
      <c r="AZ428" s="2">
        <v>46051.45905092593</v>
      </c>
      <c r="BA428" s="2">
        <v>46051.67648148148</v>
      </c>
      <c r="BB428" s="2">
        <v>46051.69329861111</v>
      </c>
      <c r="BC428" s="2">
        <v>46052.47913194444</v>
      </c>
      <c r="BD428" s="2">
        <v>46052.47913194444</v>
      </c>
      <c r="BE428" s="5">
        <v>18892.0</v>
      </c>
      <c r="BF428" s="5">
        <v>18892.0</v>
      </c>
      <c r="BG428" s="5">
        <v>9446.0</v>
      </c>
      <c r="BH428" s="5">
        <v>9446.0</v>
      </c>
      <c r="BI428" s="5">
        <v>14396.0</v>
      </c>
      <c r="BJ428" s="5">
        <v>1298.0</v>
      </c>
      <c r="BK428" s="5">
        <v>1.0</v>
      </c>
      <c r="BL428" s="5">
        <v>1.0</v>
      </c>
      <c r="BM428" s="5">
        <v>1.0</v>
      </c>
      <c r="BN428" s="5">
        <v>1.0</v>
      </c>
      <c r="BO428" s="5">
        <v>246.0</v>
      </c>
      <c r="BP428" s="5">
        <v>246.0</v>
      </c>
      <c r="BQ428" s="5">
        <v>523.0</v>
      </c>
      <c r="BR428" s="5">
        <v>523.0</v>
      </c>
      <c r="BS428" s="5">
        <v>245.0</v>
      </c>
      <c r="BT428" s="5">
        <v>245.0</v>
      </c>
      <c r="BU428" s="5">
        <v>245.0</v>
      </c>
      <c r="BV428" s="5">
        <v>245.0</v>
      </c>
      <c r="BW428" s="5">
        <v>246.0</v>
      </c>
      <c r="BX428" s="5">
        <v>246.0</v>
      </c>
      <c r="BY428" s="5">
        <v>88381.0</v>
      </c>
      <c r="BZ428" s="5">
        <v>23581.0</v>
      </c>
      <c r="CA428" s="5">
        <v>88381.0</v>
      </c>
      <c r="CB428" s="5">
        <v>23581.0</v>
      </c>
      <c r="CC428" s="5">
        <v>88658.0</v>
      </c>
      <c r="CD428" s="5">
        <v>23858.0</v>
      </c>
      <c r="CE428" s="5">
        <v>88380.0</v>
      </c>
      <c r="CF428" s="5">
        <v>23580.0</v>
      </c>
      <c r="CG428" s="5">
        <v>88380.0</v>
      </c>
      <c r="CH428" s="5">
        <v>23580.0</v>
      </c>
      <c r="CI428" s="5">
        <v>88381.0</v>
      </c>
      <c r="CJ428" s="5">
        <v>23581.0</v>
      </c>
      <c r="CK428" s="5">
        <v>73984.0</v>
      </c>
      <c r="CL428" s="5">
        <v>22282.0</v>
      </c>
      <c r="CM428" s="5">
        <v>73984.0</v>
      </c>
      <c r="CN428" s="5">
        <v>22282.0</v>
      </c>
      <c r="CO428" s="5">
        <v>231.0</v>
      </c>
      <c r="CP428" s="3"/>
      <c r="CQ428" s="3"/>
      <c r="CR428" s="4" t="s">
        <v>1782</v>
      </c>
    </row>
    <row r="429">
      <c r="A429" s="1" t="s">
        <v>1783</v>
      </c>
      <c r="B429" s="2">
        <v>46051.4552662037</v>
      </c>
      <c r="C429" s="1" t="str">
        <f t="array" ref="C429">INDEX('User data'!E:E, MATCH(E429, 'User data'!B:B, 0))</f>
        <v>주식회사 스위트스팟</v>
      </c>
      <c r="D429" s="1" t="str">
        <f t="array" ref="D429">INDEX('User data'!F:F, MATCH(C429, 'User data'!E:E, 0))</f>
        <v>846-86-00225</v>
      </c>
      <c r="E429" s="1" t="s">
        <v>1784</v>
      </c>
      <c r="F429" s="3"/>
      <c r="G429" s="3"/>
      <c r="H429" s="3"/>
      <c r="I429" s="3"/>
      <c r="J429" s="1" t="s">
        <v>100</v>
      </c>
      <c r="K429" s="1" t="s">
        <v>101</v>
      </c>
      <c r="L429" s="1" t="b">
        <v>0</v>
      </c>
      <c r="M429" s="4" t="s">
        <v>102</v>
      </c>
      <c r="N429" s="1" t="s">
        <v>1785</v>
      </c>
      <c r="P429" s="3"/>
      <c r="Q429" s="3"/>
      <c r="R429" s="1" t="s">
        <v>1391</v>
      </c>
      <c r="S429" s="1">
        <v>13285.0</v>
      </c>
      <c r="T429" s="1" t="s">
        <v>104</v>
      </c>
      <c r="U429" s="3"/>
      <c r="V429" s="3"/>
      <c r="W429" s="1" t="s">
        <v>105</v>
      </c>
      <c r="X429" s="3"/>
      <c r="Y429" s="1" t="s">
        <v>106</v>
      </c>
      <c r="Z429" s="3"/>
      <c r="AA429" s="1" t="b">
        <v>0</v>
      </c>
      <c r="AB429" s="1" t="b">
        <v>0</v>
      </c>
      <c r="AC429" s="1" t="b">
        <v>0</v>
      </c>
      <c r="AD429" s="1" t="b">
        <v>1</v>
      </c>
      <c r="AE429" s="1" t="b">
        <v>1</v>
      </c>
      <c r="AF429" s="3"/>
      <c r="AG429" s="3"/>
      <c r="AH429" s="3"/>
      <c r="AI429" s="3"/>
      <c r="AJ429" s="2">
        <v>46051.45483796296</v>
      </c>
      <c r="AK429" s="2">
        <v>46052.45868055556</v>
      </c>
      <c r="AL429" s="2">
        <v>46051.45483796296</v>
      </c>
      <c r="AM429" s="2">
        <v>46051.45486111111</v>
      </c>
      <c r="AN429" s="2">
        <v>46051.4552662037</v>
      </c>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5">
        <v>3.0</v>
      </c>
      <c r="CR429" s="4" t="s">
        <v>1786</v>
      </c>
    </row>
    <row r="430">
      <c r="A430" s="1" t="s">
        <v>1787</v>
      </c>
      <c r="B430" s="2">
        <v>46051.43349537037</v>
      </c>
      <c r="C430" s="1" t="str">
        <f t="array" ref="C430">INDEX('User data'!E:E, MATCH(E430, 'User data'!B:B, 0))</f>
        <v>주식회사 렛서</v>
      </c>
      <c r="D430" s="1" t="str">
        <f t="array" ref="D430">INDEX('User data'!F:F, MATCH(C430, 'User data'!E:E, 0))</f>
        <v>146-87-02023</v>
      </c>
      <c r="E430" s="1" t="s">
        <v>1788</v>
      </c>
      <c r="F430" s="3"/>
      <c r="G430" s="3"/>
      <c r="H430" s="3"/>
      <c r="I430" s="3"/>
      <c r="J430" s="1" t="s">
        <v>100</v>
      </c>
      <c r="K430" s="1" t="s">
        <v>101</v>
      </c>
      <c r="L430" s="1" t="b">
        <v>0</v>
      </c>
      <c r="M430" s="1" t="s">
        <v>1592</v>
      </c>
      <c r="N430" s="1" t="s">
        <v>1789</v>
      </c>
      <c r="P430" s="3"/>
      <c r="Q430" s="3"/>
      <c r="R430" s="3"/>
      <c r="S430" s="1">
        <v>13285.0</v>
      </c>
      <c r="T430" s="1" t="s">
        <v>104</v>
      </c>
      <c r="U430" s="3"/>
      <c r="V430" s="3"/>
      <c r="W430" s="1" t="s">
        <v>105</v>
      </c>
      <c r="X430" s="3"/>
      <c r="Y430" s="1" t="s">
        <v>106</v>
      </c>
      <c r="Z430" s="3"/>
      <c r="AA430" s="1" t="b">
        <v>0</v>
      </c>
      <c r="AB430" s="1" t="b">
        <v>0</v>
      </c>
      <c r="AC430" s="1" t="b">
        <v>0</v>
      </c>
      <c r="AD430" s="1" t="b">
        <v>1</v>
      </c>
      <c r="AE430" s="1" t="b">
        <v>1</v>
      </c>
      <c r="AF430" s="3"/>
      <c r="AG430" s="3"/>
      <c r="AH430" s="3"/>
      <c r="AI430" s="3"/>
      <c r="AJ430" s="2">
        <v>46051.432974537034</v>
      </c>
      <c r="AK430" s="2">
        <v>46052.433703703704</v>
      </c>
      <c r="AL430" s="2">
        <v>46051.432974537034</v>
      </c>
      <c r="AM430" s="2">
        <v>46051.43299768519</v>
      </c>
      <c r="AN430" s="2">
        <v>46051.43349537037</v>
      </c>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5">
        <v>5.0</v>
      </c>
      <c r="CR430" s="4" t="s">
        <v>1790</v>
      </c>
    </row>
    <row r="431">
      <c r="A431" s="1" t="s">
        <v>1791</v>
      </c>
      <c r="B431" s="2">
        <v>46051.424849537034</v>
      </c>
      <c r="C431" s="1" t="str">
        <f t="array" ref="C431">INDEX('User data'!E:E, MATCH(E431, 'User data'!B:B, 0))</f>
        <v>주식회사 소울유니버스 (SOUL UNIVERSE INC.)</v>
      </c>
      <c r="D431" s="1" t="str">
        <f t="array" ref="D431">INDEX('User data'!F:F, MATCH(C431, 'User data'!E:E, 0))</f>
        <v>639-81-02144</v>
      </c>
      <c r="E431" s="1" t="s">
        <v>1792</v>
      </c>
      <c r="F431" s="3"/>
      <c r="G431" s="3"/>
      <c r="H431" s="3"/>
      <c r="I431" s="3"/>
      <c r="J431" s="1" t="s">
        <v>100</v>
      </c>
      <c r="K431" s="1" t="s">
        <v>101</v>
      </c>
      <c r="L431" s="1" t="b">
        <v>0</v>
      </c>
      <c r="M431" s="4" t="s">
        <v>102</v>
      </c>
      <c r="N431" s="1" t="s">
        <v>1793</v>
      </c>
      <c r="P431" s="3"/>
      <c r="Q431" s="3"/>
      <c r="R431" s="3"/>
      <c r="S431" s="1">
        <v>13285.0</v>
      </c>
      <c r="T431" s="1" t="s">
        <v>104</v>
      </c>
      <c r="U431" s="3"/>
      <c r="V431" s="3"/>
      <c r="W431" s="1" t="s">
        <v>105</v>
      </c>
      <c r="X431" s="3"/>
      <c r="Y431" s="1" t="s">
        <v>106</v>
      </c>
      <c r="Z431" s="3"/>
      <c r="AA431" s="1" t="b">
        <v>0</v>
      </c>
      <c r="AB431" s="1" t="b">
        <v>0</v>
      </c>
      <c r="AC431" s="1" t="b">
        <v>0</v>
      </c>
      <c r="AD431" s="1" t="b">
        <v>1</v>
      </c>
      <c r="AE431" s="1" t="b">
        <v>1</v>
      </c>
      <c r="AF431" s="3"/>
      <c r="AG431" s="3"/>
      <c r="AH431" s="3"/>
      <c r="AI431" s="3"/>
      <c r="AJ431" s="2">
        <v>46051.42408564815</v>
      </c>
      <c r="AK431" s="2">
        <v>46052.42527777778</v>
      </c>
      <c r="AL431" s="2">
        <v>46051.42408564815</v>
      </c>
      <c r="AM431" s="2">
        <v>46051.42414351852</v>
      </c>
      <c r="AN431" s="2">
        <v>46051.424849537034</v>
      </c>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5">
        <v>5.0</v>
      </c>
      <c r="CR431" s="4" t="s">
        <v>1794</v>
      </c>
    </row>
    <row r="432">
      <c r="A432" s="1" t="s">
        <v>1795</v>
      </c>
      <c r="B432" s="2">
        <v>46051.42052083334</v>
      </c>
      <c r="C432" s="1" t="str">
        <f t="array" ref="C432">INDEX('User data'!E:E, MATCH(E432, 'User data'!B:B, 0))</f>
        <v>주식회사 모드하우스</v>
      </c>
      <c r="D432" s="1" t="str">
        <f t="array" ref="D432">INDEX('User data'!F:F, MATCH(C432, 'User data'!E:E, 0))</f>
        <v>127-87-02153</v>
      </c>
      <c r="E432" s="1" t="s">
        <v>1796</v>
      </c>
      <c r="F432" s="3"/>
      <c r="G432" s="3"/>
      <c r="H432" s="3"/>
      <c r="I432" s="1" t="s">
        <v>1563</v>
      </c>
      <c r="J432" s="1" t="s">
        <v>100</v>
      </c>
      <c r="K432" s="1" t="s">
        <v>101</v>
      </c>
      <c r="L432" s="1" t="b">
        <v>0</v>
      </c>
      <c r="M432" s="4" t="s">
        <v>102</v>
      </c>
      <c r="N432" s="1" t="s">
        <v>1797</v>
      </c>
      <c r="O432" s="1">
        <v>574085.0</v>
      </c>
      <c r="P432" s="1">
        <v>574085.0</v>
      </c>
      <c r="Q432" s="1">
        <v>574085.0</v>
      </c>
      <c r="R432" s="1" t="s">
        <v>1798</v>
      </c>
      <c r="S432" s="1">
        <v>13285.0</v>
      </c>
      <c r="T432" s="1" t="s">
        <v>104</v>
      </c>
      <c r="U432" s="3"/>
      <c r="V432" s="3"/>
      <c r="W432" s="1" t="s">
        <v>118</v>
      </c>
      <c r="X432" s="3"/>
      <c r="Y432" s="1" t="s">
        <v>119</v>
      </c>
      <c r="Z432" s="3"/>
      <c r="AA432" s="1" t="b">
        <v>1</v>
      </c>
      <c r="AB432" s="1" t="b">
        <v>0</v>
      </c>
      <c r="AC432" s="1" t="b">
        <v>0</v>
      </c>
      <c r="AD432" s="1" t="b">
        <v>1</v>
      </c>
      <c r="AE432" s="1" t="b">
        <v>0</v>
      </c>
      <c r="AF432" s="5">
        <v>6.0</v>
      </c>
      <c r="AG432" s="5">
        <v>4.0</v>
      </c>
      <c r="AH432" s="3"/>
      <c r="AI432" s="3"/>
      <c r="AJ432" s="2">
        <v>46051.41940972222</v>
      </c>
      <c r="AK432" s="2">
        <v>46056.63138888889</v>
      </c>
      <c r="AL432" s="2">
        <v>46051.41940972222</v>
      </c>
      <c r="AM432" s="2">
        <v>46051.4194212963</v>
      </c>
      <c r="AO432" s="3"/>
      <c r="AP432" s="2">
        <v>46051.41976851852</v>
      </c>
      <c r="AQ432" s="2">
        <v>46051.42052083334</v>
      </c>
      <c r="AS432" s="2">
        <v>46051.42053240741</v>
      </c>
      <c r="AT432" s="2">
        <v>46051.42052083334</v>
      </c>
      <c r="AU432" s="2">
        <v>46056.589375</v>
      </c>
      <c r="AW432" s="3"/>
      <c r="AX432" s="2">
        <v>46051.42053240741</v>
      </c>
      <c r="AY432" s="2">
        <v>46051.42053240741</v>
      </c>
      <c r="AZ432" s="2">
        <v>46051.444375</v>
      </c>
      <c r="BA432" s="2">
        <v>46056.58967592593</v>
      </c>
      <c r="BB432" s="2">
        <v>46056.42270833333</v>
      </c>
      <c r="BC432" s="2">
        <v>46056.58971064815</v>
      </c>
      <c r="BD432" s="2">
        <v>46056.58971064815</v>
      </c>
      <c r="BE432" s="5">
        <v>17423.0</v>
      </c>
      <c r="BF432" s="5">
        <v>9996.0</v>
      </c>
      <c r="BG432" s="5">
        <v>2903.0</v>
      </c>
      <c r="BH432" s="5">
        <v>2499.0</v>
      </c>
      <c r="BI432" s="5">
        <v>187215.0</v>
      </c>
      <c r="BJ432" s="5">
        <v>52363.0</v>
      </c>
      <c r="BK432" s="5">
        <v>0.0</v>
      </c>
      <c r="BL432" s="5">
        <v>0.0</v>
      </c>
      <c r="BM432" s="5">
        <v>0.0</v>
      </c>
      <c r="BN432" s="5">
        <v>0.0</v>
      </c>
      <c r="BO432" s="5">
        <v>2060.0</v>
      </c>
      <c r="BP432" s="5">
        <v>2060.0</v>
      </c>
      <c r="BQ432" s="5">
        <v>2155.0</v>
      </c>
      <c r="BR432" s="5">
        <v>2155.0</v>
      </c>
      <c r="BS432" s="5">
        <v>2059.0</v>
      </c>
      <c r="BT432" s="5">
        <v>2059.0</v>
      </c>
      <c r="BU432" s="5">
        <v>2059.0</v>
      </c>
      <c r="BV432" s="5">
        <v>2059.0</v>
      </c>
      <c r="BW432" s="5">
        <v>2060.0</v>
      </c>
      <c r="BX432" s="5">
        <v>2060.0</v>
      </c>
      <c r="BY432" s="5">
        <v>446618.0</v>
      </c>
      <c r="BZ432" s="5">
        <v>75818.0</v>
      </c>
      <c r="CA432" s="5">
        <v>446618.0</v>
      </c>
      <c r="CB432" s="5">
        <v>75818.0</v>
      </c>
      <c r="CC432" s="5">
        <v>446712.0</v>
      </c>
      <c r="CD432" s="5">
        <v>75912.0</v>
      </c>
      <c r="CE432" s="5">
        <v>446617.0</v>
      </c>
      <c r="CF432" s="5">
        <v>75817.0</v>
      </c>
      <c r="CG432" s="5">
        <v>446617.0</v>
      </c>
      <c r="CH432" s="5">
        <v>75817.0</v>
      </c>
      <c r="CI432" s="5">
        <v>446618.0</v>
      </c>
      <c r="CJ432" s="5">
        <v>75818.0</v>
      </c>
      <c r="CK432" s="5">
        <v>259402.0</v>
      </c>
      <c r="CL432" s="5">
        <v>23453.0</v>
      </c>
      <c r="CM432" s="5">
        <v>259402.0</v>
      </c>
      <c r="CN432" s="5">
        <v>23453.0</v>
      </c>
      <c r="CO432" s="5">
        <v>31.0</v>
      </c>
      <c r="CP432" s="3"/>
      <c r="CQ432" s="3"/>
      <c r="CR432" s="4" t="s">
        <v>1799</v>
      </c>
    </row>
    <row r="433">
      <c r="A433" s="1" t="s">
        <v>1800</v>
      </c>
      <c r="B433" s="2">
        <v>46051.36601851852</v>
      </c>
      <c r="C433" s="1" t="str">
        <f t="array" ref="C433">INDEX('User data'!E:E, MATCH(E433, 'User data'!B:B, 0))</f>
        <v>헬로스킨 주식회사(HELLO SKIN Co.,Ltd.)</v>
      </c>
      <c r="D433" s="1" t="str">
        <f t="array" ref="D433">INDEX('User data'!F:F, MATCH(C433, 'User data'!E:E, 0))</f>
        <v>888-88-00596</v>
      </c>
      <c r="E433" s="1" t="s">
        <v>280</v>
      </c>
      <c r="F433" s="3"/>
      <c r="G433" s="3"/>
      <c r="H433" s="3"/>
      <c r="I433" s="1" t="s">
        <v>258</v>
      </c>
      <c r="J433" s="1" t="s">
        <v>100</v>
      </c>
      <c r="K433" s="1" t="s">
        <v>101</v>
      </c>
      <c r="L433" s="1" t="b">
        <v>0</v>
      </c>
      <c r="M433" s="4" t="s">
        <v>102</v>
      </c>
      <c r="N433" s="1" t="s">
        <v>281</v>
      </c>
      <c r="O433" s="1">
        <v>574085.0</v>
      </c>
      <c r="P433" s="1">
        <v>574085.0</v>
      </c>
      <c r="Q433" s="1">
        <v>574085.0</v>
      </c>
      <c r="R433" s="1" t="s">
        <v>703</v>
      </c>
      <c r="S433" s="1">
        <v>13285.0</v>
      </c>
      <c r="T433" s="1" t="s">
        <v>104</v>
      </c>
      <c r="U433" s="3"/>
      <c r="V433" s="3"/>
      <c r="W433" s="1" t="s">
        <v>118</v>
      </c>
      <c r="X433" s="3"/>
      <c r="Y433" s="1" t="s">
        <v>119</v>
      </c>
      <c r="Z433" s="3"/>
      <c r="AA433" s="1" t="b">
        <v>1</v>
      </c>
      <c r="AB433" s="1" t="b">
        <v>0</v>
      </c>
      <c r="AC433" s="1" t="b">
        <v>0</v>
      </c>
      <c r="AD433" s="1" t="b">
        <v>1</v>
      </c>
      <c r="AE433" s="1" t="b">
        <v>0</v>
      </c>
      <c r="AF433" s="5">
        <v>4.0</v>
      </c>
      <c r="AG433" s="5">
        <v>3.0</v>
      </c>
      <c r="AH433" s="3"/>
      <c r="AI433" s="3"/>
      <c r="AJ433" s="2">
        <v>46043.66113425926</v>
      </c>
      <c r="AK433" s="2">
        <v>46051.61638888889</v>
      </c>
      <c r="AL433" s="2">
        <v>46043.66113425926</v>
      </c>
      <c r="AM433" s="2">
        <v>46043.661157407405</v>
      </c>
      <c r="AO433" s="3"/>
      <c r="AP433" s="2">
        <v>46051.36225694444</v>
      </c>
      <c r="AQ433" s="2">
        <v>46051.36601851852</v>
      </c>
      <c r="AS433" s="2">
        <v>46051.36603009259</v>
      </c>
      <c r="AT433" s="2">
        <v>46051.36601851852</v>
      </c>
      <c r="AU433" s="2">
        <v>46051.36603009259</v>
      </c>
      <c r="AW433" s="3"/>
      <c r="AX433" s="2">
        <v>46051.36603009259</v>
      </c>
      <c r="AY433" s="2">
        <v>46051.36603009259</v>
      </c>
      <c r="AZ433" s="2">
        <v>46051.40085648148</v>
      </c>
      <c r="BA433" s="2">
        <v>46051.57466435185</v>
      </c>
      <c r="BC433" s="2">
        <v>46051.57471064815</v>
      </c>
      <c r="BD433" s="2">
        <v>46051.57471064815</v>
      </c>
      <c r="BE433" s="5">
        <v>14945.0</v>
      </c>
      <c r="BF433" s="5">
        <v>11934.0</v>
      </c>
      <c r="BG433" s="5">
        <v>3736.0</v>
      </c>
      <c r="BH433" s="5">
        <v>3978.0</v>
      </c>
      <c r="BI433" s="3"/>
      <c r="BJ433" s="3"/>
      <c r="BK433" s="5">
        <v>0.0</v>
      </c>
      <c r="BL433" s="5">
        <v>0.0</v>
      </c>
      <c r="BM433" s="5">
        <v>0.0</v>
      </c>
      <c r="BN433" s="5">
        <v>0.0</v>
      </c>
      <c r="BO433" s="5">
        <v>3010.0</v>
      </c>
      <c r="BP433" s="5">
        <v>0.0</v>
      </c>
      <c r="BQ433" s="5">
        <v>668710.0</v>
      </c>
      <c r="BR433" s="5">
        <v>112075.0</v>
      </c>
      <c r="BS433" s="5">
        <v>3009.0</v>
      </c>
      <c r="BT433" s="5">
        <v>0.0</v>
      </c>
      <c r="BU433" s="5">
        <v>3009.0</v>
      </c>
      <c r="BV433" s="5">
        <v>0.0</v>
      </c>
      <c r="BW433" s="5">
        <v>3010.0</v>
      </c>
      <c r="BX433" s="5">
        <v>0.0</v>
      </c>
      <c r="BY433" s="5">
        <v>18031.0</v>
      </c>
      <c r="BZ433" s="5">
        <v>10055.0</v>
      </c>
      <c r="CA433" s="5">
        <v>18031.0</v>
      </c>
      <c r="CB433" s="5">
        <v>10055.0</v>
      </c>
      <c r="CC433" s="5">
        <v>683731.0</v>
      </c>
      <c r="CD433" s="5">
        <v>122131.0</v>
      </c>
      <c r="CE433" s="5">
        <v>18030.0</v>
      </c>
      <c r="CF433" s="5">
        <v>10055.0</v>
      </c>
      <c r="CG433" s="5">
        <v>18030.0</v>
      </c>
      <c r="CH433" s="5">
        <v>10055.0</v>
      </c>
      <c r="CI433" s="5">
        <v>18031.0</v>
      </c>
      <c r="CJ433" s="5">
        <v>10055.0</v>
      </c>
      <c r="CK433" s="5">
        <v>18030.0</v>
      </c>
      <c r="CL433" s="5">
        <v>10055.0</v>
      </c>
      <c r="CM433" s="5">
        <v>18030.0</v>
      </c>
      <c r="CN433" s="5">
        <v>10055.0</v>
      </c>
      <c r="CO433" s="5">
        <v>665376.0</v>
      </c>
      <c r="CP433" s="3"/>
      <c r="CQ433" s="3"/>
      <c r="CR433" s="4" t="s">
        <v>1801</v>
      </c>
    </row>
    <row r="434">
      <c r="A434" s="1" t="s">
        <v>1802</v>
      </c>
      <c r="B434" s="2">
        <v>46050.85870370371</v>
      </c>
      <c r="C434" s="1" t="str">
        <f t="array" ref="C434">INDEX('User data'!E:E, MATCH(E434, 'User data'!B:B, 0))</f>
        <v>주식회사 브릿센트(BRITCENT Inc.)</v>
      </c>
      <c r="D434" s="1" t="str">
        <f t="array" ref="D434">INDEX('User data'!F:F, MATCH(C434, 'User data'!E:E, 0))</f>
        <v>850-87-01711</v>
      </c>
      <c r="E434" s="1" t="s">
        <v>1803</v>
      </c>
      <c r="F434" s="3"/>
      <c r="G434" s="3"/>
      <c r="H434" s="3"/>
      <c r="I434" s="1" t="s">
        <v>258</v>
      </c>
      <c r="J434" s="1" t="s">
        <v>100</v>
      </c>
      <c r="K434" s="1" t="s">
        <v>101</v>
      </c>
      <c r="L434" s="1" t="b">
        <v>0</v>
      </c>
      <c r="M434" s="4" t="s">
        <v>102</v>
      </c>
      <c r="N434" s="1" t="s">
        <v>1804</v>
      </c>
      <c r="O434" s="1">
        <v>594863.0</v>
      </c>
      <c r="P434" s="1">
        <v>594863.0</v>
      </c>
      <c r="Q434" s="1">
        <v>594863.0</v>
      </c>
      <c r="R434" s="1" t="s">
        <v>1805</v>
      </c>
      <c r="S434" s="1">
        <v>13288.0</v>
      </c>
      <c r="T434" s="1" t="s">
        <v>104</v>
      </c>
      <c r="U434" s="3"/>
      <c r="V434" s="3"/>
      <c r="W434" s="1" t="s">
        <v>118</v>
      </c>
      <c r="X434" s="3"/>
      <c r="Y434" s="1" t="s">
        <v>119</v>
      </c>
      <c r="Z434" s="3"/>
      <c r="AA434" s="1" t="b">
        <v>1</v>
      </c>
      <c r="AB434" s="1" t="b">
        <v>0</v>
      </c>
      <c r="AC434" s="1" t="b">
        <v>0</v>
      </c>
      <c r="AD434" s="1" t="b">
        <v>1</v>
      </c>
      <c r="AE434" s="1" t="b">
        <v>0</v>
      </c>
      <c r="AF434" s="5">
        <v>1.0</v>
      </c>
      <c r="AG434" s="3"/>
      <c r="AH434" s="3"/>
      <c r="AI434" s="3"/>
      <c r="AJ434" s="2">
        <v>46050.85796296296</v>
      </c>
      <c r="AK434" s="2">
        <v>46051.62126157407</v>
      </c>
      <c r="AL434" s="2">
        <v>46050.85796296296</v>
      </c>
      <c r="AM434" s="2">
        <v>46050.857986111114</v>
      </c>
      <c r="AO434" s="3"/>
      <c r="AP434" s="2">
        <v>46050.858460648145</v>
      </c>
      <c r="AR434" s="3"/>
      <c r="AS434" s="3"/>
      <c r="AT434" s="2">
        <v>46050.85870370371</v>
      </c>
      <c r="AU434" s="2">
        <v>46050.85870370371</v>
      </c>
      <c r="AW434" s="3"/>
      <c r="AX434" s="2">
        <v>46050.85806712963</v>
      </c>
      <c r="AY434" s="2">
        <v>46050.85870370371</v>
      </c>
      <c r="AZ434" s="2">
        <v>46051.414502314816</v>
      </c>
      <c r="BA434" s="2">
        <v>46051.414502314816</v>
      </c>
      <c r="BC434" s="2">
        <v>46051.57958333333</v>
      </c>
      <c r="BD434" s="2">
        <v>46051.57958333333</v>
      </c>
      <c r="BE434" s="5">
        <v>48021.0</v>
      </c>
      <c r="BF434" s="3"/>
      <c r="BG434" s="5">
        <v>48021.0</v>
      </c>
      <c r="BH434" s="3"/>
      <c r="BI434" s="3"/>
      <c r="BJ434" s="3"/>
      <c r="BK434" s="3"/>
      <c r="BL434" s="3"/>
      <c r="BM434" s="3"/>
      <c r="BN434" s="3"/>
      <c r="BO434" s="5">
        <v>48021.0</v>
      </c>
      <c r="BP434" s="5">
        <v>0.0</v>
      </c>
      <c r="BQ434" s="5">
        <v>48083.0</v>
      </c>
      <c r="BR434" s="5">
        <v>0.0</v>
      </c>
      <c r="BS434" s="5">
        <v>48076.0</v>
      </c>
      <c r="BT434" s="5">
        <v>0.0</v>
      </c>
      <c r="BU434" s="5">
        <v>48021.0</v>
      </c>
      <c r="BV434" s="5">
        <v>0.0</v>
      </c>
      <c r="BW434" s="5">
        <v>48021.0</v>
      </c>
      <c r="BX434" s="5">
        <v>0.0</v>
      </c>
      <c r="BY434" s="5">
        <v>62284.0</v>
      </c>
      <c r="BZ434" s="5">
        <v>10476.0</v>
      </c>
      <c r="CA434" s="5">
        <v>62284.0</v>
      </c>
      <c r="CB434" s="5">
        <v>10476.0</v>
      </c>
      <c r="CC434" s="5">
        <v>62346.0</v>
      </c>
      <c r="CD434" s="5">
        <v>10476.0</v>
      </c>
      <c r="CE434" s="5">
        <v>62339.0</v>
      </c>
      <c r="CF434" s="5">
        <v>10476.0</v>
      </c>
      <c r="CG434" s="5">
        <v>62284.0</v>
      </c>
      <c r="CH434" s="5">
        <v>10476.0</v>
      </c>
      <c r="CI434" s="5">
        <v>62284.0</v>
      </c>
      <c r="CJ434" s="5">
        <v>10476.0</v>
      </c>
      <c r="CK434" s="5">
        <v>62284.0</v>
      </c>
      <c r="CL434" s="5">
        <v>10476.0</v>
      </c>
      <c r="CM434" s="5">
        <v>62284.0</v>
      </c>
      <c r="CN434" s="5">
        <v>10476.0</v>
      </c>
      <c r="CO434" s="5">
        <v>42.0</v>
      </c>
      <c r="CP434" s="3"/>
      <c r="CQ434" s="3"/>
      <c r="CR434" s="4" t="s">
        <v>1806</v>
      </c>
    </row>
    <row r="435">
      <c r="A435" s="1" t="s">
        <v>1807</v>
      </c>
      <c r="B435" s="2">
        <v>46050.766331018516</v>
      </c>
      <c r="C435" s="1" t="str">
        <f t="array" ref="C435">INDEX('User data'!E:E, MATCH(E435, 'User data'!B:B, 0))</f>
        <v>펀치랩 주식회사</v>
      </c>
      <c r="D435" s="1" t="str">
        <f t="array" ref="D435">INDEX('User data'!F:F, MATCH(C435, 'User data'!E:E, 0))</f>
        <v>626-88-02996</v>
      </c>
      <c r="E435" s="1" t="s">
        <v>610</v>
      </c>
      <c r="F435" s="3"/>
      <c r="G435" s="3"/>
      <c r="H435" s="3"/>
      <c r="I435" s="3"/>
      <c r="J435" s="1" t="s">
        <v>100</v>
      </c>
      <c r="K435" s="1" t="s">
        <v>101</v>
      </c>
      <c r="L435" s="1" t="b">
        <v>0</v>
      </c>
      <c r="M435" s="4" t="s">
        <v>102</v>
      </c>
      <c r="N435" s="1" t="s">
        <v>611</v>
      </c>
      <c r="P435" s="3"/>
      <c r="Q435" s="3"/>
      <c r="R435" s="3"/>
      <c r="S435" s="1">
        <v>13285.0</v>
      </c>
      <c r="T435" s="1" t="s">
        <v>104</v>
      </c>
      <c r="U435" s="3"/>
      <c r="V435" s="3"/>
      <c r="W435" s="1" t="s">
        <v>105</v>
      </c>
      <c r="X435" s="3"/>
      <c r="Y435" s="1" t="s">
        <v>106</v>
      </c>
      <c r="Z435" s="3"/>
      <c r="AA435" s="1" t="b">
        <v>0</v>
      </c>
      <c r="AB435" s="1" t="b">
        <v>0</v>
      </c>
      <c r="AC435" s="1" t="b">
        <v>0</v>
      </c>
      <c r="AD435" s="1" t="b">
        <v>1</v>
      </c>
      <c r="AE435" s="1" t="b">
        <v>1</v>
      </c>
      <c r="AF435" s="3"/>
      <c r="AG435" s="3"/>
      <c r="AH435" s="3"/>
      <c r="AI435" s="3"/>
      <c r="AJ435" s="2">
        <v>46050.765914351854</v>
      </c>
      <c r="AK435" s="2">
        <v>46051.766388888886</v>
      </c>
      <c r="AL435" s="2">
        <v>46050.765914351854</v>
      </c>
      <c r="AM435" s="2">
        <v>46050.7659375</v>
      </c>
      <c r="AN435" s="2">
        <v>46050.766331018516</v>
      </c>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5">
        <v>2.2</v>
      </c>
      <c r="CR435" s="4" t="s">
        <v>1808</v>
      </c>
    </row>
    <row r="436">
      <c r="A436" s="1" t="s">
        <v>1809</v>
      </c>
      <c r="B436" s="2">
        <v>46050.71863425926</v>
      </c>
      <c r="C436" s="1" t="str">
        <f t="array" ref="C436">INDEX('User data'!E:E, MATCH(E436, 'User data'!B:B, 0))</f>
        <v>주식회사 알피</v>
      </c>
      <c r="D436" s="1" t="str">
        <f t="array" ref="D436">INDEX('User data'!F:F, MATCH(C436, 'User data'!E:E, 0))</f>
        <v>821-86-02087</v>
      </c>
      <c r="E436" s="1" t="s">
        <v>1810</v>
      </c>
      <c r="F436" s="3"/>
      <c r="G436" s="1" t="s">
        <v>1811</v>
      </c>
      <c r="I436" s="1" t="s">
        <v>1430</v>
      </c>
      <c r="J436" s="1" t="s">
        <v>100</v>
      </c>
      <c r="K436" s="1" t="s">
        <v>101</v>
      </c>
      <c r="L436" s="1" t="b">
        <v>0</v>
      </c>
      <c r="M436" s="4" t="s">
        <v>102</v>
      </c>
      <c r="N436" s="1" t="s">
        <v>1812</v>
      </c>
      <c r="O436" s="1">
        <v>574085.0</v>
      </c>
      <c r="P436" s="1">
        <v>574085.0</v>
      </c>
      <c r="Q436" s="1">
        <v>574085.0</v>
      </c>
      <c r="R436" s="1" t="s">
        <v>1674</v>
      </c>
      <c r="S436" s="1">
        <v>13285.0</v>
      </c>
      <c r="T436" s="1" t="s">
        <v>104</v>
      </c>
      <c r="U436" s="3"/>
      <c r="V436" s="3"/>
      <c r="W436" s="1" t="s">
        <v>118</v>
      </c>
      <c r="X436" s="3"/>
      <c r="Y436" s="1" t="s">
        <v>119</v>
      </c>
      <c r="Z436" s="3"/>
      <c r="AA436" s="1" t="b">
        <v>1</v>
      </c>
      <c r="AB436" s="1" t="b">
        <v>0</v>
      </c>
      <c r="AC436" s="1" t="b">
        <v>0</v>
      </c>
      <c r="AD436" s="1" t="b">
        <v>1</v>
      </c>
      <c r="AE436" s="1" t="b">
        <v>0</v>
      </c>
      <c r="AF436" s="5">
        <v>2.0</v>
      </c>
      <c r="AG436" s="3"/>
      <c r="AH436" s="3"/>
      <c r="AI436" s="3"/>
      <c r="AJ436" s="2">
        <v>46050.71643518518</v>
      </c>
      <c r="AK436" s="2">
        <v>46056.46703703704</v>
      </c>
      <c r="AL436" s="2">
        <v>46050.71643518518</v>
      </c>
      <c r="AM436" s="2">
        <v>46050.716458333336</v>
      </c>
      <c r="AO436" s="3"/>
      <c r="AP436" s="2">
        <v>46050.71680555555</v>
      </c>
      <c r="AQ436" s="2">
        <v>46050.71863425926</v>
      </c>
      <c r="AS436" s="2">
        <v>46050.71864583333</v>
      </c>
      <c r="AT436" s="2">
        <v>46050.71863425926</v>
      </c>
      <c r="AU436" s="2">
        <v>46056.37532407408</v>
      </c>
      <c r="AW436" s="3"/>
      <c r="AX436" s="2">
        <v>46050.71864583333</v>
      </c>
      <c r="AY436" s="2">
        <v>46050.71864583333</v>
      </c>
      <c r="AZ436" s="2">
        <v>46050.741631944446</v>
      </c>
      <c r="BA436" s="2">
        <v>46056.42528935185</v>
      </c>
      <c r="BB436" s="2">
        <v>46055.39407407407</v>
      </c>
      <c r="BC436" s="2">
        <v>46056.425358796296</v>
      </c>
      <c r="BD436" s="2">
        <v>46056.425358796296</v>
      </c>
      <c r="BE436" s="5">
        <v>6304.0</v>
      </c>
      <c r="BF436" s="3"/>
      <c r="BG436" s="5">
        <v>3152.0</v>
      </c>
      <c r="BH436" s="3"/>
      <c r="BI436" s="5">
        <v>214164.0</v>
      </c>
      <c r="BJ436" s="5">
        <v>35972.0</v>
      </c>
      <c r="BK436" s="5">
        <v>0.0</v>
      </c>
      <c r="BL436" s="5">
        <v>0.0</v>
      </c>
      <c r="BM436" s="5">
        <v>0.0</v>
      </c>
      <c r="BN436" s="5">
        <v>0.0</v>
      </c>
      <c r="BO436" s="5">
        <v>1987.0</v>
      </c>
      <c r="BP436" s="5">
        <v>0.0</v>
      </c>
      <c r="BQ436" s="5">
        <v>2175.0</v>
      </c>
      <c r="BR436" s="5">
        <v>0.0</v>
      </c>
      <c r="BS436" s="5">
        <v>1986.0</v>
      </c>
      <c r="BT436" s="5">
        <v>0.0</v>
      </c>
      <c r="BU436" s="5">
        <v>1986.0</v>
      </c>
      <c r="BV436" s="5">
        <v>0.0</v>
      </c>
      <c r="BW436" s="5">
        <v>1987.0</v>
      </c>
      <c r="BX436" s="5">
        <v>0.0</v>
      </c>
      <c r="BY436" s="5">
        <v>493060.0</v>
      </c>
      <c r="BZ436" s="5">
        <v>65551.0</v>
      </c>
      <c r="CA436" s="5">
        <v>493060.0</v>
      </c>
      <c r="CB436" s="5">
        <v>65551.0</v>
      </c>
      <c r="CC436" s="5">
        <v>493248.0</v>
      </c>
      <c r="CD436" s="5">
        <v>65551.0</v>
      </c>
      <c r="CE436" s="5">
        <v>493060.0</v>
      </c>
      <c r="CF436" s="5">
        <v>65551.0</v>
      </c>
      <c r="CG436" s="5">
        <v>493059.0</v>
      </c>
      <c r="CH436" s="5">
        <v>65551.0</v>
      </c>
      <c r="CI436" s="5">
        <v>493060.0</v>
      </c>
      <c r="CJ436" s="5">
        <v>65551.0</v>
      </c>
      <c r="CK436" s="5">
        <v>278895.0</v>
      </c>
      <c r="CL436" s="5">
        <v>29578.0</v>
      </c>
      <c r="CM436" s="5">
        <v>278895.0</v>
      </c>
      <c r="CN436" s="5">
        <v>29578.0</v>
      </c>
      <c r="CO436" s="5">
        <v>31.0</v>
      </c>
      <c r="CP436" s="3"/>
      <c r="CQ436" s="3"/>
      <c r="CR436" s="4" t="s">
        <v>1813</v>
      </c>
    </row>
    <row r="437">
      <c r="A437" s="1" t="s">
        <v>1814</v>
      </c>
      <c r="B437" s="2">
        <v>46050.693657407406</v>
      </c>
      <c r="C437" s="1" t="str">
        <f t="array" ref="C437">INDEX('User data'!E:E, MATCH(E437, 'User data'!B:B, 0))</f>
        <v>주식회사 유어유니콘</v>
      </c>
      <c r="D437" s="1" t="str">
        <f t="array" ref="D437">INDEX('User data'!F:F, MATCH(C437, 'User data'!E:E, 0))</f>
        <v>889-88-03238</v>
      </c>
      <c r="E437" s="1" t="s">
        <v>1815</v>
      </c>
      <c r="F437" s="3"/>
      <c r="G437" s="3"/>
      <c r="H437" s="3"/>
      <c r="I437" s="1" t="s">
        <v>1563</v>
      </c>
      <c r="J437" s="1" t="s">
        <v>100</v>
      </c>
      <c r="K437" s="1" t="s">
        <v>101</v>
      </c>
      <c r="L437" s="1" t="b">
        <v>0</v>
      </c>
      <c r="M437" s="4" t="s">
        <v>102</v>
      </c>
      <c r="N437" s="1" t="s">
        <v>1816</v>
      </c>
      <c r="O437" s="1">
        <v>574085.0</v>
      </c>
      <c r="P437" s="1">
        <v>574085.0</v>
      </c>
      <c r="Q437" s="1">
        <v>574085.0</v>
      </c>
      <c r="R437" s="1" t="s">
        <v>1674</v>
      </c>
      <c r="S437" s="1">
        <v>13285.0</v>
      </c>
      <c r="T437" s="1" t="s">
        <v>104</v>
      </c>
      <c r="U437" s="3"/>
      <c r="V437" s="3"/>
      <c r="W437" s="1" t="s">
        <v>118</v>
      </c>
      <c r="X437" s="3"/>
      <c r="Y437" s="1" t="s">
        <v>119</v>
      </c>
      <c r="Z437" s="3"/>
      <c r="AA437" s="1" t="b">
        <v>1</v>
      </c>
      <c r="AB437" s="1" t="b">
        <v>0</v>
      </c>
      <c r="AC437" s="1" t="b">
        <v>0</v>
      </c>
      <c r="AD437" s="1" t="b">
        <v>1</v>
      </c>
      <c r="AE437" s="1" t="b">
        <v>1</v>
      </c>
      <c r="AF437" s="5">
        <v>2.0</v>
      </c>
      <c r="AG437" s="3"/>
      <c r="AH437" s="3"/>
      <c r="AI437" s="3"/>
      <c r="AJ437" s="2">
        <v>46050.69236111111</v>
      </c>
      <c r="AK437" s="2">
        <v>46052.627847222226</v>
      </c>
      <c r="AL437" s="2">
        <v>46050.69236111111</v>
      </c>
      <c r="AM437" s="2">
        <v>46050.69237268518</v>
      </c>
      <c r="AN437" s="2">
        <v>46050.693657407406</v>
      </c>
      <c r="AO437" s="2">
        <v>46050.700902777775</v>
      </c>
      <c r="AP437" s="2">
        <v>46050.700902777775</v>
      </c>
      <c r="AQ437" s="2">
        <v>46050.700902777775</v>
      </c>
      <c r="AS437" s="2">
        <v>46050.70091435185</v>
      </c>
      <c r="AT437" s="2">
        <v>46050.700902777775</v>
      </c>
      <c r="AU437" s="2">
        <v>46050.70091435185</v>
      </c>
      <c r="AW437" s="3"/>
      <c r="AX437" s="2">
        <v>46050.70091435185</v>
      </c>
      <c r="AY437" s="2">
        <v>46050.70091435185</v>
      </c>
      <c r="AZ437" s="2">
        <v>46050.71487268519</v>
      </c>
      <c r="BA437" s="2">
        <v>46050.744479166664</v>
      </c>
      <c r="BC437" s="2">
        <v>46051.40158564815</v>
      </c>
      <c r="BD437" s="2">
        <v>46051.40158564815</v>
      </c>
      <c r="BE437" s="5">
        <v>3657.0</v>
      </c>
      <c r="BF437" s="3"/>
      <c r="BG437" s="5">
        <v>1828.0</v>
      </c>
      <c r="BH437" s="3"/>
      <c r="BI437" s="3"/>
      <c r="BJ437" s="3"/>
      <c r="BK437" s="5">
        <v>0.0</v>
      </c>
      <c r="BL437" s="5">
        <v>0.0</v>
      </c>
      <c r="BM437" s="5">
        <v>626.0</v>
      </c>
      <c r="BN437" s="5">
        <v>626.0</v>
      </c>
      <c r="BO437" s="5">
        <v>1833.0</v>
      </c>
      <c r="BP437" s="5">
        <v>1267.0</v>
      </c>
      <c r="BQ437" s="5">
        <v>1944.0</v>
      </c>
      <c r="BR437" s="5">
        <v>1378.0</v>
      </c>
      <c r="BS437" s="5">
        <v>1206.0</v>
      </c>
      <c r="BT437" s="5">
        <v>640.0</v>
      </c>
      <c r="BU437" s="5">
        <v>1206.0</v>
      </c>
      <c r="BV437" s="5">
        <v>640.0</v>
      </c>
      <c r="BW437" s="5">
        <v>1207.0</v>
      </c>
      <c r="BX437" s="5">
        <v>641.0</v>
      </c>
      <c r="BY437" s="5">
        <v>61165.0</v>
      </c>
      <c r="BZ437" s="5">
        <v>1267.0</v>
      </c>
      <c r="CA437" s="5">
        <v>61165.0</v>
      </c>
      <c r="CB437" s="5">
        <v>1267.0</v>
      </c>
      <c r="CC437" s="5">
        <v>61276.0</v>
      </c>
      <c r="CD437" s="5">
        <v>1378.0</v>
      </c>
      <c r="CE437" s="5">
        <v>60538.0</v>
      </c>
      <c r="CF437" s="5">
        <v>640.0</v>
      </c>
      <c r="CG437" s="5">
        <v>60538.0</v>
      </c>
      <c r="CH437" s="5">
        <v>640.0</v>
      </c>
      <c r="CI437" s="5">
        <v>60539.0</v>
      </c>
      <c r="CJ437" s="5">
        <v>641.0</v>
      </c>
      <c r="CK437" s="5">
        <v>60538.0</v>
      </c>
      <c r="CL437" s="5">
        <v>640.0</v>
      </c>
      <c r="CM437" s="5">
        <v>60538.0</v>
      </c>
      <c r="CN437" s="5">
        <v>640.0</v>
      </c>
      <c r="CO437" s="5">
        <v>738.0</v>
      </c>
      <c r="CP437" s="5">
        <v>625.0</v>
      </c>
      <c r="CQ437" s="3"/>
      <c r="CR437" s="4" t="s">
        <v>1817</v>
      </c>
    </row>
    <row r="438">
      <c r="A438" s="1" t="s">
        <v>1818</v>
      </c>
      <c r="B438" s="2">
        <v>46050.68435185185</v>
      </c>
      <c r="C438" s="1" t="str">
        <f t="array" ref="C438">INDEX('User data'!E:E, MATCH(E438, 'User data'!B:B, 0))</f>
        <v>주식회사 펄스애드</v>
      </c>
      <c r="D438" s="1" t="str">
        <f t="array" ref="D438">INDEX('User data'!F:F, MATCH(C438, 'User data'!E:E, 0))</f>
        <v>406-81-66742</v>
      </c>
      <c r="E438" s="1" t="s">
        <v>1819</v>
      </c>
      <c r="F438" s="3"/>
      <c r="G438" s="3"/>
      <c r="H438" s="3"/>
      <c r="I438" s="1" t="s">
        <v>553</v>
      </c>
      <c r="J438" s="1" t="s">
        <v>100</v>
      </c>
      <c r="K438" s="1" t="s">
        <v>101</v>
      </c>
      <c r="L438" s="1" t="b">
        <v>0</v>
      </c>
      <c r="M438" s="4" t="s">
        <v>102</v>
      </c>
      <c r="N438" s="1" t="s">
        <v>1820</v>
      </c>
      <c r="O438" s="1">
        <v>574085.0</v>
      </c>
      <c r="P438" s="1">
        <v>574085.0</v>
      </c>
      <c r="Q438" s="1">
        <v>574085.0</v>
      </c>
      <c r="R438" s="1" t="s">
        <v>1674</v>
      </c>
      <c r="S438" s="1">
        <v>13285.0</v>
      </c>
      <c r="T438" s="1" t="s">
        <v>104</v>
      </c>
      <c r="U438" s="3"/>
      <c r="V438" s="3"/>
      <c r="W438" s="1" t="s">
        <v>118</v>
      </c>
      <c r="X438" s="3"/>
      <c r="Y438" s="1" t="s">
        <v>119</v>
      </c>
      <c r="Z438" s="3"/>
      <c r="AA438" s="1" t="b">
        <v>1</v>
      </c>
      <c r="AB438" s="1" t="b">
        <v>0</v>
      </c>
      <c r="AC438" s="1" t="b">
        <v>0</v>
      </c>
      <c r="AD438" s="1" t="b">
        <v>1</v>
      </c>
      <c r="AE438" s="1" t="b">
        <v>1</v>
      </c>
      <c r="AF438" s="5">
        <v>6.0</v>
      </c>
      <c r="AG438" s="5">
        <v>3.0</v>
      </c>
      <c r="AH438" s="3"/>
      <c r="AI438" s="3"/>
      <c r="AJ438" s="2">
        <v>46050.68408564815</v>
      </c>
      <c r="AK438" s="2">
        <v>46051.479895833334</v>
      </c>
      <c r="AL438" s="2">
        <v>46050.68408564815</v>
      </c>
      <c r="AM438" s="2">
        <v>46050.6841087963</v>
      </c>
      <c r="AN438" s="2">
        <v>46050.68435185185</v>
      </c>
      <c r="AO438" s="2">
        <v>46050.684699074074</v>
      </c>
      <c r="AP438" s="2">
        <v>46050.684699074074</v>
      </c>
      <c r="AQ438" s="2">
        <v>46050.68479166667</v>
      </c>
      <c r="AS438" s="2">
        <v>46050.68480324074</v>
      </c>
      <c r="AT438" s="2">
        <v>46050.68479166667</v>
      </c>
      <c r="AU438" s="2">
        <v>46050.68480324074</v>
      </c>
      <c r="AW438" s="3"/>
      <c r="AX438" s="2">
        <v>46050.68480324074</v>
      </c>
      <c r="AY438" s="2">
        <v>46050.68480324074</v>
      </c>
      <c r="AZ438" s="2">
        <v>46050.69023148148</v>
      </c>
      <c r="BA438" s="2">
        <v>46051.438159722224</v>
      </c>
      <c r="BC438" s="2">
        <v>46051.43821759259</v>
      </c>
      <c r="BD438" s="2">
        <v>46051.43821759259</v>
      </c>
      <c r="BE438" s="5">
        <v>58625.0</v>
      </c>
      <c r="BF438" s="5">
        <v>2672.0</v>
      </c>
      <c r="BG438" s="5">
        <v>9770.0</v>
      </c>
      <c r="BH438" s="5">
        <v>890.0</v>
      </c>
      <c r="BI438" s="3"/>
      <c r="BJ438" s="3"/>
      <c r="BK438" s="5">
        <v>1.0</v>
      </c>
      <c r="BL438" s="5">
        <v>1.0</v>
      </c>
      <c r="BM438" s="5">
        <v>38.0</v>
      </c>
      <c r="BN438" s="5">
        <v>38.0</v>
      </c>
      <c r="BO438" s="5">
        <v>508.0</v>
      </c>
      <c r="BP438" s="5">
        <v>508.0</v>
      </c>
      <c r="BQ438" s="5">
        <v>529.0</v>
      </c>
      <c r="BR438" s="5">
        <v>529.0</v>
      </c>
      <c r="BS438" s="5">
        <v>469.0</v>
      </c>
      <c r="BT438" s="5">
        <v>469.0</v>
      </c>
      <c r="BU438" s="5">
        <v>469.0</v>
      </c>
      <c r="BV438" s="5">
        <v>469.0</v>
      </c>
      <c r="BW438" s="5">
        <v>470.0</v>
      </c>
      <c r="BX438" s="5">
        <v>470.0</v>
      </c>
      <c r="BY438" s="5">
        <v>65134.0</v>
      </c>
      <c r="BZ438" s="5">
        <v>3934.0</v>
      </c>
      <c r="CA438" s="5">
        <v>65134.0</v>
      </c>
      <c r="CB438" s="5">
        <v>3934.0</v>
      </c>
      <c r="CC438" s="5">
        <v>65155.0</v>
      </c>
      <c r="CD438" s="5">
        <v>3955.0</v>
      </c>
      <c r="CE438" s="5">
        <v>65095.0</v>
      </c>
      <c r="CF438" s="5">
        <v>3895.0</v>
      </c>
      <c r="CG438" s="5">
        <v>65095.0</v>
      </c>
      <c r="CH438" s="5">
        <v>3895.0</v>
      </c>
      <c r="CI438" s="5">
        <v>65096.0</v>
      </c>
      <c r="CJ438" s="5">
        <v>3896.0</v>
      </c>
      <c r="CK438" s="5">
        <v>65095.0</v>
      </c>
      <c r="CL438" s="5">
        <v>3895.0</v>
      </c>
      <c r="CM438" s="5">
        <v>65095.0</v>
      </c>
      <c r="CN438" s="5">
        <v>3895.0</v>
      </c>
      <c r="CO438" s="5">
        <v>52.0</v>
      </c>
      <c r="CP438" s="5">
        <v>30.0</v>
      </c>
      <c r="CQ438" s="3"/>
      <c r="CR438" s="4" t="s">
        <v>1821</v>
      </c>
    </row>
    <row r="439">
      <c r="A439" s="1" t="s">
        <v>1822</v>
      </c>
      <c r="B439" s="2">
        <v>46050.656539351854</v>
      </c>
      <c r="C439" s="1" t="str">
        <f t="array" ref="C439">INDEX('User data'!E:E, MATCH(E439, 'User data'!B:B, 0))</f>
        <v>브라운백 주식회사</v>
      </c>
      <c r="D439" s="1" t="str">
        <f t="array" ref="D439">INDEX('User data'!F:F, MATCH(C439, 'User data'!E:E, 0))</f>
        <v>545-81-00180</v>
      </c>
      <c r="E439" s="1" t="s">
        <v>1823</v>
      </c>
      <c r="F439" s="3"/>
      <c r="G439" s="3"/>
      <c r="H439" s="3"/>
      <c r="I439" s="1" t="s">
        <v>1824</v>
      </c>
      <c r="J439" s="1" t="s">
        <v>100</v>
      </c>
      <c r="K439" s="1" t="s">
        <v>101</v>
      </c>
      <c r="L439" s="1" t="b">
        <v>0</v>
      </c>
      <c r="M439" s="4" t="s">
        <v>102</v>
      </c>
      <c r="N439" s="1" t="s">
        <v>1825</v>
      </c>
      <c r="O439" s="1">
        <v>574085.0</v>
      </c>
      <c r="P439" s="1">
        <v>574085.0</v>
      </c>
      <c r="Q439" s="1">
        <v>574085.0</v>
      </c>
      <c r="R439" s="1" t="s">
        <v>1674</v>
      </c>
      <c r="S439" s="1">
        <v>13285.0</v>
      </c>
      <c r="T439" s="1" t="s">
        <v>104</v>
      </c>
      <c r="U439" s="3"/>
      <c r="V439" s="3"/>
      <c r="W439" s="1" t="s">
        <v>118</v>
      </c>
      <c r="X439" s="3"/>
      <c r="Y439" s="1" t="s">
        <v>119</v>
      </c>
      <c r="Z439" s="3"/>
      <c r="AA439" s="1" t="b">
        <v>1</v>
      </c>
      <c r="AB439" s="1" t="b">
        <v>0</v>
      </c>
      <c r="AC439" s="1" t="b">
        <v>0</v>
      </c>
      <c r="AD439" s="1" t="b">
        <v>1</v>
      </c>
      <c r="AE439" s="1" t="b">
        <v>0</v>
      </c>
      <c r="AF439" s="5">
        <v>3.0</v>
      </c>
      <c r="AG439" s="5">
        <v>1.0</v>
      </c>
      <c r="AH439" s="3"/>
      <c r="AI439" s="3"/>
      <c r="AJ439" s="2">
        <v>46050.654965277776</v>
      </c>
      <c r="AK439" s="2">
        <v>46052.72875</v>
      </c>
      <c r="AL439" s="2">
        <v>46050.654965277776</v>
      </c>
      <c r="AM439" s="2">
        <v>46050.65497685185</v>
      </c>
      <c r="AO439" s="3"/>
      <c r="AP439" s="2">
        <v>46050.65592592592</v>
      </c>
      <c r="AQ439" s="2">
        <v>46050.656539351854</v>
      </c>
      <c r="AS439" s="2">
        <v>46050.65655092592</v>
      </c>
      <c r="AT439" s="2">
        <v>46050.656539351854</v>
      </c>
      <c r="AU439" s="2">
        <v>46052.37511574074</v>
      </c>
      <c r="AW439" s="3"/>
      <c r="AX439" s="2">
        <v>46050.65655092592</v>
      </c>
      <c r="AY439" s="2">
        <v>46050.65655092592</v>
      </c>
      <c r="AZ439" s="2">
        <v>46050.66273148148</v>
      </c>
      <c r="BA439" s="2">
        <v>46052.479733796295</v>
      </c>
      <c r="BB439" s="2">
        <v>46051.712905092594</v>
      </c>
      <c r="BC439" s="2">
        <v>46052.47975694444</v>
      </c>
      <c r="BD439" s="2">
        <v>46052.47975694444</v>
      </c>
      <c r="BE439" s="5">
        <v>59658.0</v>
      </c>
      <c r="BF439" s="5">
        <v>534.0</v>
      </c>
      <c r="BG439" s="5">
        <v>19886.0</v>
      </c>
      <c r="BH439" s="5">
        <v>534.0</v>
      </c>
      <c r="BI439" s="5">
        <v>57214.0</v>
      </c>
      <c r="BJ439" s="5">
        <v>0.0</v>
      </c>
      <c r="BK439" s="5">
        <v>0.0</v>
      </c>
      <c r="BL439" s="5">
        <v>0.0</v>
      </c>
      <c r="BM439" s="5">
        <v>0.0</v>
      </c>
      <c r="BN439" s="5">
        <v>0.0</v>
      </c>
      <c r="BO439" s="5">
        <v>534.0</v>
      </c>
      <c r="BP439" s="5">
        <v>534.0</v>
      </c>
      <c r="BQ439" s="5">
        <v>670.0</v>
      </c>
      <c r="BR439" s="5">
        <v>670.0</v>
      </c>
      <c r="BS439" s="5">
        <v>534.0</v>
      </c>
      <c r="BT439" s="5">
        <v>534.0</v>
      </c>
      <c r="BU439" s="5">
        <v>534.0</v>
      </c>
      <c r="BV439" s="5">
        <v>534.0</v>
      </c>
      <c r="BW439" s="5">
        <v>534.0</v>
      </c>
      <c r="BX439" s="5">
        <v>534.0</v>
      </c>
      <c r="BY439" s="5">
        <v>157525.0</v>
      </c>
      <c r="BZ439" s="5">
        <v>31525.0</v>
      </c>
      <c r="CA439" s="5">
        <v>157525.0</v>
      </c>
      <c r="CB439" s="5">
        <v>31525.0</v>
      </c>
      <c r="CC439" s="5">
        <v>157661.0</v>
      </c>
      <c r="CD439" s="5">
        <v>31661.0</v>
      </c>
      <c r="CE439" s="5">
        <v>157525.0</v>
      </c>
      <c r="CF439" s="5">
        <v>31525.0</v>
      </c>
      <c r="CG439" s="5">
        <v>157525.0</v>
      </c>
      <c r="CH439" s="5">
        <v>31525.0</v>
      </c>
      <c r="CI439" s="5">
        <v>157525.0</v>
      </c>
      <c r="CJ439" s="5">
        <v>31525.0</v>
      </c>
      <c r="CK439" s="5">
        <v>100310.0</v>
      </c>
      <c r="CL439" s="5">
        <v>31525.0</v>
      </c>
      <c r="CM439" s="5">
        <v>100310.0</v>
      </c>
      <c r="CN439" s="5">
        <v>31525.0</v>
      </c>
      <c r="CO439" s="5">
        <v>83.0</v>
      </c>
      <c r="CP439" s="3"/>
      <c r="CQ439" s="3"/>
      <c r="CR439" s="4" t="s">
        <v>1826</v>
      </c>
    </row>
    <row r="440">
      <c r="A440" s="1" t="s">
        <v>1827</v>
      </c>
      <c r="B440" s="2">
        <v>46050.63825231481</v>
      </c>
      <c r="C440" s="1" t="str">
        <f t="array" ref="C440">INDEX('User data'!E:E, MATCH(E440, 'User data'!B:B, 0))</f>
        <v>주식회사 펄스애드</v>
      </c>
      <c r="D440" s="1" t="str">
        <f t="array" ref="D440">INDEX('User data'!F:F, MATCH(C440, 'User data'!E:E, 0))</f>
        <v>406-81-66742</v>
      </c>
      <c r="E440" s="1" t="s">
        <v>1819</v>
      </c>
      <c r="F440" s="3"/>
      <c r="G440" s="3"/>
      <c r="H440" s="3"/>
      <c r="I440" s="3"/>
      <c r="J440" s="1" t="s">
        <v>100</v>
      </c>
      <c r="K440" s="1" t="s">
        <v>101</v>
      </c>
      <c r="L440" s="1" t="b">
        <v>0</v>
      </c>
      <c r="M440" s="4" t="s">
        <v>102</v>
      </c>
      <c r="N440" s="1" t="s">
        <v>1820</v>
      </c>
      <c r="P440" s="3"/>
      <c r="Q440" s="3"/>
      <c r="R440" s="3"/>
      <c r="S440" s="1">
        <v>13285.0</v>
      </c>
      <c r="T440" s="1" t="s">
        <v>104</v>
      </c>
      <c r="U440" s="3"/>
      <c r="V440" s="3"/>
      <c r="W440" s="1" t="s">
        <v>105</v>
      </c>
      <c r="X440" s="3"/>
      <c r="Y440" s="1" t="s">
        <v>106</v>
      </c>
      <c r="Z440" s="3"/>
      <c r="AA440" s="1" t="b">
        <v>0</v>
      </c>
      <c r="AB440" s="1" t="b">
        <v>0</v>
      </c>
      <c r="AC440" s="1" t="b">
        <v>0</v>
      </c>
      <c r="AD440" s="1" t="b">
        <v>1</v>
      </c>
      <c r="AE440" s="1" t="b">
        <v>1</v>
      </c>
      <c r="AF440" s="3"/>
      <c r="AG440" s="3"/>
      <c r="AH440" s="3"/>
      <c r="AI440" s="3"/>
      <c r="AJ440" s="2">
        <v>46050.63784722222</v>
      </c>
      <c r="AK440" s="2">
        <v>46051.684016203704</v>
      </c>
      <c r="AL440" s="2">
        <v>46050.63784722222</v>
      </c>
      <c r="AM440" s="2">
        <v>46050.6378587963</v>
      </c>
      <c r="AN440" s="2">
        <v>46050.63825231481</v>
      </c>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5">
        <v>2.6</v>
      </c>
      <c r="CR440" s="4" t="s">
        <v>1828</v>
      </c>
    </row>
    <row r="441">
      <c r="A441" s="1" t="s">
        <v>1829</v>
      </c>
      <c r="B441" s="2">
        <v>46050.62233796297</v>
      </c>
      <c r="C441" s="1" t="str">
        <f t="array" ref="C441">INDEX('User data'!E:E, MATCH(E441, 'User data'!B:B, 0))</f>
        <v>주식회사 프라이데이투선데이</v>
      </c>
      <c r="D441" s="1" t="str">
        <f t="array" ref="D441">INDEX('User data'!F:F, MATCH(C441, 'User data'!E:E, 0))</f>
        <v>434-88-02136</v>
      </c>
      <c r="E441" s="1" t="s">
        <v>1830</v>
      </c>
      <c r="F441" s="3"/>
      <c r="G441" s="1" t="s">
        <v>1831</v>
      </c>
      <c r="I441" s="1" t="s">
        <v>1430</v>
      </c>
      <c r="J441" s="1" t="s">
        <v>100</v>
      </c>
      <c r="K441" s="1" t="s">
        <v>101</v>
      </c>
      <c r="L441" s="1" t="b">
        <v>0</v>
      </c>
      <c r="M441" s="1" t="s">
        <v>504</v>
      </c>
      <c r="N441" s="1" t="s">
        <v>1832</v>
      </c>
      <c r="O441" s="1">
        <v>574085.0</v>
      </c>
      <c r="P441" s="1">
        <v>574085.0</v>
      </c>
      <c r="Q441" s="1">
        <v>574085.0</v>
      </c>
      <c r="R441" s="1" t="s">
        <v>1674</v>
      </c>
      <c r="S441" s="1">
        <v>13285.0</v>
      </c>
      <c r="T441" s="1" t="s">
        <v>104</v>
      </c>
      <c r="U441" s="3"/>
      <c r="V441" s="3"/>
      <c r="W441" s="1" t="s">
        <v>118</v>
      </c>
      <c r="X441" s="3"/>
      <c r="Y441" s="1" t="s">
        <v>119</v>
      </c>
      <c r="Z441" s="3"/>
      <c r="AA441" s="1" t="b">
        <v>1</v>
      </c>
      <c r="AB441" s="1" t="b">
        <v>0</v>
      </c>
      <c r="AC441" s="1" t="b">
        <v>0</v>
      </c>
      <c r="AD441" s="1" t="b">
        <v>1</v>
      </c>
      <c r="AE441" s="1" t="b">
        <v>0</v>
      </c>
      <c r="AF441" s="5">
        <v>2.0</v>
      </c>
      <c r="AG441" s="5">
        <v>2.0</v>
      </c>
      <c r="AH441" s="3"/>
      <c r="AI441" s="3"/>
      <c r="AJ441" s="2">
        <v>46050.61988425926</v>
      </c>
      <c r="AK441" s="2">
        <v>46055.364594907405</v>
      </c>
      <c r="AL441" s="2">
        <v>46050.61988425926</v>
      </c>
      <c r="AM441" s="2">
        <v>46050.61989583333</v>
      </c>
      <c r="AO441" s="3"/>
      <c r="AP441" s="2">
        <v>46050.620474537034</v>
      </c>
      <c r="AQ441" s="2">
        <v>46050.62233796297</v>
      </c>
      <c r="AS441" s="2">
        <v>46050.622349537036</v>
      </c>
      <c r="AT441" s="2">
        <v>46050.62233796297</v>
      </c>
      <c r="AU441" s="2">
        <v>46050.622349537036</v>
      </c>
      <c r="AW441" s="3"/>
      <c r="AX441" s="2">
        <v>46050.622349537036</v>
      </c>
      <c r="AY441" s="2">
        <v>46050.622349537036</v>
      </c>
      <c r="AZ441" s="2">
        <v>46050.63394675926</v>
      </c>
      <c r="BA441" s="2">
        <v>46050.648981481485</v>
      </c>
      <c r="BC441" s="2">
        <v>46051.67773148148</v>
      </c>
      <c r="BD441" s="2">
        <v>46051.67773148148</v>
      </c>
      <c r="BE441" s="5">
        <v>2289.0</v>
      </c>
      <c r="BF441" s="5">
        <v>2289.0</v>
      </c>
      <c r="BG441" s="5">
        <v>1144.0</v>
      </c>
      <c r="BH441" s="5">
        <v>1144.0</v>
      </c>
      <c r="BI441" s="3"/>
      <c r="BJ441" s="3"/>
      <c r="BK441" s="5">
        <v>0.0</v>
      </c>
      <c r="BL441" s="5">
        <v>0.0</v>
      </c>
      <c r="BM441" s="5">
        <v>0.0</v>
      </c>
      <c r="BN441" s="5">
        <v>0.0</v>
      </c>
      <c r="BO441" s="5">
        <v>1002.0</v>
      </c>
      <c r="BP441" s="5">
        <v>1002.0</v>
      </c>
      <c r="BQ441" s="5">
        <v>1213.0</v>
      </c>
      <c r="BR441" s="5">
        <v>1213.0</v>
      </c>
      <c r="BS441" s="5">
        <v>1001.0</v>
      </c>
      <c r="BT441" s="5">
        <v>1001.0</v>
      </c>
      <c r="BU441" s="5">
        <v>1001.0</v>
      </c>
      <c r="BV441" s="5">
        <v>1001.0</v>
      </c>
      <c r="BW441" s="5">
        <v>1002.0</v>
      </c>
      <c r="BX441" s="5">
        <v>1002.0</v>
      </c>
      <c r="BY441" s="5">
        <v>91186.0</v>
      </c>
      <c r="BZ441" s="5">
        <v>26386.0</v>
      </c>
      <c r="CA441" s="5">
        <v>91186.0</v>
      </c>
      <c r="CB441" s="5">
        <v>26386.0</v>
      </c>
      <c r="CC441" s="5">
        <v>91397.0</v>
      </c>
      <c r="CD441" s="5">
        <v>26597.0</v>
      </c>
      <c r="CE441" s="5">
        <v>91185.0</v>
      </c>
      <c r="CF441" s="5">
        <v>26385.0</v>
      </c>
      <c r="CG441" s="5">
        <v>91185.0</v>
      </c>
      <c r="CH441" s="5">
        <v>26385.0</v>
      </c>
      <c r="CI441" s="5">
        <v>91186.0</v>
      </c>
      <c r="CJ441" s="5">
        <v>26386.0</v>
      </c>
      <c r="CK441" s="5">
        <v>91185.0</v>
      </c>
      <c r="CL441" s="5">
        <v>26385.0</v>
      </c>
      <c r="CM441" s="5">
        <v>91185.0</v>
      </c>
      <c r="CN441" s="5">
        <v>26385.0</v>
      </c>
      <c r="CO441" s="5">
        <v>51.0</v>
      </c>
      <c r="CP441" s="3"/>
      <c r="CQ441" s="3"/>
      <c r="CR441" s="4" t="s">
        <v>1833</v>
      </c>
    </row>
    <row r="442">
      <c r="A442" s="1" t="s">
        <v>1834</v>
      </c>
      <c r="B442" s="2">
        <v>46050.620104166665</v>
      </c>
      <c r="C442" s="1" t="str">
        <f t="array" ref="C442">INDEX('User data'!E:E, MATCH(E442, 'User data'!B:B, 0))</f>
        <v>주식회사 벤치링크</v>
      </c>
      <c r="D442" s="1" t="str">
        <f t="array" ref="D442">INDEX('User data'!F:F, MATCH(C442, 'User data'!E:E, 0))</f>
        <v>323-87-02784</v>
      </c>
      <c r="E442" s="1" t="s">
        <v>1623</v>
      </c>
      <c r="F442" s="3"/>
      <c r="G442" s="3"/>
      <c r="H442" s="3"/>
      <c r="I442" s="1" t="s">
        <v>1835</v>
      </c>
      <c r="J442" s="1" t="s">
        <v>100</v>
      </c>
      <c r="K442" s="1" t="s">
        <v>101</v>
      </c>
      <c r="L442" s="1" t="b">
        <v>0</v>
      </c>
      <c r="M442" s="4" t="s">
        <v>180</v>
      </c>
      <c r="N442" s="1" t="s">
        <v>1625</v>
      </c>
      <c r="O442" s="1">
        <v>506375.0</v>
      </c>
      <c r="P442" s="1">
        <v>506375.0</v>
      </c>
      <c r="Q442" s="1">
        <v>506375.0</v>
      </c>
      <c r="R442" s="1" t="s">
        <v>1836</v>
      </c>
      <c r="S442" s="1">
        <v>13287.0</v>
      </c>
      <c r="T442" s="1" t="s">
        <v>104</v>
      </c>
      <c r="U442" s="3"/>
      <c r="V442" s="3"/>
      <c r="W442" s="1" t="s">
        <v>118</v>
      </c>
      <c r="X442" s="3"/>
      <c r="Y442" s="1" t="s">
        <v>119</v>
      </c>
      <c r="Z442" s="3"/>
      <c r="AA442" s="1" t="b">
        <v>1</v>
      </c>
      <c r="AB442" s="1" t="b">
        <v>0</v>
      </c>
      <c r="AC442" s="1" t="b">
        <v>0</v>
      </c>
      <c r="AD442" s="1" t="b">
        <v>1</v>
      </c>
      <c r="AE442" s="1" t="b">
        <v>0</v>
      </c>
      <c r="AF442" s="5">
        <v>1.0</v>
      </c>
      <c r="AG442" s="5">
        <v>1.0</v>
      </c>
      <c r="AH442" s="3"/>
      <c r="AI442" s="3"/>
      <c r="AJ442" s="2">
        <v>46050.61782407408</v>
      </c>
      <c r="AK442" s="2">
        <v>46050.79</v>
      </c>
      <c r="AL442" s="2">
        <v>46050.61782407408</v>
      </c>
      <c r="AM442" s="2">
        <v>46050.61787037037</v>
      </c>
      <c r="AO442" s="3"/>
      <c r="AP442" s="2">
        <v>46050.61853009259</v>
      </c>
      <c r="AR442" s="3"/>
      <c r="AS442" s="3"/>
      <c r="AT442" s="2">
        <v>46050.620104166665</v>
      </c>
      <c r="AU442" s="2">
        <v>46050.620104166665</v>
      </c>
      <c r="AW442" s="3"/>
      <c r="AX442" s="2">
        <v>46050.62961805556</v>
      </c>
      <c r="AY442" s="2">
        <v>46050.620104166665</v>
      </c>
      <c r="AZ442" s="2">
        <v>46050.63076388889</v>
      </c>
      <c r="BA442" s="2">
        <v>46050.63076388889</v>
      </c>
      <c r="BC442" s="2">
        <v>46050.73883101852</v>
      </c>
      <c r="BD442" s="2">
        <v>46050.73883101852</v>
      </c>
      <c r="BE442" s="5">
        <v>920.0</v>
      </c>
      <c r="BF442" s="5">
        <v>920.0</v>
      </c>
      <c r="BG442" s="5">
        <v>920.0</v>
      </c>
      <c r="BH442" s="5">
        <v>920.0</v>
      </c>
      <c r="BI442" s="3"/>
      <c r="BJ442" s="3"/>
      <c r="BK442" s="3"/>
      <c r="BL442" s="3"/>
      <c r="BM442" s="5">
        <v>821.0</v>
      </c>
      <c r="BN442" s="5">
        <v>821.0</v>
      </c>
      <c r="BO442" s="5">
        <v>920.0</v>
      </c>
      <c r="BP442" s="5">
        <v>920.0</v>
      </c>
      <c r="BQ442" s="5">
        <v>1113.0</v>
      </c>
      <c r="BR442" s="5">
        <v>1113.0</v>
      </c>
      <c r="BS442" s="5">
        <v>98.0</v>
      </c>
      <c r="BT442" s="5">
        <v>98.0</v>
      </c>
      <c r="BU442" s="5">
        <v>920.0</v>
      </c>
      <c r="BV442" s="5">
        <v>920.0</v>
      </c>
      <c r="BW442" s="5">
        <v>920.0</v>
      </c>
      <c r="BX442" s="5">
        <v>920.0</v>
      </c>
      <c r="BY442" s="5">
        <v>10257.0</v>
      </c>
      <c r="BZ442" s="5">
        <v>7622.0</v>
      </c>
      <c r="CA442" s="5">
        <v>10257.0</v>
      </c>
      <c r="CB442" s="5">
        <v>7622.0</v>
      </c>
      <c r="CC442" s="5">
        <v>10450.0</v>
      </c>
      <c r="CD442" s="5">
        <v>7815.0</v>
      </c>
      <c r="CE442" s="5">
        <v>9435.0</v>
      </c>
      <c r="CF442" s="5">
        <v>6800.0</v>
      </c>
      <c r="CG442" s="5">
        <v>10257.0</v>
      </c>
      <c r="CH442" s="5">
        <v>7622.0</v>
      </c>
      <c r="CI442" s="5">
        <v>10257.0</v>
      </c>
      <c r="CJ442" s="5">
        <v>7622.0</v>
      </c>
      <c r="CK442" s="5">
        <v>10257.0</v>
      </c>
      <c r="CL442" s="5">
        <v>7622.0</v>
      </c>
      <c r="CM442" s="5">
        <v>10257.0</v>
      </c>
      <c r="CN442" s="5">
        <v>7622.0</v>
      </c>
      <c r="CO442" s="5">
        <v>61.0</v>
      </c>
      <c r="CP442" s="3"/>
      <c r="CQ442" s="3"/>
      <c r="CR442" s="4" t="s">
        <v>1837</v>
      </c>
      <c r="CS442" s="5">
        <v>5.0</v>
      </c>
      <c r="CT442" s="1" t="s">
        <v>1838</v>
      </c>
    </row>
    <row r="443">
      <c r="A443" s="1" t="s">
        <v>1839</v>
      </c>
      <c r="B443" s="2">
        <v>46050.611759259256</v>
      </c>
      <c r="C443" s="1" t="str">
        <f t="array" ref="C443">INDEX('User data'!E:E, MATCH(E443, 'User data'!B:B, 0))</f>
        <v>주식회사 의식주컴퍼니</v>
      </c>
      <c r="D443" s="1" t="str">
        <f t="array" ref="D443">INDEX('User data'!F:F, MATCH(C443, 'User data'!E:E, 0))</f>
        <v>561-87-00957</v>
      </c>
      <c r="E443" s="1" t="s">
        <v>1840</v>
      </c>
      <c r="F443" s="3"/>
      <c r="G443" s="3"/>
      <c r="H443" s="3"/>
      <c r="I443" s="3"/>
      <c r="J443" s="1" t="s">
        <v>100</v>
      </c>
      <c r="K443" s="1" t="s">
        <v>101</v>
      </c>
      <c r="L443" s="1" t="b">
        <v>0</v>
      </c>
      <c r="M443" s="4" t="s">
        <v>102</v>
      </c>
      <c r="N443" s="1" t="s">
        <v>1841</v>
      </c>
      <c r="P443" s="3"/>
      <c r="Q443" s="3"/>
      <c r="R443" s="1" t="s">
        <v>1391</v>
      </c>
      <c r="S443" s="1">
        <v>13285.0</v>
      </c>
      <c r="T443" s="1" t="s">
        <v>104</v>
      </c>
      <c r="U443" s="3"/>
      <c r="V443" s="3"/>
      <c r="W443" s="1" t="s">
        <v>105</v>
      </c>
      <c r="X443" s="3"/>
      <c r="Y443" s="1" t="s">
        <v>106</v>
      </c>
      <c r="Z443" s="3"/>
      <c r="AA443" s="1" t="b">
        <v>0</v>
      </c>
      <c r="AB443" s="1" t="b">
        <v>0</v>
      </c>
      <c r="AC443" s="1" t="b">
        <v>0</v>
      </c>
      <c r="AD443" s="1" t="b">
        <v>1</v>
      </c>
      <c r="AE443" s="1" t="b">
        <v>1</v>
      </c>
      <c r="AF443" s="3"/>
      <c r="AG443" s="3"/>
      <c r="AH443" s="3"/>
      <c r="AI443" s="3"/>
      <c r="AJ443" s="2">
        <v>46050.61019675926</v>
      </c>
      <c r="AK443" s="2">
        <v>46051.61331018519</v>
      </c>
      <c r="AL443" s="2">
        <v>46050.61019675926</v>
      </c>
      <c r="AM443" s="2">
        <v>46050.61020833333</v>
      </c>
      <c r="AN443" s="2">
        <v>46050.611759259256</v>
      </c>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5">
        <v>4.4</v>
      </c>
      <c r="CR443" s="4" t="s">
        <v>1842</v>
      </c>
    </row>
    <row r="444">
      <c r="A444" s="1" t="s">
        <v>1843</v>
      </c>
      <c r="B444" s="2">
        <v>46050.60681712963</v>
      </c>
      <c r="C444" s="1" t="str">
        <f t="array" ref="C444">INDEX('User data'!E:E, MATCH(E444, 'User data'!B:B, 0))</f>
        <v>주식회사 스위트스팟</v>
      </c>
      <c r="D444" s="1" t="str">
        <f t="array" ref="D444">INDEX('User data'!F:F, MATCH(C444, 'User data'!E:E, 0))</f>
        <v>846-86-00225</v>
      </c>
      <c r="E444" s="1" t="s">
        <v>314</v>
      </c>
      <c r="F444" s="3"/>
      <c r="G444" s="3"/>
      <c r="H444" s="3"/>
      <c r="I444" s="1" t="s">
        <v>258</v>
      </c>
      <c r="J444" s="1" t="s">
        <v>100</v>
      </c>
      <c r="K444" s="1" t="s">
        <v>101</v>
      </c>
      <c r="L444" s="1" t="b">
        <v>0</v>
      </c>
      <c r="M444" s="4" t="s">
        <v>102</v>
      </c>
      <c r="N444" s="1" t="s">
        <v>1761</v>
      </c>
      <c r="O444" s="1">
        <v>594863.0</v>
      </c>
      <c r="P444" s="1">
        <v>594863.0</v>
      </c>
      <c r="Q444" s="1">
        <v>594863.0</v>
      </c>
      <c r="R444" s="1" t="s">
        <v>1022</v>
      </c>
      <c r="S444" s="1">
        <v>13288.0</v>
      </c>
      <c r="T444" s="1" t="s">
        <v>104</v>
      </c>
      <c r="U444" s="3"/>
      <c r="V444" s="3"/>
      <c r="W444" s="1" t="s">
        <v>118</v>
      </c>
      <c r="X444" s="3"/>
      <c r="Y444" s="1" t="s">
        <v>119</v>
      </c>
      <c r="Z444" s="3"/>
      <c r="AA444" s="1" t="b">
        <v>1</v>
      </c>
      <c r="AB444" s="1" t="b">
        <v>0</v>
      </c>
      <c r="AC444" s="1" t="b">
        <v>0</v>
      </c>
      <c r="AD444" s="1" t="b">
        <v>1</v>
      </c>
      <c r="AE444" s="1" t="b">
        <v>0</v>
      </c>
      <c r="AF444" s="5">
        <v>1.0</v>
      </c>
      <c r="AG444" s="5">
        <v>1.0</v>
      </c>
      <c r="AH444" s="3"/>
      <c r="AI444" s="3"/>
      <c r="AJ444" s="2">
        <v>46050.60591435185</v>
      </c>
      <c r="AK444" s="2">
        <v>46051.62130787037</v>
      </c>
      <c r="AL444" s="2">
        <v>46050.60591435185</v>
      </c>
      <c r="AM444" s="2">
        <v>46050.60596064815</v>
      </c>
      <c r="AO444" s="3"/>
      <c r="AP444" s="2">
        <v>46050.60663194444</v>
      </c>
      <c r="AR444" s="3"/>
      <c r="AS444" s="3"/>
      <c r="AT444" s="2">
        <v>46050.60681712963</v>
      </c>
      <c r="AU444" s="2">
        <v>46050.60681712963</v>
      </c>
      <c r="AW444" s="3"/>
      <c r="AX444" s="2">
        <v>46050.60603009259</v>
      </c>
      <c r="AY444" s="2">
        <v>46050.60681712963</v>
      </c>
      <c r="AZ444" s="2">
        <v>46050.62452546296</v>
      </c>
      <c r="BA444" s="2">
        <v>46050.62452546296</v>
      </c>
      <c r="BC444" s="2">
        <v>46051.57962962963</v>
      </c>
      <c r="BD444" s="2">
        <v>46051.57962962963</v>
      </c>
      <c r="BE444" s="5">
        <v>1529.0</v>
      </c>
      <c r="BF444" s="5">
        <v>1529.0</v>
      </c>
      <c r="BG444" s="5">
        <v>1529.0</v>
      </c>
      <c r="BH444" s="5">
        <v>1529.0</v>
      </c>
      <c r="BI444" s="3"/>
      <c r="BJ444" s="3"/>
      <c r="BK444" s="3"/>
      <c r="BL444" s="3"/>
      <c r="BM444" s="3"/>
      <c r="BN444" s="3"/>
      <c r="BO444" s="5">
        <v>1529.0</v>
      </c>
      <c r="BP444" s="5">
        <v>1529.0</v>
      </c>
      <c r="BQ444" s="5">
        <v>1604.0</v>
      </c>
      <c r="BR444" s="5">
        <v>1604.0</v>
      </c>
      <c r="BS444" s="5">
        <v>1598.0</v>
      </c>
      <c r="BT444" s="5">
        <v>1598.0</v>
      </c>
      <c r="BU444" s="5">
        <v>1529.0</v>
      </c>
      <c r="BV444" s="5">
        <v>1529.0</v>
      </c>
      <c r="BW444" s="5">
        <v>1529.0</v>
      </c>
      <c r="BX444" s="5">
        <v>1529.0</v>
      </c>
      <c r="BY444" s="5">
        <v>84051.0</v>
      </c>
      <c r="BZ444" s="5">
        <v>19251.0</v>
      </c>
      <c r="CA444" s="5">
        <v>84051.0</v>
      </c>
      <c r="CB444" s="5">
        <v>19251.0</v>
      </c>
      <c r="CC444" s="5">
        <v>84125.0</v>
      </c>
      <c r="CD444" s="5">
        <v>19325.0</v>
      </c>
      <c r="CE444" s="5">
        <v>84119.0</v>
      </c>
      <c r="CF444" s="5">
        <v>19319.0</v>
      </c>
      <c r="CG444" s="5">
        <v>84051.0</v>
      </c>
      <c r="CH444" s="5">
        <v>19251.0</v>
      </c>
      <c r="CI444" s="5">
        <v>84051.0</v>
      </c>
      <c r="CJ444" s="5">
        <v>19251.0</v>
      </c>
      <c r="CK444" s="5">
        <v>84051.0</v>
      </c>
      <c r="CL444" s="5">
        <v>19251.0</v>
      </c>
      <c r="CM444" s="5">
        <v>84051.0</v>
      </c>
      <c r="CN444" s="5">
        <v>19251.0</v>
      </c>
      <c r="CO444" s="5">
        <v>61.0</v>
      </c>
      <c r="CP444" s="3"/>
      <c r="CQ444" s="3"/>
      <c r="CR444" s="4" t="s">
        <v>1844</v>
      </c>
    </row>
    <row r="445">
      <c r="A445" s="1" t="s">
        <v>1845</v>
      </c>
      <c r="B445" s="2">
        <v>46050.60091435185</v>
      </c>
      <c r="C445" s="1" t="str">
        <f t="array" ref="C445">INDEX('User data'!E:E, MATCH(E445, 'User data'!B:B, 0))</f>
        <v>주식회사 콥틱</v>
      </c>
      <c r="D445" s="1" t="str">
        <f t="array" ref="D445">INDEX('User data'!F:F, MATCH(C445, 'User data'!E:E, 0))</f>
        <v>578-86-00787</v>
      </c>
      <c r="E445" s="1" t="s">
        <v>1846</v>
      </c>
      <c r="F445" s="3"/>
      <c r="G445" s="3"/>
      <c r="H445" s="3"/>
      <c r="I445" s="1" t="s">
        <v>258</v>
      </c>
      <c r="J445" s="1" t="s">
        <v>100</v>
      </c>
      <c r="K445" s="1" t="s">
        <v>101</v>
      </c>
      <c r="L445" s="1" t="b">
        <v>0</v>
      </c>
      <c r="M445" s="4" t="s">
        <v>102</v>
      </c>
      <c r="N445" s="1" t="s">
        <v>1847</v>
      </c>
      <c r="O445" s="1">
        <v>594863.0</v>
      </c>
      <c r="P445" s="1">
        <v>594863.0</v>
      </c>
      <c r="Q445" s="1">
        <v>594863.0</v>
      </c>
      <c r="R445" s="1" t="s">
        <v>1022</v>
      </c>
      <c r="S445" s="1">
        <v>13288.0</v>
      </c>
      <c r="T445" s="1" t="s">
        <v>104</v>
      </c>
      <c r="U445" s="3"/>
      <c r="V445" s="3"/>
      <c r="W445" s="1" t="s">
        <v>118</v>
      </c>
      <c r="X445" s="3"/>
      <c r="Y445" s="1" t="s">
        <v>119</v>
      </c>
      <c r="Z445" s="3"/>
      <c r="AA445" s="1" t="b">
        <v>1</v>
      </c>
      <c r="AB445" s="1" t="b">
        <v>0</v>
      </c>
      <c r="AC445" s="1" t="b">
        <v>0</v>
      </c>
      <c r="AD445" s="1" t="b">
        <v>1</v>
      </c>
      <c r="AE445" s="1" t="b">
        <v>0</v>
      </c>
      <c r="AF445" s="5">
        <v>3.0</v>
      </c>
      <c r="AG445" s="5">
        <v>3.0</v>
      </c>
      <c r="AH445" s="3"/>
      <c r="AI445" s="3"/>
      <c r="AJ445" s="2">
        <v>46050.59878472222</v>
      </c>
      <c r="AK445" s="2">
        <v>46051.6205787037</v>
      </c>
      <c r="AL445" s="2">
        <v>46050.59878472222</v>
      </c>
      <c r="AM445" s="2">
        <v>46050.59883101852</v>
      </c>
      <c r="AO445" s="3"/>
      <c r="AP445" s="2">
        <v>46050.59920138889</v>
      </c>
      <c r="AR445" s="3"/>
      <c r="AS445" s="3"/>
      <c r="AT445" s="2">
        <v>46050.60091435185</v>
      </c>
      <c r="AU445" s="2">
        <v>46050.60091435185</v>
      </c>
      <c r="AW445" s="3"/>
      <c r="AX445" s="2">
        <v>46050.59890046297</v>
      </c>
      <c r="AY445" s="2">
        <v>46050.60091435185</v>
      </c>
      <c r="AZ445" s="2">
        <v>46050.61011574074</v>
      </c>
      <c r="BA445" s="2">
        <v>46050.646365740744</v>
      </c>
      <c r="BC445" s="2">
        <v>46051.57890046296</v>
      </c>
      <c r="BD445" s="2">
        <v>46051.57890046296</v>
      </c>
      <c r="BE445" s="5">
        <v>3091.0</v>
      </c>
      <c r="BF445" s="5">
        <v>3091.0</v>
      </c>
      <c r="BG445" s="5">
        <v>1030.0</v>
      </c>
      <c r="BH445" s="5">
        <v>1030.0</v>
      </c>
      <c r="BI445" s="3"/>
      <c r="BJ445" s="3"/>
      <c r="BK445" s="3"/>
      <c r="BL445" s="3"/>
      <c r="BM445" s="3"/>
      <c r="BN445" s="3"/>
      <c r="BO445" s="5">
        <v>795.0</v>
      </c>
      <c r="BP445" s="5">
        <v>795.0</v>
      </c>
      <c r="BQ445" s="5">
        <v>975.0</v>
      </c>
      <c r="BR445" s="5">
        <v>975.0</v>
      </c>
      <c r="BS445" s="5">
        <v>969.0</v>
      </c>
      <c r="BT445" s="5">
        <v>969.0</v>
      </c>
      <c r="BU445" s="5">
        <v>795.0</v>
      </c>
      <c r="BV445" s="5">
        <v>795.0</v>
      </c>
      <c r="BW445" s="5">
        <v>795.0</v>
      </c>
      <c r="BX445" s="5">
        <v>795.0</v>
      </c>
      <c r="BY445" s="5">
        <v>84498.0</v>
      </c>
      <c r="BZ445" s="5">
        <v>19698.0</v>
      </c>
      <c r="CA445" s="5">
        <v>84498.0</v>
      </c>
      <c r="CB445" s="5">
        <v>19698.0</v>
      </c>
      <c r="CC445" s="5">
        <v>84677.0</v>
      </c>
      <c r="CD445" s="5">
        <v>19877.0</v>
      </c>
      <c r="CE445" s="5">
        <v>84672.0</v>
      </c>
      <c r="CF445" s="5">
        <v>19872.0</v>
      </c>
      <c r="CG445" s="5">
        <v>84498.0</v>
      </c>
      <c r="CH445" s="5">
        <v>19698.0</v>
      </c>
      <c r="CI445" s="5">
        <v>84498.0</v>
      </c>
      <c r="CJ445" s="5">
        <v>19698.0</v>
      </c>
      <c r="CK445" s="5">
        <v>84498.0</v>
      </c>
      <c r="CL445" s="5">
        <v>19698.0</v>
      </c>
      <c r="CM445" s="5">
        <v>84498.0</v>
      </c>
      <c r="CN445" s="5">
        <v>19698.0</v>
      </c>
      <c r="CO445" s="5">
        <v>35.0</v>
      </c>
      <c r="CP445" s="3"/>
      <c r="CQ445" s="3"/>
      <c r="CR445" s="4" t="s">
        <v>1848</v>
      </c>
    </row>
    <row r="446">
      <c r="A446" s="1" t="s">
        <v>1849</v>
      </c>
      <c r="B446" s="2">
        <v>46050.58645833333</v>
      </c>
      <c r="C446" s="1" t="str">
        <f t="array" ref="C446">INDEX('User data'!E:E, MATCH(E446, 'User data'!B:B, 0))</f>
        <v>크레플 주식회사(CREFLE Inc.)</v>
      </c>
      <c r="D446" s="1" t="str">
        <f t="array" ref="D446">INDEX('User data'!F:F, MATCH(C446, 'User data'!E:E, 0))</f>
        <v>823-86-01560</v>
      </c>
      <c r="E446" s="1" t="s">
        <v>1850</v>
      </c>
      <c r="F446" s="3"/>
      <c r="G446" s="3"/>
      <c r="H446" s="3"/>
      <c r="I446" s="3"/>
      <c r="J446" s="1" t="s">
        <v>100</v>
      </c>
      <c r="K446" s="1" t="s">
        <v>101</v>
      </c>
      <c r="L446" s="1" t="b">
        <v>0</v>
      </c>
      <c r="M446" s="4" t="s">
        <v>102</v>
      </c>
      <c r="N446" s="1" t="s">
        <v>1851</v>
      </c>
      <c r="P446" s="3"/>
      <c r="Q446" s="3"/>
      <c r="R446" s="3"/>
      <c r="S446" s="1">
        <v>13285.0</v>
      </c>
      <c r="T446" s="1" t="s">
        <v>104</v>
      </c>
      <c r="U446" s="3"/>
      <c r="V446" s="3"/>
      <c r="W446" s="1" t="s">
        <v>105</v>
      </c>
      <c r="X446" s="3"/>
      <c r="Y446" s="1" t="s">
        <v>106</v>
      </c>
      <c r="Z446" s="3"/>
      <c r="AA446" s="1" t="b">
        <v>0</v>
      </c>
      <c r="AB446" s="1" t="b">
        <v>0</v>
      </c>
      <c r="AC446" s="1" t="b">
        <v>0</v>
      </c>
      <c r="AD446" s="1" t="b">
        <v>1</v>
      </c>
      <c r="AE446" s="1" t="b">
        <v>1</v>
      </c>
      <c r="AF446" s="3"/>
      <c r="AG446" s="3"/>
      <c r="AH446" s="3"/>
      <c r="AI446" s="3"/>
      <c r="AJ446" s="2">
        <v>46050.58571759259</v>
      </c>
      <c r="AK446" s="2">
        <v>46051.5865162037</v>
      </c>
      <c r="AL446" s="2">
        <v>46050.58571759259</v>
      </c>
      <c r="AM446" s="2">
        <v>46050.58574074074</v>
      </c>
      <c r="AN446" s="2">
        <v>46050.58645833333</v>
      </c>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5">
        <v>5.0</v>
      </c>
      <c r="CR446" s="4" t="s">
        <v>1852</v>
      </c>
    </row>
    <row r="447">
      <c r="A447" s="1" t="s">
        <v>1853</v>
      </c>
      <c r="B447" s="2">
        <v>46050.57828703704</v>
      </c>
      <c r="C447" s="1" t="str">
        <f t="array" ref="C447">INDEX('User data'!E:E, MATCH(E447, 'User data'!B:B, 0))</f>
        <v>주식회사 딥서치 (DeepSearch, Inc)</v>
      </c>
      <c r="D447" s="1" t="str">
        <f t="array" ref="D447">INDEX('User data'!F:F, MATCH(C447, 'User data'!E:E, 0))</f>
        <v>603-81-82945</v>
      </c>
      <c r="E447" s="1" t="s">
        <v>1854</v>
      </c>
      <c r="F447" s="3"/>
      <c r="G447" s="3"/>
      <c r="H447" s="3"/>
      <c r="I447" s="1" t="s">
        <v>1537</v>
      </c>
      <c r="J447" s="1" t="s">
        <v>100</v>
      </c>
      <c r="K447" s="1" t="s">
        <v>101</v>
      </c>
      <c r="L447" s="1" t="b">
        <v>0</v>
      </c>
      <c r="M447" s="4" t="s">
        <v>102</v>
      </c>
      <c r="N447" s="1" t="s">
        <v>1855</v>
      </c>
      <c r="O447" s="1">
        <v>574085.0</v>
      </c>
      <c r="P447" s="1">
        <v>574085.0</v>
      </c>
      <c r="Q447" s="1">
        <v>574085.0</v>
      </c>
      <c r="R447" s="1" t="s">
        <v>1201</v>
      </c>
      <c r="S447" s="1">
        <v>13285.0</v>
      </c>
      <c r="T447" s="1" t="s">
        <v>104</v>
      </c>
      <c r="U447" s="3"/>
      <c r="V447" s="3"/>
      <c r="W447" s="1" t="s">
        <v>118</v>
      </c>
      <c r="X447" s="3"/>
      <c r="Y447" s="1" t="s">
        <v>119</v>
      </c>
      <c r="Z447" s="3"/>
      <c r="AA447" s="1" t="b">
        <v>1</v>
      </c>
      <c r="AB447" s="1" t="b">
        <v>0</v>
      </c>
      <c r="AC447" s="1" t="b">
        <v>0</v>
      </c>
      <c r="AD447" s="1" t="b">
        <v>1</v>
      </c>
      <c r="AE447" s="1" t="b">
        <v>0</v>
      </c>
      <c r="AF447" s="5">
        <v>1.0</v>
      </c>
      <c r="AG447" s="5">
        <v>1.0</v>
      </c>
      <c r="AH447" s="3"/>
      <c r="AI447" s="3"/>
      <c r="AJ447" s="2">
        <v>46050.576944444445</v>
      </c>
      <c r="AK447" s="2">
        <v>46052.68702546296</v>
      </c>
      <c r="AL447" s="2">
        <v>46050.576944444445</v>
      </c>
      <c r="AM447" s="2">
        <v>46050.57695601852</v>
      </c>
      <c r="AO447" s="3"/>
      <c r="AP447" s="2">
        <v>46050.5772337963</v>
      </c>
      <c r="AQ447" s="2">
        <v>46050.57828703704</v>
      </c>
      <c r="AS447" s="2">
        <v>46050.57829861111</v>
      </c>
      <c r="AT447" s="2">
        <v>46050.57828703704</v>
      </c>
      <c r="AU447" s="2">
        <v>46050.57829861111</v>
      </c>
      <c r="AW447" s="3"/>
      <c r="AX447" s="2">
        <v>46050.57829861111</v>
      </c>
      <c r="AY447" s="2">
        <v>46050.57829861111</v>
      </c>
      <c r="AZ447" s="2">
        <v>46050.58951388889</v>
      </c>
      <c r="BA447" s="2">
        <v>46050.58951388889</v>
      </c>
      <c r="BC447" s="2">
        <v>46050.74775462963</v>
      </c>
      <c r="BD447" s="2">
        <v>46050.74775462963</v>
      </c>
      <c r="BE447" s="5">
        <v>970.0</v>
      </c>
      <c r="BF447" s="5">
        <v>970.0</v>
      </c>
      <c r="BG447" s="5">
        <v>970.0</v>
      </c>
      <c r="BH447" s="5">
        <v>970.0</v>
      </c>
      <c r="BI447" s="3"/>
      <c r="BJ447" s="3"/>
      <c r="BK447" s="5">
        <v>1.0</v>
      </c>
      <c r="BL447" s="5">
        <v>1.0</v>
      </c>
      <c r="BM447" s="5">
        <v>0.0</v>
      </c>
      <c r="BN447" s="5">
        <v>0.0</v>
      </c>
      <c r="BO447" s="5">
        <v>970.0</v>
      </c>
      <c r="BP447" s="5">
        <v>970.0</v>
      </c>
      <c r="BQ447" s="5">
        <v>1084.0</v>
      </c>
      <c r="BR447" s="5">
        <v>1084.0</v>
      </c>
      <c r="BS447" s="5">
        <v>969.0</v>
      </c>
      <c r="BT447" s="5">
        <v>969.0</v>
      </c>
      <c r="BU447" s="5">
        <v>969.0</v>
      </c>
      <c r="BV447" s="5">
        <v>969.0</v>
      </c>
      <c r="BW447" s="5">
        <v>970.0</v>
      </c>
      <c r="BX447" s="5">
        <v>970.0</v>
      </c>
      <c r="BY447" s="5">
        <v>14642.0</v>
      </c>
      <c r="BZ447" s="5">
        <v>11235.0</v>
      </c>
      <c r="CA447" s="5">
        <v>14642.0</v>
      </c>
      <c r="CB447" s="5">
        <v>11235.0</v>
      </c>
      <c r="CC447" s="5">
        <v>14757.0</v>
      </c>
      <c r="CD447" s="5">
        <v>11350.0</v>
      </c>
      <c r="CE447" s="5">
        <v>14641.0</v>
      </c>
      <c r="CF447" s="5">
        <v>11234.0</v>
      </c>
      <c r="CG447" s="5">
        <v>14641.0</v>
      </c>
      <c r="CH447" s="5">
        <v>11234.0</v>
      </c>
      <c r="CI447" s="5">
        <v>14642.0</v>
      </c>
      <c r="CJ447" s="5">
        <v>11235.0</v>
      </c>
      <c r="CK447" s="5">
        <v>14641.0</v>
      </c>
      <c r="CL447" s="5">
        <v>11234.0</v>
      </c>
      <c r="CM447" s="5">
        <v>14641.0</v>
      </c>
      <c r="CN447" s="5">
        <v>11234.0</v>
      </c>
      <c r="CO447" s="5">
        <v>25.0</v>
      </c>
      <c r="CP447" s="3"/>
      <c r="CQ447" s="3"/>
      <c r="CR447" s="4" t="s">
        <v>1856</v>
      </c>
    </row>
    <row r="448">
      <c r="A448" s="1" t="s">
        <v>1857</v>
      </c>
      <c r="B448" s="2">
        <v>46050.534583333334</v>
      </c>
      <c r="C448" s="1" t="str">
        <f t="array" ref="C448">INDEX('User data'!E:E, MATCH(E448, 'User data'!B:B, 0))</f>
        <v>닥터블릿헬스케어 주식회사</v>
      </c>
      <c r="D448" s="1" t="str">
        <f t="array" ref="D448">INDEX('User data'!F:F, MATCH(C448, 'User data'!E:E, 0))</f>
        <v>382-88-01869</v>
      </c>
      <c r="E448" s="1" t="s">
        <v>1503</v>
      </c>
      <c r="F448" s="3"/>
      <c r="G448" s="1" t="s">
        <v>1858</v>
      </c>
      <c r="I448" s="1" t="s">
        <v>1483</v>
      </c>
      <c r="J448" s="1" t="s">
        <v>100</v>
      </c>
      <c r="K448" s="1" t="s">
        <v>101</v>
      </c>
      <c r="L448" s="1" t="b">
        <v>0</v>
      </c>
      <c r="M448" s="1" t="s">
        <v>1619</v>
      </c>
      <c r="N448" s="1" t="s">
        <v>1505</v>
      </c>
      <c r="O448" s="1">
        <v>574085.0</v>
      </c>
      <c r="P448" s="1">
        <v>574085.0</v>
      </c>
      <c r="Q448" s="1">
        <v>574085.0</v>
      </c>
      <c r="R448" s="1" t="s">
        <v>1859</v>
      </c>
      <c r="S448" s="1">
        <v>13285.0</v>
      </c>
      <c r="T448" s="1" t="s">
        <v>104</v>
      </c>
      <c r="U448" s="3"/>
      <c r="V448" s="3"/>
      <c r="W448" s="1" t="s">
        <v>118</v>
      </c>
      <c r="X448" s="3"/>
      <c r="Y448" s="1" t="s">
        <v>119</v>
      </c>
      <c r="Z448" s="3"/>
      <c r="AA448" s="1" t="b">
        <v>1</v>
      </c>
      <c r="AB448" s="1" t="b">
        <v>0</v>
      </c>
      <c r="AC448" s="1" t="b">
        <v>0</v>
      </c>
      <c r="AD448" s="1" t="b">
        <v>1</v>
      </c>
      <c r="AE448" s="1" t="b">
        <v>0</v>
      </c>
      <c r="AF448" s="5">
        <v>3.0</v>
      </c>
      <c r="AG448" s="5">
        <v>2.0</v>
      </c>
      <c r="AH448" s="3"/>
      <c r="AI448" s="3"/>
      <c r="AJ448" s="2">
        <v>46050.53241898148</v>
      </c>
      <c r="AK448" s="2">
        <v>46057.39649305555</v>
      </c>
      <c r="AL448" s="2">
        <v>46050.53241898148</v>
      </c>
      <c r="AM448" s="2">
        <v>46050.5324537037</v>
      </c>
      <c r="AO448" s="3"/>
      <c r="AP448" s="2">
        <v>46050.5330787037</v>
      </c>
      <c r="AQ448" s="2">
        <v>46050.534583333334</v>
      </c>
      <c r="AS448" s="2">
        <v>46050.53459490741</v>
      </c>
      <c r="AT448" s="2">
        <v>46050.534583333334</v>
      </c>
      <c r="AU448" s="2">
        <v>46050.53459490741</v>
      </c>
      <c r="AW448" s="3"/>
      <c r="AX448" s="2">
        <v>46050.53459490741</v>
      </c>
      <c r="AY448" s="2">
        <v>46050.53459490741</v>
      </c>
      <c r="AZ448" s="2">
        <v>46050.58199074074</v>
      </c>
      <c r="BA448" s="2">
        <v>46050.61384259259</v>
      </c>
      <c r="BC448" s="2">
        <v>46052.48894675926</v>
      </c>
      <c r="BD448" s="2">
        <v>46052.48894675926</v>
      </c>
      <c r="BE448" s="5">
        <v>5247.0</v>
      </c>
      <c r="BF448" s="5">
        <v>1151.0</v>
      </c>
      <c r="BG448" s="5">
        <v>1749.0</v>
      </c>
      <c r="BH448" s="5">
        <v>575.0</v>
      </c>
      <c r="BI448" s="3"/>
      <c r="BJ448" s="3"/>
      <c r="BK448" s="5">
        <v>0.0</v>
      </c>
      <c r="BL448" s="5">
        <v>0.0</v>
      </c>
      <c r="BM448" s="5">
        <v>0.0</v>
      </c>
      <c r="BN448" s="5">
        <v>0.0</v>
      </c>
      <c r="BO448" s="5">
        <v>4095.0</v>
      </c>
      <c r="BP448" s="5">
        <v>1684.0</v>
      </c>
      <c r="BQ448" s="5">
        <v>4280.0</v>
      </c>
      <c r="BR448" s="5">
        <v>1684.0</v>
      </c>
      <c r="BS448" s="5">
        <v>4094.0</v>
      </c>
      <c r="BT448" s="5">
        <v>1684.0</v>
      </c>
      <c r="BU448" s="5">
        <v>4094.0</v>
      </c>
      <c r="BV448" s="5">
        <v>1684.0</v>
      </c>
      <c r="BW448" s="5">
        <v>4095.0</v>
      </c>
      <c r="BX448" s="5">
        <v>1684.0</v>
      </c>
      <c r="BY448" s="5">
        <v>168857.0</v>
      </c>
      <c r="BZ448" s="5">
        <v>40445.0</v>
      </c>
      <c r="CA448" s="5">
        <v>168857.0</v>
      </c>
      <c r="CB448" s="5">
        <v>40445.0</v>
      </c>
      <c r="CC448" s="5">
        <v>169041.0</v>
      </c>
      <c r="CD448" s="5">
        <v>40445.0</v>
      </c>
      <c r="CE448" s="5">
        <v>168856.0</v>
      </c>
      <c r="CF448" s="5">
        <v>40445.0</v>
      </c>
      <c r="CG448" s="5">
        <v>168856.0</v>
      </c>
      <c r="CH448" s="5">
        <v>40445.0</v>
      </c>
      <c r="CI448" s="5">
        <v>168857.0</v>
      </c>
      <c r="CJ448" s="5">
        <v>40445.0</v>
      </c>
      <c r="CK448" s="5">
        <v>168856.0</v>
      </c>
      <c r="CL448" s="5">
        <v>40445.0</v>
      </c>
      <c r="CM448" s="5">
        <v>168856.0</v>
      </c>
      <c r="CN448" s="5">
        <v>40445.0</v>
      </c>
      <c r="CO448" s="5">
        <v>56.0</v>
      </c>
      <c r="CP448" s="3"/>
      <c r="CQ448" s="3"/>
      <c r="CR448" s="4" t="s">
        <v>1860</v>
      </c>
    </row>
    <row r="449">
      <c r="A449" s="1" t="s">
        <v>1861</v>
      </c>
      <c r="B449" s="2">
        <v>46050.52260416667</v>
      </c>
      <c r="C449" s="1" t="str">
        <f t="array" ref="C449">INDEX('User data'!E:E, MATCH(E449, 'User data'!B:B, 0))</f>
        <v>주식회사 제논</v>
      </c>
      <c r="D449" s="1" t="str">
        <f t="array" ref="D449">INDEX('User data'!F:F, MATCH(C449, 'User data'!E:E, 0))</f>
        <v>763-81-01040</v>
      </c>
      <c r="E449" s="1" t="s">
        <v>1862</v>
      </c>
      <c r="F449" s="3"/>
      <c r="G449" s="3"/>
      <c r="H449" s="3"/>
      <c r="I449" s="3"/>
      <c r="J449" s="1" t="s">
        <v>100</v>
      </c>
      <c r="K449" s="1" t="s">
        <v>101</v>
      </c>
      <c r="L449" s="1" t="b">
        <v>0</v>
      </c>
      <c r="M449" s="1" t="s">
        <v>1592</v>
      </c>
      <c r="N449" s="1" t="s">
        <v>1863</v>
      </c>
      <c r="P449" s="3"/>
      <c r="Q449" s="3"/>
      <c r="R449" s="1" t="s">
        <v>1391</v>
      </c>
      <c r="S449" s="1">
        <v>13285.0</v>
      </c>
      <c r="T449" s="1" t="s">
        <v>104</v>
      </c>
      <c r="U449" s="3"/>
      <c r="V449" s="3"/>
      <c r="W449" s="1" t="s">
        <v>105</v>
      </c>
      <c r="X449" s="3"/>
      <c r="Y449" s="1" t="s">
        <v>106</v>
      </c>
      <c r="Z449" s="3"/>
      <c r="AA449" s="1" t="b">
        <v>0</v>
      </c>
      <c r="AB449" s="1" t="b">
        <v>0</v>
      </c>
      <c r="AC449" s="1" t="b">
        <v>0</v>
      </c>
      <c r="AD449" s="1" t="b">
        <v>1</v>
      </c>
      <c r="AE449" s="1" t="b">
        <v>1</v>
      </c>
      <c r="AF449" s="3"/>
      <c r="AG449" s="3"/>
      <c r="AH449" s="3"/>
      <c r="AI449" s="3"/>
      <c r="AJ449" s="2">
        <v>46050.52202546296</v>
      </c>
      <c r="AK449" s="2">
        <v>46051.52337962963</v>
      </c>
      <c r="AL449" s="2">
        <v>46050.52202546296</v>
      </c>
      <c r="AM449" s="2">
        <v>46050.52206018518</v>
      </c>
      <c r="AN449" s="2">
        <v>46050.52260416667</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5">
        <v>4.4</v>
      </c>
      <c r="CR449" s="4" t="s">
        <v>1864</v>
      </c>
    </row>
    <row r="450">
      <c r="A450" s="1" t="s">
        <v>1865</v>
      </c>
      <c r="B450" s="2">
        <v>46050.49475694444</v>
      </c>
      <c r="C450" s="1" t="str">
        <f t="array" ref="C450">INDEX('User data'!E:E, MATCH(E450, 'User data'!B:B, 0))</f>
        <v>주식회사 클래디(Cladi Co.,Ltd)</v>
      </c>
      <c r="D450" s="1" t="str">
        <f t="array" ref="D450">INDEX('User data'!F:F, MATCH(C450, 'User data'!E:E, 0))</f>
        <v>405-81-11055</v>
      </c>
      <c r="E450" s="1" t="s">
        <v>1866</v>
      </c>
      <c r="F450" s="3"/>
      <c r="G450" s="3"/>
      <c r="H450" s="3"/>
      <c r="I450" s="3"/>
      <c r="J450" s="1" t="s">
        <v>100</v>
      </c>
      <c r="K450" s="1" t="s">
        <v>173</v>
      </c>
      <c r="L450" s="1" t="b">
        <v>0</v>
      </c>
      <c r="M450" s="4" t="s">
        <v>102</v>
      </c>
      <c r="N450" s="1" t="s">
        <v>1867</v>
      </c>
      <c r="P450" s="3"/>
      <c r="Q450" s="3"/>
      <c r="R450" s="3"/>
      <c r="S450" s="1">
        <v>13285.0</v>
      </c>
      <c r="T450" s="1" t="s">
        <v>104</v>
      </c>
      <c r="U450" s="3"/>
      <c r="V450" s="3"/>
      <c r="W450" s="1" t="s">
        <v>105</v>
      </c>
      <c r="X450" s="3"/>
      <c r="Y450" s="1" t="s">
        <v>106</v>
      </c>
      <c r="Z450" s="3"/>
      <c r="AA450" s="1" t="b">
        <v>0</v>
      </c>
      <c r="AB450" s="1" t="b">
        <v>0</v>
      </c>
      <c r="AC450" s="1" t="b">
        <v>0</v>
      </c>
      <c r="AD450" s="1" t="b">
        <v>1</v>
      </c>
      <c r="AE450" s="1" t="b">
        <v>1</v>
      </c>
      <c r="AF450" s="3"/>
      <c r="AG450" s="3"/>
      <c r="AH450" s="3"/>
      <c r="AI450" s="3"/>
      <c r="AJ450" s="2">
        <v>46050.494155092594</v>
      </c>
      <c r="AK450" s="2">
        <v>46051.49711805556</v>
      </c>
      <c r="AL450" s="2">
        <v>46050.49428240741</v>
      </c>
      <c r="AM450" s="2">
        <v>46050.4943287037</v>
      </c>
      <c r="AN450" s="2">
        <v>46050.49475694444</v>
      </c>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5">
        <v>3.4</v>
      </c>
      <c r="CR450" s="4" t="s">
        <v>1868</v>
      </c>
    </row>
    <row r="451">
      <c r="A451" s="1" t="s">
        <v>1869</v>
      </c>
      <c r="B451" s="2">
        <v>46050.49217592592</v>
      </c>
      <c r="C451" s="1" t="str">
        <f t="array" ref="C451">INDEX('User data'!E:E, MATCH(E451, 'User data'!B:B, 0))</f>
        <v>(주)튜링</v>
      </c>
      <c r="D451" s="1" t="str">
        <f t="array" ref="D451">INDEX('User data'!F:F, MATCH(C451, 'User data'!E:E, 0))</f>
        <v>254-87-01382</v>
      </c>
      <c r="E451" s="1" t="s">
        <v>1870</v>
      </c>
      <c r="F451" s="3"/>
      <c r="G451" s="3"/>
      <c r="H451" s="3"/>
      <c r="I451" s="1" t="s">
        <v>258</v>
      </c>
      <c r="J451" s="1" t="s">
        <v>100</v>
      </c>
      <c r="K451" s="1" t="s">
        <v>101</v>
      </c>
      <c r="L451" s="1" t="b">
        <v>0</v>
      </c>
      <c r="M451" s="4" t="s">
        <v>102</v>
      </c>
      <c r="N451" s="1" t="s">
        <v>1871</v>
      </c>
      <c r="O451" s="1">
        <v>594863.0</v>
      </c>
      <c r="P451" s="1">
        <v>594863.0</v>
      </c>
      <c r="Q451" s="1">
        <v>594863.0</v>
      </c>
      <c r="R451" s="1" t="s">
        <v>1384</v>
      </c>
      <c r="S451" s="1">
        <v>13288.0</v>
      </c>
      <c r="T451" s="1" t="s">
        <v>104</v>
      </c>
      <c r="U451" s="3"/>
      <c r="V451" s="3"/>
      <c r="W451" s="1" t="s">
        <v>118</v>
      </c>
      <c r="X451" s="3"/>
      <c r="Y451" s="1" t="s">
        <v>119</v>
      </c>
      <c r="Z451" s="3"/>
      <c r="AA451" s="1" t="b">
        <v>1</v>
      </c>
      <c r="AB451" s="1" t="b">
        <v>0</v>
      </c>
      <c r="AC451" s="1" t="b">
        <v>0</v>
      </c>
      <c r="AD451" s="1" t="b">
        <v>1</v>
      </c>
      <c r="AE451" s="1" t="b">
        <v>0</v>
      </c>
      <c r="AF451" s="5">
        <v>2.0</v>
      </c>
      <c r="AG451" s="5">
        <v>2.0</v>
      </c>
      <c r="AH451" s="3"/>
      <c r="AI451" s="3"/>
      <c r="AJ451" s="2">
        <v>46050.491064814814</v>
      </c>
      <c r="AK451" s="2">
        <v>46050.54769675926</v>
      </c>
      <c r="AL451" s="2">
        <v>46050.491064814814</v>
      </c>
      <c r="AM451" s="2">
        <v>46050.49108796296</v>
      </c>
      <c r="AO451" s="3"/>
      <c r="AP451" s="2">
        <v>46050.49138888889</v>
      </c>
      <c r="AR451" s="3"/>
      <c r="AS451" s="3"/>
      <c r="AT451" s="2">
        <v>46050.49217592592</v>
      </c>
      <c r="AU451" s="2">
        <v>46050.49217592592</v>
      </c>
      <c r="AW451" s="3"/>
      <c r="AX451" s="2">
        <v>46050.49114583333</v>
      </c>
      <c r="AY451" s="2">
        <v>46050.49217592592</v>
      </c>
      <c r="AZ451" s="2">
        <v>46050.49796296296</v>
      </c>
      <c r="BA451" s="2">
        <v>46050.5059837963</v>
      </c>
      <c r="BC451" s="2">
        <v>46050.50601851852</v>
      </c>
      <c r="BD451" s="2">
        <v>46050.50601851852</v>
      </c>
      <c r="BE451" s="5">
        <v>728.0</v>
      </c>
      <c r="BF451" s="5">
        <v>728.0</v>
      </c>
      <c r="BG451" s="5">
        <v>364.0</v>
      </c>
      <c r="BH451" s="5">
        <v>364.0</v>
      </c>
      <c r="BI451" s="3"/>
      <c r="BJ451" s="3"/>
      <c r="BK451" s="3"/>
      <c r="BL451" s="3"/>
      <c r="BM451" s="3"/>
      <c r="BN451" s="3"/>
      <c r="BO451" s="5">
        <v>499.0</v>
      </c>
      <c r="BP451" s="5">
        <v>499.0</v>
      </c>
      <c r="BQ451" s="5">
        <v>594.0</v>
      </c>
      <c r="BR451" s="5">
        <v>594.0</v>
      </c>
      <c r="BS451" s="5">
        <v>588.0</v>
      </c>
      <c r="BT451" s="5">
        <v>588.0</v>
      </c>
      <c r="BU451" s="5">
        <v>499.0</v>
      </c>
      <c r="BV451" s="5">
        <v>499.0</v>
      </c>
      <c r="BW451" s="5">
        <v>499.0</v>
      </c>
      <c r="BX451" s="5">
        <v>499.0</v>
      </c>
      <c r="BY451" s="5">
        <v>1196.0</v>
      </c>
      <c r="BZ451" s="5">
        <v>1196.0</v>
      </c>
      <c r="CA451" s="5">
        <v>1196.0</v>
      </c>
      <c r="CB451" s="5">
        <v>1196.0</v>
      </c>
      <c r="CC451" s="5">
        <v>1290.0</v>
      </c>
      <c r="CD451" s="5">
        <v>1290.0</v>
      </c>
      <c r="CE451" s="5">
        <v>1285.0</v>
      </c>
      <c r="CF451" s="5">
        <v>1285.0</v>
      </c>
      <c r="CG451" s="5">
        <v>1196.0</v>
      </c>
      <c r="CH451" s="5">
        <v>1196.0</v>
      </c>
      <c r="CI451" s="5">
        <v>1196.0</v>
      </c>
      <c r="CJ451" s="5">
        <v>1196.0</v>
      </c>
      <c r="CK451" s="5">
        <v>1196.0</v>
      </c>
      <c r="CL451" s="5">
        <v>1196.0</v>
      </c>
      <c r="CM451" s="5">
        <v>1196.0</v>
      </c>
      <c r="CN451" s="5">
        <v>1196.0</v>
      </c>
      <c r="CO451" s="5">
        <v>28.0</v>
      </c>
      <c r="CP451" s="3"/>
      <c r="CQ451" s="3"/>
      <c r="CR451" s="4" t="s">
        <v>1872</v>
      </c>
    </row>
    <row r="452">
      <c r="A452" s="1" t="s">
        <v>1873</v>
      </c>
      <c r="B452" s="2">
        <v>46050.46611111111</v>
      </c>
      <c r="C452" s="1" t="str">
        <f t="array" ref="C452">INDEX('User data'!E:E, MATCH(E452, 'User data'!B:B, 0))</f>
        <v>주식회사 테라퓨젠바이오</v>
      </c>
      <c r="D452" s="1" t="str">
        <f t="array" ref="D452">INDEX('User data'!F:F, MATCH(C452, 'User data'!E:E, 0))</f>
        <v>629-86-03025</v>
      </c>
      <c r="E452" s="1" t="s">
        <v>1874</v>
      </c>
      <c r="F452" s="3"/>
      <c r="G452" s="3"/>
      <c r="H452" s="3"/>
      <c r="I452" s="1" t="s">
        <v>306</v>
      </c>
      <c r="J452" s="1" t="s">
        <v>100</v>
      </c>
      <c r="K452" s="1" t="s">
        <v>101</v>
      </c>
      <c r="L452" s="1" t="b">
        <v>0</v>
      </c>
      <c r="M452" s="4" t="s">
        <v>102</v>
      </c>
      <c r="N452" s="1" t="s">
        <v>1875</v>
      </c>
      <c r="O452" s="1">
        <v>574085.0</v>
      </c>
      <c r="P452" s="1">
        <v>574085.0</v>
      </c>
      <c r="Q452" s="1">
        <v>574085.0</v>
      </c>
      <c r="R452" s="1" t="s">
        <v>1876</v>
      </c>
      <c r="S452" s="1">
        <v>13285.0</v>
      </c>
      <c r="T452" s="1" t="s">
        <v>104</v>
      </c>
      <c r="U452" s="3"/>
      <c r="V452" s="3"/>
      <c r="W452" s="1" t="s">
        <v>118</v>
      </c>
      <c r="X452" s="3"/>
      <c r="Y452" s="1" t="s">
        <v>119</v>
      </c>
      <c r="Z452" s="3"/>
      <c r="AA452" s="1" t="b">
        <v>1</v>
      </c>
      <c r="AB452" s="1" t="b">
        <v>0</v>
      </c>
      <c r="AC452" s="1" t="b">
        <v>0</v>
      </c>
      <c r="AD452" s="1" t="b">
        <v>1</v>
      </c>
      <c r="AE452" s="1" t="b">
        <v>0</v>
      </c>
      <c r="AF452" s="5">
        <v>2.0</v>
      </c>
      <c r="AG452" s="5">
        <v>1.0</v>
      </c>
      <c r="AH452" s="3"/>
      <c r="AI452" s="3"/>
      <c r="AJ452" s="2">
        <v>46050.46496527778</v>
      </c>
      <c r="AK452" s="2">
        <v>46052.690833333334</v>
      </c>
      <c r="AL452" s="2">
        <v>46050.46496527778</v>
      </c>
      <c r="AM452" s="2">
        <v>46050.46497685185</v>
      </c>
      <c r="AO452" s="3"/>
      <c r="AP452" s="2">
        <v>46050.46549768518</v>
      </c>
      <c r="AQ452" s="2">
        <v>46050.46611111111</v>
      </c>
      <c r="AS452" s="2">
        <v>46050.46612268518</v>
      </c>
      <c r="AT452" s="2">
        <v>46050.46611111111</v>
      </c>
      <c r="AU452" s="2">
        <v>46050.46612268518</v>
      </c>
      <c r="AW452" s="3"/>
      <c r="AX452" s="2">
        <v>46050.46612268518</v>
      </c>
      <c r="AY452" s="2">
        <v>46050.46612268518</v>
      </c>
      <c r="AZ452" s="2">
        <v>46050.485625</v>
      </c>
      <c r="BA452" s="2">
        <v>46051.78766203704</v>
      </c>
      <c r="BC452" s="2">
        <v>46051.78769675926</v>
      </c>
      <c r="BD452" s="2">
        <v>46051.78769675926</v>
      </c>
      <c r="BE452" s="5">
        <v>2252.0</v>
      </c>
      <c r="BF452" s="5">
        <v>1686.0</v>
      </c>
      <c r="BG452" s="5">
        <v>1126.0</v>
      </c>
      <c r="BH452" s="5">
        <v>1686.0</v>
      </c>
      <c r="BI452" s="3"/>
      <c r="BJ452" s="3"/>
      <c r="BK452" s="5">
        <v>1.0</v>
      </c>
      <c r="BL452" s="5">
        <v>1.0</v>
      </c>
      <c r="BM452" s="5">
        <v>1.0</v>
      </c>
      <c r="BN452" s="5">
        <v>1.0</v>
      </c>
      <c r="BO452" s="5">
        <v>1686.0</v>
      </c>
      <c r="BP452" s="5">
        <v>1686.0</v>
      </c>
      <c r="BQ452" s="5">
        <v>1783.0</v>
      </c>
      <c r="BR452" s="5">
        <v>1783.0</v>
      </c>
      <c r="BS452" s="5">
        <v>1685.0</v>
      </c>
      <c r="BT452" s="5">
        <v>1685.0</v>
      </c>
      <c r="BU452" s="5">
        <v>1685.0</v>
      </c>
      <c r="BV452" s="5">
        <v>1685.0</v>
      </c>
      <c r="BW452" s="5">
        <v>1686.0</v>
      </c>
      <c r="BX452" s="5">
        <v>1686.0</v>
      </c>
      <c r="BY452" s="5">
        <v>114185.0</v>
      </c>
      <c r="BZ452" s="5">
        <v>38927.0</v>
      </c>
      <c r="CA452" s="5">
        <v>114185.0</v>
      </c>
      <c r="CB452" s="5">
        <v>38927.0</v>
      </c>
      <c r="CC452" s="5">
        <v>114282.0</v>
      </c>
      <c r="CD452" s="5">
        <v>39025.0</v>
      </c>
      <c r="CE452" s="5">
        <v>114184.0</v>
      </c>
      <c r="CF452" s="5">
        <v>38926.0</v>
      </c>
      <c r="CG452" s="5">
        <v>114184.0</v>
      </c>
      <c r="CH452" s="5">
        <v>38926.0</v>
      </c>
      <c r="CI452" s="5">
        <v>114185.0</v>
      </c>
      <c r="CJ452" s="5">
        <v>38927.0</v>
      </c>
      <c r="CK452" s="5">
        <v>114184.0</v>
      </c>
      <c r="CL452" s="5">
        <v>38926.0</v>
      </c>
      <c r="CM452" s="5">
        <v>114184.0</v>
      </c>
      <c r="CN452" s="5">
        <v>38926.0</v>
      </c>
      <c r="CO452" s="5">
        <v>45.0</v>
      </c>
      <c r="CP452" s="3"/>
      <c r="CQ452" s="3"/>
      <c r="CR452" s="4" t="s">
        <v>1877</v>
      </c>
    </row>
    <row r="453">
      <c r="A453" s="1" t="s">
        <v>1878</v>
      </c>
      <c r="B453" s="2">
        <v>46050.46055555555</v>
      </c>
      <c r="C453" s="1" t="str">
        <f t="array" ref="C453">INDEX('User data'!E:E, MATCH(E453, 'User data'!B:B, 0))</f>
        <v/>
      </c>
      <c r="D453" s="1" t="str">
        <f t="array" ref="D453">INDEX('User data'!F:F, MATCH(C453, 'User data'!E:E, 0))</f>
        <v>#N/A</v>
      </c>
      <c r="E453" s="1" t="s">
        <v>1879</v>
      </c>
      <c r="F453" s="3"/>
      <c r="G453" s="3"/>
      <c r="H453" s="3"/>
      <c r="I453" s="1" t="s">
        <v>1702</v>
      </c>
      <c r="J453" s="1" t="s">
        <v>100</v>
      </c>
      <c r="K453" s="1" t="s">
        <v>101</v>
      </c>
      <c r="L453" s="1" t="b">
        <v>0</v>
      </c>
      <c r="M453" s="4" t="s">
        <v>102</v>
      </c>
      <c r="N453" s="1" t="s">
        <v>1880</v>
      </c>
      <c r="O453" s="1">
        <v>574085.0</v>
      </c>
      <c r="P453" s="1">
        <v>574085.0</v>
      </c>
      <c r="Q453" s="1">
        <v>574085.0</v>
      </c>
      <c r="R453" s="1" t="s">
        <v>1674</v>
      </c>
      <c r="S453" s="1">
        <v>13285.0</v>
      </c>
      <c r="T453" s="1" t="s">
        <v>104</v>
      </c>
      <c r="U453" s="3"/>
      <c r="V453" s="3"/>
      <c r="W453" s="1" t="s">
        <v>118</v>
      </c>
      <c r="X453" s="3"/>
      <c r="Y453" s="1" t="s">
        <v>119</v>
      </c>
      <c r="Z453" s="3"/>
      <c r="AA453" s="1" t="b">
        <v>1</v>
      </c>
      <c r="AB453" s="1" t="b">
        <v>0</v>
      </c>
      <c r="AC453" s="1" t="b">
        <v>0</v>
      </c>
      <c r="AD453" s="1" t="b">
        <v>1</v>
      </c>
      <c r="AE453" s="1" t="b">
        <v>1</v>
      </c>
      <c r="AF453" s="5">
        <v>1.0</v>
      </c>
      <c r="AG453" s="5">
        <v>1.0</v>
      </c>
      <c r="AH453" s="3"/>
      <c r="AI453" s="3"/>
      <c r="AJ453" s="2">
        <v>46050.459814814814</v>
      </c>
      <c r="AK453" s="2">
        <v>46052.5300462963</v>
      </c>
      <c r="AL453" s="2">
        <v>46050.459814814814</v>
      </c>
      <c r="AM453" s="2">
        <v>46050.45983796296</v>
      </c>
      <c r="AN453" s="2">
        <v>46050.46055555555</v>
      </c>
      <c r="AO453" s="2">
        <v>46050.4630787037</v>
      </c>
      <c r="AP453" s="2">
        <v>46050.4630787037</v>
      </c>
      <c r="AQ453" s="2">
        <v>46050.46329861111</v>
      </c>
      <c r="AS453" s="2">
        <v>46050.46331018519</v>
      </c>
      <c r="AT453" s="2">
        <v>46050.46329861111</v>
      </c>
      <c r="AU453" s="2">
        <v>46050.46331018519</v>
      </c>
      <c r="AW453" s="3"/>
      <c r="AX453" s="2">
        <v>46050.46331018519</v>
      </c>
      <c r="AY453" s="2">
        <v>46050.46331018519</v>
      </c>
      <c r="AZ453" s="2">
        <v>46050.46429398148</v>
      </c>
      <c r="BA453" s="2">
        <v>46050.46429398148</v>
      </c>
      <c r="BC453" s="2">
        <v>46052.48836805556</v>
      </c>
      <c r="BD453" s="2">
        <v>46052.48836805556</v>
      </c>
      <c r="BE453" s="5">
        <v>86.0</v>
      </c>
      <c r="BF453" s="5">
        <v>86.0</v>
      </c>
      <c r="BG453" s="5">
        <v>86.0</v>
      </c>
      <c r="BH453" s="5">
        <v>86.0</v>
      </c>
      <c r="BI453" s="3"/>
      <c r="BJ453" s="3"/>
      <c r="BK453" s="5">
        <v>1.0</v>
      </c>
      <c r="BL453" s="5">
        <v>1.0</v>
      </c>
      <c r="BM453" s="5">
        <v>238.0</v>
      </c>
      <c r="BN453" s="5">
        <v>238.0</v>
      </c>
      <c r="BO453" s="5">
        <v>323.0</v>
      </c>
      <c r="BP453" s="5">
        <v>323.0</v>
      </c>
      <c r="BQ453" s="5">
        <v>385.0</v>
      </c>
      <c r="BR453" s="5">
        <v>385.0</v>
      </c>
      <c r="BS453" s="5">
        <v>85.0</v>
      </c>
      <c r="BT453" s="5">
        <v>85.0</v>
      </c>
      <c r="BU453" s="5">
        <v>85.0</v>
      </c>
      <c r="BV453" s="5">
        <v>85.0</v>
      </c>
      <c r="BW453" s="5">
        <v>86.0</v>
      </c>
      <c r="BX453" s="5">
        <v>86.0</v>
      </c>
      <c r="BY453" s="5">
        <v>175203.0</v>
      </c>
      <c r="BZ453" s="5">
        <v>45603.0</v>
      </c>
      <c r="CA453" s="5">
        <v>175203.0</v>
      </c>
      <c r="CB453" s="5">
        <v>45603.0</v>
      </c>
      <c r="CC453" s="5">
        <v>175265.0</v>
      </c>
      <c r="CD453" s="5">
        <v>45665.0</v>
      </c>
      <c r="CE453" s="5">
        <v>174965.0</v>
      </c>
      <c r="CF453" s="5">
        <v>45365.0</v>
      </c>
      <c r="CG453" s="5">
        <v>174965.0</v>
      </c>
      <c r="CH453" s="5">
        <v>45365.0</v>
      </c>
      <c r="CI453" s="5">
        <v>174966.0</v>
      </c>
      <c r="CJ453" s="5">
        <v>45366.0</v>
      </c>
      <c r="CK453" s="5">
        <v>174965.0</v>
      </c>
      <c r="CL453" s="5">
        <v>45365.0</v>
      </c>
      <c r="CM453" s="5">
        <v>174965.0</v>
      </c>
      <c r="CN453" s="5">
        <v>45365.0</v>
      </c>
      <c r="CO453" s="5">
        <v>282.0</v>
      </c>
      <c r="CP453" s="5">
        <v>218.0</v>
      </c>
      <c r="CQ453" s="3"/>
      <c r="CR453" s="4" t="s">
        <v>1881</v>
      </c>
    </row>
    <row r="454">
      <c r="A454" s="1" t="s">
        <v>1882</v>
      </c>
      <c r="B454" s="2">
        <v>46050.438159722224</v>
      </c>
      <c r="C454" s="1" t="str">
        <f t="array" ref="C454">INDEX('User data'!E:E, MATCH(E454, 'User data'!B:B, 0))</f>
        <v>(주)미스터팍</v>
      </c>
      <c r="D454" s="1" t="str">
        <f t="array" ref="D454">INDEX('User data'!F:F, MATCH(C454, 'User data'!E:E, 0))</f>
        <v>102-88-01109</v>
      </c>
      <c r="E454" s="1" t="s">
        <v>1883</v>
      </c>
      <c r="F454" s="3"/>
      <c r="G454" s="3"/>
      <c r="H454" s="3"/>
      <c r="I454" s="3"/>
      <c r="J454" s="1" t="s">
        <v>100</v>
      </c>
      <c r="K454" s="1" t="s">
        <v>101</v>
      </c>
      <c r="L454" s="1" t="b">
        <v>0</v>
      </c>
      <c r="M454" s="4" t="s">
        <v>102</v>
      </c>
      <c r="N454" s="1" t="s">
        <v>1884</v>
      </c>
      <c r="P454" s="3"/>
      <c r="Q454" s="3"/>
      <c r="R454" s="3"/>
      <c r="S454" s="1">
        <v>13285.0</v>
      </c>
      <c r="T454" s="1" t="s">
        <v>104</v>
      </c>
      <c r="U454" s="3"/>
      <c r="V454" s="3"/>
      <c r="W454" s="1" t="s">
        <v>105</v>
      </c>
      <c r="X454" s="3"/>
      <c r="Y454" s="1" t="s">
        <v>106</v>
      </c>
      <c r="Z454" s="3"/>
      <c r="AA454" s="1" t="b">
        <v>0</v>
      </c>
      <c r="AB454" s="1" t="b">
        <v>0</v>
      </c>
      <c r="AC454" s="1" t="b">
        <v>0</v>
      </c>
      <c r="AD454" s="1" t="b">
        <v>1</v>
      </c>
      <c r="AE454" s="1" t="b">
        <v>1</v>
      </c>
      <c r="AF454" s="3"/>
      <c r="AG454" s="3"/>
      <c r="AH454" s="3"/>
      <c r="AI454" s="3"/>
      <c r="AJ454" s="2">
        <v>46050.43753472222</v>
      </c>
      <c r="AK454" s="2">
        <v>46052.428402777776</v>
      </c>
      <c r="AL454" s="2">
        <v>46050.43753472222</v>
      </c>
      <c r="AM454" s="2">
        <v>46050.43755787037</v>
      </c>
      <c r="AN454" s="2">
        <v>46050.438159722224</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5">
        <v>4.4</v>
      </c>
      <c r="CR454" s="4" t="s">
        <v>1885</v>
      </c>
    </row>
    <row r="455">
      <c r="A455" s="1" t="s">
        <v>1886</v>
      </c>
      <c r="B455" s="2">
        <v>46050.43568287037</v>
      </c>
      <c r="C455" s="1" t="str">
        <f t="array" ref="C455">INDEX('User data'!E:E, MATCH(E455, 'User data'!B:B, 0))</f>
        <v>주식회사 센티넬이노베이션</v>
      </c>
      <c r="D455" s="1" t="str">
        <f t="array" ref="D455">INDEX('User data'!F:F, MATCH(C455, 'User data'!E:E, 0))</f>
        <v>476-81-00981</v>
      </c>
      <c r="E455" s="1" t="s">
        <v>1887</v>
      </c>
      <c r="F455" s="3"/>
      <c r="G455" s="3"/>
      <c r="H455" s="3"/>
      <c r="I455" s="1" t="s">
        <v>1563</v>
      </c>
      <c r="J455" s="1" t="s">
        <v>100</v>
      </c>
      <c r="K455" s="1" t="s">
        <v>173</v>
      </c>
      <c r="L455" s="1" t="b">
        <v>0</v>
      </c>
      <c r="M455" s="3"/>
      <c r="N455" s="1" t="s">
        <v>1888</v>
      </c>
      <c r="O455" s="1">
        <v>574085.0</v>
      </c>
      <c r="P455" s="1">
        <v>574085.0</v>
      </c>
      <c r="Q455" s="1">
        <v>574085.0</v>
      </c>
      <c r="R455" s="1" t="s">
        <v>1889</v>
      </c>
      <c r="T455" s="1" t="s">
        <v>104</v>
      </c>
      <c r="U455" s="3"/>
      <c r="V455" s="3"/>
      <c r="W455" s="1" t="s">
        <v>118</v>
      </c>
      <c r="X455" s="3"/>
      <c r="Y455" s="1" t="s">
        <v>119</v>
      </c>
      <c r="Z455" s="3"/>
      <c r="AA455" s="1" t="b">
        <v>1</v>
      </c>
      <c r="AB455" s="1" t="b">
        <v>0</v>
      </c>
      <c r="AC455" s="1" t="b">
        <v>0</v>
      </c>
      <c r="AD455" s="1" t="b">
        <v>0</v>
      </c>
      <c r="AE455" s="1" t="b">
        <v>0</v>
      </c>
      <c r="AF455" s="5">
        <v>2.0</v>
      </c>
      <c r="AG455" s="5">
        <v>2.0</v>
      </c>
      <c r="AH455" s="3"/>
      <c r="AI455" s="3"/>
      <c r="AJ455" s="2">
        <v>46050.43568287037</v>
      </c>
      <c r="AK455" s="2">
        <v>46052.627858796295</v>
      </c>
      <c r="AM455" s="2">
        <v>46050.442141203705</v>
      </c>
      <c r="AO455" s="3"/>
      <c r="AP455" s="3"/>
      <c r="AQ455" s="3"/>
      <c r="AR455" s="3"/>
      <c r="AS455" s="3"/>
      <c r="AT455" s="2">
        <v>46050.43568287037</v>
      </c>
      <c r="AU455" s="2">
        <v>46050.43568287037</v>
      </c>
      <c r="AW455" s="3"/>
      <c r="AX455" s="2">
        <v>46050.43568287037</v>
      </c>
      <c r="AY455" s="2">
        <v>46050.43568287037</v>
      </c>
      <c r="AZ455" s="2">
        <v>46050.45265046296</v>
      </c>
      <c r="BA455" s="2">
        <v>46050.461331018516</v>
      </c>
      <c r="BC455" s="2">
        <v>46052.48832175926</v>
      </c>
      <c r="BD455" s="2">
        <v>46052.48832175926</v>
      </c>
      <c r="BE455" s="5">
        <v>1173.0</v>
      </c>
      <c r="BF455" s="5">
        <v>1173.0</v>
      </c>
      <c r="BG455" s="5">
        <v>586.0</v>
      </c>
      <c r="BH455" s="5">
        <v>586.0</v>
      </c>
      <c r="BI455" s="3"/>
      <c r="BJ455" s="3"/>
      <c r="BK455" s="3"/>
      <c r="BL455" s="3"/>
      <c r="BM455" s="3"/>
      <c r="BN455" s="3"/>
      <c r="BO455" s="5">
        <v>1465.0</v>
      </c>
      <c r="BP455" s="5">
        <v>1465.0</v>
      </c>
      <c r="BQ455" s="5">
        <v>907.0</v>
      </c>
      <c r="BR455" s="5">
        <v>907.0</v>
      </c>
      <c r="BS455" s="5">
        <v>1466.0</v>
      </c>
      <c r="BT455" s="5">
        <v>1466.0</v>
      </c>
      <c r="BU455" s="5">
        <v>1465.0</v>
      </c>
      <c r="BV455" s="5">
        <v>1465.0</v>
      </c>
      <c r="BW455" s="5">
        <v>1465.0</v>
      </c>
      <c r="BX455" s="5">
        <v>1465.0</v>
      </c>
      <c r="BY455" s="5">
        <v>177347.0</v>
      </c>
      <c r="BZ455" s="5">
        <v>47747.0</v>
      </c>
      <c r="CA455" s="5">
        <v>177347.0</v>
      </c>
      <c r="CB455" s="5">
        <v>47747.0</v>
      </c>
      <c r="CC455" s="5">
        <v>176789.0</v>
      </c>
      <c r="CD455" s="5">
        <v>47189.0</v>
      </c>
      <c r="CE455" s="5">
        <v>177348.0</v>
      </c>
      <c r="CF455" s="5">
        <v>47748.0</v>
      </c>
      <c r="CG455" s="5">
        <v>177347.0</v>
      </c>
      <c r="CH455" s="5">
        <v>47747.0</v>
      </c>
      <c r="CI455" s="5">
        <v>177347.0</v>
      </c>
      <c r="CJ455" s="5">
        <v>47747.0</v>
      </c>
      <c r="CK455" s="5">
        <v>177347.0</v>
      </c>
      <c r="CL455" s="5">
        <v>47747.0</v>
      </c>
      <c r="CM455" s="5">
        <v>177347.0</v>
      </c>
      <c r="CN455" s="5">
        <v>47747.0</v>
      </c>
      <c r="CO455" s="3"/>
      <c r="CP455" s="3"/>
      <c r="CQ455" s="3"/>
      <c r="CR455" s="4" t="s">
        <v>1890</v>
      </c>
    </row>
    <row r="456">
      <c r="A456" s="1" t="s">
        <v>1891</v>
      </c>
      <c r="B456" s="2">
        <v>46050.43475694444</v>
      </c>
      <c r="C456" s="1" t="str">
        <f t="array" ref="C456">INDEX('User data'!E:E, MATCH(E456, 'User data'!B:B, 0))</f>
        <v>(주)미스터팍</v>
      </c>
      <c r="D456" s="1" t="str">
        <f t="array" ref="D456">INDEX('User data'!F:F, MATCH(C456, 'User data'!E:E, 0))</f>
        <v>102-88-01109</v>
      </c>
      <c r="E456" s="1" t="s">
        <v>1883</v>
      </c>
      <c r="F456" s="3"/>
      <c r="G456" s="3"/>
      <c r="H456" s="3"/>
      <c r="I456" s="3"/>
      <c r="J456" s="1" t="s">
        <v>100</v>
      </c>
      <c r="K456" s="1" t="s">
        <v>101</v>
      </c>
      <c r="L456" s="1" t="b">
        <v>0</v>
      </c>
      <c r="M456" s="1" t="s">
        <v>522</v>
      </c>
      <c r="N456" s="1" t="s">
        <v>1884</v>
      </c>
      <c r="P456" s="3"/>
      <c r="Q456" s="3"/>
      <c r="R456" s="3"/>
      <c r="S456" s="1">
        <v>13285.0</v>
      </c>
      <c r="T456" s="1" t="s">
        <v>104</v>
      </c>
      <c r="U456" s="3"/>
      <c r="V456" s="3"/>
      <c r="W456" s="1" t="s">
        <v>105</v>
      </c>
      <c r="X456" s="3"/>
      <c r="Y456" s="1" t="s">
        <v>106</v>
      </c>
      <c r="Z456" s="3"/>
      <c r="AA456" s="1" t="b">
        <v>0</v>
      </c>
      <c r="AB456" s="1" t="b">
        <v>0</v>
      </c>
      <c r="AC456" s="1" t="b">
        <v>0</v>
      </c>
      <c r="AD456" s="1" t="b">
        <v>1</v>
      </c>
      <c r="AE456" s="1" t="b">
        <v>1</v>
      </c>
      <c r="AF456" s="3"/>
      <c r="AG456" s="3"/>
      <c r="AH456" s="3"/>
      <c r="AI456" s="3"/>
      <c r="AJ456" s="2">
        <v>46050.433958333335</v>
      </c>
      <c r="AK456" s="2">
        <v>46051.43482638889</v>
      </c>
      <c r="AL456" s="2">
        <v>46050.433958333335</v>
      </c>
      <c r="AM456" s="2">
        <v>46050.43398148148</v>
      </c>
      <c r="AN456" s="2">
        <v>46050.43475694444</v>
      </c>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5">
        <v>5.0</v>
      </c>
      <c r="CR456" s="4" t="s">
        <v>1892</v>
      </c>
    </row>
    <row r="457">
      <c r="A457" s="1" t="s">
        <v>1893</v>
      </c>
      <c r="B457" s="2">
        <v>46050.411157407405</v>
      </c>
      <c r="C457" s="1" t="str">
        <f t="array" ref="C457">INDEX('User data'!E:E, MATCH(E457, 'User data'!B:B, 0))</f>
        <v>주식회사 올세일코퍼레이션 (ALLSALE Corp.)</v>
      </c>
      <c r="D457" s="1" t="str">
        <f t="array" ref="D457">INDEX('User data'!F:F, MATCH(C457, 'User data'!E:E, 0))</f>
        <v>251-81-03375</v>
      </c>
      <c r="E457" s="1" t="s">
        <v>1894</v>
      </c>
      <c r="F457" s="3"/>
      <c r="G457" s="3"/>
      <c r="H457" s="3"/>
      <c r="I457" s="3"/>
      <c r="J457" s="1" t="s">
        <v>100</v>
      </c>
      <c r="K457" s="1" t="s">
        <v>101</v>
      </c>
      <c r="L457" s="1" t="b">
        <v>0</v>
      </c>
      <c r="M457" s="4" t="s">
        <v>102</v>
      </c>
      <c r="N457" s="1" t="s">
        <v>1895</v>
      </c>
      <c r="P457" s="3"/>
      <c r="Q457" s="3"/>
      <c r="R457" s="3"/>
      <c r="S457" s="1">
        <v>13285.0</v>
      </c>
      <c r="T457" s="1" t="s">
        <v>104</v>
      </c>
      <c r="U457" s="3"/>
      <c r="V457" s="3"/>
      <c r="W457" s="1" t="s">
        <v>105</v>
      </c>
      <c r="X457" s="3"/>
      <c r="Y457" s="1" t="s">
        <v>106</v>
      </c>
      <c r="Z457" s="3"/>
      <c r="AA457" s="1" t="b">
        <v>0</v>
      </c>
      <c r="AB457" s="1" t="b">
        <v>0</v>
      </c>
      <c r="AC457" s="1" t="b">
        <v>0</v>
      </c>
      <c r="AD457" s="1" t="b">
        <v>1</v>
      </c>
      <c r="AE457" s="1" t="b">
        <v>1</v>
      </c>
      <c r="AF457" s="3"/>
      <c r="AG457" s="3"/>
      <c r="AH457" s="3"/>
      <c r="AI457" s="3"/>
      <c r="AJ457" s="2">
        <v>46050.41013888889</v>
      </c>
      <c r="AK457" s="2">
        <v>46051.41173611111</v>
      </c>
      <c r="AL457" s="2">
        <v>46050.410150462965</v>
      </c>
      <c r="AM457" s="2">
        <v>46050.410162037035</v>
      </c>
      <c r="AN457" s="2">
        <v>46050.411157407405</v>
      </c>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5">
        <v>5.0</v>
      </c>
      <c r="CR457" s="4" t="s">
        <v>1896</v>
      </c>
    </row>
    <row r="458">
      <c r="A458" s="1" t="s">
        <v>1897</v>
      </c>
      <c r="B458" s="2">
        <v>46049.721342592595</v>
      </c>
      <c r="C458" s="1" t="str">
        <f t="array" ref="C458">INDEX('User data'!E:E, MATCH(E458, 'User data'!B:B, 0))</f>
        <v>주식회사 알피</v>
      </c>
      <c r="D458" s="1" t="str">
        <f t="array" ref="D458">INDEX('User data'!F:F, MATCH(C458, 'User data'!E:E, 0))</f>
        <v>821-86-02087</v>
      </c>
      <c r="E458" s="1" t="s">
        <v>1810</v>
      </c>
      <c r="F458" s="3"/>
      <c r="G458" s="3"/>
      <c r="H458" s="3"/>
      <c r="I458" s="3"/>
      <c r="J458" s="1" t="s">
        <v>100</v>
      </c>
      <c r="K458" s="1" t="s">
        <v>173</v>
      </c>
      <c r="L458" s="1" t="b">
        <v>0</v>
      </c>
      <c r="M458" s="4" t="s">
        <v>102</v>
      </c>
      <c r="N458" s="1" t="s">
        <v>1812</v>
      </c>
      <c r="P458" s="3"/>
      <c r="Q458" s="3"/>
      <c r="R458" s="3"/>
      <c r="S458" s="1">
        <v>13285.0</v>
      </c>
      <c r="T458" s="1" t="s">
        <v>104</v>
      </c>
      <c r="U458" s="3"/>
      <c r="V458" s="3"/>
      <c r="W458" s="1" t="s">
        <v>105</v>
      </c>
      <c r="X458" s="3"/>
      <c r="Y458" s="1" t="s">
        <v>106</v>
      </c>
      <c r="Z458" s="3"/>
      <c r="AA458" s="1" t="b">
        <v>0</v>
      </c>
      <c r="AB458" s="1" t="b">
        <v>0</v>
      </c>
      <c r="AC458" s="1" t="b">
        <v>0</v>
      </c>
      <c r="AD458" s="1" t="b">
        <v>1</v>
      </c>
      <c r="AE458" s="1" t="b">
        <v>1</v>
      </c>
      <c r="AF458" s="3"/>
      <c r="AG458" s="3"/>
      <c r="AH458" s="3"/>
      <c r="AI458" s="3"/>
      <c r="AJ458" s="2">
        <v>46049.719143518516</v>
      </c>
      <c r="AK458" s="2">
        <v>46050.74811342593</v>
      </c>
      <c r="AL458" s="2">
        <v>46049.7193287037</v>
      </c>
      <c r="AM458" s="2">
        <v>46049.720300925925</v>
      </c>
      <c r="AN458" s="2">
        <v>46049.721342592595</v>
      </c>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5">
        <v>1.4</v>
      </c>
      <c r="CR458" s="4" t="s">
        <v>1898</v>
      </c>
    </row>
    <row r="459">
      <c r="A459" s="1" t="s">
        <v>1899</v>
      </c>
      <c r="B459" s="2">
        <v>46049.69862268519</v>
      </c>
      <c r="C459" s="1" t="str">
        <f t="array" ref="C459">INDEX('User data'!E:E, MATCH(E459, 'User data'!B:B, 0))</f>
        <v>주식회사 와트 (Watt Co.,Ltd.)</v>
      </c>
      <c r="D459" s="1" t="str">
        <f t="array" ref="D459">INDEX('User data'!F:F, MATCH(C459, 'User data'!E:E, 0))</f>
        <v>813-86-01618</v>
      </c>
      <c r="E459" s="1" t="s">
        <v>1900</v>
      </c>
      <c r="F459" s="3"/>
      <c r="G459" s="3"/>
      <c r="H459" s="3"/>
      <c r="I459" s="3"/>
      <c r="J459" s="1" t="s">
        <v>100</v>
      </c>
      <c r="K459" s="1" t="s">
        <v>101</v>
      </c>
      <c r="L459" s="1" t="b">
        <v>0</v>
      </c>
      <c r="M459" s="4" t="s">
        <v>102</v>
      </c>
      <c r="N459" s="1" t="s">
        <v>1901</v>
      </c>
      <c r="P459" s="3"/>
      <c r="Q459" s="3"/>
      <c r="R459" s="3"/>
      <c r="S459" s="1">
        <v>13285.0</v>
      </c>
      <c r="T459" s="1" t="s">
        <v>104</v>
      </c>
      <c r="U459" s="3"/>
      <c r="V459" s="3"/>
      <c r="W459" s="1" t="s">
        <v>105</v>
      </c>
      <c r="X459" s="3"/>
      <c r="Y459" s="1" t="s">
        <v>106</v>
      </c>
      <c r="Z459" s="3"/>
      <c r="AA459" s="1" t="b">
        <v>0</v>
      </c>
      <c r="AB459" s="1" t="b">
        <v>0</v>
      </c>
      <c r="AC459" s="1" t="b">
        <v>0</v>
      </c>
      <c r="AD459" s="1" t="b">
        <v>1</v>
      </c>
      <c r="AE459" s="1" t="b">
        <v>1</v>
      </c>
      <c r="AF459" s="3"/>
      <c r="AG459" s="3"/>
      <c r="AH459" s="3"/>
      <c r="AI459" s="3"/>
      <c r="AJ459" s="2">
        <v>46049.69802083333</v>
      </c>
      <c r="AK459" s="2">
        <v>46050.70018518518</v>
      </c>
      <c r="AL459" s="2">
        <v>46049.69802083333</v>
      </c>
      <c r="AM459" s="2">
        <v>46049.69809027778</v>
      </c>
      <c r="AN459" s="2">
        <v>46049.69862268519</v>
      </c>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5">
        <v>5.0</v>
      </c>
      <c r="CR459" s="4" t="s">
        <v>1902</v>
      </c>
    </row>
    <row r="460">
      <c r="A460" s="1" t="s">
        <v>1903</v>
      </c>
      <c r="B460" s="2">
        <v>46049.6834375</v>
      </c>
      <c r="C460" s="1" t="str">
        <f t="array" ref="C460">INDEX('User data'!E:E, MATCH(E460, 'User data'!B:B, 0))</f>
        <v>주식회사 알리는사람들</v>
      </c>
      <c r="D460" s="1" t="str">
        <f t="array" ref="D460">INDEX('User data'!F:F, MATCH(C460, 'User data'!E:E, 0))</f>
        <v>752-86-00032</v>
      </c>
      <c r="E460" s="1" t="s">
        <v>1541</v>
      </c>
      <c r="F460" s="3"/>
      <c r="G460" s="3"/>
      <c r="H460" s="3"/>
      <c r="I460" s="1" t="s">
        <v>1537</v>
      </c>
      <c r="J460" s="1" t="s">
        <v>100</v>
      </c>
      <c r="K460" s="1" t="s">
        <v>101</v>
      </c>
      <c r="L460" s="1" t="b">
        <v>0</v>
      </c>
      <c r="M460" s="4" t="s">
        <v>102</v>
      </c>
      <c r="N460" s="1" t="s">
        <v>1542</v>
      </c>
      <c r="O460" s="1">
        <v>506375.0</v>
      </c>
      <c r="P460" s="1">
        <v>594863.0</v>
      </c>
      <c r="Q460" s="1">
        <v>506375.0</v>
      </c>
      <c r="R460" s="1" t="s">
        <v>1904</v>
      </c>
      <c r="S460" s="1">
        <v>13288.0</v>
      </c>
      <c r="T460" s="1" t="s">
        <v>104</v>
      </c>
      <c r="U460" s="3"/>
      <c r="V460" s="3"/>
      <c r="W460" s="1" t="s">
        <v>118</v>
      </c>
      <c r="X460" s="3"/>
      <c r="Y460" s="1" t="s">
        <v>119</v>
      </c>
      <c r="Z460" s="3"/>
      <c r="AA460" s="1" t="b">
        <v>1</v>
      </c>
      <c r="AB460" s="1" t="b">
        <v>0</v>
      </c>
      <c r="AC460" s="1" t="b">
        <v>1</v>
      </c>
      <c r="AD460" s="1" t="b">
        <v>1</v>
      </c>
      <c r="AE460" s="1" t="b">
        <v>0</v>
      </c>
      <c r="AF460" s="5">
        <v>6.0</v>
      </c>
      <c r="AG460" s="5">
        <v>1.0</v>
      </c>
      <c r="AH460" s="3"/>
      <c r="AI460" s="5">
        <v>1.0</v>
      </c>
      <c r="AJ460" s="2">
        <v>46049.416030092594</v>
      </c>
      <c r="AK460" s="2">
        <v>46052.68702546296</v>
      </c>
      <c r="AL460" s="2">
        <v>46049.416030092594</v>
      </c>
      <c r="AM460" s="2">
        <v>46049.416041666664</v>
      </c>
      <c r="AO460" s="3"/>
      <c r="AP460" s="2">
        <v>46049.416400462964</v>
      </c>
      <c r="AR460" s="3"/>
      <c r="AS460" s="3"/>
      <c r="AT460" s="2">
        <v>46049.6834375</v>
      </c>
      <c r="AU460" s="2">
        <v>46049.6834375</v>
      </c>
      <c r="AW460" s="3"/>
      <c r="AX460" s="2">
        <v>46049.41612268519</v>
      </c>
      <c r="AY460" s="2">
        <v>46049.6834375</v>
      </c>
      <c r="AZ460" s="2">
        <v>46049.692141203705</v>
      </c>
      <c r="BA460" s="2">
        <v>46049.76298611111</v>
      </c>
      <c r="BC460" s="2">
        <v>46052.48826388889</v>
      </c>
      <c r="BD460" s="2">
        <v>46052.48826388889</v>
      </c>
      <c r="BE460" s="5">
        <v>3093.0</v>
      </c>
      <c r="BF460" s="5">
        <v>499.0</v>
      </c>
      <c r="BG460" s="5">
        <v>515.0</v>
      </c>
      <c r="BH460" s="5">
        <v>499.0</v>
      </c>
      <c r="BI460" s="3"/>
      <c r="BJ460" s="3"/>
      <c r="BK460" s="3"/>
      <c r="BL460" s="3"/>
      <c r="BM460" s="3"/>
      <c r="BN460" s="3"/>
      <c r="BO460" s="5">
        <v>751.0</v>
      </c>
      <c r="BP460" s="5">
        <v>751.0</v>
      </c>
      <c r="BQ460" s="5">
        <v>23854.0</v>
      </c>
      <c r="BR460" s="5">
        <v>20201.0</v>
      </c>
      <c r="BS460" s="5">
        <v>23847.0</v>
      </c>
      <c r="BT460" s="5">
        <v>20201.0</v>
      </c>
      <c r="BU460" s="5">
        <v>751.0</v>
      </c>
      <c r="BV460" s="5">
        <v>751.0</v>
      </c>
      <c r="BW460" s="5">
        <v>751.0</v>
      </c>
      <c r="BX460" s="5">
        <v>751.0</v>
      </c>
      <c r="BY460" s="5">
        <v>242336.0</v>
      </c>
      <c r="BZ460" s="5">
        <v>51536.0</v>
      </c>
      <c r="CA460" s="5">
        <v>242336.0</v>
      </c>
      <c r="CB460" s="5">
        <v>51536.0</v>
      </c>
      <c r="CC460" s="5">
        <v>265439.0</v>
      </c>
      <c r="CD460" s="5">
        <v>70986.0</v>
      </c>
      <c r="CE460" s="5">
        <v>265432.0</v>
      </c>
      <c r="CF460" s="5">
        <v>70986.0</v>
      </c>
      <c r="CG460" s="5">
        <v>242336.0</v>
      </c>
      <c r="CH460" s="5">
        <v>51536.0</v>
      </c>
      <c r="CI460" s="5">
        <v>242336.0</v>
      </c>
      <c r="CJ460" s="5">
        <v>51536.0</v>
      </c>
      <c r="CK460" s="5">
        <v>242336.0</v>
      </c>
      <c r="CL460" s="5">
        <v>51536.0</v>
      </c>
      <c r="CM460" s="5">
        <v>242336.0</v>
      </c>
      <c r="CN460" s="5">
        <v>51536.0</v>
      </c>
      <c r="CO460" s="5">
        <v>32.0</v>
      </c>
      <c r="CP460" s="3"/>
      <c r="CQ460" s="3"/>
      <c r="CR460" s="4" t="s">
        <v>1905</v>
      </c>
    </row>
    <row r="461">
      <c r="A461" s="1" t="s">
        <v>1906</v>
      </c>
      <c r="B461" s="2">
        <v>46049.67841435185</v>
      </c>
      <c r="C461" s="1" t="str">
        <f t="array" ref="C461">INDEX('User data'!E:E, MATCH(E461, 'User data'!B:B, 0))</f>
        <v>주식회사 리펀디</v>
      </c>
      <c r="D461" s="1" t="str">
        <f t="array" ref="D461">INDEX('User data'!F:F, MATCH(C461, 'User data'!E:E, 0))</f>
        <v>294-87-03409</v>
      </c>
      <c r="E461" s="1" t="s">
        <v>544</v>
      </c>
      <c r="F461" s="3"/>
      <c r="G461" s="3"/>
      <c r="H461" s="3"/>
      <c r="I461" s="1" t="s">
        <v>1907</v>
      </c>
      <c r="J461" s="1" t="s">
        <v>100</v>
      </c>
      <c r="K461" s="1" t="s">
        <v>101</v>
      </c>
      <c r="L461" s="1" t="b">
        <v>0</v>
      </c>
      <c r="M461" s="4" t="s">
        <v>102</v>
      </c>
      <c r="N461" s="1" t="s">
        <v>545</v>
      </c>
      <c r="O461" s="1">
        <v>506375.0</v>
      </c>
      <c r="P461" s="1">
        <v>506375.0</v>
      </c>
      <c r="Q461" s="1">
        <v>506375.0</v>
      </c>
      <c r="R461" s="1" t="s">
        <v>1674</v>
      </c>
      <c r="S461" s="1">
        <v>13286.0</v>
      </c>
      <c r="T461" s="1" t="s">
        <v>104</v>
      </c>
      <c r="U461" s="3"/>
      <c r="V461" s="3"/>
      <c r="W461" s="1" t="s">
        <v>118</v>
      </c>
      <c r="X461" s="3"/>
      <c r="Y461" s="1" t="s">
        <v>119</v>
      </c>
      <c r="Z461" s="3"/>
      <c r="AA461" s="1" t="b">
        <v>1</v>
      </c>
      <c r="AB461" s="1" t="b">
        <v>0</v>
      </c>
      <c r="AC461" s="1" t="b">
        <v>0</v>
      </c>
      <c r="AD461" s="1" t="b">
        <v>1</v>
      </c>
      <c r="AE461" s="1" t="b">
        <v>0</v>
      </c>
      <c r="AF461" s="5">
        <v>1.0</v>
      </c>
      <c r="AG461" s="5">
        <v>1.0</v>
      </c>
      <c r="AH461" s="3"/>
      <c r="AI461" s="3"/>
      <c r="AJ461" s="2">
        <v>46049.678125</v>
      </c>
      <c r="AK461" s="2">
        <v>46052.52987268518</v>
      </c>
      <c r="AL461" s="2">
        <v>46049.678125</v>
      </c>
      <c r="AM461" s="2">
        <v>46049.678136574075</v>
      </c>
      <c r="AO461" s="3"/>
      <c r="AP461" s="2">
        <v>46049.67834490741</v>
      </c>
      <c r="AR461" s="3"/>
      <c r="AS461" s="3"/>
      <c r="AT461" s="2">
        <v>46049.67841435185</v>
      </c>
      <c r="AU461" s="2">
        <v>46049.67841435185</v>
      </c>
      <c r="AW461" s="3"/>
      <c r="AX461" s="2">
        <v>46049.69231481481</v>
      </c>
      <c r="AY461" s="2">
        <v>46049.67841435185</v>
      </c>
      <c r="AZ461" s="2">
        <v>46049.69672453704</v>
      </c>
      <c r="BA461" s="2">
        <v>46049.69672453704</v>
      </c>
      <c r="BC461" s="2">
        <v>46052.48819444444</v>
      </c>
      <c r="BD461" s="2">
        <v>46052.48819444444</v>
      </c>
      <c r="BE461" s="5">
        <v>1582.0</v>
      </c>
      <c r="BF461" s="5">
        <v>1582.0</v>
      </c>
      <c r="BG461" s="5">
        <v>1582.0</v>
      </c>
      <c r="BH461" s="5">
        <v>1582.0</v>
      </c>
      <c r="BI461" s="3"/>
      <c r="BJ461" s="3"/>
      <c r="BK461" s="3"/>
      <c r="BL461" s="3"/>
      <c r="BM461" s="5">
        <v>1201.0</v>
      </c>
      <c r="BN461" s="5">
        <v>1201.0</v>
      </c>
      <c r="BO461" s="5">
        <v>1582.0</v>
      </c>
      <c r="BP461" s="5">
        <v>1582.0</v>
      </c>
      <c r="BQ461" s="5">
        <v>1605.0</v>
      </c>
      <c r="BR461" s="5">
        <v>1605.0</v>
      </c>
      <c r="BS461" s="5">
        <v>380.0</v>
      </c>
      <c r="BT461" s="5">
        <v>380.0</v>
      </c>
      <c r="BU461" s="5">
        <v>1582.0</v>
      </c>
      <c r="BV461" s="5">
        <v>1582.0</v>
      </c>
      <c r="BW461" s="5">
        <v>1582.0</v>
      </c>
      <c r="BX461" s="5">
        <v>1582.0</v>
      </c>
      <c r="BY461" s="5">
        <v>242764.0</v>
      </c>
      <c r="BZ461" s="5">
        <v>51964.0</v>
      </c>
      <c r="CA461" s="5">
        <v>242764.0</v>
      </c>
      <c r="CB461" s="5">
        <v>51964.0</v>
      </c>
      <c r="CC461" s="5">
        <v>242788.0</v>
      </c>
      <c r="CD461" s="5">
        <v>51988.0</v>
      </c>
      <c r="CE461" s="5">
        <v>241563.0</v>
      </c>
      <c r="CF461" s="5">
        <v>50763.0</v>
      </c>
      <c r="CG461" s="5">
        <v>242764.0</v>
      </c>
      <c r="CH461" s="5">
        <v>51964.0</v>
      </c>
      <c r="CI461" s="5">
        <v>242764.0</v>
      </c>
      <c r="CJ461" s="5">
        <v>51964.0</v>
      </c>
      <c r="CK461" s="5">
        <v>242764.0</v>
      </c>
      <c r="CL461" s="5">
        <v>51964.0</v>
      </c>
      <c r="CM461" s="5">
        <v>242764.0</v>
      </c>
      <c r="CN461" s="5">
        <v>51964.0</v>
      </c>
      <c r="CO461" s="5">
        <v>18.0</v>
      </c>
      <c r="CP461" s="3"/>
      <c r="CQ461" s="3"/>
      <c r="CR461" s="4" t="s">
        <v>1908</v>
      </c>
    </row>
    <row r="462">
      <c r="A462" s="1" t="s">
        <v>1909</v>
      </c>
      <c r="B462" s="2">
        <v>46049.66525462963</v>
      </c>
      <c r="C462" s="1" t="str">
        <f t="array" ref="C462">INDEX('User data'!E:E, MATCH(E462, 'User data'!B:B, 0))</f>
        <v/>
      </c>
      <c r="D462" s="1" t="str">
        <f t="array" ref="D462">INDEX('User data'!F:F, MATCH(C462, 'User data'!E:E, 0))</f>
        <v>#N/A</v>
      </c>
      <c r="E462" s="1" t="s">
        <v>1910</v>
      </c>
      <c r="F462" s="1" t="s">
        <v>1911</v>
      </c>
      <c r="I462" s="1" t="s">
        <v>1912</v>
      </c>
      <c r="J462" s="1" t="s">
        <v>100</v>
      </c>
      <c r="K462" s="1" t="s">
        <v>101</v>
      </c>
      <c r="L462" s="1" t="b">
        <v>0</v>
      </c>
      <c r="M462" s="3"/>
      <c r="N462" s="1" t="s">
        <v>1913</v>
      </c>
      <c r="O462" s="1">
        <v>506375.0</v>
      </c>
      <c r="P462" s="1">
        <v>506375.0</v>
      </c>
      <c r="Q462" s="1">
        <v>506375.0</v>
      </c>
      <c r="R462" s="1" t="s">
        <v>1674</v>
      </c>
      <c r="S462" s="3"/>
      <c r="T462" s="1" t="s">
        <v>175</v>
      </c>
      <c r="U462" s="1" t="s">
        <v>175</v>
      </c>
      <c r="V462" s="3"/>
      <c r="W462" s="1" t="s">
        <v>118</v>
      </c>
      <c r="X462" s="3"/>
      <c r="Y462" s="1" t="s">
        <v>106</v>
      </c>
      <c r="Z462" s="3"/>
      <c r="AA462" s="1" t="b">
        <v>1</v>
      </c>
      <c r="AB462" s="1" t="b">
        <v>0</v>
      </c>
      <c r="AC462" s="1" t="b">
        <v>0</v>
      </c>
      <c r="AD462" s="1" t="b">
        <v>1</v>
      </c>
      <c r="AE462" s="1" t="b">
        <v>0</v>
      </c>
      <c r="AF462" s="3"/>
      <c r="AG462" s="3"/>
      <c r="AH462" s="3"/>
      <c r="AI462" s="3"/>
      <c r="AJ462" s="2">
        <v>46049.665243055555</v>
      </c>
      <c r="AK462" s="2">
        <v>46052.688472222224</v>
      </c>
      <c r="AL462" s="2">
        <v>46049.66596064815</v>
      </c>
      <c r="AM462" s="2">
        <v>46049.66525462963</v>
      </c>
      <c r="AO462" s="3"/>
      <c r="AP462" s="2">
        <v>46049.66599537037</v>
      </c>
      <c r="AR462" s="3"/>
      <c r="AS462" s="3"/>
      <c r="AT462" s="2">
        <v>46049.66525462963</v>
      </c>
      <c r="AU462" s="2">
        <v>46049.66525462963</v>
      </c>
      <c r="AW462" s="3"/>
      <c r="AX462" s="2">
        <v>46049.66960648148</v>
      </c>
      <c r="AY462" s="2">
        <v>46049.66525462963</v>
      </c>
      <c r="BA462" s="3"/>
      <c r="BB462" s="3"/>
      <c r="BC462" s="2">
        <v>46052.487858796296</v>
      </c>
      <c r="BD462" s="2">
        <v>46052.487858796296</v>
      </c>
      <c r="BF462" s="3"/>
      <c r="BG462" s="3"/>
      <c r="BH462" s="3"/>
      <c r="BI462" s="3"/>
      <c r="BJ462" s="3"/>
      <c r="BK462" s="3"/>
      <c r="BL462" s="3"/>
      <c r="BM462" s="5">
        <v>376.0</v>
      </c>
      <c r="BN462" s="5">
        <v>376.0</v>
      </c>
      <c r="BO462" s="3"/>
      <c r="BP462" s="3"/>
      <c r="BQ462" s="3"/>
      <c r="BR462" s="3"/>
      <c r="BS462" s="3"/>
      <c r="BT462" s="3"/>
      <c r="BU462" s="3"/>
      <c r="BV462" s="3"/>
      <c r="BW462" s="3"/>
      <c r="BX462" s="3"/>
      <c r="BY462" s="5">
        <v>243872.0</v>
      </c>
      <c r="BZ462" s="5">
        <v>53072.0</v>
      </c>
      <c r="CA462" s="5">
        <v>243872.0</v>
      </c>
      <c r="CB462" s="5">
        <v>53072.0</v>
      </c>
      <c r="CC462" s="5">
        <v>243872.0</v>
      </c>
      <c r="CD462" s="5">
        <v>53072.0</v>
      </c>
      <c r="CE462" s="5">
        <v>243496.0</v>
      </c>
      <c r="CF462" s="5">
        <v>52696.0</v>
      </c>
      <c r="CG462" s="5">
        <v>243872.0</v>
      </c>
      <c r="CH462" s="5">
        <v>53072.0</v>
      </c>
      <c r="CI462" s="5">
        <v>243872.0</v>
      </c>
      <c r="CJ462" s="5">
        <v>53072.0</v>
      </c>
      <c r="CK462" s="5">
        <v>243872.0</v>
      </c>
      <c r="CL462" s="5">
        <v>53072.0</v>
      </c>
      <c r="CM462" s="5">
        <v>243872.0</v>
      </c>
      <c r="CN462" s="5">
        <v>53072.0</v>
      </c>
      <c r="CO462" s="5">
        <v>3.0</v>
      </c>
      <c r="CP462" s="3"/>
      <c r="CQ462" s="3"/>
      <c r="CR462" s="4" t="s">
        <v>1914</v>
      </c>
    </row>
    <row r="463">
      <c r="A463" s="1" t="s">
        <v>1915</v>
      </c>
      <c r="B463" s="2">
        <v>46049.6515625</v>
      </c>
      <c r="C463" s="1" t="str">
        <f t="array" ref="C463">INDEX('User data'!E:E, MATCH(E463, 'User data'!B:B, 0))</f>
        <v>버킷히어로(주)</v>
      </c>
      <c r="D463" s="1" t="str">
        <f t="array" ref="D463">INDEX('User data'!F:F, MATCH(C463, 'User data'!E:E, 0))</f>
        <v>561-88-03382</v>
      </c>
      <c r="E463" s="1" t="s">
        <v>1916</v>
      </c>
      <c r="F463" s="3"/>
      <c r="G463" s="3"/>
      <c r="H463" s="3"/>
      <c r="I463" s="1" t="s">
        <v>1912</v>
      </c>
      <c r="J463" s="1" t="s">
        <v>100</v>
      </c>
      <c r="K463" s="1" t="s">
        <v>173</v>
      </c>
      <c r="L463" s="1" t="b">
        <v>0</v>
      </c>
      <c r="M463" s="3"/>
      <c r="N463" s="1" t="s">
        <v>1917</v>
      </c>
      <c r="O463" s="1">
        <v>574085.0</v>
      </c>
      <c r="P463" s="1">
        <v>574085.0</v>
      </c>
      <c r="Q463" s="1">
        <v>574085.0</v>
      </c>
      <c r="R463" s="1" t="s">
        <v>1674</v>
      </c>
      <c r="S463" s="3"/>
      <c r="T463" s="1" t="s">
        <v>175</v>
      </c>
      <c r="U463" s="1" t="s">
        <v>175</v>
      </c>
      <c r="V463" s="3"/>
      <c r="W463" s="1" t="s">
        <v>118</v>
      </c>
      <c r="X463" s="3"/>
      <c r="Y463" s="1" t="s">
        <v>106</v>
      </c>
      <c r="Z463" s="3"/>
      <c r="AA463" s="1" t="b">
        <v>1</v>
      </c>
      <c r="AB463" s="1" t="b">
        <v>0</v>
      </c>
      <c r="AC463" s="1" t="b">
        <v>0</v>
      </c>
      <c r="AD463" s="1" t="b">
        <v>1</v>
      </c>
      <c r="AE463" s="1" t="b">
        <v>0</v>
      </c>
      <c r="AF463" s="3"/>
      <c r="AG463" s="3"/>
      <c r="AH463" s="3"/>
      <c r="AI463" s="3"/>
      <c r="AJ463" s="2">
        <v>46048.68236111111</v>
      </c>
      <c r="AK463" s="2">
        <v>46052.688472222224</v>
      </c>
      <c r="AL463" s="2">
        <v>46049.65226851852</v>
      </c>
      <c r="AM463" s="2">
        <v>46049.651550925926</v>
      </c>
      <c r="AO463" s="3"/>
      <c r="AP463" s="2">
        <v>46049.65230324074</v>
      </c>
      <c r="AR463" s="3"/>
      <c r="AS463" s="3"/>
      <c r="AT463" s="2">
        <v>46049.6515625</v>
      </c>
      <c r="AU463" s="2">
        <v>46049.6515625</v>
      </c>
      <c r="AW463" s="3"/>
      <c r="AX463" s="2">
        <v>46048.68236111111</v>
      </c>
      <c r="AY463" s="2">
        <v>46049.6515625</v>
      </c>
      <c r="BA463" s="3"/>
      <c r="BB463" s="3"/>
      <c r="BC463" s="2">
        <v>46052.487916666665</v>
      </c>
      <c r="BD463" s="2">
        <v>46052.487916666665</v>
      </c>
      <c r="BF463" s="3"/>
      <c r="BG463" s="3"/>
      <c r="BH463" s="3"/>
      <c r="BI463" s="3"/>
      <c r="BJ463" s="3"/>
      <c r="BK463" s="3"/>
      <c r="BL463" s="3"/>
      <c r="BM463" s="3"/>
      <c r="BN463" s="3"/>
      <c r="BO463" s="3"/>
      <c r="BP463" s="3"/>
      <c r="BQ463" s="3"/>
      <c r="BR463" s="3"/>
      <c r="BS463" s="3"/>
      <c r="BT463" s="3"/>
      <c r="BU463" s="3"/>
      <c r="BV463" s="3"/>
      <c r="BW463" s="3"/>
      <c r="BX463" s="3"/>
      <c r="BY463" s="5">
        <v>245061.0</v>
      </c>
      <c r="BZ463" s="5">
        <v>54261.0</v>
      </c>
      <c r="CA463" s="5">
        <v>245061.0</v>
      </c>
      <c r="CB463" s="5">
        <v>54261.0</v>
      </c>
      <c r="CC463" s="5">
        <v>245061.0</v>
      </c>
      <c r="CD463" s="5">
        <v>54261.0</v>
      </c>
      <c r="CE463" s="5">
        <v>328799.0</v>
      </c>
      <c r="CF463" s="5">
        <v>73199.0</v>
      </c>
      <c r="CG463" s="5">
        <v>245061.0</v>
      </c>
      <c r="CH463" s="5">
        <v>54261.0</v>
      </c>
      <c r="CI463" s="5">
        <v>245061.0</v>
      </c>
      <c r="CJ463" s="5">
        <v>54261.0</v>
      </c>
      <c r="CK463" s="5">
        <v>245061.0</v>
      </c>
      <c r="CL463" s="5">
        <v>54261.0</v>
      </c>
      <c r="CM463" s="5">
        <v>245061.0</v>
      </c>
      <c r="CN463" s="5">
        <v>54261.0</v>
      </c>
      <c r="CO463" s="5">
        <v>3.0</v>
      </c>
      <c r="CP463" s="3"/>
      <c r="CQ463" s="3"/>
      <c r="CR463" s="4" t="s">
        <v>1918</v>
      </c>
    </row>
    <row r="464">
      <c r="A464" s="1" t="s">
        <v>1919</v>
      </c>
      <c r="B464" s="2">
        <v>46049.63600694444</v>
      </c>
      <c r="C464" s="1" t="str">
        <f t="array" ref="C464">INDEX('User data'!E:E, MATCH(E464, 'User data'!B:B, 0))</f>
        <v>주식회사 케미컴퍼니 (Chemi Company Corp.)</v>
      </c>
      <c r="D464" s="1" t="str">
        <f t="array" ref="D464">INDEX('User data'!F:F, MATCH(C464, 'User data'!E:E, 0))</f>
        <v>361-88-03119</v>
      </c>
      <c r="E464" s="1" t="s">
        <v>1414</v>
      </c>
      <c r="F464" s="3"/>
      <c r="G464" s="3"/>
      <c r="H464" s="3"/>
      <c r="I464" s="1" t="s">
        <v>258</v>
      </c>
      <c r="J464" s="1" t="s">
        <v>100</v>
      </c>
      <c r="K464" s="1" t="s">
        <v>101</v>
      </c>
      <c r="L464" s="1" t="b">
        <v>0</v>
      </c>
      <c r="M464" s="4" t="s">
        <v>102</v>
      </c>
      <c r="N464" s="1" t="s">
        <v>1416</v>
      </c>
      <c r="O464" s="1">
        <v>594863.0</v>
      </c>
      <c r="P464" s="1">
        <v>594863.0</v>
      </c>
      <c r="Q464" s="1">
        <v>594863.0</v>
      </c>
      <c r="R464" s="1" t="s">
        <v>1022</v>
      </c>
      <c r="S464" s="1">
        <v>13288.0</v>
      </c>
      <c r="T464" s="1" t="s">
        <v>104</v>
      </c>
      <c r="U464" s="3"/>
      <c r="V464" s="3"/>
      <c r="W464" s="1" t="s">
        <v>118</v>
      </c>
      <c r="X464" s="3"/>
      <c r="Y464" s="1" t="s">
        <v>119</v>
      </c>
      <c r="Z464" s="3"/>
      <c r="AA464" s="1" t="b">
        <v>1</v>
      </c>
      <c r="AB464" s="1" t="b">
        <v>0</v>
      </c>
      <c r="AC464" s="1" t="b">
        <v>0</v>
      </c>
      <c r="AD464" s="1" t="b">
        <v>1</v>
      </c>
      <c r="AE464" s="1" t="b">
        <v>0</v>
      </c>
      <c r="AF464" s="5">
        <v>2.0</v>
      </c>
      <c r="AG464" s="5">
        <v>2.0</v>
      </c>
      <c r="AH464" s="3"/>
      <c r="AI464" s="3"/>
      <c r="AJ464" s="2">
        <v>46049.63321759259</v>
      </c>
      <c r="AK464" s="2">
        <v>46049.69005787037</v>
      </c>
      <c r="AL464" s="2">
        <v>46049.63321759259</v>
      </c>
      <c r="AM464" s="2">
        <v>46049.63324074074</v>
      </c>
      <c r="AO464" s="3"/>
      <c r="AP464" s="2">
        <v>46049.63408564815</v>
      </c>
      <c r="AR464" s="3"/>
      <c r="AS464" s="3"/>
      <c r="AT464" s="2">
        <v>46049.63600694444</v>
      </c>
      <c r="AU464" s="2">
        <v>46049.63600694444</v>
      </c>
      <c r="AW464" s="3"/>
      <c r="AX464" s="2">
        <v>46049.633310185185</v>
      </c>
      <c r="AY464" s="2">
        <v>46049.63600694444</v>
      </c>
      <c r="AZ464" s="2">
        <v>46049.642858796295</v>
      </c>
      <c r="BA464" s="2">
        <v>46049.648356481484</v>
      </c>
      <c r="BC464" s="2">
        <v>46049.64837962963</v>
      </c>
      <c r="BD464" s="2">
        <v>46049.64837962963</v>
      </c>
      <c r="BE464" s="5">
        <v>850.0</v>
      </c>
      <c r="BF464" s="5">
        <v>850.0</v>
      </c>
      <c r="BG464" s="5">
        <v>425.0</v>
      </c>
      <c r="BH464" s="5">
        <v>425.0</v>
      </c>
      <c r="BI464" s="3"/>
      <c r="BJ464" s="3"/>
      <c r="BK464" s="3"/>
      <c r="BL464" s="3"/>
      <c r="BM464" s="3"/>
      <c r="BN464" s="3"/>
      <c r="BO464" s="5">
        <v>592.0</v>
      </c>
      <c r="BP464" s="5">
        <v>592.0</v>
      </c>
      <c r="BQ464" s="5">
        <v>831.0</v>
      </c>
      <c r="BR464" s="5">
        <v>831.0</v>
      </c>
      <c r="BS464" s="5">
        <v>825.0</v>
      </c>
      <c r="BT464" s="5">
        <v>825.0</v>
      </c>
      <c r="BU464" s="5">
        <v>592.0</v>
      </c>
      <c r="BV464" s="5">
        <v>592.0</v>
      </c>
      <c r="BW464" s="5">
        <v>592.0</v>
      </c>
      <c r="BX464" s="5">
        <v>592.0</v>
      </c>
      <c r="BY464" s="5">
        <v>1069.0</v>
      </c>
      <c r="BZ464" s="5">
        <v>1069.0</v>
      </c>
      <c r="CA464" s="5">
        <v>1069.0</v>
      </c>
      <c r="CB464" s="5">
        <v>1069.0</v>
      </c>
      <c r="CC464" s="5">
        <v>1308.0</v>
      </c>
      <c r="CD464" s="5">
        <v>1308.0</v>
      </c>
      <c r="CE464" s="5">
        <v>1302.0</v>
      </c>
      <c r="CF464" s="5">
        <v>1302.0</v>
      </c>
      <c r="CG464" s="5">
        <v>1069.0</v>
      </c>
      <c r="CH464" s="5">
        <v>1069.0</v>
      </c>
      <c r="CI464" s="5">
        <v>1069.0</v>
      </c>
      <c r="CJ464" s="5">
        <v>1069.0</v>
      </c>
      <c r="CK464" s="5">
        <v>1069.0</v>
      </c>
      <c r="CL464" s="5">
        <v>1069.0</v>
      </c>
      <c r="CM464" s="5">
        <v>1069.0</v>
      </c>
      <c r="CN464" s="5">
        <v>1069.0</v>
      </c>
      <c r="CO464" s="5">
        <v>75.0</v>
      </c>
      <c r="CP464" s="3"/>
      <c r="CQ464" s="3"/>
      <c r="CR464" s="4" t="s">
        <v>1920</v>
      </c>
    </row>
    <row r="465">
      <c r="A465" s="1" t="s">
        <v>1921</v>
      </c>
      <c r="B465" s="2">
        <v>46049.57952546296</v>
      </c>
      <c r="C465" s="1" t="str">
        <f t="array" ref="C465">INDEX('User data'!E:E, MATCH(E465, 'User data'!B:B, 0))</f>
        <v>주식회사 미스터아빠</v>
      </c>
      <c r="D465" s="1" t="str">
        <f t="array" ref="D465">INDEX('User data'!F:F, MATCH(C465, 'User data'!E:E, 0))</f>
        <v>448-87-01712</v>
      </c>
      <c r="E465" s="1" t="s">
        <v>1922</v>
      </c>
      <c r="F465" s="3"/>
      <c r="G465" s="3"/>
      <c r="H465" s="3"/>
      <c r="I465" s="1" t="s">
        <v>1835</v>
      </c>
      <c r="J465" s="1" t="s">
        <v>100</v>
      </c>
      <c r="K465" s="1" t="s">
        <v>101</v>
      </c>
      <c r="L465" s="1" t="b">
        <v>0</v>
      </c>
      <c r="M465" s="4" t="s">
        <v>102</v>
      </c>
      <c r="N465" s="1" t="s">
        <v>1923</v>
      </c>
      <c r="O465" s="1">
        <v>574085.0</v>
      </c>
      <c r="P465" s="1">
        <v>574085.0</v>
      </c>
      <c r="Q465" s="1">
        <v>574085.0</v>
      </c>
      <c r="R465" s="1" t="s">
        <v>1924</v>
      </c>
      <c r="S465" s="1">
        <v>13287.0</v>
      </c>
      <c r="T465" s="1" t="s">
        <v>104</v>
      </c>
      <c r="U465" s="3"/>
      <c r="V465" s="3"/>
      <c r="W465" s="1" t="s">
        <v>118</v>
      </c>
      <c r="X465" s="3"/>
      <c r="Y465" s="1" t="s">
        <v>119</v>
      </c>
      <c r="Z465" s="3"/>
      <c r="AA465" s="1" t="b">
        <v>1</v>
      </c>
      <c r="AB465" s="1" t="b">
        <v>0</v>
      </c>
      <c r="AC465" s="1" t="b">
        <v>0</v>
      </c>
      <c r="AD465" s="1" t="b">
        <v>1</v>
      </c>
      <c r="AE465" s="1" t="b">
        <v>0</v>
      </c>
      <c r="AF465" s="5">
        <v>1.0</v>
      </c>
      <c r="AG465" s="5">
        <v>1.0</v>
      </c>
      <c r="AH465" s="3"/>
      <c r="AI465" s="3"/>
      <c r="AJ465" s="2">
        <v>46049.578622685185</v>
      </c>
      <c r="AK465" s="2">
        <v>46052.529178240744</v>
      </c>
      <c r="AL465" s="2">
        <v>46049.578622685185</v>
      </c>
      <c r="AM465" s="2">
        <v>46049.57864583333</v>
      </c>
      <c r="AO465" s="3"/>
      <c r="AP465" s="2">
        <v>46049.57881944445</v>
      </c>
      <c r="AR465" s="3"/>
      <c r="AS465" s="3"/>
      <c r="AT465" s="2">
        <v>46049.57952546296</v>
      </c>
      <c r="AU465" s="2">
        <v>46049.57952546296</v>
      </c>
      <c r="AW465" s="3"/>
      <c r="AX465" s="2">
        <v>46049.59224537037</v>
      </c>
      <c r="AY465" s="2">
        <v>46049.57952546296</v>
      </c>
      <c r="AZ465" s="2">
        <v>46049.59396990741</v>
      </c>
      <c r="BA465" s="2">
        <v>46049.59396990741</v>
      </c>
      <c r="BC465" s="2">
        <v>46052.4875</v>
      </c>
      <c r="BD465" s="2">
        <v>46052.4875</v>
      </c>
      <c r="BE465" s="5">
        <v>1247.0</v>
      </c>
      <c r="BF465" s="5">
        <v>1247.0</v>
      </c>
      <c r="BG465" s="5">
        <v>1247.0</v>
      </c>
      <c r="BH465" s="5">
        <v>1247.0</v>
      </c>
      <c r="BI465" s="3"/>
      <c r="BJ465" s="3"/>
      <c r="BK465" s="3"/>
      <c r="BL465" s="3"/>
      <c r="BM465" s="5">
        <v>1098.0</v>
      </c>
      <c r="BN465" s="5">
        <v>1098.0</v>
      </c>
      <c r="BO465" s="5">
        <v>1247.0</v>
      </c>
      <c r="BP465" s="5">
        <v>1247.0</v>
      </c>
      <c r="BQ465" s="5">
        <v>1323.0</v>
      </c>
      <c r="BR465" s="5">
        <v>1323.0</v>
      </c>
      <c r="BS465" s="5">
        <v>149.0</v>
      </c>
      <c r="BT465" s="5">
        <v>149.0</v>
      </c>
      <c r="BU465" s="5">
        <v>1247.0</v>
      </c>
      <c r="BV465" s="5">
        <v>1247.0</v>
      </c>
      <c r="BW465" s="5">
        <v>1247.0</v>
      </c>
      <c r="BX465" s="5">
        <v>1247.0</v>
      </c>
      <c r="BY465" s="5">
        <v>251248.0</v>
      </c>
      <c r="BZ465" s="5">
        <v>60448.0</v>
      </c>
      <c r="CA465" s="5">
        <v>251248.0</v>
      </c>
      <c r="CB465" s="5">
        <v>60448.0</v>
      </c>
      <c r="CC465" s="5">
        <v>251324.0</v>
      </c>
      <c r="CD465" s="5">
        <v>60524.0</v>
      </c>
      <c r="CE465" s="5">
        <v>250149.0</v>
      </c>
      <c r="CF465" s="5">
        <v>59349.0</v>
      </c>
      <c r="CG465" s="5">
        <v>251248.0</v>
      </c>
      <c r="CH465" s="5">
        <v>60448.0</v>
      </c>
      <c r="CI465" s="5">
        <v>251248.0</v>
      </c>
      <c r="CJ465" s="5">
        <v>60448.0</v>
      </c>
      <c r="CK465" s="5">
        <v>251248.0</v>
      </c>
      <c r="CL465" s="5">
        <v>60448.0</v>
      </c>
      <c r="CM465" s="5">
        <v>251248.0</v>
      </c>
      <c r="CN465" s="5">
        <v>60448.0</v>
      </c>
      <c r="CO465" s="5">
        <v>16.0</v>
      </c>
      <c r="CP465" s="3"/>
      <c r="CQ465" s="3"/>
      <c r="CR465" s="4" t="s">
        <v>1925</v>
      </c>
    </row>
    <row r="466">
      <c r="A466" s="1" t="s">
        <v>1926</v>
      </c>
      <c r="B466" s="2">
        <v>46049.54760416667</v>
      </c>
      <c r="C466" s="1" t="str">
        <f t="array" ref="C466">INDEX('User data'!E:E, MATCH(E466, 'User data'!B:B, 0))</f>
        <v>주식회사 콘텐츠테크놀로지스</v>
      </c>
      <c r="D466" s="1" t="str">
        <f t="array" ref="D466">INDEX('User data'!F:F, MATCH(C466, 'User data'!E:E, 0))</f>
        <v>427-86-02060</v>
      </c>
      <c r="E466" s="1" t="s">
        <v>1927</v>
      </c>
      <c r="F466" s="3"/>
      <c r="G466" s="3"/>
      <c r="H466" s="3"/>
      <c r="I466" s="3"/>
      <c r="J466" s="1" t="s">
        <v>100</v>
      </c>
      <c r="K466" s="1" t="s">
        <v>101</v>
      </c>
      <c r="L466" s="1" t="b">
        <v>0</v>
      </c>
      <c r="M466" s="4" t="s">
        <v>102</v>
      </c>
      <c r="N466" s="1" t="s">
        <v>1928</v>
      </c>
      <c r="P466" s="3"/>
      <c r="Q466" s="3"/>
      <c r="R466" s="3"/>
      <c r="S466" s="1">
        <v>13285.0</v>
      </c>
      <c r="T466" s="1" t="s">
        <v>104</v>
      </c>
      <c r="U466" s="3"/>
      <c r="V466" s="3"/>
      <c r="W466" s="1" t="s">
        <v>105</v>
      </c>
      <c r="X466" s="3"/>
      <c r="Y466" s="1" t="s">
        <v>106</v>
      </c>
      <c r="Z466" s="3"/>
      <c r="AA466" s="1" t="b">
        <v>0</v>
      </c>
      <c r="AB466" s="1" t="b">
        <v>0</v>
      </c>
      <c r="AC466" s="1" t="b">
        <v>0</v>
      </c>
      <c r="AD466" s="1" t="b">
        <v>1</v>
      </c>
      <c r="AE466" s="1" t="b">
        <v>1</v>
      </c>
      <c r="AF466" s="3"/>
      <c r="AG466" s="3"/>
      <c r="AH466" s="3"/>
      <c r="AI466" s="3"/>
      <c r="AJ466" s="2">
        <v>46049.54666666667</v>
      </c>
      <c r="AK466" s="2">
        <v>46050.54766203704</v>
      </c>
      <c r="AL466" s="2">
        <v>46049.54667824074</v>
      </c>
      <c r="AM466" s="2">
        <v>46049.546689814815</v>
      </c>
      <c r="AN466" s="2">
        <v>46049.54760416667</v>
      </c>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5">
        <v>5.0</v>
      </c>
      <c r="CR466" s="4" t="s">
        <v>1929</v>
      </c>
    </row>
    <row r="467">
      <c r="A467" s="1" t="s">
        <v>1930</v>
      </c>
      <c r="B467" s="2">
        <v>46049.54101851852</v>
      </c>
      <c r="C467" s="1" t="str">
        <f t="array" ref="C467">INDEX('User data'!E:E, MATCH(E467, 'User data'!B:B, 0))</f>
        <v>캔디드 유한회사</v>
      </c>
      <c r="D467" s="1" t="str">
        <f t="array" ref="D467">INDEX('User data'!F:F, MATCH(C467, 'User data'!E:E, 0))</f>
        <v>717-87-02844</v>
      </c>
      <c r="E467" s="1" t="s">
        <v>334</v>
      </c>
      <c r="F467" s="3"/>
      <c r="G467" s="3"/>
      <c r="H467" s="3"/>
      <c r="I467" s="3"/>
      <c r="J467" s="1" t="s">
        <v>100</v>
      </c>
      <c r="K467" s="1" t="s">
        <v>101</v>
      </c>
      <c r="L467" s="1" t="b">
        <v>0</v>
      </c>
      <c r="M467" s="1" t="s">
        <v>1931</v>
      </c>
      <c r="N467" s="1" t="s">
        <v>335</v>
      </c>
      <c r="P467" s="3"/>
      <c r="Q467" s="3"/>
      <c r="R467" s="3"/>
      <c r="S467" s="1">
        <v>13285.0</v>
      </c>
      <c r="T467" s="1" t="s">
        <v>104</v>
      </c>
      <c r="U467" s="3"/>
      <c r="V467" s="3"/>
      <c r="W467" s="1" t="s">
        <v>105</v>
      </c>
      <c r="X467" s="3"/>
      <c r="Y467" s="1" t="s">
        <v>106</v>
      </c>
      <c r="Z467" s="3"/>
      <c r="AA467" s="1" t="b">
        <v>0</v>
      </c>
      <c r="AB467" s="1" t="b">
        <v>0</v>
      </c>
      <c r="AC467" s="1" t="b">
        <v>0</v>
      </c>
      <c r="AD467" s="1" t="b">
        <v>1</v>
      </c>
      <c r="AE467" s="1" t="b">
        <v>1</v>
      </c>
      <c r="AF467" s="3"/>
      <c r="AG467" s="3"/>
      <c r="AH467" s="3"/>
      <c r="AI467" s="3"/>
      <c r="AJ467" s="2">
        <v>46049.53854166667</v>
      </c>
      <c r="AK467" s="2">
        <v>46050.542280092595</v>
      </c>
      <c r="AL467" s="2">
        <v>46049.53854166667</v>
      </c>
      <c r="AM467" s="2">
        <v>46049.538564814815</v>
      </c>
      <c r="AN467" s="2">
        <v>46049.54101851852</v>
      </c>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5">
        <v>5.0</v>
      </c>
      <c r="CR467" s="4" t="s">
        <v>1932</v>
      </c>
    </row>
    <row r="468">
      <c r="A468" s="1" t="s">
        <v>1933</v>
      </c>
      <c r="B468" s="2">
        <v>46049.51856481482</v>
      </c>
      <c r="C468" s="1" t="str">
        <f t="array" ref="C468">INDEX('User data'!E:E, MATCH(E468, 'User data'!B:B, 0))</f>
        <v>캔디드 유한회사</v>
      </c>
      <c r="D468" s="1" t="str">
        <f t="array" ref="D468">INDEX('User data'!F:F, MATCH(C468, 'User data'!E:E, 0))</f>
        <v>717-87-02844</v>
      </c>
      <c r="E468" s="1" t="s">
        <v>334</v>
      </c>
      <c r="F468" s="3"/>
      <c r="G468" s="3"/>
      <c r="H468" s="3"/>
      <c r="I468" s="3"/>
      <c r="J468" s="1" t="s">
        <v>100</v>
      </c>
      <c r="K468" s="1" t="s">
        <v>101</v>
      </c>
      <c r="L468" s="1" t="b">
        <v>0</v>
      </c>
      <c r="M468" s="4" t="s">
        <v>102</v>
      </c>
      <c r="N468" s="1" t="s">
        <v>335</v>
      </c>
      <c r="P468" s="3"/>
      <c r="Q468" s="3"/>
      <c r="R468" s="3"/>
      <c r="S468" s="1">
        <v>13285.0</v>
      </c>
      <c r="T468" s="1" t="s">
        <v>104</v>
      </c>
      <c r="U468" s="3"/>
      <c r="V468" s="3"/>
      <c r="W468" s="1" t="s">
        <v>105</v>
      </c>
      <c r="X468" s="3"/>
      <c r="Y468" s="1" t="s">
        <v>106</v>
      </c>
      <c r="Z468" s="3"/>
      <c r="AA468" s="1" t="b">
        <v>0</v>
      </c>
      <c r="AB468" s="1" t="b">
        <v>0</v>
      </c>
      <c r="AC468" s="1" t="b">
        <v>0</v>
      </c>
      <c r="AD468" s="1" t="b">
        <v>1</v>
      </c>
      <c r="AE468" s="1" t="b">
        <v>1</v>
      </c>
      <c r="AF468" s="3"/>
      <c r="AG468" s="3"/>
      <c r="AH468" s="3"/>
      <c r="AI468" s="3"/>
      <c r="AJ468" s="2">
        <v>46049.51390046296</v>
      </c>
      <c r="AK468" s="2">
        <v>46050.57938657407</v>
      </c>
      <c r="AL468" s="2">
        <v>46049.51390046296</v>
      </c>
      <c r="AM468" s="2">
        <v>46049.51392361111</v>
      </c>
      <c r="AN468" s="2">
        <v>46049.51856481482</v>
      </c>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5">
        <v>2.4</v>
      </c>
      <c r="CR468" s="4" t="s">
        <v>1934</v>
      </c>
    </row>
    <row r="469">
      <c r="A469" s="1" t="s">
        <v>1935</v>
      </c>
      <c r="B469" s="2">
        <v>46049.50938657407</v>
      </c>
      <c r="C469" s="1" t="str">
        <f t="array" ref="C469">INDEX('User data'!E:E, MATCH(E469, 'User data'!B:B, 0))</f>
        <v>브라운백 주식회사</v>
      </c>
      <c r="D469" s="1" t="str">
        <f t="array" ref="D469">INDEX('User data'!F:F, MATCH(C469, 'User data'!E:E, 0))</f>
        <v>545-81-00180</v>
      </c>
      <c r="E469" s="1" t="s">
        <v>1823</v>
      </c>
      <c r="F469" s="3"/>
      <c r="G469" s="3"/>
      <c r="H469" s="3"/>
      <c r="I469" s="1" t="s">
        <v>1114</v>
      </c>
      <c r="J469" s="1" t="s">
        <v>100</v>
      </c>
      <c r="K469" s="1" t="s">
        <v>101</v>
      </c>
      <c r="L469" s="1" t="b">
        <v>0</v>
      </c>
      <c r="M469" s="4" t="s">
        <v>102</v>
      </c>
      <c r="N469" s="1" t="s">
        <v>1825</v>
      </c>
      <c r="O469" s="1">
        <v>574085.0</v>
      </c>
      <c r="P469" s="1">
        <v>574085.0</v>
      </c>
      <c r="Q469" s="1">
        <v>574085.0</v>
      </c>
      <c r="R469" s="1" t="s">
        <v>1674</v>
      </c>
      <c r="S469" s="1">
        <v>13285.0</v>
      </c>
      <c r="T469" s="1" t="s">
        <v>104</v>
      </c>
      <c r="U469" s="3"/>
      <c r="V469" s="3"/>
      <c r="W469" s="1" t="s">
        <v>118</v>
      </c>
      <c r="X469" s="3"/>
      <c r="Y469" s="1" t="s">
        <v>119</v>
      </c>
      <c r="Z469" s="3"/>
      <c r="AA469" s="1" t="b">
        <v>1</v>
      </c>
      <c r="AB469" s="1" t="b">
        <v>0</v>
      </c>
      <c r="AC469" s="1" t="b">
        <v>0</v>
      </c>
      <c r="AD469" s="1" t="b">
        <v>1</v>
      </c>
      <c r="AE469" s="1" t="b">
        <v>0</v>
      </c>
      <c r="AF469" s="5">
        <v>6.0</v>
      </c>
      <c r="AG469" s="5">
        <v>4.0</v>
      </c>
      <c r="AH469" s="3"/>
      <c r="AI469" s="3"/>
      <c r="AJ469" s="2">
        <v>46049.50817129629</v>
      </c>
      <c r="AK469" s="2">
        <v>46052.65693287037</v>
      </c>
      <c r="AL469" s="2">
        <v>46049.50817129629</v>
      </c>
      <c r="AM469" s="2">
        <v>46049.50819444445</v>
      </c>
      <c r="AO469" s="3"/>
      <c r="AP469" s="2">
        <v>46049.508518518516</v>
      </c>
      <c r="AQ469" s="2">
        <v>46049.50938657407</v>
      </c>
      <c r="AS469" s="2">
        <v>46049.50939814815</v>
      </c>
      <c r="AT469" s="2">
        <v>46049.50938657407</v>
      </c>
      <c r="AU469" s="2">
        <v>46049.50939814815</v>
      </c>
      <c r="AW469" s="3"/>
      <c r="AX469" s="2">
        <v>46049.50939814815</v>
      </c>
      <c r="AY469" s="2">
        <v>46049.50939814815</v>
      </c>
      <c r="AZ469" s="2">
        <v>46049.512604166666</v>
      </c>
      <c r="BA469" s="2">
        <v>46050.45644675926</v>
      </c>
      <c r="BC469" s="2">
        <v>46050.45649305556</v>
      </c>
      <c r="BD469" s="2">
        <v>46050.45649305556</v>
      </c>
      <c r="BE469" s="5">
        <v>65133.0</v>
      </c>
      <c r="BF469" s="5">
        <v>2597.0</v>
      </c>
      <c r="BG469" s="5">
        <v>10855.0</v>
      </c>
      <c r="BH469" s="5">
        <v>649.0</v>
      </c>
      <c r="BI469" s="3"/>
      <c r="BJ469" s="3"/>
      <c r="BK469" s="5">
        <v>0.0</v>
      </c>
      <c r="BL469" s="5">
        <v>0.0</v>
      </c>
      <c r="BM469" s="5">
        <v>0.0</v>
      </c>
      <c r="BN469" s="5">
        <v>0.0</v>
      </c>
      <c r="BO469" s="5">
        <v>278.0</v>
      </c>
      <c r="BP469" s="5">
        <v>278.0</v>
      </c>
      <c r="BQ469" s="5">
        <v>381.0</v>
      </c>
      <c r="BR469" s="5">
        <v>381.0</v>
      </c>
      <c r="BS469" s="5">
        <v>277.0</v>
      </c>
      <c r="BT469" s="5">
        <v>277.0</v>
      </c>
      <c r="BU469" s="5">
        <v>277.0</v>
      </c>
      <c r="BV469" s="5">
        <v>277.0</v>
      </c>
      <c r="BW469" s="5">
        <v>278.0</v>
      </c>
      <c r="BX469" s="5">
        <v>278.0</v>
      </c>
      <c r="BY469" s="5">
        <v>81829.0</v>
      </c>
      <c r="BZ469" s="5">
        <v>17029.0</v>
      </c>
      <c r="CA469" s="5">
        <v>81829.0</v>
      </c>
      <c r="CB469" s="5">
        <v>17029.0</v>
      </c>
      <c r="CC469" s="5">
        <v>81933.0</v>
      </c>
      <c r="CD469" s="5">
        <v>17133.0</v>
      </c>
      <c r="CE469" s="5">
        <v>81829.0</v>
      </c>
      <c r="CF469" s="5">
        <v>17029.0</v>
      </c>
      <c r="CG469" s="5">
        <v>81829.0</v>
      </c>
      <c r="CH469" s="5">
        <v>17029.0</v>
      </c>
      <c r="CI469" s="5">
        <v>81829.0</v>
      </c>
      <c r="CJ469" s="5">
        <v>17029.0</v>
      </c>
      <c r="CK469" s="5">
        <v>81829.0</v>
      </c>
      <c r="CL469" s="5">
        <v>17029.0</v>
      </c>
      <c r="CM469" s="5">
        <v>81829.0</v>
      </c>
      <c r="CN469" s="5">
        <v>17029.0</v>
      </c>
      <c r="CO469" s="5">
        <v>30.0</v>
      </c>
      <c r="CP469" s="3"/>
      <c r="CQ469" s="3"/>
      <c r="CR469" s="4" t="s">
        <v>1936</v>
      </c>
    </row>
    <row r="470">
      <c r="A470" s="1" t="s">
        <v>1937</v>
      </c>
      <c r="B470" s="2">
        <v>46049.508564814816</v>
      </c>
      <c r="C470" s="1" t="str">
        <f t="array" ref="C470">INDEX('User data'!E:E, MATCH(E470, 'User data'!B:B, 0))</f>
        <v>캔디드 유한회사</v>
      </c>
      <c r="D470" s="1" t="str">
        <f t="array" ref="D470">INDEX('User data'!F:F, MATCH(C470, 'User data'!E:E, 0))</f>
        <v>717-87-02844</v>
      </c>
      <c r="E470" s="1" t="s">
        <v>334</v>
      </c>
      <c r="F470" s="3"/>
      <c r="G470" s="3"/>
      <c r="H470" s="3"/>
      <c r="I470" s="3"/>
      <c r="J470" s="1" t="s">
        <v>100</v>
      </c>
      <c r="K470" s="1" t="s">
        <v>101</v>
      </c>
      <c r="L470" s="1" t="b">
        <v>0</v>
      </c>
      <c r="M470" s="4" t="s">
        <v>102</v>
      </c>
      <c r="N470" s="1" t="s">
        <v>335</v>
      </c>
      <c r="P470" s="3"/>
      <c r="Q470" s="3"/>
      <c r="R470" s="3"/>
      <c r="S470" s="1">
        <v>13285.0</v>
      </c>
      <c r="T470" s="1" t="s">
        <v>104</v>
      </c>
      <c r="U470" s="3"/>
      <c r="V470" s="3"/>
      <c r="W470" s="1" t="s">
        <v>105</v>
      </c>
      <c r="X470" s="3"/>
      <c r="Y470" s="1" t="s">
        <v>106</v>
      </c>
      <c r="Z470" s="3"/>
      <c r="AA470" s="1" t="b">
        <v>0</v>
      </c>
      <c r="AB470" s="1" t="b">
        <v>0</v>
      </c>
      <c r="AC470" s="1" t="b">
        <v>0</v>
      </c>
      <c r="AD470" s="1" t="b">
        <v>1</v>
      </c>
      <c r="AE470" s="1" t="b">
        <v>1</v>
      </c>
      <c r="AF470" s="3"/>
      <c r="AG470" s="3"/>
      <c r="AH470" s="3"/>
      <c r="AI470" s="3"/>
      <c r="AJ470" s="2">
        <v>46049.508101851854</v>
      </c>
      <c r="AK470" s="2">
        <v>46050.510833333334</v>
      </c>
      <c r="AL470" s="2">
        <v>46049.508101851854</v>
      </c>
      <c r="AM470" s="2">
        <v>46049.508125</v>
      </c>
      <c r="AN470" s="2">
        <v>46049.508564814816</v>
      </c>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5">
        <v>5.0</v>
      </c>
      <c r="CR470" s="4" t="s">
        <v>1938</v>
      </c>
    </row>
    <row r="471">
      <c r="A471" s="1" t="s">
        <v>1939</v>
      </c>
      <c r="B471" s="2">
        <v>46049.46166666667</v>
      </c>
      <c r="C471" s="1" t="str">
        <f t="array" ref="C471">INDEX('User data'!E:E, MATCH(E471, 'User data'!B:B, 0))</f>
        <v>주식회사 아이리스브라이트</v>
      </c>
      <c r="D471" s="1" t="str">
        <f t="array" ref="D471">INDEX('User data'!F:F, MATCH(C471, 'User data'!E:E, 0))</f>
        <v>863-81-01831</v>
      </c>
      <c r="E471" s="1" t="s">
        <v>1321</v>
      </c>
      <c r="F471" s="3"/>
      <c r="G471" s="3"/>
      <c r="H471" s="3"/>
      <c r="I471" s="1" t="s">
        <v>1940</v>
      </c>
      <c r="J471" s="1" t="s">
        <v>100</v>
      </c>
      <c r="K471" s="1" t="s">
        <v>101</v>
      </c>
      <c r="L471" s="1" t="b">
        <v>0</v>
      </c>
      <c r="M471" s="4" t="s">
        <v>102</v>
      </c>
      <c r="N471" s="1" t="s">
        <v>1322</v>
      </c>
      <c r="O471" s="1">
        <v>574085.0</v>
      </c>
      <c r="P471" s="1">
        <v>574085.0</v>
      </c>
      <c r="Q471" s="1">
        <v>574085.0</v>
      </c>
      <c r="R471" s="1" t="s">
        <v>1941</v>
      </c>
      <c r="S471" s="1">
        <v>13285.0</v>
      </c>
      <c r="T471" s="1" t="s">
        <v>104</v>
      </c>
      <c r="U471" s="3"/>
      <c r="V471" s="3"/>
      <c r="W471" s="1" t="s">
        <v>118</v>
      </c>
      <c r="X471" s="3"/>
      <c r="Y471" s="1" t="s">
        <v>119</v>
      </c>
      <c r="Z471" s="3"/>
      <c r="AA471" s="1" t="b">
        <v>1</v>
      </c>
      <c r="AB471" s="1" t="b">
        <v>0</v>
      </c>
      <c r="AC471" s="1" t="b">
        <v>0</v>
      </c>
      <c r="AD471" s="1" t="b">
        <v>1</v>
      </c>
      <c r="AE471" s="1" t="b">
        <v>0</v>
      </c>
      <c r="AF471" s="5">
        <v>2.0</v>
      </c>
      <c r="AG471" s="5">
        <v>2.0</v>
      </c>
      <c r="AH471" s="3"/>
      <c r="AI471" s="3"/>
      <c r="AJ471" s="2">
        <v>46049.459548611114</v>
      </c>
      <c r="AK471" s="2">
        <v>46052.528761574074</v>
      </c>
      <c r="AL471" s="2">
        <v>46049.459548611114</v>
      </c>
      <c r="AM471" s="2">
        <v>46049.45956018518</v>
      </c>
      <c r="AO471" s="3"/>
      <c r="AP471" s="2">
        <v>46049.460011574076</v>
      </c>
      <c r="AQ471" s="2">
        <v>46049.46166666667</v>
      </c>
      <c r="AS471" s="2">
        <v>46049.46167824074</v>
      </c>
      <c r="AT471" s="2">
        <v>46049.46166666667</v>
      </c>
      <c r="AU471" s="2">
        <v>46049.46167824074</v>
      </c>
      <c r="AW471" s="3"/>
      <c r="AX471" s="2">
        <v>46049.46167824074</v>
      </c>
      <c r="AY471" s="2">
        <v>46049.46167824074</v>
      </c>
      <c r="AZ471" s="2">
        <v>46049.46880787037</v>
      </c>
      <c r="BA471" s="2">
        <v>46049.47081018519</v>
      </c>
      <c r="BC471" s="2">
        <v>46052.48708333333</v>
      </c>
      <c r="BD471" s="2">
        <v>46052.48708333333</v>
      </c>
      <c r="BE471" s="5">
        <v>636.0</v>
      </c>
      <c r="BF471" s="5">
        <v>636.0</v>
      </c>
      <c r="BG471" s="5">
        <v>318.0</v>
      </c>
      <c r="BH471" s="5">
        <v>318.0</v>
      </c>
      <c r="BI471" s="3"/>
      <c r="BJ471" s="3"/>
      <c r="BK471" s="5">
        <v>1.0</v>
      </c>
      <c r="BL471" s="5">
        <v>1.0</v>
      </c>
      <c r="BM471" s="5">
        <v>0.0</v>
      </c>
      <c r="BN471" s="5">
        <v>0.0</v>
      </c>
      <c r="BO471" s="5">
        <v>617.0</v>
      </c>
      <c r="BP471" s="5">
        <v>617.0</v>
      </c>
      <c r="BQ471" s="5">
        <v>798.0</v>
      </c>
      <c r="BR471" s="5">
        <v>798.0</v>
      </c>
      <c r="BS471" s="5">
        <v>616.0</v>
      </c>
      <c r="BT471" s="5">
        <v>616.0</v>
      </c>
      <c r="BU471" s="5">
        <v>616.0</v>
      </c>
      <c r="BV471" s="5">
        <v>616.0</v>
      </c>
      <c r="BW471" s="5">
        <v>617.0</v>
      </c>
      <c r="BX471" s="5">
        <v>617.0</v>
      </c>
      <c r="BY471" s="5">
        <v>261396.0</v>
      </c>
      <c r="BZ471" s="5">
        <v>66996.0</v>
      </c>
      <c r="CA471" s="5">
        <v>261396.0</v>
      </c>
      <c r="CB471" s="5">
        <v>66996.0</v>
      </c>
      <c r="CC471" s="5">
        <v>261577.0</v>
      </c>
      <c r="CD471" s="5">
        <v>67177.0</v>
      </c>
      <c r="CE471" s="5">
        <v>261395.0</v>
      </c>
      <c r="CF471" s="5">
        <v>66995.0</v>
      </c>
      <c r="CG471" s="5">
        <v>261395.0</v>
      </c>
      <c r="CH471" s="5">
        <v>66995.0</v>
      </c>
      <c r="CI471" s="5">
        <v>261396.0</v>
      </c>
      <c r="CJ471" s="5">
        <v>66996.0</v>
      </c>
      <c r="CK471" s="5">
        <v>261395.0</v>
      </c>
      <c r="CL471" s="5">
        <v>66995.0</v>
      </c>
      <c r="CM471" s="5">
        <v>261395.0</v>
      </c>
      <c r="CN471" s="5">
        <v>66995.0</v>
      </c>
      <c r="CO471" s="5">
        <v>39.0</v>
      </c>
      <c r="CP471" s="3"/>
      <c r="CQ471" s="3"/>
      <c r="CR471" s="4" t="s">
        <v>1942</v>
      </c>
    </row>
    <row r="472">
      <c r="A472" s="1" t="s">
        <v>1943</v>
      </c>
      <c r="B472" s="2">
        <v>46049.43429398148</v>
      </c>
      <c r="C472" s="1" t="str">
        <f t="array" ref="C472">INDEX('User data'!E:E, MATCH(E472, 'User data'!B:B, 0))</f>
        <v>주식회사 코코지</v>
      </c>
      <c r="D472" s="1" t="str">
        <f t="array" ref="D472">INDEX('User data'!F:F, MATCH(C472, 'User data'!E:E, 0))</f>
        <v>274-81-02025</v>
      </c>
      <c r="E472" s="1" t="s">
        <v>1944</v>
      </c>
      <c r="F472" s="3"/>
      <c r="G472" s="3"/>
      <c r="H472" s="3"/>
      <c r="I472" s="1" t="s">
        <v>1114</v>
      </c>
      <c r="J472" s="1" t="s">
        <v>100</v>
      </c>
      <c r="K472" s="1" t="s">
        <v>101</v>
      </c>
      <c r="L472" s="1" t="b">
        <v>0</v>
      </c>
      <c r="M472" s="4" t="s">
        <v>102</v>
      </c>
      <c r="N472" s="1" t="s">
        <v>1945</v>
      </c>
      <c r="O472" s="1">
        <v>574085.0</v>
      </c>
      <c r="P472" s="1">
        <v>574085.0</v>
      </c>
      <c r="Q472" s="1">
        <v>574085.0</v>
      </c>
      <c r="R472" s="1" t="s">
        <v>1674</v>
      </c>
      <c r="S472" s="1">
        <v>13285.0</v>
      </c>
      <c r="T472" s="1" t="s">
        <v>104</v>
      </c>
      <c r="U472" s="3"/>
      <c r="V472" s="3"/>
      <c r="W472" s="1" t="s">
        <v>118</v>
      </c>
      <c r="X472" s="3"/>
      <c r="Y472" s="1" t="s">
        <v>119</v>
      </c>
      <c r="Z472" s="3"/>
      <c r="AA472" s="1" t="b">
        <v>1</v>
      </c>
      <c r="AB472" s="1" t="b">
        <v>0</v>
      </c>
      <c r="AC472" s="1" t="b">
        <v>0</v>
      </c>
      <c r="AD472" s="1" t="b">
        <v>1</v>
      </c>
      <c r="AE472" s="1" t="b">
        <v>0</v>
      </c>
      <c r="AF472" s="5">
        <v>2.0</v>
      </c>
      <c r="AG472" s="5">
        <v>2.0</v>
      </c>
      <c r="AH472" s="3"/>
      <c r="AI472" s="3"/>
      <c r="AJ472" s="2">
        <v>46049.4325</v>
      </c>
      <c r="AK472" s="2">
        <v>46052.65693287037</v>
      </c>
      <c r="AL472" s="2">
        <v>46049.4325</v>
      </c>
      <c r="AM472" s="2">
        <v>46049.43262731482</v>
      </c>
      <c r="AO472" s="3"/>
      <c r="AP472" s="2">
        <v>46049.43314814815</v>
      </c>
      <c r="AQ472" s="2">
        <v>46049.43429398148</v>
      </c>
      <c r="AS472" s="2">
        <v>46049.43430555556</v>
      </c>
      <c r="AT472" s="2">
        <v>46049.43429398148</v>
      </c>
      <c r="AU472" s="2">
        <v>46049.43430555556</v>
      </c>
      <c r="AW472" s="3"/>
      <c r="AX472" s="2">
        <v>46049.43430555556</v>
      </c>
      <c r="AY472" s="2">
        <v>46049.43430555556</v>
      </c>
      <c r="AZ472" s="2">
        <v>46049.436956018515</v>
      </c>
      <c r="BA472" s="2">
        <v>46049.46356481482</v>
      </c>
      <c r="BC472" s="2">
        <v>46052.487280092595</v>
      </c>
      <c r="BD472" s="2">
        <v>46052.487280092595</v>
      </c>
      <c r="BE472" s="5">
        <v>1158.0</v>
      </c>
      <c r="BF472" s="5">
        <v>1158.0</v>
      </c>
      <c r="BG472" s="5">
        <v>579.0</v>
      </c>
      <c r="BH472" s="5">
        <v>579.0</v>
      </c>
      <c r="BI472" s="3"/>
      <c r="BJ472" s="3"/>
      <c r="BK472" s="5">
        <v>1.0</v>
      </c>
      <c r="BL472" s="5">
        <v>1.0</v>
      </c>
      <c r="BM472" s="5">
        <v>1.0</v>
      </c>
      <c r="BN472" s="5">
        <v>1.0</v>
      </c>
      <c r="BO472" s="5">
        <v>230.0</v>
      </c>
      <c r="BP472" s="5">
        <v>230.0</v>
      </c>
      <c r="BQ472" s="5">
        <v>374.0</v>
      </c>
      <c r="BR472" s="5">
        <v>374.0</v>
      </c>
      <c r="BS472" s="5">
        <v>229.0</v>
      </c>
      <c r="BT472" s="5">
        <v>229.0</v>
      </c>
      <c r="BU472" s="5">
        <v>229.0</v>
      </c>
      <c r="BV472" s="5">
        <v>229.0</v>
      </c>
      <c r="BW472" s="5">
        <v>230.0</v>
      </c>
      <c r="BX472" s="5">
        <v>230.0</v>
      </c>
      <c r="BY472" s="5">
        <v>263777.0</v>
      </c>
      <c r="BZ472" s="5">
        <v>69377.0</v>
      </c>
      <c r="CA472" s="5">
        <v>263777.0</v>
      </c>
      <c r="CB472" s="5">
        <v>69377.0</v>
      </c>
      <c r="CC472" s="5">
        <v>263922.0</v>
      </c>
      <c r="CD472" s="5">
        <v>69522.0</v>
      </c>
      <c r="CE472" s="5">
        <v>263776.0</v>
      </c>
      <c r="CF472" s="5">
        <v>69376.0</v>
      </c>
      <c r="CG472" s="5">
        <v>263776.0</v>
      </c>
      <c r="CH472" s="5">
        <v>69376.0</v>
      </c>
      <c r="CI472" s="5">
        <v>263777.0</v>
      </c>
      <c r="CJ472" s="5">
        <v>69377.0</v>
      </c>
      <c r="CK472" s="5">
        <v>263776.0</v>
      </c>
      <c r="CL472" s="5">
        <v>69376.0</v>
      </c>
      <c r="CM472" s="5">
        <v>263776.0</v>
      </c>
      <c r="CN472" s="5">
        <v>69376.0</v>
      </c>
      <c r="CO472" s="5">
        <v>56.0</v>
      </c>
      <c r="CP472" s="3"/>
      <c r="CQ472" s="3"/>
      <c r="CR472" s="4" t="s">
        <v>1946</v>
      </c>
    </row>
    <row r="473">
      <c r="A473" s="1" t="s">
        <v>1947</v>
      </c>
      <c r="B473" s="2">
        <v>46049.40767361111</v>
      </c>
      <c r="C473" s="1" t="str">
        <f t="array" ref="C473">INDEX('User data'!E:E, MATCH(E473, 'User data'!B:B, 0))</f>
        <v>주식회사 소울유니버스 (SOUL UNIVERSE INC.)</v>
      </c>
      <c r="D473" s="1" t="str">
        <f t="array" ref="D473">INDEX('User data'!F:F, MATCH(C473, 'User data'!E:E, 0))</f>
        <v>639-81-02144</v>
      </c>
      <c r="E473" s="1" t="s">
        <v>1792</v>
      </c>
      <c r="F473" s="3"/>
      <c r="G473" s="3"/>
      <c r="H473" s="3"/>
      <c r="I473" s="1" t="s">
        <v>1114</v>
      </c>
      <c r="J473" s="1" t="s">
        <v>100</v>
      </c>
      <c r="K473" s="1" t="s">
        <v>101</v>
      </c>
      <c r="L473" s="1" t="b">
        <v>0</v>
      </c>
      <c r="M473" s="4" t="s">
        <v>102</v>
      </c>
      <c r="N473" s="1" t="s">
        <v>1793</v>
      </c>
      <c r="O473" s="1">
        <v>574085.0</v>
      </c>
      <c r="P473" s="1">
        <v>574085.0</v>
      </c>
      <c r="Q473" s="1">
        <v>574085.0</v>
      </c>
      <c r="R473" s="1">
        <v>574085.0</v>
      </c>
      <c r="S473" s="1">
        <v>13285.0</v>
      </c>
      <c r="T473" s="1" t="s">
        <v>104</v>
      </c>
      <c r="U473" s="3"/>
      <c r="V473" s="3"/>
      <c r="W473" s="1" t="s">
        <v>118</v>
      </c>
      <c r="X473" s="3"/>
      <c r="Y473" s="1" t="s">
        <v>119</v>
      </c>
      <c r="Z473" s="3"/>
      <c r="AA473" s="1" t="b">
        <v>1</v>
      </c>
      <c r="AB473" s="1" t="b">
        <v>0</v>
      </c>
      <c r="AC473" s="1" t="b">
        <v>0</v>
      </c>
      <c r="AD473" s="1" t="b">
        <v>1</v>
      </c>
      <c r="AE473" s="1" t="b">
        <v>1</v>
      </c>
      <c r="AF473" s="5">
        <v>4.0</v>
      </c>
      <c r="AG473" s="5">
        <v>4.0</v>
      </c>
      <c r="AH473" s="3"/>
      <c r="AI473" s="3"/>
      <c r="AJ473" s="2">
        <v>46049.40560185185</v>
      </c>
      <c r="AK473" s="2">
        <v>46052.65692129629</v>
      </c>
      <c r="AL473" s="2">
        <v>46049.40560185185</v>
      </c>
      <c r="AM473" s="2">
        <v>46049.405625</v>
      </c>
      <c r="AN473" s="2">
        <v>46049.40767361111</v>
      </c>
      <c r="AO473" s="2">
        <v>46049.424467592595</v>
      </c>
      <c r="AP473" s="2">
        <v>46049.424467592595</v>
      </c>
      <c r="AQ473" s="2">
        <v>46049.424467592595</v>
      </c>
      <c r="AS473" s="2">
        <v>46049.424479166664</v>
      </c>
      <c r="AT473" s="2">
        <v>46049.424467592595</v>
      </c>
      <c r="AU473" s="2">
        <v>46049.424479166664</v>
      </c>
      <c r="AW473" s="3"/>
      <c r="AX473" s="2">
        <v>46049.424479166664</v>
      </c>
      <c r="AY473" s="2">
        <v>46049.424479166664</v>
      </c>
      <c r="AZ473" s="2">
        <v>46049.425474537034</v>
      </c>
      <c r="BA473" s="2">
        <v>46049.42958333333</v>
      </c>
      <c r="BC473" s="2">
        <v>46049.42980324074</v>
      </c>
      <c r="BD473" s="2">
        <v>46049.42980324074</v>
      </c>
      <c r="BE473" s="5">
        <v>405.0</v>
      </c>
      <c r="BF473" s="5">
        <v>405.0</v>
      </c>
      <c r="BG473" s="5">
        <v>101.0</v>
      </c>
      <c r="BH473" s="5">
        <v>101.0</v>
      </c>
      <c r="BI473" s="3"/>
      <c r="BJ473" s="3"/>
      <c r="BK473" s="5">
        <v>0.0</v>
      </c>
      <c r="BL473" s="5">
        <v>0.0</v>
      </c>
      <c r="BM473" s="5">
        <v>1452.0</v>
      </c>
      <c r="BN473" s="5">
        <v>675.0</v>
      </c>
      <c r="BO473" s="5">
        <v>1538.0</v>
      </c>
      <c r="BP473" s="5">
        <v>761.0</v>
      </c>
      <c r="BQ473" s="5">
        <v>1714.0</v>
      </c>
      <c r="BR473" s="5">
        <v>761.0</v>
      </c>
      <c r="BS473" s="5">
        <v>86.0</v>
      </c>
      <c r="BT473" s="5">
        <v>86.0</v>
      </c>
      <c r="BU473" s="5">
        <v>86.0</v>
      </c>
      <c r="BV473" s="5">
        <v>86.0</v>
      </c>
      <c r="BW473" s="5">
        <v>86.0</v>
      </c>
      <c r="BX473" s="5">
        <v>86.0</v>
      </c>
      <c r="BY473" s="5">
        <v>1912.0</v>
      </c>
      <c r="BZ473" s="5">
        <v>1135.0</v>
      </c>
      <c r="CA473" s="5">
        <v>1912.0</v>
      </c>
      <c r="CB473" s="5">
        <v>1135.0</v>
      </c>
      <c r="CC473" s="5">
        <v>2089.0</v>
      </c>
      <c r="CD473" s="5">
        <v>1135.0</v>
      </c>
      <c r="CE473" s="5">
        <v>460.0</v>
      </c>
      <c r="CF473" s="5">
        <v>460.0</v>
      </c>
      <c r="CG473" s="5">
        <v>460.0</v>
      </c>
      <c r="CH473" s="5">
        <v>460.0</v>
      </c>
      <c r="CI473" s="5">
        <v>461.0</v>
      </c>
      <c r="CJ473" s="5">
        <v>461.0</v>
      </c>
      <c r="CK473" s="5">
        <v>460.0</v>
      </c>
      <c r="CL473" s="5">
        <v>460.0</v>
      </c>
      <c r="CM473" s="5">
        <v>460.0</v>
      </c>
      <c r="CN473" s="5">
        <v>460.0</v>
      </c>
      <c r="CO473" s="5">
        <v>1630.0</v>
      </c>
      <c r="CP473" s="5">
        <v>1451.0</v>
      </c>
      <c r="CQ473" s="3"/>
      <c r="CR473" s="4" t="s">
        <v>1948</v>
      </c>
    </row>
    <row r="474">
      <c r="A474" s="1" t="s">
        <v>1949</v>
      </c>
      <c r="B474" s="2">
        <v>46049.31423611111</v>
      </c>
      <c r="C474" s="1" t="str">
        <f t="array" ref="C474">INDEX('User data'!E:E, MATCH(E474, 'User data'!B:B, 0))</f>
        <v>프레시오리진 주식회사 농업회사법인</v>
      </c>
      <c r="D474" s="1" t="str">
        <f t="array" ref="D474">INDEX('User data'!F:F, MATCH(C474, 'User data'!E:E, 0))</f>
        <v>566-88-03446</v>
      </c>
      <c r="E474" s="1" t="s">
        <v>1002</v>
      </c>
      <c r="F474" s="3"/>
      <c r="G474" s="3"/>
      <c r="H474" s="3"/>
      <c r="I474" s="1" t="s">
        <v>1253</v>
      </c>
      <c r="J474" s="1" t="s">
        <v>100</v>
      </c>
      <c r="K474" s="1" t="s">
        <v>101</v>
      </c>
      <c r="L474" s="1" t="b">
        <v>0</v>
      </c>
      <c r="M474" s="4" t="s">
        <v>102</v>
      </c>
      <c r="N474" s="1" t="s">
        <v>1003</v>
      </c>
      <c r="O474" s="1">
        <v>574085.0</v>
      </c>
      <c r="P474" s="1">
        <v>574085.0</v>
      </c>
      <c r="Q474" s="1">
        <v>574085.0</v>
      </c>
      <c r="R474" s="1" t="s">
        <v>1674</v>
      </c>
      <c r="S474" s="1">
        <v>13285.0</v>
      </c>
      <c r="T474" s="1" t="s">
        <v>104</v>
      </c>
      <c r="U474" s="3"/>
      <c r="V474" s="3"/>
      <c r="W474" s="1" t="s">
        <v>118</v>
      </c>
      <c r="X474" s="3"/>
      <c r="Y474" s="1" t="s">
        <v>119</v>
      </c>
      <c r="Z474" s="3"/>
      <c r="AA474" s="1" t="b">
        <v>1</v>
      </c>
      <c r="AB474" s="1" t="b">
        <v>0</v>
      </c>
      <c r="AC474" s="1" t="b">
        <v>0</v>
      </c>
      <c r="AD474" s="1" t="b">
        <v>1</v>
      </c>
      <c r="AE474" s="1" t="b">
        <v>0</v>
      </c>
      <c r="AF474" s="5">
        <v>2.0</v>
      </c>
      <c r="AG474" s="5">
        <v>1.0</v>
      </c>
      <c r="AH474" s="3"/>
      <c r="AI474" s="3"/>
      <c r="AJ474" s="2">
        <v>46049.31327546296</v>
      </c>
      <c r="AK474" s="2">
        <v>46052.694918981484</v>
      </c>
      <c r="AL474" s="2">
        <v>46049.31327546296</v>
      </c>
      <c r="AM474" s="2">
        <v>46049.31332175926</v>
      </c>
      <c r="AO474" s="3"/>
      <c r="AP474" s="2">
        <v>46049.31386574074</v>
      </c>
      <c r="AQ474" s="2">
        <v>46049.31423611111</v>
      </c>
      <c r="AS474" s="2">
        <v>46049.314247685186</v>
      </c>
      <c r="AT474" s="2">
        <v>46049.31423611111</v>
      </c>
      <c r="AU474" s="2">
        <v>46049.314247685186</v>
      </c>
      <c r="AW474" s="3"/>
      <c r="AX474" s="2">
        <v>46049.314247685186</v>
      </c>
      <c r="AY474" s="2">
        <v>46049.314247685186</v>
      </c>
      <c r="AZ474" s="2">
        <v>46049.414039351854</v>
      </c>
      <c r="BA474" s="2">
        <v>46049.46173611111</v>
      </c>
      <c r="BC474" s="2">
        <v>46052.486967592595</v>
      </c>
      <c r="BD474" s="2">
        <v>46052.486967592595</v>
      </c>
      <c r="BE474" s="5">
        <v>10499.0</v>
      </c>
      <c r="BF474" s="5">
        <v>1877.0</v>
      </c>
      <c r="BG474" s="5">
        <v>5249.0</v>
      </c>
      <c r="BH474" s="5">
        <v>1877.0</v>
      </c>
      <c r="BI474" s="3"/>
      <c r="BJ474" s="3"/>
      <c r="BK474" s="5">
        <v>0.0</v>
      </c>
      <c r="BL474" s="5">
        <v>0.0</v>
      </c>
      <c r="BM474" s="5">
        <v>0.0</v>
      </c>
      <c r="BN474" s="5">
        <v>0.0</v>
      </c>
      <c r="BO474" s="5">
        <v>8622.0</v>
      </c>
      <c r="BP474" s="5">
        <v>0.0</v>
      </c>
      <c r="BQ474" s="5">
        <v>8701.0</v>
      </c>
      <c r="BR474" s="5">
        <v>0.0</v>
      </c>
      <c r="BS474" s="5">
        <v>8622.0</v>
      </c>
      <c r="BT474" s="5">
        <v>0.0</v>
      </c>
      <c r="BU474" s="5">
        <v>8622.0</v>
      </c>
      <c r="BV474" s="5">
        <v>0.0</v>
      </c>
      <c r="BW474" s="5">
        <v>8622.0</v>
      </c>
      <c r="BX474" s="5">
        <v>0.0</v>
      </c>
      <c r="BY474" s="5">
        <v>274123.0</v>
      </c>
      <c r="BZ474" s="5">
        <v>70874.0</v>
      </c>
      <c r="CA474" s="5">
        <v>274123.0</v>
      </c>
      <c r="CB474" s="5">
        <v>70874.0</v>
      </c>
      <c r="CC474" s="5">
        <v>274202.0</v>
      </c>
      <c r="CD474" s="5">
        <v>70874.0</v>
      </c>
      <c r="CE474" s="5">
        <v>274123.0</v>
      </c>
      <c r="CF474" s="5">
        <v>70874.0</v>
      </c>
      <c r="CG474" s="5">
        <v>274123.0</v>
      </c>
      <c r="CH474" s="5">
        <v>70874.0</v>
      </c>
      <c r="CI474" s="5">
        <v>274123.0</v>
      </c>
      <c r="CJ474" s="5">
        <v>70874.0</v>
      </c>
      <c r="CK474" s="5">
        <v>274123.0</v>
      </c>
      <c r="CL474" s="5">
        <v>70874.0</v>
      </c>
      <c r="CM474" s="5">
        <v>274123.0</v>
      </c>
      <c r="CN474" s="5">
        <v>70874.0</v>
      </c>
      <c r="CO474" s="5">
        <v>50.0</v>
      </c>
      <c r="CP474" s="3"/>
      <c r="CQ474" s="3"/>
      <c r="CR474" s="4" t="s">
        <v>1950</v>
      </c>
    </row>
    <row r="475">
      <c r="A475" s="1" t="s">
        <v>1951</v>
      </c>
      <c r="B475" s="2">
        <v>46048.85633101852</v>
      </c>
      <c r="C475" s="1" t="str">
        <f t="array" ref="C475">INDEX('User data'!E:E, MATCH(E475, 'User data'!B:B, 0))</f>
        <v>(주)튜링</v>
      </c>
      <c r="D475" s="1" t="str">
        <f t="array" ref="D475">INDEX('User data'!F:F, MATCH(C475, 'User data'!E:E, 0))</f>
        <v>254-87-01382</v>
      </c>
      <c r="E475" s="1" t="s">
        <v>1952</v>
      </c>
      <c r="F475" s="3"/>
      <c r="G475" s="3"/>
      <c r="H475" s="3"/>
      <c r="I475" s="3"/>
      <c r="J475" s="1" t="s">
        <v>100</v>
      </c>
      <c r="K475" s="1" t="s">
        <v>101</v>
      </c>
      <c r="L475" s="1" t="b">
        <v>0</v>
      </c>
      <c r="M475" s="1" t="s">
        <v>1619</v>
      </c>
      <c r="N475" s="1" t="s">
        <v>1953</v>
      </c>
      <c r="P475" s="3"/>
      <c r="Q475" s="3"/>
      <c r="R475" s="1" t="s">
        <v>1391</v>
      </c>
      <c r="S475" s="1">
        <v>13285.0</v>
      </c>
      <c r="T475" s="1" t="s">
        <v>104</v>
      </c>
      <c r="U475" s="3"/>
      <c r="V475" s="3"/>
      <c r="W475" s="1" t="s">
        <v>105</v>
      </c>
      <c r="X475" s="3"/>
      <c r="Y475" s="1" t="s">
        <v>106</v>
      </c>
      <c r="Z475" s="3"/>
      <c r="AA475" s="1" t="b">
        <v>0</v>
      </c>
      <c r="AB475" s="1" t="b">
        <v>0</v>
      </c>
      <c r="AC475" s="1" t="b">
        <v>0</v>
      </c>
      <c r="AD475" s="1" t="b">
        <v>1</v>
      </c>
      <c r="AE475" s="1" t="b">
        <v>1</v>
      </c>
      <c r="AF475" s="3"/>
      <c r="AG475" s="3"/>
      <c r="AH475" s="3"/>
      <c r="AI475" s="3"/>
      <c r="AJ475" s="2">
        <v>46048.855358796296</v>
      </c>
      <c r="AK475" s="2">
        <v>46049.85637731481</v>
      </c>
      <c r="AL475" s="2">
        <v>46048.855358796296</v>
      </c>
      <c r="AM475" s="2">
        <v>46048.85537037037</v>
      </c>
      <c r="AN475" s="2">
        <v>46048.85633101852</v>
      </c>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5">
        <v>4.4</v>
      </c>
      <c r="CR475" s="4" t="s">
        <v>1954</v>
      </c>
    </row>
    <row r="476">
      <c r="A476" s="1" t="s">
        <v>1955</v>
      </c>
      <c r="B476" s="2">
        <v>46048.809907407405</v>
      </c>
      <c r="C476" s="1" t="str">
        <f t="array" ref="C476">INDEX('User data'!E:E, MATCH(E476, 'User data'!B:B, 0))</f>
        <v/>
      </c>
      <c r="D476" s="1" t="str">
        <f t="array" ref="D476">INDEX('User data'!F:F, MATCH(C476, 'User data'!E:E, 0))</f>
        <v>#N/A</v>
      </c>
      <c r="E476" s="1" t="s">
        <v>1956</v>
      </c>
      <c r="F476" s="3"/>
      <c r="G476" s="3"/>
      <c r="H476" s="3"/>
      <c r="I476" s="3"/>
      <c r="J476" s="1" t="s">
        <v>100</v>
      </c>
      <c r="K476" s="1" t="s">
        <v>101</v>
      </c>
      <c r="L476" s="1" t="b">
        <v>0</v>
      </c>
      <c r="M476" s="4" t="s">
        <v>102</v>
      </c>
      <c r="N476" s="1" t="s">
        <v>1957</v>
      </c>
      <c r="P476" s="3"/>
      <c r="Q476" s="3"/>
      <c r="R476" s="3"/>
      <c r="S476" s="1">
        <v>13285.0</v>
      </c>
      <c r="T476" s="1" t="s">
        <v>104</v>
      </c>
      <c r="U476" s="3"/>
      <c r="V476" s="3"/>
      <c r="W476" s="1" t="s">
        <v>105</v>
      </c>
      <c r="X476" s="3"/>
      <c r="Y476" s="1" t="s">
        <v>106</v>
      </c>
      <c r="Z476" s="3"/>
      <c r="AA476" s="1" t="b">
        <v>0</v>
      </c>
      <c r="AB476" s="1" t="b">
        <v>0</v>
      </c>
      <c r="AC476" s="1" t="b">
        <v>0</v>
      </c>
      <c r="AD476" s="1" t="b">
        <v>1</v>
      </c>
      <c r="AE476" s="1" t="b">
        <v>1</v>
      </c>
      <c r="AF476" s="3"/>
      <c r="AG476" s="3"/>
      <c r="AH476" s="3"/>
      <c r="AI476" s="3"/>
      <c r="AJ476" s="2">
        <v>46048.80946759259</v>
      </c>
      <c r="AK476" s="2">
        <v>46049.809965277775</v>
      </c>
      <c r="AL476" s="2">
        <v>46048.80946759259</v>
      </c>
      <c r="AM476" s="2">
        <v>46048.80951388889</v>
      </c>
      <c r="AN476" s="2">
        <v>46048.809907407405</v>
      </c>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5">
        <v>5.0</v>
      </c>
      <c r="CR476" s="4" t="s">
        <v>1958</v>
      </c>
    </row>
    <row r="477">
      <c r="A477" s="1" t="s">
        <v>1959</v>
      </c>
      <c r="B477" s="2">
        <v>46048.78262731482</v>
      </c>
      <c r="C477" s="1" t="str">
        <f t="array" ref="C477">INDEX('User data'!E:E, MATCH(E477, 'User data'!B:B, 0))</f>
        <v/>
      </c>
      <c r="D477" s="1" t="str">
        <f t="array" ref="D477">INDEX('User data'!F:F, MATCH(C477, 'User data'!E:E, 0))</f>
        <v>#N/A</v>
      </c>
      <c r="E477" s="1" t="s">
        <v>1960</v>
      </c>
      <c r="F477" s="3"/>
      <c r="G477" s="3"/>
      <c r="H477" s="3"/>
      <c r="I477" s="3"/>
      <c r="J477" s="1" t="s">
        <v>100</v>
      </c>
      <c r="K477" s="1" t="s">
        <v>101</v>
      </c>
      <c r="L477" s="1" t="b">
        <v>0</v>
      </c>
      <c r="M477" s="1" t="s">
        <v>522</v>
      </c>
      <c r="N477" s="1" t="s">
        <v>1961</v>
      </c>
      <c r="P477" s="3"/>
      <c r="Q477" s="3"/>
      <c r="R477" s="3"/>
      <c r="S477" s="1">
        <v>13285.0</v>
      </c>
      <c r="T477" s="1" t="s">
        <v>104</v>
      </c>
      <c r="U477" s="3"/>
      <c r="V477" s="3"/>
      <c r="W477" s="1" t="s">
        <v>105</v>
      </c>
      <c r="X477" s="3"/>
      <c r="Y477" s="1" t="s">
        <v>106</v>
      </c>
      <c r="Z477" s="3"/>
      <c r="AA477" s="1" t="b">
        <v>0</v>
      </c>
      <c r="AB477" s="1" t="b">
        <v>0</v>
      </c>
      <c r="AC477" s="1" t="b">
        <v>0</v>
      </c>
      <c r="AD477" s="1" t="b">
        <v>1</v>
      </c>
      <c r="AE477" s="1" t="b">
        <v>1</v>
      </c>
      <c r="AF477" s="3"/>
      <c r="AG477" s="3"/>
      <c r="AH477" s="3"/>
      <c r="AI477" s="3"/>
      <c r="AJ477" s="2">
        <v>46048.781377314815</v>
      </c>
      <c r="AK477" s="2">
        <v>46049.78269675926</v>
      </c>
      <c r="AL477" s="2">
        <v>46048.781377314815</v>
      </c>
      <c r="AM477" s="2">
        <v>46048.78140046296</v>
      </c>
      <c r="AN477" s="2">
        <v>46048.78262731482</v>
      </c>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5">
        <v>2.2</v>
      </c>
      <c r="CR477" s="4" t="s">
        <v>1962</v>
      </c>
    </row>
    <row r="478">
      <c r="A478" s="1" t="s">
        <v>1963</v>
      </c>
      <c r="B478" s="2">
        <v>46048.782488425924</v>
      </c>
      <c r="C478" s="1" t="str">
        <f t="array" ref="C478">INDEX('User data'!E:E, MATCH(E478, 'User data'!B:B, 0))</f>
        <v>로앤굿 주식회사</v>
      </c>
      <c r="D478" s="1" t="str">
        <f t="array" ref="D478">INDEX('User data'!F:F, MATCH(C478, 'User data'!E:E, 0))</f>
        <v>668-86-01551</v>
      </c>
      <c r="E478" s="1" t="s">
        <v>1964</v>
      </c>
      <c r="F478" s="3"/>
      <c r="G478" s="3"/>
      <c r="H478" s="3"/>
      <c r="I478" s="3"/>
      <c r="J478" s="1" t="s">
        <v>100</v>
      </c>
      <c r="K478" s="1" t="s">
        <v>101</v>
      </c>
      <c r="L478" s="1" t="b">
        <v>0</v>
      </c>
      <c r="M478" s="4" t="s">
        <v>102</v>
      </c>
      <c r="N478" s="1" t="s">
        <v>1965</v>
      </c>
      <c r="P478" s="3"/>
      <c r="Q478" s="3"/>
      <c r="R478" s="3"/>
      <c r="S478" s="1">
        <v>13285.0</v>
      </c>
      <c r="T478" s="1" t="s">
        <v>104</v>
      </c>
      <c r="U478" s="3"/>
      <c r="V478" s="3"/>
      <c r="W478" s="1" t="s">
        <v>105</v>
      </c>
      <c r="X478" s="3"/>
      <c r="Y478" s="1" t="s">
        <v>106</v>
      </c>
      <c r="Z478" s="3"/>
      <c r="AA478" s="1" t="b">
        <v>0</v>
      </c>
      <c r="AB478" s="1" t="b">
        <v>0</v>
      </c>
      <c r="AC478" s="1" t="b">
        <v>0</v>
      </c>
      <c r="AD478" s="1" t="b">
        <v>1</v>
      </c>
      <c r="AE478" s="1" t="b">
        <v>1</v>
      </c>
      <c r="AF478" s="3"/>
      <c r="AG478" s="3"/>
      <c r="AH478" s="3"/>
      <c r="AI478" s="3"/>
      <c r="AJ478" s="2">
        <v>46048.781747685185</v>
      </c>
      <c r="AK478" s="2">
        <v>46049.78287037037</v>
      </c>
      <c r="AL478" s="2">
        <v>46048.781747685185</v>
      </c>
      <c r="AM478" s="2">
        <v>46048.78177083333</v>
      </c>
      <c r="AN478" s="2">
        <v>46048.782488425924</v>
      </c>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5">
        <v>5.0</v>
      </c>
      <c r="CR478" s="4" t="s">
        <v>1966</v>
      </c>
    </row>
    <row r="479">
      <c r="A479" s="1" t="s">
        <v>1967</v>
      </c>
      <c r="B479" s="2">
        <v>46048.725625</v>
      </c>
      <c r="C479" s="1" t="str">
        <f t="array" ref="C479">INDEX('User data'!E:E, MATCH(E479, 'User data'!B:B, 0))</f>
        <v>테바소프트 주식회사</v>
      </c>
      <c r="D479" s="1" t="str">
        <f t="array" ref="D479">INDEX('User data'!F:F, MATCH(C479, 'User data'!E:E, 0))</f>
        <v>440-87-02207</v>
      </c>
      <c r="E479" s="1" t="s">
        <v>1741</v>
      </c>
      <c r="F479" s="3"/>
      <c r="G479" s="3"/>
      <c r="H479" s="3"/>
      <c r="I479" s="3"/>
      <c r="J479" s="1" t="s">
        <v>100</v>
      </c>
      <c r="K479" s="1" t="s">
        <v>101</v>
      </c>
      <c r="L479" s="1" t="b">
        <v>0</v>
      </c>
      <c r="M479" s="4" t="s">
        <v>102</v>
      </c>
      <c r="N479" s="1" t="s">
        <v>1742</v>
      </c>
      <c r="P479" s="3"/>
      <c r="Q479" s="3"/>
      <c r="R479" s="3"/>
      <c r="S479" s="1">
        <v>13285.0</v>
      </c>
      <c r="T479" s="1" t="s">
        <v>104</v>
      </c>
      <c r="U479" s="3"/>
      <c r="V479" s="3"/>
      <c r="W479" s="1" t="s">
        <v>105</v>
      </c>
      <c r="X479" s="3"/>
      <c r="Y479" s="1" t="s">
        <v>106</v>
      </c>
      <c r="Z479" s="3"/>
      <c r="AA479" s="1" t="b">
        <v>0</v>
      </c>
      <c r="AB479" s="1" t="b">
        <v>0</v>
      </c>
      <c r="AC479" s="1" t="b">
        <v>0</v>
      </c>
      <c r="AD479" s="1" t="b">
        <v>1</v>
      </c>
      <c r="AE479" s="1" t="b">
        <v>1</v>
      </c>
      <c r="AF479" s="3"/>
      <c r="AG479" s="3"/>
      <c r="AH479" s="3"/>
      <c r="AI479" s="3"/>
      <c r="AJ479" s="2">
        <v>46048.72478009259</v>
      </c>
      <c r="AK479" s="2">
        <v>46049.7256712963</v>
      </c>
      <c r="AL479" s="2">
        <v>46048.72478009259</v>
      </c>
      <c r="AM479" s="2">
        <v>46048.72484953704</v>
      </c>
      <c r="AN479" s="2">
        <v>46048.725625</v>
      </c>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5">
        <v>5.0</v>
      </c>
      <c r="CR479" s="4" t="s">
        <v>1968</v>
      </c>
    </row>
    <row r="480">
      <c r="A480" s="1" t="s">
        <v>1969</v>
      </c>
      <c r="B480" s="2">
        <v>46048.722025462965</v>
      </c>
      <c r="C480" s="1" t="str">
        <f t="array" ref="C480">INDEX('User data'!E:E, MATCH(E480, 'User data'!B:B, 0))</f>
        <v>(주)바스코리아</v>
      </c>
      <c r="D480" s="1" t="str">
        <f t="array" ref="D480">INDEX('User data'!F:F, MATCH(C480, 'User data'!E:E, 0))</f>
        <v>851-81-02744</v>
      </c>
      <c r="E480" s="1" t="s">
        <v>1970</v>
      </c>
      <c r="F480" s="3"/>
      <c r="G480" s="3"/>
      <c r="H480" s="3"/>
      <c r="I480" s="3"/>
      <c r="J480" s="1" t="s">
        <v>100</v>
      </c>
      <c r="K480" s="1" t="s">
        <v>101</v>
      </c>
      <c r="L480" s="1" t="b">
        <v>0</v>
      </c>
      <c r="M480" s="4" t="s">
        <v>102</v>
      </c>
      <c r="N480" s="1" t="s">
        <v>1971</v>
      </c>
      <c r="P480" s="3"/>
      <c r="Q480" s="3"/>
      <c r="R480" s="3"/>
      <c r="S480" s="1">
        <v>13285.0</v>
      </c>
      <c r="T480" s="1" t="s">
        <v>104</v>
      </c>
      <c r="U480" s="3"/>
      <c r="V480" s="3"/>
      <c r="W480" s="1" t="s">
        <v>105</v>
      </c>
      <c r="X480" s="3"/>
      <c r="Y480" s="1" t="s">
        <v>106</v>
      </c>
      <c r="Z480" s="3"/>
      <c r="AA480" s="1" t="b">
        <v>0</v>
      </c>
      <c r="AB480" s="1" t="b">
        <v>0</v>
      </c>
      <c r="AC480" s="1" t="b">
        <v>0</v>
      </c>
      <c r="AD480" s="1" t="b">
        <v>1</v>
      </c>
      <c r="AE480" s="1" t="b">
        <v>1</v>
      </c>
      <c r="AF480" s="3"/>
      <c r="AG480" s="3"/>
      <c r="AH480" s="3"/>
      <c r="AI480" s="3"/>
      <c r="AJ480" s="2">
        <v>46048.72116898148</v>
      </c>
      <c r="AK480" s="2">
        <v>46049.72724537037</v>
      </c>
      <c r="AL480" s="2">
        <v>46048.72116898148</v>
      </c>
      <c r="AM480" s="2">
        <v>46048.72119212963</v>
      </c>
      <c r="AN480" s="2">
        <v>46048.722025462965</v>
      </c>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5">
        <v>4.2</v>
      </c>
      <c r="CR480" s="4" t="s">
        <v>1972</v>
      </c>
    </row>
    <row r="481">
      <c r="A481" s="1" t="s">
        <v>1973</v>
      </c>
      <c r="B481" s="2">
        <v>46048.71560185185</v>
      </c>
      <c r="C481" s="1" t="str">
        <f t="array" ref="C481">INDEX('User data'!E:E, MATCH(E481, 'User data'!B:B, 0))</f>
        <v>크레플 주식회사(CREFLE Inc.)</v>
      </c>
      <c r="D481" s="1" t="str">
        <f t="array" ref="D481">INDEX('User data'!F:F, MATCH(C481, 'User data'!E:E, 0))</f>
        <v>823-86-01560</v>
      </c>
      <c r="E481" s="1" t="s">
        <v>1850</v>
      </c>
      <c r="F481" s="3"/>
      <c r="G481" s="3"/>
      <c r="H481" s="3"/>
      <c r="I481" s="1" t="s">
        <v>1563</v>
      </c>
      <c r="J481" s="1" t="s">
        <v>100</v>
      </c>
      <c r="K481" s="1" t="s">
        <v>101</v>
      </c>
      <c r="L481" s="1" t="b">
        <v>0</v>
      </c>
      <c r="M481" s="4" t="s">
        <v>102</v>
      </c>
      <c r="N481" s="1" t="s">
        <v>1851</v>
      </c>
      <c r="O481" s="1">
        <v>574085.0</v>
      </c>
      <c r="P481" s="1">
        <v>574085.0</v>
      </c>
      <c r="Q481" s="1">
        <v>574085.0</v>
      </c>
      <c r="R481" s="1" t="s">
        <v>1674</v>
      </c>
      <c r="S481" s="1">
        <v>13285.0</v>
      </c>
      <c r="T481" s="1" t="s">
        <v>104</v>
      </c>
      <c r="U481" s="3"/>
      <c r="V481" s="3"/>
      <c r="W481" s="1" t="s">
        <v>118</v>
      </c>
      <c r="X481" s="3"/>
      <c r="Y481" s="1" t="s">
        <v>119</v>
      </c>
      <c r="Z481" s="3"/>
      <c r="AA481" s="1" t="b">
        <v>1</v>
      </c>
      <c r="AB481" s="1" t="b">
        <v>0</v>
      </c>
      <c r="AC481" s="1" t="b">
        <v>0</v>
      </c>
      <c r="AD481" s="1" t="b">
        <v>1</v>
      </c>
      <c r="AE481" s="1" t="b">
        <v>1</v>
      </c>
      <c r="AF481" s="5">
        <v>3.0</v>
      </c>
      <c r="AG481" s="5">
        <v>3.0</v>
      </c>
      <c r="AH481" s="3"/>
      <c r="AI481" s="3"/>
      <c r="AJ481" s="2">
        <v>46048.714907407404</v>
      </c>
      <c r="AK481" s="2">
        <v>46052.627858796295</v>
      </c>
      <c r="AL481" s="2">
        <v>46048.714907407404</v>
      </c>
      <c r="AM481" s="2">
        <v>46048.71493055556</v>
      </c>
      <c r="AN481" s="2">
        <v>46048.71560185185</v>
      </c>
      <c r="AO481" s="2">
        <v>46049.68565972222</v>
      </c>
      <c r="AP481" s="2">
        <v>46049.68565972222</v>
      </c>
      <c r="AQ481" s="2">
        <v>46049.68565972222</v>
      </c>
      <c r="AS481" s="2">
        <v>46049.6856712963</v>
      </c>
      <c r="AT481" s="2">
        <v>46049.68565972222</v>
      </c>
      <c r="AU481" s="2">
        <v>46049.6856712963</v>
      </c>
      <c r="AW481" s="3"/>
      <c r="AX481" s="2">
        <v>46049.6856712963</v>
      </c>
      <c r="AY481" s="2">
        <v>46049.6856712963</v>
      </c>
      <c r="AZ481" s="2">
        <v>46049.69583333333</v>
      </c>
      <c r="BA481" s="2">
        <v>46049.7009837963</v>
      </c>
      <c r="BC481" s="2">
        <v>46049.70119212963</v>
      </c>
      <c r="BD481" s="2">
        <v>46049.70119212963</v>
      </c>
      <c r="BE481" s="5">
        <v>1158.0</v>
      </c>
      <c r="BF481" s="5">
        <v>1158.0</v>
      </c>
      <c r="BG481" s="5">
        <v>386.0</v>
      </c>
      <c r="BH481" s="5">
        <v>386.0</v>
      </c>
      <c r="BI481" s="3"/>
      <c r="BJ481" s="3"/>
      <c r="BK481" s="5">
        <v>0.0</v>
      </c>
      <c r="BL481" s="5">
        <v>0.0</v>
      </c>
      <c r="BM481" s="5">
        <v>83813.0</v>
      </c>
      <c r="BN481" s="5">
        <v>19642.0</v>
      </c>
      <c r="BO481" s="5">
        <v>84691.0</v>
      </c>
      <c r="BP481" s="5">
        <v>20520.0</v>
      </c>
      <c r="BQ481" s="5">
        <v>84749.0</v>
      </c>
      <c r="BR481" s="5">
        <v>20520.0</v>
      </c>
      <c r="BS481" s="5">
        <v>878.0</v>
      </c>
      <c r="BT481" s="5">
        <v>878.0</v>
      </c>
      <c r="BU481" s="5">
        <v>878.0</v>
      </c>
      <c r="BV481" s="5">
        <v>878.0</v>
      </c>
      <c r="BW481" s="5">
        <v>878.0</v>
      </c>
      <c r="BX481" s="5">
        <v>878.0</v>
      </c>
      <c r="BY481" s="5">
        <v>85154.0</v>
      </c>
      <c r="BZ481" s="5">
        <v>20983.0</v>
      </c>
      <c r="CA481" s="5">
        <v>85154.0</v>
      </c>
      <c r="CB481" s="5">
        <v>20983.0</v>
      </c>
      <c r="CC481" s="5">
        <v>85212.0</v>
      </c>
      <c r="CD481" s="5">
        <v>20983.0</v>
      </c>
      <c r="CE481" s="5">
        <v>1341.0</v>
      </c>
      <c r="CF481" s="5">
        <v>1341.0</v>
      </c>
      <c r="CG481" s="5">
        <v>1341.0</v>
      </c>
      <c r="CH481" s="5">
        <v>1341.0</v>
      </c>
      <c r="CI481" s="5">
        <v>1341.0</v>
      </c>
      <c r="CJ481" s="5">
        <v>1341.0</v>
      </c>
      <c r="CK481" s="5">
        <v>1341.0</v>
      </c>
      <c r="CL481" s="5">
        <v>1341.0</v>
      </c>
      <c r="CM481" s="5">
        <v>1341.0</v>
      </c>
      <c r="CN481" s="5">
        <v>1341.0</v>
      </c>
      <c r="CO481" s="5">
        <v>83873.0</v>
      </c>
      <c r="CP481" s="5">
        <v>83813.0</v>
      </c>
      <c r="CQ481" s="3"/>
      <c r="CR481" s="4" t="s">
        <v>1974</v>
      </c>
    </row>
    <row r="482">
      <c r="A482" s="1" t="s">
        <v>1975</v>
      </c>
      <c r="B482" s="2">
        <v>46048.70009259259</v>
      </c>
      <c r="C482" s="1" t="str">
        <f t="array" ref="C482">INDEX('User data'!E:E, MATCH(E482, 'User data'!B:B, 0))</f>
        <v>주식회사 아크로스테크놀로지스</v>
      </c>
      <c r="D482" s="1" t="str">
        <f t="array" ref="D482">INDEX('User data'!F:F, MATCH(C482, 'User data'!E:E, 0))</f>
        <v>160-88-02104</v>
      </c>
      <c r="E482" s="1" t="s">
        <v>1976</v>
      </c>
      <c r="F482" s="3"/>
      <c r="G482" s="3"/>
      <c r="H482" s="3"/>
      <c r="I482" s="3"/>
      <c r="J482" s="1" t="s">
        <v>100</v>
      </c>
      <c r="K482" s="1" t="s">
        <v>101</v>
      </c>
      <c r="L482" s="1" t="b">
        <v>0</v>
      </c>
      <c r="M482" s="4" t="s">
        <v>102</v>
      </c>
      <c r="N482" s="1" t="s">
        <v>1977</v>
      </c>
      <c r="P482" s="3"/>
      <c r="Q482" s="3"/>
      <c r="R482" s="3"/>
      <c r="S482" s="1">
        <v>13285.0</v>
      </c>
      <c r="T482" s="1" t="s">
        <v>104</v>
      </c>
      <c r="U482" s="3"/>
      <c r="V482" s="3"/>
      <c r="W482" s="1" t="s">
        <v>105</v>
      </c>
      <c r="X482" s="3"/>
      <c r="Y482" s="1" t="s">
        <v>106</v>
      </c>
      <c r="Z482" s="3"/>
      <c r="AA482" s="1" t="b">
        <v>0</v>
      </c>
      <c r="AB482" s="1" t="b">
        <v>0</v>
      </c>
      <c r="AC482" s="1" t="b">
        <v>0</v>
      </c>
      <c r="AD482" s="1" t="b">
        <v>1</v>
      </c>
      <c r="AE482" s="1" t="b">
        <v>1</v>
      </c>
      <c r="AF482" s="3"/>
      <c r="AG482" s="3"/>
      <c r="AH482" s="3"/>
      <c r="AI482" s="3"/>
      <c r="AJ482" s="2">
        <v>46048.699849537035</v>
      </c>
      <c r="AK482" s="2">
        <v>46049.700150462966</v>
      </c>
      <c r="AL482" s="2">
        <v>46048.699849537035</v>
      </c>
      <c r="AM482" s="2">
        <v>46048.69987268518</v>
      </c>
      <c r="AN482" s="2">
        <v>46048.70009259259</v>
      </c>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5">
        <v>2.2</v>
      </c>
      <c r="CR482" s="4" t="s">
        <v>1978</v>
      </c>
    </row>
    <row r="483">
      <c r="A483" s="1" t="s">
        <v>1979</v>
      </c>
      <c r="B483" s="2">
        <v>46048.698599537034</v>
      </c>
      <c r="C483" s="1" t="str">
        <f t="array" ref="C483">INDEX('User data'!E:E, MATCH(E483, 'User data'!B:B, 0))</f>
        <v>주식회사 아크로스테크놀로지스</v>
      </c>
      <c r="D483" s="1" t="str">
        <f t="array" ref="D483">INDEX('User data'!F:F, MATCH(C483, 'User data'!E:E, 0))</f>
        <v>160-88-02104</v>
      </c>
      <c r="E483" s="1" t="s">
        <v>1976</v>
      </c>
      <c r="F483" s="3"/>
      <c r="G483" s="3"/>
      <c r="H483" s="3"/>
      <c r="I483" s="1" t="s">
        <v>1980</v>
      </c>
      <c r="J483" s="1" t="s">
        <v>100</v>
      </c>
      <c r="K483" s="1" t="s">
        <v>101</v>
      </c>
      <c r="L483" s="1" t="b">
        <v>0</v>
      </c>
      <c r="M483" s="4" t="s">
        <v>102</v>
      </c>
      <c r="N483" s="1" t="s">
        <v>1977</v>
      </c>
      <c r="O483" s="1">
        <v>506375.0</v>
      </c>
      <c r="P483" s="1">
        <v>506375.0</v>
      </c>
      <c r="Q483" s="3"/>
      <c r="R483" s="1" t="s">
        <v>1674</v>
      </c>
      <c r="S483" s="1">
        <v>13285.0</v>
      </c>
      <c r="T483" s="1" t="s">
        <v>104</v>
      </c>
      <c r="U483" s="3"/>
      <c r="V483" s="3"/>
      <c r="W483" s="1" t="s">
        <v>118</v>
      </c>
      <c r="X483" s="3"/>
      <c r="Y483" s="1" t="s">
        <v>119</v>
      </c>
      <c r="Z483" s="3"/>
      <c r="AA483" s="1" t="b">
        <v>1</v>
      </c>
      <c r="AB483" s="1" t="b">
        <v>0</v>
      </c>
      <c r="AC483" s="1" t="b">
        <v>0</v>
      </c>
      <c r="AD483" s="1" t="b">
        <v>1</v>
      </c>
      <c r="AE483" s="1" t="b">
        <v>1</v>
      </c>
      <c r="AF483" s="5">
        <v>2.0</v>
      </c>
      <c r="AG483" s="3"/>
      <c r="AH483" s="5">
        <v>0.0</v>
      </c>
      <c r="AI483" s="3"/>
      <c r="AJ483" s="2">
        <v>46048.69788194444</v>
      </c>
      <c r="AK483" s="2">
        <v>46052.52837962963</v>
      </c>
      <c r="AL483" s="2">
        <v>46048.69788194444</v>
      </c>
      <c r="AM483" s="2">
        <v>46048.697905092595</v>
      </c>
      <c r="AN483" s="2">
        <v>46048.698599537034</v>
      </c>
      <c r="AO483" s="2">
        <v>46048.7103125</v>
      </c>
      <c r="AP483" s="2">
        <v>46048.7103125</v>
      </c>
      <c r="AR483" s="3"/>
      <c r="AS483" s="3"/>
      <c r="AT483" s="2">
        <v>46048.7103125</v>
      </c>
      <c r="AU483" s="2">
        <v>46048.7103125</v>
      </c>
      <c r="AW483" s="3"/>
      <c r="AX483" s="2">
        <v>46048.70576388889</v>
      </c>
      <c r="AY483" s="2">
        <v>46048.7103125</v>
      </c>
      <c r="AZ483" s="2">
        <v>46048.7103125</v>
      </c>
      <c r="BA483" s="2">
        <v>46048.71608796297</v>
      </c>
      <c r="BC483" s="2">
        <v>46048.699791666666</v>
      </c>
      <c r="BD483" s="2">
        <v>46052.48670138889</v>
      </c>
      <c r="BE483" s="5">
        <v>207.0</v>
      </c>
      <c r="BF483" s="3"/>
      <c r="BG483" s="5">
        <v>103.0</v>
      </c>
      <c r="BH483" s="3"/>
      <c r="BI483" s="3"/>
      <c r="BJ483" s="3"/>
      <c r="BK483" s="3"/>
      <c r="BL483" s="3"/>
      <c r="BM483" s="5">
        <v>618.0</v>
      </c>
      <c r="BN483" s="5">
        <v>618.0</v>
      </c>
      <c r="BO483" s="5">
        <v>1011.0</v>
      </c>
      <c r="BP483" s="5">
        <v>840.0</v>
      </c>
      <c r="BQ483" s="5">
        <v>1071.0</v>
      </c>
      <c r="BR483" s="5">
        <v>900.0</v>
      </c>
      <c r="BS483" s="5">
        <v>392.0</v>
      </c>
      <c r="BT483" s="5">
        <v>221.0</v>
      </c>
      <c r="BU483" s="3"/>
      <c r="BV483" s="3"/>
      <c r="BW483" s="5">
        <v>0.0</v>
      </c>
      <c r="BX483" s="3"/>
      <c r="BY483" s="5">
        <v>102.0</v>
      </c>
      <c r="BZ483" s="5">
        <v>102.0</v>
      </c>
      <c r="CA483" s="5">
        <v>327291.0</v>
      </c>
      <c r="CB483" s="5">
        <v>71691.0</v>
      </c>
      <c r="CC483" s="5">
        <v>162.0</v>
      </c>
      <c r="CD483" s="5">
        <v>162.0</v>
      </c>
      <c r="CE483" s="3"/>
      <c r="CF483" s="3"/>
      <c r="CG483" s="3"/>
      <c r="CH483" s="3"/>
      <c r="CI483" s="5">
        <v>0.0</v>
      </c>
      <c r="CJ483" s="3"/>
      <c r="CK483" s="5">
        <v>325371.0</v>
      </c>
      <c r="CL483" s="5">
        <v>70113.0</v>
      </c>
      <c r="CM483" s="3"/>
      <c r="CN483" s="3"/>
      <c r="CO483" s="5">
        <v>1073.0</v>
      </c>
      <c r="CP483" s="5">
        <v>1011.0</v>
      </c>
      <c r="CQ483" s="3"/>
      <c r="CR483" s="4" t="s">
        <v>1981</v>
      </c>
    </row>
    <row r="484">
      <c r="A484" s="1" t="s">
        <v>1982</v>
      </c>
      <c r="B484" s="2">
        <v>46048.58708333333</v>
      </c>
      <c r="C484" s="1" t="str">
        <f t="array" ref="C484">INDEX('User data'!E:E, MATCH(E484, 'User data'!B:B, 0))</f>
        <v>(주)튜링</v>
      </c>
      <c r="D484" s="1" t="str">
        <f t="array" ref="D484">INDEX('User data'!F:F, MATCH(C484, 'User data'!E:E, 0))</f>
        <v>254-87-01382</v>
      </c>
      <c r="E484" s="1" t="s">
        <v>1952</v>
      </c>
      <c r="F484" s="3"/>
      <c r="G484" s="3"/>
      <c r="H484" s="3"/>
      <c r="I484" s="3"/>
      <c r="J484" s="1" t="s">
        <v>100</v>
      </c>
      <c r="K484" s="1" t="s">
        <v>101</v>
      </c>
      <c r="L484" s="1" t="b">
        <v>0</v>
      </c>
      <c r="M484" s="4" t="s">
        <v>180</v>
      </c>
      <c r="N484" s="1" t="s">
        <v>1953</v>
      </c>
      <c r="P484" s="3"/>
      <c r="Q484" s="3"/>
      <c r="R484" s="3"/>
      <c r="S484" s="1">
        <v>13285.0</v>
      </c>
      <c r="T484" s="1" t="s">
        <v>104</v>
      </c>
      <c r="U484" s="3"/>
      <c r="V484" s="3"/>
      <c r="W484" s="1" t="s">
        <v>105</v>
      </c>
      <c r="X484" s="3"/>
      <c r="Y484" s="1" t="s">
        <v>106</v>
      </c>
      <c r="Z484" s="3"/>
      <c r="AA484" s="1" t="b">
        <v>0</v>
      </c>
      <c r="AB484" s="1" t="b">
        <v>0</v>
      </c>
      <c r="AC484" s="1" t="b">
        <v>0</v>
      </c>
      <c r="AD484" s="1" t="b">
        <v>1</v>
      </c>
      <c r="AE484" s="1" t="b">
        <v>1</v>
      </c>
      <c r="AF484" s="3"/>
      <c r="AG484" s="3"/>
      <c r="AH484" s="3"/>
      <c r="AI484" s="3"/>
      <c r="AJ484" s="2">
        <v>46048.58594907408</v>
      </c>
      <c r="AK484" s="2">
        <v>46049.587488425925</v>
      </c>
      <c r="AL484" s="2">
        <v>46048.585960648146</v>
      </c>
      <c r="AM484" s="2">
        <v>46048.58599537037</v>
      </c>
      <c r="AN484" s="2">
        <v>46048.58708333333</v>
      </c>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5">
        <v>2.4</v>
      </c>
      <c r="CR484" s="4" t="s">
        <v>1983</v>
      </c>
    </row>
    <row r="485">
      <c r="A485" s="1" t="s">
        <v>1984</v>
      </c>
      <c r="B485" s="2">
        <v>46048.577060185184</v>
      </c>
      <c r="C485" s="1" t="str">
        <f t="array" ref="C485">INDEX('User data'!E:E, MATCH(E485, 'User data'!B:B, 0))</f>
        <v>니드코리아 유한회사</v>
      </c>
      <c r="D485" s="1" t="str">
        <f t="array" ref="D485">INDEX('User data'!F:F, MATCH(C485, 'User data'!E:E, 0))</f>
        <v>701-88-01906</v>
      </c>
      <c r="E485" s="1" t="s">
        <v>1985</v>
      </c>
      <c r="F485" s="3"/>
      <c r="G485" s="3"/>
      <c r="H485" s="3"/>
      <c r="I485" s="3"/>
      <c r="J485" s="1" t="s">
        <v>100</v>
      </c>
      <c r="K485" s="1" t="s">
        <v>101</v>
      </c>
      <c r="L485" s="1" t="b">
        <v>0</v>
      </c>
      <c r="M485" s="4" t="s">
        <v>102</v>
      </c>
      <c r="N485" s="1" t="s">
        <v>1986</v>
      </c>
      <c r="P485" s="3"/>
      <c r="Q485" s="3"/>
      <c r="R485" s="3"/>
      <c r="S485" s="1">
        <v>13285.0</v>
      </c>
      <c r="T485" s="1" t="s">
        <v>104</v>
      </c>
      <c r="U485" s="3"/>
      <c r="V485" s="3"/>
      <c r="W485" s="1" t="s">
        <v>105</v>
      </c>
      <c r="X485" s="3"/>
      <c r="Y485" s="1" t="s">
        <v>106</v>
      </c>
      <c r="Z485" s="3"/>
      <c r="AA485" s="1" t="b">
        <v>0</v>
      </c>
      <c r="AB485" s="1" t="b">
        <v>0</v>
      </c>
      <c r="AC485" s="1" t="b">
        <v>0</v>
      </c>
      <c r="AD485" s="1" t="b">
        <v>1</v>
      </c>
      <c r="AE485" s="1" t="b">
        <v>1</v>
      </c>
      <c r="AF485" s="3"/>
      <c r="AG485" s="3"/>
      <c r="AH485" s="3"/>
      <c r="AI485" s="3"/>
      <c r="AJ485" s="2">
        <v>46048.57638888889</v>
      </c>
      <c r="AK485" s="2">
        <v>46049.577685185184</v>
      </c>
      <c r="AL485" s="2">
        <v>46048.57638888889</v>
      </c>
      <c r="AM485" s="2">
        <v>46048.57640046296</v>
      </c>
      <c r="AN485" s="2">
        <v>46048.577060185184</v>
      </c>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5">
        <v>1.6</v>
      </c>
      <c r="CR485" s="4" t="s">
        <v>1987</v>
      </c>
    </row>
    <row r="486">
      <c r="A486" s="1" t="s">
        <v>1988</v>
      </c>
      <c r="B486" s="2">
        <v>46048.575590277775</v>
      </c>
      <c r="C486" s="1" t="str">
        <f t="array" ref="C486">INDEX('User data'!E:E, MATCH(E486, 'User data'!B:B, 0))</f>
        <v>니드코리아 유한회사</v>
      </c>
      <c r="D486" s="1" t="str">
        <f t="array" ref="D486">INDEX('User data'!F:F, MATCH(C486, 'User data'!E:E, 0))</f>
        <v>701-88-01906</v>
      </c>
      <c r="E486" s="1" t="s">
        <v>1985</v>
      </c>
      <c r="F486" s="3"/>
      <c r="G486" s="3"/>
      <c r="H486" s="3"/>
      <c r="I486" s="3"/>
      <c r="J486" s="1" t="s">
        <v>100</v>
      </c>
      <c r="K486" s="1" t="s">
        <v>101</v>
      </c>
      <c r="L486" s="1" t="b">
        <v>0</v>
      </c>
      <c r="M486" s="4" t="s">
        <v>102</v>
      </c>
      <c r="N486" s="1" t="s">
        <v>1986</v>
      </c>
      <c r="P486" s="3"/>
      <c r="Q486" s="3"/>
      <c r="R486" s="3"/>
      <c r="S486" s="1">
        <v>13285.0</v>
      </c>
      <c r="T486" s="1" t="s">
        <v>104</v>
      </c>
      <c r="U486" s="3"/>
      <c r="V486" s="3"/>
      <c r="W486" s="1" t="s">
        <v>105</v>
      </c>
      <c r="X486" s="3"/>
      <c r="Y486" s="1" t="s">
        <v>106</v>
      </c>
      <c r="Z486" s="3"/>
      <c r="AA486" s="1" t="b">
        <v>0</v>
      </c>
      <c r="AB486" s="1" t="b">
        <v>0</v>
      </c>
      <c r="AC486" s="1" t="b">
        <v>0</v>
      </c>
      <c r="AD486" s="1" t="b">
        <v>1</v>
      </c>
      <c r="AE486" s="1" t="b">
        <v>1</v>
      </c>
      <c r="AF486" s="3"/>
      <c r="AG486" s="3"/>
      <c r="AH486" s="3"/>
      <c r="AI486" s="3"/>
      <c r="AJ486" s="2">
        <v>46048.57451388889</v>
      </c>
      <c r="AK486" s="2">
        <v>46049.576145833336</v>
      </c>
      <c r="AL486" s="2">
        <v>46048.57451388889</v>
      </c>
      <c r="AM486" s="2">
        <v>46048.574537037035</v>
      </c>
      <c r="AN486" s="2">
        <v>46048.575590277775</v>
      </c>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5">
        <v>1.4</v>
      </c>
      <c r="CR486" s="4" t="s">
        <v>1989</v>
      </c>
    </row>
    <row r="487">
      <c r="A487" s="1" t="s">
        <v>1990</v>
      </c>
      <c r="B487" s="2">
        <v>46048.538402777776</v>
      </c>
      <c r="C487" s="1" t="str">
        <f t="array" ref="C487">INDEX('User data'!E:E, MATCH(E487, 'User data'!B:B, 0))</f>
        <v>메이저월드</v>
      </c>
      <c r="D487" s="1" t="str">
        <f t="array" ref="D487">INDEX('User data'!F:F, MATCH(C487, 'User data'!E:E, 0))</f>
        <v/>
      </c>
      <c r="E487" s="1" t="s">
        <v>1991</v>
      </c>
      <c r="F487" s="3"/>
      <c r="G487" s="3"/>
      <c r="H487" s="3"/>
      <c r="I487" s="1" t="s">
        <v>258</v>
      </c>
      <c r="J487" s="1" t="s">
        <v>100</v>
      </c>
      <c r="K487" s="1" t="s">
        <v>101</v>
      </c>
      <c r="L487" s="1" t="b">
        <v>0</v>
      </c>
      <c r="M487" s="4" t="s">
        <v>102</v>
      </c>
      <c r="N487" s="1" t="s">
        <v>1992</v>
      </c>
      <c r="O487" s="1">
        <v>594863.0</v>
      </c>
      <c r="P487" s="1">
        <v>594863.0</v>
      </c>
      <c r="Q487" s="1">
        <v>594863.0</v>
      </c>
      <c r="R487" s="1" t="s">
        <v>1022</v>
      </c>
      <c r="S487" s="1">
        <v>13288.0</v>
      </c>
      <c r="T487" s="1" t="s">
        <v>104</v>
      </c>
      <c r="U487" s="3"/>
      <c r="V487" s="3"/>
      <c r="W487" s="1" t="s">
        <v>118</v>
      </c>
      <c r="X487" s="3"/>
      <c r="Y487" s="1" t="s">
        <v>119</v>
      </c>
      <c r="Z487" s="3"/>
      <c r="AA487" s="1" t="b">
        <v>1</v>
      </c>
      <c r="AB487" s="1" t="b">
        <v>0</v>
      </c>
      <c r="AC487" s="1" t="b">
        <v>0</v>
      </c>
      <c r="AD487" s="1" t="b">
        <v>1</v>
      </c>
      <c r="AE487" s="1" t="b">
        <v>0</v>
      </c>
      <c r="AF487" s="5">
        <v>1.0</v>
      </c>
      <c r="AG487" s="3"/>
      <c r="AH487" s="3"/>
      <c r="AI487" s="3"/>
      <c r="AJ487" s="2">
        <v>46048.46364583333</v>
      </c>
      <c r="AK487" s="2">
        <v>46049.64141203704</v>
      </c>
      <c r="AL487" s="2">
        <v>46048.46364583333</v>
      </c>
      <c r="AM487" s="2">
        <v>46048.46366898148</v>
      </c>
      <c r="AO487" s="3"/>
      <c r="AP487" s="2">
        <v>46048.46570601852</v>
      </c>
      <c r="AR487" s="3"/>
      <c r="AS487" s="3"/>
      <c r="AT487" s="2">
        <v>46048.538402777776</v>
      </c>
      <c r="AU487" s="2">
        <v>46048.538402777776</v>
      </c>
      <c r="AW487" s="3"/>
      <c r="AX487" s="2">
        <v>46048.463796296295</v>
      </c>
      <c r="AY487" s="2">
        <v>46048.538402777776</v>
      </c>
      <c r="AZ487" s="2">
        <v>46048.60975694445</v>
      </c>
      <c r="BA487" s="2">
        <v>46048.60975694445</v>
      </c>
      <c r="BC487" s="2">
        <v>46049.5997337963</v>
      </c>
      <c r="BD487" s="2">
        <v>46049.5997337963</v>
      </c>
      <c r="BE487" s="5">
        <v>6164.0</v>
      </c>
      <c r="BF487" s="3"/>
      <c r="BG487" s="5">
        <v>6164.0</v>
      </c>
      <c r="BH487" s="3"/>
      <c r="BI487" s="3"/>
      <c r="BJ487" s="3"/>
      <c r="BK487" s="3"/>
      <c r="BL487" s="3"/>
      <c r="BM487" s="3"/>
      <c r="BN487" s="3"/>
      <c r="BO487" s="5">
        <v>6164.0</v>
      </c>
      <c r="BP487" s="5">
        <v>4083.0</v>
      </c>
      <c r="BQ487" s="5">
        <v>12621.0</v>
      </c>
      <c r="BR487" s="5">
        <v>9021.0</v>
      </c>
      <c r="BS487" s="5">
        <v>12611.0</v>
      </c>
      <c r="BT487" s="5">
        <v>9011.0</v>
      </c>
      <c r="BU487" s="5">
        <v>6164.0</v>
      </c>
      <c r="BV487" s="5">
        <v>4083.0</v>
      </c>
      <c r="BW487" s="5">
        <v>6164.0</v>
      </c>
      <c r="BX487" s="5">
        <v>4083.0</v>
      </c>
      <c r="BY487" s="5">
        <v>91699.0</v>
      </c>
      <c r="BZ487" s="5">
        <v>24817.0</v>
      </c>
      <c r="CA487" s="5">
        <v>91699.0</v>
      </c>
      <c r="CB487" s="5">
        <v>24817.0</v>
      </c>
      <c r="CC487" s="5">
        <v>98156.0</v>
      </c>
      <c r="CD487" s="5">
        <v>29756.0</v>
      </c>
      <c r="CE487" s="5">
        <v>98145.0</v>
      </c>
      <c r="CF487" s="5">
        <v>29745.0</v>
      </c>
      <c r="CG487" s="5">
        <v>91699.0</v>
      </c>
      <c r="CH487" s="5">
        <v>24817.0</v>
      </c>
      <c r="CI487" s="5">
        <v>91699.0</v>
      </c>
      <c r="CJ487" s="5">
        <v>24817.0</v>
      </c>
      <c r="CK487" s="5">
        <v>91699.0</v>
      </c>
      <c r="CL487" s="5">
        <v>24817.0</v>
      </c>
      <c r="CM487" s="5">
        <v>91699.0</v>
      </c>
      <c r="CN487" s="5">
        <v>24817.0</v>
      </c>
      <c r="CO487" s="5">
        <v>177.0</v>
      </c>
      <c r="CP487" s="3"/>
      <c r="CQ487" s="3"/>
      <c r="CR487" s="4" t="s">
        <v>1993</v>
      </c>
    </row>
    <row r="488">
      <c r="A488" s="1" t="s">
        <v>1994</v>
      </c>
      <c r="B488" s="2">
        <v>46048.53822916667</v>
      </c>
      <c r="C488" s="1" t="str">
        <f t="array" ref="C488">INDEX('User data'!E:E, MATCH(E488, 'User data'!B:B, 0))</f>
        <v>킨도프 주식회사</v>
      </c>
      <c r="D488" s="1" t="str">
        <f t="array" ref="D488">INDEX('User data'!F:F, MATCH(C488, 'User data'!E:E, 0))</f>
        <v>373-81-03113</v>
      </c>
      <c r="E488" s="1" t="s">
        <v>1995</v>
      </c>
      <c r="F488" s="3"/>
      <c r="G488" s="3"/>
      <c r="H488" s="3"/>
      <c r="I488" s="1" t="s">
        <v>1907</v>
      </c>
      <c r="J488" s="1" t="s">
        <v>100</v>
      </c>
      <c r="K488" s="1" t="s">
        <v>101</v>
      </c>
      <c r="L488" s="1" t="b">
        <v>0</v>
      </c>
      <c r="M488" s="4" t="s">
        <v>102</v>
      </c>
      <c r="N488" s="1" t="s">
        <v>1996</v>
      </c>
      <c r="O488" s="1">
        <v>574085.0</v>
      </c>
      <c r="P488" s="1">
        <v>574085.0</v>
      </c>
      <c r="Q488" s="1">
        <v>574085.0</v>
      </c>
      <c r="R488" s="1" t="s">
        <v>1674</v>
      </c>
      <c r="S488" s="1">
        <v>13285.0</v>
      </c>
      <c r="T488" s="1" t="s">
        <v>104</v>
      </c>
      <c r="U488" s="3"/>
      <c r="V488" s="3"/>
      <c r="W488" s="1" t="s">
        <v>118</v>
      </c>
      <c r="X488" s="3"/>
      <c r="Y488" s="1" t="s">
        <v>119</v>
      </c>
      <c r="Z488" s="3"/>
      <c r="AA488" s="1" t="b">
        <v>1</v>
      </c>
      <c r="AB488" s="1" t="b">
        <v>0</v>
      </c>
      <c r="AC488" s="1" t="b">
        <v>0</v>
      </c>
      <c r="AD488" s="1" t="b">
        <v>1</v>
      </c>
      <c r="AE488" s="1" t="b">
        <v>1</v>
      </c>
      <c r="AF488" s="5">
        <v>2.0</v>
      </c>
      <c r="AG488" s="3"/>
      <c r="AH488" s="3"/>
      <c r="AI488" s="3"/>
      <c r="AJ488" s="2">
        <v>46048.53770833334</v>
      </c>
      <c r="AK488" s="2">
        <v>46052.52846064815</v>
      </c>
      <c r="AL488" s="2">
        <v>46048.53770833334</v>
      </c>
      <c r="AM488" s="2">
        <v>46048.53773148148</v>
      </c>
      <c r="AN488" s="2">
        <v>46048.53822916667</v>
      </c>
      <c r="AO488" s="2">
        <v>46048.53826388889</v>
      </c>
      <c r="AP488" s="2">
        <v>46048.53826388889</v>
      </c>
      <c r="AQ488" s="2">
        <v>46048.53854166667</v>
      </c>
      <c r="AS488" s="2">
        <v>46048.53855324074</v>
      </c>
      <c r="AT488" s="2">
        <v>46048.53854166667</v>
      </c>
      <c r="AU488" s="2">
        <v>46048.53855324074</v>
      </c>
      <c r="AW488" s="3"/>
      <c r="AX488" s="2">
        <v>46048.53855324074</v>
      </c>
      <c r="AY488" s="2">
        <v>46048.53855324074</v>
      </c>
      <c r="AZ488" s="2">
        <v>46048.578368055554</v>
      </c>
      <c r="BA488" s="2">
        <v>46048.7415625</v>
      </c>
      <c r="BC488" s="2">
        <v>46052.48678240741</v>
      </c>
      <c r="BD488" s="2">
        <v>46052.48678240741</v>
      </c>
      <c r="BE488" s="5">
        <v>14448.0</v>
      </c>
      <c r="BF488" s="3"/>
      <c r="BG488" s="5">
        <v>7224.0</v>
      </c>
      <c r="BH488" s="3"/>
      <c r="BI488" s="3"/>
      <c r="BJ488" s="3"/>
      <c r="BK488" s="5">
        <v>0.0</v>
      </c>
      <c r="BL488" s="5">
        <v>0.0</v>
      </c>
      <c r="BM488" s="5">
        <v>28.0</v>
      </c>
      <c r="BN488" s="5">
        <v>0.0</v>
      </c>
      <c r="BO488" s="5">
        <v>3468.0</v>
      </c>
      <c r="BP488" s="5">
        <v>1371.0</v>
      </c>
      <c r="BQ488" s="5">
        <v>3511.0</v>
      </c>
      <c r="BR488" s="5">
        <v>1371.0</v>
      </c>
      <c r="BS488" s="5">
        <v>3440.0</v>
      </c>
      <c r="BT488" s="5">
        <v>1371.0</v>
      </c>
      <c r="BU488" s="5">
        <v>3440.0</v>
      </c>
      <c r="BV488" s="5">
        <v>1371.0</v>
      </c>
      <c r="BW488" s="5">
        <v>3441.0</v>
      </c>
      <c r="BX488" s="5">
        <v>1371.0</v>
      </c>
      <c r="BY488" s="5">
        <v>341155.0</v>
      </c>
      <c r="BZ488" s="5">
        <v>83458.0</v>
      </c>
      <c r="CA488" s="5">
        <v>341155.0</v>
      </c>
      <c r="CB488" s="5">
        <v>83458.0</v>
      </c>
      <c r="CC488" s="5">
        <v>341198.0</v>
      </c>
      <c r="CD488" s="5">
        <v>83458.0</v>
      </c>
      <c r="CE488" s="5">
        <v>341127.0</v>
      </c>
      <c r="CF488" s="5">
        <v>83458.0</v>
      </c>
      <c r="CG488" s="5">
        <v>341127.0</v>
      </c>
      <c r="CH488" s="5">
        <v>83458.0</v>
      </c>
      <c r="CI488" s="5">
        <v>341128.0</v>
      </c>
      <c r="CJ488" s="5">
        <v>83458.0</v>
      </c>
      <c r="CK488" s="5">
        <v>341127.0</v>
      </c>
      <c r="CL488" s="5">
        <v>83458.0</v>
      </c>
      <c r="CM488" s="5">
        <v>341127.0</v>
      </c>
      <c r="CN488" s="5">
        <v>83458.0</v>
      </c>
      <c r="CO488" s="5">
        <v>48.0</v>
      </c>
      <c r="CP488" s="5">
        <v>2.0</v>
      </c>
      <c r="CQ488" s="3"/>
      <c r="CR488" s="4" t="s">
        <v>1997</v>
      </c>
    </row>
    <row r="489">
      <c r="A489" s="1" t="s">
        <v>1998</v>
      </c>
      <c r="B489" s="2">
        <v>46048.522465277776</v>
      </c>
      <c r="C489" s="1" t="str">
        <f t="array" ref="C489">INDEX('User data'!E:E, MATCH(E489, 'User data'!B:B, 0))</f>
        <v>(주) 마플코퍼레이션</v>
      </c>
      <c r="D489" s="1" t="str">
        <f t="array" ref="D489">INDEX('User data'!F:F, MATCH(C489, 'User data'!E:E, 0))</f>
        <v>105-88-13322</v>
      </c>
      <c r="E489" s="1" t="s">
        <v>1999</v>
      </c>
      <c r="F489" s="3"/>
      <c r="G489" s="3"/>
      <c r="H489" s="3"/>
      <c r="I489" s="1" t="s">
        <v>306</v>
      </c>
      <c r="J489" s="1" t="s">
        <v>100</v>
      </c>
      <c r="K489" s="1" t="s">
        <v>101</v>
      </c>
      <c r="L489" s="1" t="b">
        <v>0</v>
      </c>
      <c r="M489" s="4" t="s">
        <v>102</v>
      </c>
      <c r="N489" s="1" t="s">
        <v>2000</v>
      </c>
      <c r="O489" s="1">
        <v>574085.0</v>
      </c>
      <c r="P489" s="1">
        <v>574085.0</v>
      </c>
      <c r="Q489" s="1">
        <v>574085.0</v>
      </c>
      <c r="R489" s="1" t="s">
        <v>1674</v>
      </c>
      <c r="S489" s="1">
        <v>13285.0</v>
      </c>
      <c r="T489" s="1" t="s">
        <v>104</v>
      </c>
      <c r="U489" s="3"/>
      <c r="V489" s="3"/>
      <c r="W489" s="1" t="s">
        <v>118</v>
      </c>
      <c r="X489" s="3"/>
      <c r="Y489" s="1" t="s">
        <v>119</v>
      </c>
      <c r="Z489" s="3"/>
      <c r="AA489" s="1" t="b">
        <v>1</v>
      </c>
      <c r="AB489" s="1" t="b">
        <v>0</v>
      </c>
      <c r="AC489" s="1" t="b">
        <v>0</v>
      </c>
      <c r="AD489" s="1" t="b">
        <v>1</v>
      </c>
      <c r="AE489" s="1" t="b">
        <v>0</v>
      </c>
      <c r="AF489" s="5">
        <v>3.0</v>
      </c>
      <c r="AG489" s="5">
        <v>2.0</v>
      </c>
      <c r="AH489" s="3"/>
      <c r="AI489" s="3"/>
      <c r="AJ489" s="2">
        <v>46048.52175925926</v>
      </c>
      <c r="AK489" s="2">
        <v>46052.69079861111</v>
      </c>
      <c r="AL489" s="2">
        <v>46048.52175925926</v>
      </c>
      <c r="AM489" s="2">
        <v>46048.52180555555</v>
      </c>
      <c r="AO489" s="3"/>
      <c r="AP489" s="2">
        <v>46048.5221875</v>
      </c>
      <c r="AQ489" s="2">
        <v>46048.522465277776</v>
      </c>
      <c r="AS489" s="2">
        <v>46048.52247685185</v>
      </c>
      <c r="AT489" s="2">
        <v>46048.522465277776</v>
      </c>
      <c r="AU489" s="2">
        <v>46048.52247685185</v>
      </c>
      <c r="AW489" s="3"/>
      <c r="AX489" s="2">
        <v>46048.52247685185</v>
      </c>
      <c r="AY489" s="2">
        <v>46048.52247685185</v>
      </c>
      <c r="AZ489" s="2">
        <v>46048.5778587963</v>
      </c>
      <c r="BA489" s="2">
        <v>46048.59449074074</v>
      </c>
      <c r="BC489" s="2">
        <v>46052.48643518519</v>
      </c>
      <c r="BD489" s="2">
        <v>46052.48643518519</v>
      </c>
      <c r="BE489" s="5">
        <v>5480.0</v>
      </c>
      <c r="BF489" s="5">
        <v>694.0</v>
      </c>
      <c r="BG489" s="5">
        <v>1826.0</v>
      </c>
      <c r="BH489" s="5">
        <v>347.0</v>
      </c>
      <c r="BI489" s="3"/>
      <c r="BJ489" s="3"/>
      <c r="BK489" s="5">
        <v>0.0</v>
      </c>
      <c r="BL489" s="5">
        <v>0.0</v>
      </c>
      <c r="BM489" s="5">
        <v>0.0</v>
      </c>
      <c r="BN489" s="5">
        <v>0.0</v>
      </c>
      <c r="BO489" s="5">
        <v>4785.0</v>
      </c>
      <c r="BP489" s="5">
        <v>1327.0</v>
      </c>
      <c r="BQ489" s="5">
        <v>4842.0</v>
      </c>
      <c r="BR489" s="5">
        <v>1327.0</v>
      </c>
      <c r="BS489" s="5">
        <v>4785.0</v>
      </c>
      <c r="BT489" s="5">
        <v>1327.0</v>
      </c>
      <c r="BU489" s="5">
        <v>4785.0</v>
      </c>
      <c r="BV489" s="5">
        <v>1327.0</v>
      </c>
      <c r="BW489" s="5">
        <v>4785.0</v>
      </c>
      <c r="BX489" s="5">
        <v>1327.0</v>
      </c>
      <c r="BY489" s="5">
        <v>342487.0</v>
      </c>
      <c r="BZ489" s="5">
        <v>83428.0</v>
      </c>
      <c r="CA489" s="5">
        <v>342487.0</v>
      </c>
      <c r="CB489" s="5">
        <v>83428.0</v>
      </c>
      <c r="CC489" s="5">
        <v>342544.0</v>
      </c>
      <c r="CD489" s="5">
        <v>83428.0</v>
      </c>
      <c r="CE489" s="5">
        <v>342486.0</v>
      </c>
      <c r="CF489" s="5">
        <v>83428.0</v>
      </c>
      <c r="CG489" s="5">
        <v>342486.0</v>
      </c>
      <c r="CH489" s="5">
        <v>83428.0</v>
      </c>
      <c r="CI489" s="5">
        <v>342487.0</v>
      </c>
      <c r="CJ489" s="5">
        <v>83428.0</v>
      </c>
      <c r="CK489" s="5">
        <v>342486.0</v>
      </c>
      <c r="CL489" s="5">
        <v>83428.0</v>
      </c>
      <c r="CM489" s="5">
        <v>342486.0</v>
      </c>
      <c r="CN489" s="5">
        <v>83428.0</v>
      </c>
      <c r="CO489" s="5">
        <v>36.0</v>
      </c>
      <c r="CP489" s="3"/>
      <c r="CQ489" s="3"/>
      <c r="CR489" s="4" t="s">
        <v>2001</v>
      </c>
    </row>
    <row r="490">
      <c r="A490" s="1" t="s">
        <v>2002</v>
      </c>
      <c r="B490" s="2">
        <v>46048.52148148148</v>
      </c>
      <c r="C490" s="1" t="str">
        <f t="array" ref="C490">INDEX('User data'!E:E, MATCH(E490, 'User data'!B:B, 0))</f>
        <v>주식회사 웰케어스테이션</v>
      </c>
      <c r="D490" s="1" t="str">
        <f t="array" ref="D490">INDEX('User data'!F:F, MATCH(C490, 'User data'!E:E, 0))</f>
        <v>788-81-03300</v>
      </c>
      <c r="E490" s="1" t="s">
        <v>2003</v>
      </c>
      <c r="F490" s="3"/>
      <c r="G490" s="3"/>
      <c r="H490" s="3"/>
      <c r="I490" s="1" t="s">
        <v>2004</v>
      </c>
      <c r="J490" s="1" t="s">
        <v>100</v>
      </c>
      <c r="K490" s="1" t="s">
        <v>101</v>
      </c>
      <c r="L490" s="1" t="b">
        <v>0</v>
      </c>
      <c r="M490" s="4" t="s">
        <v>102</v>
      </c>
      <c r="N490" s="1" t="s">
        <v>2005</v>
      </c>
      <c r="O490" s="1">
        <v>506375.0</v>
      </c>
      <c r="P490" s="1">
        <v>594863.0</v>
      </c>
      <c r="Q490" s="1">
        <v>506375.0</v>
      </c>
      <c r="R490" s="1" t="s">
        <v>2006</v>
      </c>
      <c r="T490" s="1" t="s">
        <v>104</v>
      </c>
      <c r="U490" s="3"/>
      <c r="V490" s="3"/>
      <c r="W490" s="1" t="s">
        <v>118</v>
      </c>
      <c r="X490" s="3"/>
      <c r="Y490" s="1" t="s">
        <v>106</v>
      </c>
      <c r="Z490" s="3"/>
      <c r="AA490" s="1" t="b">
        <v>1</v>
      </c>
      <c r="AB490" s="1" t="b">
        <v>0</v>
      </c>
      <c r="AC490" s="1" t="b">
        <v>1</v>
      </c>
      <c r="AD490" s="1" t="b">
        <v>1</v>
      </c>
      <c r="AE490" s="1" t="b">
        <v>0</v>
      </c>
      <c r="AF490" s="5">
        <v>5.0</v>
      </c>
      <c r="AG490" s="5">
        <v>1.0</v>
      </c>
      <c r="AH490" s="3"/>
      <c r="AI490" s="5">
        <v>1.0</v>
      </c>
      <c r="AJ490" s="2">
        <v>46048.52118055556</v>
      </c>
      <c r="AK490" s="2">
        <v>46052.52097222222</v>
      </c>
      <c r="AL490" s="2">
        <v>46048.52118055556</v>
      </c>
      <c r="AM490" s="2">
        <v>46048.521203703705</v>
      </c>
      <c r="AO490" s="3"/>
      <c r="AP490" s="2">
        <v>46048.52137731481</v>
      </c>
      <c r="AR490" s="3"/>
      <c r="AS490" s="3"/>
      <c r="AT490" s="2">
        <v>46048.52148148148</v>
      </c>
      <c r="AU490" s="2">
        <v>46052.37521990741</v>
      </c>
      <c r="AW490" s="3"/>
      <c r="AX490" s="2">
        <v>46048.52127314815</v>
      </c>
      <c r="AY490" s="2">
        <v>46048.52148148148</v>
      </c>
      <c r="AZ490" s="2">
        <v>46048.58856481482</v>
      </c>
      <c r="BA490" s="2">
        <v>46051.67711805556</v>
      </c>
      <c r="BB490" s="2">
        <v>46051.69314814815</v>
      </c>
      <c r="BC490" s="2">
        <v>46052.47929398148</v>
      </c>
      <c r="BD490" s="2">
        <v>46052.47929398148</v>
      </c>
      <c r="BE490" s="5">
        <v>107164.0</v>
      </c>
      <c r="BF490" s="5">
        <v>3301.0</v>
      </c>
      <c r="BG490" s="5">
        <v>21432.0</v>
      </c>
      <c r="BH490" s="5">
        <v>3301.0</v>
      </c>
      <c r="BI490" s="5">
        <v>58930.0</v>
      </c>
      <c r="BJ490" s="5">
        <v>1311.0</v>
      </c>
      <c r="BK490" s="3"/>
      <c r="BL490" s="3"/>
      <c r="BM490" s="3"/>
      <c r="BN490" s="3"/>
      <c r="BO490" s="5">
        <v>5795.0</v>
      </c>
      <c r="BP490" s="5">
        <v>2252.0</v>
      </c>
      <c r="BQ490" s="5">
        <v>5819.0</v>
      </c>
      <c r="BR490" s="5">
        <v>2252.0</v>
      </c>
      <c r="BS490" s="5">
        <v>5813.0</v>
      </c>
      <c r="BT490" s="5">
        <v>2252.0</v>
      </c>
      <c r="BU490" s="5">
        <v>5795.0</v>
      </c>
      <c r="BV490" s="5">
        <v>2252.0</v>
      </c>
      <c r="BW490" s="5">
        <v>5795.0</v>
      </c>
      <c r="BX490" s="5">
        <v>2252.0</v>
      </c>
      <c r="BY490" s="5">
        <v>341954.0</v>
      </c>
      <c r="BZ490" s="5">
        <v>82811.0</v>
      </c>
      <c r="CA490" s="5">
        <v>341954.0</v>
      </c>
      <c r="CB490" s="5">
        <v>82811.0</v>
      </c>
      <c r="CC490" s="5">
        <v>341978.0</v>
      </c>
      <c r="CD490" s="5">
        <v>82811.0</v>
      </c>
      <c r="CE490" s="5">
        <v>341972.0</v>
      </c>
      <c r="CF490" s="5">
        <v>82811.0</v>
      </c>
      <c r="CG490" s="5">
        <v>341954.0</v>
      </c>
      <c r="CH490" s="5">
        <v>82811.0</v>
      </c>
      <c r="CI490" s="5">
        <v>341954.0</v>
      </c>
      <c r="CJ490" s="5">
        <v>82811.0</v>
      </c>
      <c r="CK490" s="5">
        <v>283023.0</v>
      </c>
      <c r="CL490" s="5">
        <v>81499.0</v>
      </c>
      <c r="CM490" s="5">
        <v>283023.0</v>
      </c>
      <c r="CN490" s="5">
        <v>81499.0</v>
      </c>
      <c r="CO490" s="5">
        <v>16.0</v>
      </c>
      <c r="CP490" s="3"/>
      <c r="CQ490" s="3"/>
      <c r="CR490" s="4" t="s">
        <v>2007</v>
      </c>
    </row>
    <row r="491">
      <c r="A491" s="1" t="s">
        <v>2008</v>
      </c>
      <c r="B491" s="2">
        <v>46048.520416666666</v>
      </c>
      <c r="C491" s="1" t="str">
        <f t="array" ref="C491">INDEX('User data'!E:E, MATCH(E491, 'User data'!B:B, 0))</f>
        <v>(주)헤렌</v>
      </c>
      <c r="D491" s="1" t="str">
        <f t="array" ref="D491">INDEX('User data'!F:F, MATCH(C491, 'User data'!E:E, 0))</f>
        <v>701-87-00540</v>
      </c>
      <c r="E491" s="1" t="s">
        <v>2009</v>
      </c>
      <c r="F491" s="3"/>
      <c r="G491" s="3"/>
      <c r="H491" s="3"/>
      <c r="I491" s="1" t="s">
        <v>1114</v>
      </c>
      <c r="J491" s="1" t="s">
        <v>100</v>
      </c>
      <c r="K491" s="1" t="s">
        <v>101</v>
      </c>
      <c r="L491" s="1" t="b">
        <v>0</v>
      </c>
      <c r="M491" s="4" t="s">
        <v>102</v>
      </c>
      <c r="N491" s="1" t="s">
        <v>2010</v>
      </c>
      <c r="O491" s="1">
        <v>574085.0</v>
      </c>
      <c r="P491" s="1">
        <v>574085.0</v>
      </c>
      <c r="Q491" s="1">
        <v>574085.0</v>
      </c>
      <c r="R491" s="1" t="s">
        <v>1201</v>
      </c>
      <c r="S491" s="1">
        <v>13285.0</v>
      </c>
      <c r="T491" s="1" t="s">
        <v>104</v>
      </c>
      <c r="U491" s="3"/>
      <c r="V491" s="3"/>
      <c r="W491" s="1" t="s">
        <v>118</v>
      </c>
      <c r="X491" s="3"/>
      <c r="Y491" s="1" t="s">
        <v>119</v>
      </c>
      <c r="Z491" s="3"/>
      <c r="AA491" s="1" t="b">
        <v>1</v>
      </c>
      <c r="AB491" s="1" t="b">
        <v>0</v>
      </c>
      <c r="AC491" s="1" t="b">
        <v>0</v>
      </c>
      <c r="AD491" s="1" t="b">
        <v>1</v>
      </c>
      <c r="AE491" s="1" t="b">
        <v>0</v>
      </c>
      <c r="AF491" s="5">
        <v>12.0</v>
      </c>
      <c r="AG491" s="5">
        <v>7.0</v>
      </c>
      <c r="AH491" s="3"/>
      <c r="AI491" s="3"/>
      <c r="AJ491" s="2">
        <v>46048.51974537037</v>
      </c>
      <c r="AK491" s="2">
        <v>46057.78412037037</v>
      </c>
      <c r="AL491" s="2">
        <v>46048.51974537037</v>
      </c>
      <c r="AM491" s="2">
        <v>46048.51975694444</v>
      </c>
      <c r="AO491" s="3"/>
      <c r="AP491" s="2">
        <v>46048.520324074074</v>
      </c>
      <c r="AQ491" s="2">
        <v>46048.520416666666</v>
      </c>
      <c r="AS491" s="2">
        <v>46048.52043981481</v>
      </c>
      <c r="AT491" s="2">
        <v>46048.520416666666</v>
      </c>
      <c r="AU491" s="2">
        <v>46052.701157407406</v>
      </c>
      <c r="AW491" s="3"/>
      <c r="AX491" s="2">
        <v>46048.52043981481</v>
      </c>
      <c r="AY491" s="2">
        <v>46048.52043981481</v>
      </c>
      <c r="AZ491" s="2">
        <v>46048.58553240741</v>
      </c>
      <c r="BA491" s="2">
        <v>46052.702314814815</v>
      </c>
      <c r="BB491" s="2">
        <v>46052.66850694444</v>
      </c>
      <c r="BC491" s="2">
        <v>46052.70233796296</v>
      </c>
      <c r="BD491" s="2">
        <v>46052.70233796296</v>
      </c>
      <c r="BE491" s="5">
        <v>70076.0</v>
      </c>
      <c r="BF491" s="5">
        <v>12983.0</v>
      </c>
      <c r="BG491" s="5">
        <v>5839.0</v>
      </c>
      <c r="BH491" s="5">
        <v>1854.0</v>
      </c>
      <c r="BI491" s="5">
        <v>15332.0</v>
      </c>
      <c r="BJ491" s="5">
        <v>11732.0</v>
      </c>
      <c r="BK491" s="5">
        <v>1.0</v>
      </c>
      <c r="BL491" s="5">
        <v>1.0</v>
      </c>
      <c r="BM491" s="5">
        <v>1.0</v>
      </c>
      <c r="BN491" s="5">
        <v>1.0</v>
      </c>
      <c r="BO491" s="5">
        <v>5625.0</v>
      </c>
      <c r="BP491" s="5">
        <v>2025.0</v>
      </c>
      <c r="BQ491" s="5">
        <v>5682.0</v>
      </c>
      <c r="BR491" s="5">
        <v>2082.0</v>
      </c>
      <c r="BS491" s="5">
        <v>5624.0</v>
      </c>
      <c r="BT491" s="5">
        <v>2024.0</v>
      </c>
      <c r="BU491" s="5">
        <v>5624.0</v>
      </c>
      <c r="BV491" s="5">
        <v>2024.0</v>
      </c>
      <c r="BW491" s="5">
        <v>5625.0</v>
      </c>
      <c r="BX491" s="5">
        <v>2025.0</v>
      </c>
      <c r="BY491" s="5">
        <v>361317.0</v>
      </c>
      <c r="BZ491" s="5">
        <v>98517.0</v>
      </c>
      <c r="CA491" s="5">
        <v>361317.0</v>
      </c>
      <c r="CB491" s="5">
        <v>98517.0</v>
      </c>
      <c r="CC491" s="5">
        <v>361375.0</v>
      </c>
      <c r="CD491" s="5">
        <v>98575.0</v>
      </c>
      <c r="CE491" s="5">
        <v>361316.0</v>
      </c>
      <c r="CF491" s="5">
        <v>98516.0</v>
      </c>
      <c r="CG491" s="5">
        <v>361316.0</v>
      </c>
      <c r="CH491" s="5">
        <v>98516.0</v>
      </c>
      <c r="CI491" s="5">
        <v>361317.0</v>
      </c>
      <c r="CJ491" s="5">
        <v>98517.0</v>
      </c>
      <c r="CK491" s="5">
        <v>345984.0</v>
      </c>
      <c r="CL491" s="5">
        <v>86784.0</v>
      </c>
      <c r="CM491" s="5">
        <v>345984.0</v>
      </c>
      <c r="CN491" s="5">
        <v>86784.0</v>
      </c>
      <c r="CO491" s="5">
        <v>50.0</v>
      </c>
      <c r="CP491" s="3"/>
      <c r="CQ491" s="3"/>
      <c r="CR491" s="4" t="s">
        <v>2011</v>
      </c>
    </row>
    <row r="492">
      <c r="A492" s="1" t="s">
        <v>2012</v>
      </c>
      <c r="B492" s="2">
        <v>46048.51778935185</v>
      </c>
      <c r="C492" s="1" t="str">
        <f t="array" ref="C492">INDEX('User data'!E:E, MATCH(E492, 'User data'!B:B, 0))</f>
        <v>버킷히어로(주)</v>
      </c>
      <c r="D492" s="1" t="str">
        <f t="array" ref="D492">INDEX('User data'!F:F, MATCH(C492, 'User data'!E:E, 0))</f>
        <v>561-88-03382</v>
      </c>
      <c r="E492" s="1" t="s">
        <v>1916</v>
      </c>
      <c r="F492" s="3"/>
      <c r="G492" s="3"/>
      <c r="H492" s="3"/>
      <c r="I492" s="1" t="s">
        <v>1912</v>
      </c>
      <c r="J492" s="1" t="s">
        <v>100</v>
      </c>
      <c r="K492" s="1" t="s">
        <v>101</v>
      </c>
      <c r="L492" s="1" t="b">
        <v>0</v>
      </c>
      <c r="M492" s="4" t="s">
        <v>102</v>
      </c>
      <c r="N492" s="1" t="s">
        <v>1917</v>
      </c>
      <c r="O492" s="1">
        <v>574085.0</v>
      </c>
      <c r="P492" s="1">
        <v>574085.0</v>
      </c>
      <c r="Q492" s="1">
        <v>574085.0</v>
      </c>
      <c r="R492" s="1" t="s">
        <v>1674</v>
      </c>
      <c r="S492" s="1">
        <v>13285.0</v>
      </c>
      <c r="T492" s="1" t="s">
        <v>104</v>
      </c>
      <c r="U492" s="3"/>
      <c r="V492" s="3"/>
      <c r="W492" s="1" t="s">
        <v>118</v>
      </c>
      <c r="X492" s="3"/>
      <c r="Y492" s="1" t="s">
        <v>119</v>
      </c>
      <c r="Z492" s="3"/>
      <c r="AA492" s="1" t="b">
        <v>1</v>
      </c>
      <c r="AB492" s="1" t="b">
        <v>0</v>
      </c>
      <c r="AC492" s="1" t="b">
        <v>0</v>
      </c>
      <c r="AD492" s="1" t="b">
        <v>1</v>
      </c>
      <c r="AE492" s="1" t="b">
        <v>1</v>
      </c>
      <c r="AF492" s="5">
        <v>3.0</v>
      </c>
      <c r="AG492" s="5">
        <v>3.0</v>
      </c>
      <c r="AH492" s="3"/>
      <c r="AI492" s="3"/>
      <c r="AJ492" s="2">
        <v>46048.51672453704</v>
      </c>
      <c r="AK492" s="2">
        <v>46052.688472222224</v>
      </c>
      <c r="AL492" s="2">
        <v>46048.51672453704</v>
      </c>
      <c r="AM492" s="2">
        <v>46048.51673611111</v>
      </c>
      <c r="AN492" s="2">
        <v>46048.51778935185</v>
      </c>
      <c r="AO492" s="2">
        <v>46048.52009259259</v>
      </c>
      <c r="AP492" s="2">
        <v>46048.52009259259</v>
      </c>
      <c r="AQ492" s="2">
        <v>46048.52009259259</v>
      </c>
      <c r="AS492" s="2">
        <v>46048.520104166666</v>
      </c>
      <c r="AT492" s="2">
        <v>46048.52009259259</v>
      </c>
      <c r="AU492" s="2">
        <v>46048.520104166666</v>
      </c>
      <c r="AW492" s="3"/>
      <c r="AX492" s="2">
        <v>46048.520104166666</v>
      </c>
      <c r="AY492" s="2">
        <v>46048.520104166666</v>
      </c>
      <c r="AZ492" s="2">
        <v>46048.56917824074</v>
      </c>
      <c r="BA492" s="2">
        <v>46048.68201388889</v>
      </c>
      <c r="BC492" s="2">
        <v>46052.48662037037</v>
      </c>
      <c r="BD492" s="2">
        <v>46052.48662037037</v>
      </c>
      <c r="BE492" s="5">
        <v>9925.0</v>
      </c>
      <c r="BF492" s="5">
        <v>9925.0</v>
      </c>
      <c r="BG492" s="5">
        <v>3308.0</v>
      </c>
      <c r="BH492" s="5">
        <v>3308.0</v>
      </c>
      <c r="BI492" s="3"/>
      <c r="BJ492" s="3"/>
      <c r="BK492" s="5">
        <v>1.0</v>
      </c>
      <c r="BL492" s="5">
        <v>1.0</v>
      </c>
      <c r="BM492" s="5">
        <v>199.0</v>
      </c>
      <c r="BN492" s="5">
        <v>199.0</v>
      </c>
      <c r="BO492" s="5">
        <v>4439.0</v>
      </c>
      <c r="BP492" s="5">
        <v>839.0</v>
      </c>
      <c r="BQ492" s="5">
        <v>4530.0</v>
      </c>
      <c r="BR492" s="5">
        <v>930.0</v>
      </c>
      <c r="BS492" s="5">
        <v>4239.0</v>
      </c>
      <c r="BT492" s="5">
        <v>639.0</v>
      </c>
      <c r="BU492" s="5">
        <v>4239.0</v>
      </c>
      <c r="BV492" s="5">
        <v>639.0</v>
      </c>
      <c r="BW492" s="5">
        <v>4240.0</v>
      </c>
      <c r="BX492" s="5">
        <v>640.0</v>
      </c>
      <c r="BY492" s="5">
        <v>342906.0</v>
      </c>
      <c r="BZ492" s="5">
        <v>83706.0</v>
      </c>
      <c r="CA492" s="5">
        <v>342906.0</v>
      </c>
      <c r="CB492" s="5">
        <v>83706.0</v>
      </c>
      <c r="CC492" s="5">
        <v>342997.0</v>
      </c>
      <c r="CD492" s="5">
        <v>83797.0</v>
      </c>
      <c r="CE492" s="5">
        <v>342706.0</v>
      </c>
      <c r="CF492" s="5">
        <v>83506.0</v>
      </c>
      <c r="CG492" s="5">
        <v>342706.0</v>
      </c>
      <c r="CH492" s="5">
        <v>83506.0</v>
      </c>
      <c r="CI492" s="5">
        <v>342708.0</v>
      </c>
      <c r="CJ492" s="5">
        <v>83508.0</v>
      </c>
      <c r="CK492" s="5">
        <v>342706.0</v>
      </c>
      <c r="CL492" s="5">
        <v>83506.0</v>
      </c>
      <c r="CM492" s="5">
        <v>342706.0</v>
      </c>
      <c r="CN492" s="5">
        <v>83506.0</v>
      </c>
      <c r="CO492" s="5">
        <v>291.0</v>
      </c>
      <c r="CP492" s="5">
        <v>198.0</v>
      </c>
      <c r="CQ492" s="3"/>
      <c r="CR492" s="4" t="s">
        <v>2013</v>
      </c>
    </row>
    <row r="493">
      <c r="A493" s="1" t="s">
        <v>2014</v>
      </c>
      <c r="B493" s="2">
        <v>46048.49333333333</v>
      </c>
      <c r="C493" s="1" t="str">
        <f t="array" ref="C493">INDEX('User data'!E:E, MATCH(E493, 'User data'!B:B, 0))</f>
        <v>주식회사 한국공간데이터</v>
      </c>
      <c r="D493" s="1" t="str">
        <f t="array" ref="D493">INDEX('User data'!F:F, MATCH(C493, 'User data'!E:E, 0))</f>
        <v>416-87-01054</v>
      </c>
      <c r="E493" s="1" t="s">
        <v>1163</v>
      </c>
      <c r="F493" s="3"/>
      <c r="G493" s="3"/>
      <c r="H493" s="3"/>
      <c r="I493" s="3"/>
      <c r="J493" s="1" t="s">
        <v>100</v>
      </c>
      <c r="K493" s="1" t="s">
        <v>101</v>
      </c>
      <c r="L493" s="1" t="b">
        <v>0</v>
      </c>
      <c r="M493" s="4" t="s">
        <v>102</v>
      </c>
      <c r="N493" s="1" t="s">
        <v>1164</v>
      </c>
      <c r="P493" s="3"/>
      <c r="Q493" s="3"/>
      <c r="R493" s="3"/>
      <c r="S493" s="1">
        <v>13285.0</v>
      </c>
      <c r="T493" s="1" t="s">
        <v>104</v>
      </c>
      <c r="U493" s="3"/>
      <c r="V493" s="3"/>
      <c r="W493" s="1" t="s">
        <v>105</v>
      </c>
      <c r="X493" s="3"/>
      <c r="Y493" s="1" t="s">
        <v>106</v>
      </c>
      <c r="Z493" s="3"/>
      <c r="AA493" s="1" t="b">
        <v>0</v>
      </c>
      <c r="AB493" s="1" t="b">
        <v>0</v>
      </c>
      <c r="AC493" s="1" t="b">
        <v>0</v>
      </c>
      <c r="AD493" s="1" t="b">
        <v>1</v>
      </c>
      <c r="AE493" s="1" t="b">
        <v>1</v>
      </c>
      <c r="AF493" s="3"/>
      <c r="AG493" s="3"/>
      <c r="AH493" s="3"/>
      <c r="AI493" s="3"/>
      <c r="AJ493" s="2">
        <v>46048.492372685185</v>
      </c>
      <c r="AK493" s="2">
        <v>46049.66706018519</v>
      </c>
      <c r="AL493" s="2">
        <v>46048.492372685185</v>
      </c>
      <c r="AM493" s="2">
        <v>46048.49240740741</v>
      </c>
      <c r="AN493" s="2">
        <v>46048.49333333333</v>
      </c>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5">
        <v>3.4</v>
      </c>
      <c r="CR493" s="4" t="s">
        <v>2015</v>
      </c>
    </row>
    <row r="494">
      <c r="A494" s="1" t="s">
        <v>2016</v>
      </c>
      <c r="B494" s="2">
        <v>46048.47922453703</v>
      </c>
      <c r="C494" s="1" t="str">
        <f t="array" ref="C494">INDEX('User data'!E:E, MATCH(E494, 'User data'!B:B, 0))</f>
        <v>웨이브스튜디오라이브 주식회사</v>
      </c>
      <c r="D494" s="1" t="str">
        <f t="array" ref="D494">INDEX('User data'!F:F, MATCH(C494, 'User data'!E:E, 0))</f>
        <v>529-88-02526</v>
      </c>
      <c r="E494" s="1" t="s">
        <v>2017</v>
      </c>
      <c r="F494" s="3"/>
      <c r="G494" s="3"/>
      <c r="H494" s="3"/>
      <c r="I494" s="1" t="s">
        <v>2018</v>
      </c>
      <c r="J494" s="1" t="s">
        <v>100</v>
      </c>
      <c r="K494" s="1" t="s">
        <v>101</v>
      </c>
      <c r="L494" s="1" t="b">
        <v>0</v>
      </c>
      <c r="M494" s="4" t="s">
        <v>102</v>
      </c>
      <c r="N494" s="1" t="s">
        <v>2019</v>
      </c>
      <c r="O494" s="1">
        <v>574085.0</v>
      </c>
      <c r="P494" s="1">
        <v>574085.0</v>
      </c>
      <c r="Q494" s="1">
        <v>574085.0</v>
      </c>
      <c r="R494" s="1" t="s">
        <v>1798</v>
      </c>
      <c r="S494" s="1">
        <v>13285.0</v>
      </c>
      <c r="T494" s="1" t="s">
        <v>104</v>
      </c>
      <c r="U494" s="3"/>
      <c r="V494" s="3"/>
      <c r="W494" s="1" t="s">
        <v>118</v>
      </c>
      <c r="X494" s="3"/>
      <c r="Y494" s="1" t="s">
        <v>119</v>
      </c>
      <c r="Z494" s="3"/>
      <c r="AA494" s="1" t="b">
        <v>1</v>
      </c>
      <c r="AB494" s="1" t="b">
        <v>0</v>
      </c>
      <c r="AC494" s="1" t="b">
        <v>0</v>
      </c>
      <c r="AD494" s="1" t="b">
        <v>1</v>
      </c>
      <c r="AE494" s="1" t="b">
        <v>0</v>
      </c>
      <c r="AF494" s="5">
        <v>7.0</v>
      </c>
      <c r="AG494" s="5">
        <v>7.0</v>
      </c>
      <c r="AH494" s="3"/>
      <c r="AI494" s="3"/>
      <c r="AJ494" s="2">
        <v>46048.47887731482</v>
      </c>
      <c r="AK494" s="2">
        <v>46048.544490740744</v>
      </c>
      <c r="AL494" s="2">
        <v>46048.47887731482</v>
      </c>
      <c r="AM494" s="2">
        <v>46048.478900462964</v>
      </c>
      <c r="AO494" s="3"/>
      <c r="AP494" s="2">
        <v>46048.479155092595</v>
      </c>
      <c r="AQ494" s="2">
        <v>46048.47922453703</v>
      </c>
      <c r="AS494" s="2">
        <v>46048.47923611111</v>
      </c>
      <c r="AT494" s="2">
        <v>46048.47922453703</v>
      </c>
      <c r="AU494" s="2">
        <v>46048.47923611111</v>
      </c>
      <c r="AW494" s="3"/>
      <c r="AX494" s="2">
        <v>46048.47923611111</v>
      </c>
      <c r="AY494" s="2">
        <v>46048.47923611111</v>
      </c>
      <c r="AZ494" s="2">
        <v>46048.48228009259</v>
      </c>
      <c r="BA494" s="2">
        <v>46048.50277777778</v>
      </c>
      <c r="BC494" s="2">
        <v>46048.5028125</v>
      </c>
      <c r="BD494" s="2">
        <v>46048.5028125</v>
      </c>
      <c r="BE494" s="5">
        <v>802.0</v>
      </c>
      <c r="BF494" s="5">
        <v>802.0</v>
      </c>
      <c r="BG494" s="5">
        <v>114.0</v>
      </c>
      <c r="BH494" s="5">
        <v>114.0</v>
      </c>
      <c r="BI494" s="3"/>
      <c r="BJ494" s="3"/>
      <c r="BK494" s="5">
        <v>0.0</v>
      </c>
      <c r="BL494" s="5">
        <v>0.0</v>
      </c>
      <c r="BM494" s="5">
        <v>0.0</v>
      </c>
      <c r="BN494" s="5">
        <v>0.0</v>
      </c>
      <c r="BO494" s="5">
        <v>264.0</v>
      </c>
      <c r="BP494" s="5">
        <v>264.0</v>
      </c>
      <c r="BQ494" s="5">
        <v>292.0</v>
      </c>
      <c r="BR494" s="5">
        <v>292.0</v>
      </c>
      <c r="BS494" s="5">
        <v>263.0</v>
      </c>
      <c r="BT494" s="5">
        <v>263.0</v>
      </c>
      <c r="BU494" s="5">
        <v>263.0</v>
      </c>
      <c r="BV494" s="5">
        <v>263.0</v>
      </c>
      <c r="BW494" s="5">
        <v>264.0</v>
      </c>
      <c r="BX494" s="5">
        <v>264.0</v>
      </c>
      <c r="BY494" s="5">
        <v>2038.0</v>
      </c>
      <c r="BZ494" s="5">
        <v>2038.0</v>
      </c>
      <c r="CA494" s="5">
        <v>2038.0</v>
      </c>
      <c r="CB494" s="5">
        <v>2038.0</v>
      </c>
      <c r="CC494" s="5">
        <v>2066.0</v>
      </c>
      <c r="CD494" s="5">
        <v>2066.0</v>
      </c>
      <c r="CE494" s="5">
        <v>2037.0</v>
      </c>
      <c r="CF494" s="5">
        <v>2037.0</v>
      </c>
      <c r="CG494" s="5">
        <v>2037.0</v>
      </c>
      <c r="CH494" s="5">
        <v>2037.0</v>
      </c>
      <c r="CI494" s="5">
        <v>2038.0</v>
      </c>
      <c r="CJ494" s="5">
        <v>2038.0</v>
      </c>
      <c r="CK494" s="5">
        <v>2037.0</v>
      </c>
      <c r="CL494" s="5">
        <v>2037.0</v>
      </c>
      <c r="CM494" s="5">
        <v>2037.0</v>
      </c>
      <c r="CN494" s="5">
        <v>2037.0</v>
      </c>
      <c r="CO494" s="5">
        <v>23.0</v>
      </c>
      <c r="CP494" s="3"/>
      <c r="CQ494" s="3"/>
      <c r="CR494" s="4" t="s">
        <v>2020</v>
      </c>
    </row>
    <row r="495">
      <c r="A495" s="1" t="s">
        <v>2021</v>
      </c>
      <c r="B495" s="2">
        <v>46048.47262731481</v>
      </c>
      <c r="C495" s="1" t="str">
        <f t="array" ref="C495">INDEX('User data'!E:E, MATCH(E495, 'User data'!B:B, 0))</f>
        <v>아우르나 주식회사</v>
      </c>
      <c r="D495" s="1" t="str">
        <f t="array" ref="D495">INDEX('User data'!F:F, MATCH(C495, 'User data'!E:E, 0))</f>
        <v>136-86-02956</v>
      </c>
      <c r="E495" s="1" t="s">
        <v>2022</v>
      </c>
      <c r="F495" s="1" t="s">
        <v>2023</v>
      </c>
      <c r="G495" s="3"/>
      <c r="H495" s="3"/>
      <c r="I495" s="1" t="s">
        <v>258</v>
      </c>
      <c r="J495" s="1" t="s">
        <v>100</v>
      </c>
      <c r="K495" s="1" t="s">
        <v>101</v>
      </c>
      <c r="L495" s="1" t="b">
        <v>0</v>
      </c>
      <c r="M495" s="3"/>
      <c r="N495" s="1" t="s">
        <v>2024</v>
      </c>
      <c r="O495" s="1">
        <v>594863.0</v>
      </c>
      <c r="P495" s="1">
        <v>594863.0</v>
      </c>
      <c r="Q495" s="1">
        <v>594863.0</v>
      </c>
      <c r="R495" s="1">
        <v>594863.0</v>
      </c>
      <c r="S495" s="3"/>
      <c r="T495" s="1" t="s">
        <v>175</v>
      </c>
      <c r="U495" s="1" t="s">
        <v>175</v>
      </c>
      <c r="V495" s="3"/>
      <c r="W495" s="1" t="s">
        <v>118</v>
      </c>
      <c r="X495" s="3"/>
      <c r="Y495" s="1" t="s">
        <v>106</v>
      </c>
      <c r="Z495" s="3"/>
      <c r="AA495" s="1" t="b">
        <v>1</v>
      </c>
      <c r="AB495" s="1" t="b">
        <v>0</v>
      </c>
      <c r="AC495" s="1" t="b">
        <v>0</v>
      </c>
      <c r="AD495" s="1" t="b">
        <v>1</v>
      </c>
      <c r="AE495" s="1" t="b">
        <v>0</v>
      </c>
      <c r="AF495" s="3"/>
      <c r="AG495" s="3"/>
      <c r="AH495" s="3"/>
      <c r="AI495" s="3"/>
      <c r="AJ495" s="2">
        <v>46048.47262731481</v>
      </c>
      <c r="AK495" s="2">
        <v>46048.52863425926</v>
      </c>
      <c r="AL495" s="2">
        <v>46048.473344907405</v>
      </c>
      <c r="AM495" s="2">
        <v>46048.47262731481</v>
      </c>
      <c r="AO495" s="3"/>
      <c r="AP495" s="2">
        <v>46048.47337962963</v>
      </c>
      <c r="AR495" s="3"/>
      <c r="AS495" s="3"/>
      <c r="AT495" s="2">
        <v>46048.47262731481</v>
      </c>
      <c r="AU495" s="2">
        <v>46048.47262731481</v>
      </c>
      <c r="AW495" s="3"/>
      <c r="AX495" s="2">
        <v>46048.47326388889</v>
      </c>
      <c r="AY495" s="2">
        <v>46048.47262731481</v>
      </c>
      <c r="BA495" s="3"/>
      <c r="BB495" s="3"/>
      <c r="BC495" s="2">
        <v>46048.48695601852</v>
      </c>
      <c r="BD495" s="2">
        <v>46048.48695601852</v>
      </c>
      <c r="BF495" s="3"/>
      <c r="BG495" s="3"/>
      <c r="BH495" s="3"/>
      <c r="BI495" s="3"/>
      <c r="BJ495" s="3"/>
      <c r="BK495" s="3"/>
      <c r="BL495" s="3"/>
      <c r="BM495" s="5">
        <v>54.0</v>
      </c>
      <c r="BN495" s="5">
        <v>54.0</v>
      </c>
      <c r="BO495" s="3"/>
      <c r="BP495" s="3"/>
      <c r="BQ495" s="3"/>
      <c r="BR495" s="3"/>
      <c r="BS495" s="3"/>
      <c r="BT495" s="3"/>
      <c r="BU495" s="3"/>
      <c r="BV495" s="3"/>
      <c r="BW495" s="3"/>
      <c r="BX495" s="3"/>
      <c r="BY495" s="5">
        <v>1237.0</v>
      </c>
      <c r="BZ495" s="5">
        <v>1237.0</v>
      </c>
      <c r="CA495" s="5">
        <v>1237.0</v>
      </c>
      <c r="CB495" s="5">
        <v>1237.0</v>
      </c>
      <c r="CC495" s="5">
        <v>1237.0</v>
      </c>
      <c r="CD495" s="5">
        <v>1237.0</v>
      </c>
      <c r="CE495" s="5">
        <v>1183.0</v>
      </c>
      <c r="CF495" s="5">
        <v>1183.0</v>
      </c>
      <c r="CG495" s="5">
        <v>1237.0</v>
      </c>
      <c r="CH495" s="5">
        <v>1237.0</v>
      </c>
      <c r="CI495" s="5">
        <v>1237.0</v>
      </c>
      <c r="CJ495" s="5">
        <v>1237.0</v>
      </c>
      <c r="CK495" s="5">
        <v>1237.0</v>
      </c>
      <c r="CL495" s="5">
        <v>1237.0</v>
      </c>
      <c r="CM495" s="5">
        <v>1237.0</v>
      </c>
      <c r="CN495" s="5">
        <v>1237.0</v>
      </c>
      <c r="CO495" s="5">
        <v>3.0</v>
      </c>
      <c r="CP495" s="3"/>
      <c r="CQ495" s="3"/>
      <c r="CR495" s="4" t="s">
        <v>2025</v>
      </c>
    </row>
    <row r="496">
      <c r="A496" s="1" t="s">
        <v>2026</v>
      </c>
      <c r="B496" s="2">
        <v>46048.45457175926</v>
      </c>
      <c r="C496" s="1" t="str">
        <f t="array" ref="C496">INDEX('User data'!E:E, MATCH(E496, 'User data'!B:B, 0))</f>
        <v>주식회사 선하다</v>
      </c>
      <c r="D496" s="1" t="str">
        <f t="array" ref="D496">INDEX('User data'!F:F, MATCH(C496, 'User data'!E:E, 0))</f>
        <v>301-88-01711</v>
      </c>
      <c r="E496" s="1" t="s">
        <v>2027</v>
      </c>
      <c r="G496" s="3"/>
      <c r="H496" s="3"/>
      <c r="I496" s="1" t="s">
        <v>2028</v>
      </c>
      <c r="J496" s="1" t="s">
        <v>100</v>
      </c>
      <c r="K496" s="1" t="s">
        <v>101</v>
      </c>
      <c r="L496" s="1" t="b">
        <v>0</v>
      </c>
      <c r="M496" s="4" t="s">
        <v>180</v>
      </c>
      <c r="N496" s="1" t="s">
        <v>2029</v>
      </c>
      <c r="O496" s="1">
        <v>574085.0</v>
      </c>
      <c r="P496" s="1">
        <v>574085.0</v>
      </c>
      <c r="Q496" s="1">
        <v>574085.0</v>
      </c>
      <c r="R496" s="1" t="s">
        <v>1674</v>
      </c>
      <c r="S496" s="1">
        <v>13285.0</v>
      </c>
      <c r="T496" s="1" t="s">
        <v>104</v>
      </c>
      <c r="U496" s="3"/>
      <c r="V496" s="3"/>
      <c r="W496" s="1" t="s">
        <v>118</v>
      </c>
      <c r="X496" s="3"/>
      <c r="Y496" s="1" t="s">
        <v>119</v>
      </c>
      <c r="Z496" s="3"/>
      <c r="AA496" s="1" t="b">
        <v>1</v>
      </c>
      <c r="AB496" s="1" t="b">
        <v>0</v>
      </c>
      <c r="AC496" s="1" t="b">
        <v>0</v>
      </c>
      <c r="AD496" s="1" t="b">
        <v>1</v>
      </c>
      <c r="AE496" s="1" t="b">
        <v>0</v>
      </c>
      <c r="AF496" s="5">
        <v>6.0</v>
      </c>
      <c r="AG496" s="5">
        <v>6.0</v>
      </c>
      <c r="AH496" s="3"/>
      <c r="AI496" s="3"/>
      <c r="AJ496" s="2">
        <v>46048.45086805556</v>
      </c>
      <c r="AK496" s="2">
        <v>46048.544328703705</v>
      </c>
      <c r="AL496" s="2">
        <v>46048.45086805556</v>
      </c>
      <c r="AM496" s="2">
        <v>46048.450902777775</v>
      </c>
      <c r="AO496" s="3"/>
      <c r="AP496" s="2">
        <v>46048.45162037037</v>
      </c>
      <c r="AQ496" s="2">
        <v>46048.45457175926</v>
      </c>
      <c r="AS496" s="2">
        <v>46048.45459490741</v>
      </c>
      <c r="AT496" s="2">
        <v>46048.45457175926</v>
      </c>
      <c r="AU496" s="2">
        <v>46048.45459490741</v>
      </c>
      <c r="AW496" s="3"/>
      <c r="AX496" s="2">
        <v>46048.45459490741</v>
      </c>
      <c r="AY496" s="2">
        <v>46048.45459490741</v>
      </c>
      <c r="AZ496" s="2">
        <v>46048.46287037037</v>
      </c>
      <c r="BA496" s="2">
        <v>46048.502604166664</v>
      </c>
      <c r="BC496" s="2">
        <v>46048.502650462964</v>
      </c>
      <c r="BD496" s="2">
        <v>46048.502650462964</v>
      </c>
      <c r="BE496" s="5">
        <v>1868.0</v>
      </c>
      <c r="BF496" s="5">
        <v>1868.0</v>
      </c>
      <c r="BG496" s="5">
        <v>311.0</v>
      </c>
      <c r="BH496" s="5">
        <v>311.0</v>
      </c>
      <c r="BI496" s="3"/>
      <c r="BJ496" s="3"/>
      <c r="BK496" s="5">
        <v>1.0</v>
      </c>
      <c r="BL496" s="5">
        <v>1.0</v>
      </c>
      <c r="BM496" s="5">
        <v>1.0</v>
      </c>
      <c r="BN496" s="5">
        <v>1.0</v>
      </c>
      <c r="BO496" s="5">
        <v>716.0</v>
      </c>
      <c r="BP496" s="5">
        <v>716.0</v>
      </c>
      <c r="BQ496" s="5">
        <v>1034.0</v>
      </c>
      <c r="BR496" s="5">
        <v>1034.0</v>
      </c>
      <c r="BS496" s="5">
        <v>715.0</v>
      </c>
      <c r="BT496" s="5">
        <v>715.0</v>
      </c>
      <c r="BU496" s="5">
        <v>715.0</v>
      </c>
      <c r="BV496" s="5">
        <v>715.0</v>
      </c>
      <c r="BW496" s="5">
        <v>716.0</v>
      </c>
      <c r="BX496" s="5">
        <v>716.0</v>
      </c>
      <c r="BY496" s="5">
        <v>4153.0</v>
      </c>
      <c r="BZ496" s="5">
        <v>4153.0</v>
      </c>
      <c r="CA496" s="5">
        <v>4153.0</v>
      </c>
      <c r="CB496" s="5">
        <v>4153.0</v>
      </c>
      <c r="CC496" s="5">
        <v>4471.0</v>
      </c>
      <c r="CD496" s="5">
        <v>4471.0</v>
      </c>
      <c r="CE496" s="5">
        <v>4152.0</v>
      </c>
      <c r="CF496" s="5">
        <v>4152.0</v>
      </c>
      <c r="CG496" s="5">
        <v>4152.0</v>
      </c>
      <c r="CH496" s="5">
        <v>4152.0</v>
      </c>
      <c r="CI496" s="5">
        <v>4153.0</v>
      </c>
      <c r="CJ496" s="5">
        <v>4153.0</v>
      </c>
      <c r="CK496" s="5">
        <v>4152.0</v>
      </c>
      <c r="CL496" s="5">
        <v>4152.0</v>
      </c>
      <c r="CM496" s="5">
        <v>4152.0</v>
      </c>
      <c r="CN496" s="5">
        <v>4152.0</v>
      </c>
      <c r="CO496" s="5">
        <v>64.0</v>
      </c>
      <c r="CP496" s="3"/>
      <c r="CQ496" s="3"/>
      <c r="CR496" s="4" t="s">
        <v>2030</v>
      </c>
    </row>
    <row r="497">
      <c r="A497" s="1" t="s">
        <v>2031</v>
      </c>
      <c r="B497" s="2">
        <v>46048.446805555555</v>
      </c>
      <c r="C497" s="1" t="str">
        <f t="array" ref="C497">INDEX('User data'!E:E, MATCH(E497, 'User data'!B:B, 0))</f>
        <v>주식회사 라디우스랩</v>
      </c>
      <c r="D497" s="1" t="str">
        <f t="array" ref="D497">INDEX('User data'!F:F, MATCH(C497, 'User data'!E:E, 0))</f>
        <v>567-87-02875</v>
      </c>
      <c r="E497" s="1" t="s">
        <v>536</v>
      </c>
      <c r="F497" s="3"/>
      <c r="G497" s="3"/>
      <c r="H497" s="3"/>
      <c r="I497" s="1" t="s">
        <v>1114</v>
      </c>
      <c r="J497" s="1" t="s">
        <v>100</v>
      </c>
      <c r="K497" s="1" t="s">
        <v>101</v>
      </c>
      <c r="L497" s="1" t="b">
        <v>0</v>
      </c>
      <c r="M497" s="4" t="s">
        <v>102</v>
      </c>
      <c r="N497" s="1" t="s">
        <v>537</v>
      </c>
      <c r="O497" s="1">
        <v>574085.0</v>
      </c>
      <c r="P497" s="1">
        <v>574085.0</v>
      </c>
      <c r="Q497" s="1">
        <v>574085.0</v>
      </c>
      <c r="R497" s="1" t="s">
        <v>1674</v>
      </c>
      <c r="S497" s="1">
        <v>13285.0</v>
      </c>
      <c r="T497" s="1" t="s">
        <v>104</v>
      </c>
      <c r="U497" s="3"/>
      <c r="V497" s="3"/>
      <c r="W497" s="1" t="s">
        <v>118</v>
      </c>
      <c r="X497" s="3"/>
      <c r="Y497" s="1" t="s">
        <v>119</v>
      </c>
      <c r="Z497" s="3"/>
      <c r="AA497" s="1" t="b">
        <v>1</v>
      </c>
      <c r="AB497" s="1" t="b">
        <v>0</v>
      </c>
      <c r="AC497" s="1" t="b">
        <v>0</v>
      </c>
      <c r="AD497" s="1" t="b">
        <v>1</v>
      </c>
      <c r="AE497" s="1" t="b">
        <v>1</v>
      </c>
      <c r="AF497" s="5">
        <v>5.0</v>
      </c>
      <c r="AG497" s="5">
        <v>5.0</v>
      </c>
      <c r="AH497" s="3"/>
      <c r="AI497" s="3"/>
      <c r="AJ497" s="2">
        <v>46048.4453125</v>
      </c>
      <c r="AK497" s="2">
        <v>46052.65692129629</v>
      </c>
      <c r="AL497" s="2">
        <v>46048.4453125</v>
      </c>
      <c r="AM497" s="2">
        <v>46048.445335648146</v>
      </c>
      <c r="AN497" s="2">
        <v>46048.446805555555</v>
      </c>
      <c r="AO497" s="2">
        <v>46048.44721064815</v>
      </c>
      <c r="AP497" s="2">
        <v>46048.44721064815</v>
      </c>
      <c r="AQ497" s="2">
        <v>46048.44721064815</v>
      </c>
      <c r="AS497" s="2">
        <v>46048.447222222225</v>
      </c>
      <c r="AT497" s="2">
        <v>46048.44721064815</v>
      </c>
      <c r="AU497" s="2">
        <v>46048.447222222225</v>
      </c>
      <c r="AW497" s="3"/>
      <c r="AX497" s="2">
        <v>46048.447222222225</v>
      </c>
      <c r="AY497" s="2">
        <v>46048.447222222225</v>
      </c>
      <c r="AZ497" s="2">
        <v>46048.45119212963</v>
      </c>
      <c r="BA497" s="2">
        <v>46048.50653935185</v>
      </c>
      <c r="BC497" s="2">
        <v>46052.486354166664</v>
      </c>
      <c r="BD497" s="2">
        <v>46052.486354166664</v>
      </c>
      <c r="BE497" s="5">
        <v>1350.0</v>
      </c>
      <c r="BF497" s="5">
        <v>1350.0</v>
      </c>
      <c r="BG497" s="5">
        <v>270.0</v>
      </c>
      <c r="BH497" s="5">
        <v>270.0</v>
      </c>
      <c r="BI497" s="3"/>
      <c r="BJ497" s="3"/>
      <c r="BK497" s="5">
        <v>0.0</v>
      </c>
      <c r="BL497" s="5">
        <v>0.0</v>
      </c>
      <c r="BM497" s="5">
        <v>36.0</v>
      </c>
      <c r="BN497" s="5">
        <v>36.0</v>
      </c>
      <c r="BO497" s="5">
        <v>378.0</v>
      </c>
      <c r="BP497" s="5">
        <v>378.0</v>
      </c>
      <c r="BQ497" s="5">
        <v>506.0</v>
      </c>
      <c r="BR497" s="5">
        <v>506.0</v>
      </c>
      <c r="BS497" s="5">
        <v>342.0</v>
      </c>
      <c r="BT497" s="5">
        <v>342.0</v>
      </c>
      <c r="BU497" s="5">
        <v>342.0</v>
      </c>
      <c r="BV497" s="5">
        <v>342.0</v>
      </c>
      <c r="BW497" s="5">
        <v>343.0</v>
      </c>
      <c r="BX497" s="5">
        <v>343.0</v>
      </c>
      <c r="BY497" s="5">
        <v>349017.0</v>
      </c>
      <c r="BZ497" s="5">
        <v>89817.0</v>
      </c>
      <c r="CA497" s="5">
        <v>349017.0</v>
      </c>
      <c r="CB497" s="5">
        <v>89817.0</v>
      </c>
      <c r="CC497" s="5">
        <v>349144.0</v>
      </c>
      <c r="CD497" s="5">
        <v>89944.0</v>
      </c>
      <c r="CE497" s="5">
        <v>348981.0</v>
      </c>
      <c r="CF497" s="5">
        <v>89781.0</v>
      </c>
      <c r="CG497" s="5">
        <v>348981.0</v>
      </c>
      <c r="CH497" s="5">
        <v>89781.0</v>
      </c>
      <c r="CI497" s="5">
        <v>348981.0</v>
      </c>
      <c r="CJ497" s="5">
        <v>89781.0</v>
      </c>
      <c r="CK497" s="5">
        <v>348981.0</v>
      </c>
      <c r="CL497" s="5">
        <v>89781.0</v>
      </c>
      <c r="CM497" s="5">
        <v>348981.0</v>
      </c>
      <c r="CN497" s="5">
        <v>89781.0</v>
      </c>
      <c r="CO497" s="5">
        <v>164.0</v>
      </c>
      <c r="CP497" s="5">
        <v>35.0</v>
      </c>
      <c r="CQ497" s="3"/>
      <c r="CR497" s="4" t="s">
        <v>2032</v>
      </c>
    </row>
    <row r="498">
      <c r="A498" s="1" t="s">
        <v>2033</v>
      </c>
      <c r="B498" s="2">
        <v>46048.41915509259</v>
      </c>
      <c r="C498" s="1" t="str">
        <f t="array" ref="C498">INDEX('User data'!E:E, MATCH(E498, 'User data'!B:B, 0))</f>
        <v>알리콘 주식회사</v>
      </c>
      <c r="D498" s="1" t="str">
        <f t="array" ref="D498">INDEX('User data'!F:F, MATCH(C498, 'User data'!E:E, 0))</f>
        <v>363-88-00097</v>
      </c>
      <c r="E498" s="1" t="s">
        <v>2034</v>
      </c>
      <c r="F498" s="3"/>
      <c r="G498" s="3"/>
      <c r="H498" s="3"/>
      <c r="I498" s="1" t="s">
        <v>1537</v>
      </c>
      <c r="J498" s="1" t="s">
        <v>100</v>
      </c>
      <c r="K498" s="1" t="s">
        <v>101</v>
      </c>
      <c r="L498" s="1" t="b">
        <v>0</v>
      </c>
      <c r="M498" s="4" t="s">
        <v>102</v>
      </c>
      <c r="N498" s="1" t="s">
        <v>2035</v>
      </c>
      <c r="O498" s="1">
        <v>574085.0</v>
      </c>
      <c r="P498" s="1">
        <v>574085.0</v>
      </c>
      <c r="Q498" s="1">
        <v>574085.0</v>
      </c>
      <c r="R498" s="1" t="s">
        <v>1674</v>
      </c>
      <c r="S498" s="1">
        <v>13285.0</v>
      </c>
      <c r="T498" s="1" t="s">
        <v>104</v>
      </c>
      <c r="U498" s="3"/>
      <c r="V498" s="3"/>
      <c r="W498" s="1" t="s">
        <v>118</v>
      </c>
      <c r="X498" s="3"/>
      <c r="Y498" s="1" t="s">
        <v>119</v>
      </c>
      <c r="Z498" s="3"/>
      <c r="AA498" s="1" t="b">
        <v>1</v>
      </c>
      <c r="AB498" s="1" t="b">
        <v>0</v>
      </c>
      <c r="AC498" s="1" t="b">
        <v>0</v>
      </c>
      <c r="AD498" s="1" t="b">
        <v>1</v>
      </c>
      <c r="AE498" s="1" t="b">
        <v>0</v>
      </c>
      <c r="AF498" s="5">
        <v>1.0</v>
      </c>
      <c r="AG498" s="5">
        <v>1.0</v>
      </c>
      <c r="AH498" s="3"/>
      <c r="AI498" s="3"/>
      <c r="AJ498" s="2">
        <v>46048.41787037037</v>
      </c>
      <c r="AK498" s="2">
        <v>46052.68699074074</v>
      </c>
      <c r="AL498" s="2">
        <v>46048.41787037037</v>
      </c>
      <c r="AM498" s="2">
        <v>46048.417916666665</v>
      </c>
      <c r="AO498" s="3"/>
      <c r="AP498" s="2">
        <v>46048.418391203704</v>
      </c>
      <c r="AQ498" s="2">
        <v>46048.41915509259</v>
      </c>
      <c r="AS498" s="2">
        <v>46048.41916666667</v>
      </c>
      <c r="AT498" s="2">
        <v>46048.41915509259</v>
      </c>
      <c r="AU498" s="2">
        <v>46048.41916666667</v>
      </c>
      <c r="AW498" s="3"/>
      <c r="AX498" s="2">
        <v>46048.41916666667</v>
      </c>
      <c r="AY498" s="2">
        <v>46048.41916666667</v>
      </c>
      <c r="AZ498" s="2">
        <v>46048.42521990741</v>
      </c>
      <c r="BA498" s="2">
        <v>46048.42521990741</v>
      </c>
      <c r="BC498" s="2">
        <v>46052.486296296294</v>
      </c>
      <c r="BD498" s="2">
        <v>46052.486296296294</v>
      </c>
      <c r="BE498" s="5">
        <v>524.0</v>
      </c>
      <c r="BF498" s="5">
        <v>524.0</v>
      </c>
      <c r="BG498" s="5">
        <v>524.0</v>
      </c>
      <c r="BH498" s="5">
        <v>524.0</v>
      </c>
      <c r="BI498" s="3"/>
      <c r="BJ498" s="3"/>
      <c r="BK498" s="5">
        <v>0.0</v>
      </c>
      <c r="BL498" s="5">
        <v>0.0</v>
      </c>
      <c r="BM498" s="5">
        <v>0.0</v>
      </c>
      <c r="BN498" s="5">
        <v>0.0</v>
      </c>
      <c r="BO498" s="5">
        <v>524.0</v>
      </c>
      <c r="BP498" s="5">
        <v>524.0</v>
      </c>
      <c r="BQ498" s="5">
        <v>631.0</v>
      </c>
      <c r="BR498" s="5">
        <v>631.0</v>
      </c>
      <c r="BS498" s="5">
        <v>523.0</v>
      </c>
      <c r="BT498" s="5">
        <v>523.0</v>
      </c>
      <c r="BU498" s="5">
        <v>523.0</v>
      </c>
      <c r="BV498" s="5">
        <v>523.0</v>
      </c>
      <c r="BW498" s="5">
        <v>524.0</v>
      </c>
      <c r="BX498" s="5">
        <v>524.0</v>
      </c>
      <c r="BY498" s="5">
        <v>351401.0</v>
      </c>
      <c r="BZ498" s="5">
        <v>92201.0</v>
      </c>
      <c r="CA498" s="5">
        <v>351401.0</v>
      </c>
      <c r="CB498" s="5">
        <v>92201.0</v>
      </c>
      <c r="CC498" s="5">
        <v>351508.0</v>
      </c>
      <c r="CD498" s="5">
        <v>92308.0</v>
      </c>
      <c r="CE498" s="5">
        <v>351400.0</v>
      </c>
      <c r="CF498" s="5">
        <v>92200.0</v>
      </c>
      <c r="CG498" s="5">
        <v>351400.0</v>
      </c>
      <c r="CH498" s="5">
        <v>92200.0</v>
      </c>
      <c r="CI498" s="5">
        <v>351401.0</v>
      </c>
      <c r="CJ498" s="5">
        <v>92201.0</v>
      </c>
      <c r="CK498" s="5">
        <v>351400.0</v>
      </c>
      <c r="CL498" s="5">
        <v>92200.0</v>
      </c>
      <c r="CM498" s="5">
        <v>351400.0</v>
      </c>
      <c r="CN498" s="5">
        <v>92200.0</v>
      </c>
      <c r="CO498" s="5">
        <v>45.0</v>
      </c>
      <c r="CP498" s="3"/>
      <c r="CQ498" s="3"/>
      <c r="CR498" s="4" t="s">
        <v>2036</v>
      </c>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sheetData>
  <mergeCells count="2026">
    <mergeCell ref="AN33:AO33"/>
    <mergeCell ref="AN36:AO36"/>
    <mergeCell ref="AO37:AP37"/>
    <mergeCell ref="AQ37:AR37"/>
    <mergeCell ref="AU37:AV37"/>
    <mergeCell ref="BA37:BB37"/>
    <mergeCell ref="AP38:AQ38"/>
    <mergeCell ref="AU38:AV38"/>
    <mergeCell ref="AK36:AL36"/>
    <mergeCell ref="AK39:AL39"/>
    <mergeCell ref="AN39:AO39"/>
    <mergeCell ref="AO40:AP40"/>
    <mergeCell ref="AQ40:AR40"/>
    <mergeCell ref="AU40:AV40"/>
    <mergeCell ref="AN41:AO41"/>
    <mergeCell ref="AN25:AO25"/>
    <mergeCell ref="AN26:AO26"/>
    <mergeCell ref="AN28:AO28"/>
    <mergeCell ref="AN29:AO29"/>
    <mergeCell ref="AQ30:AR30"/>
    <mergeCell ref="AU30:AV30"/>
    <mergeCell ref="AN31:AO31"/>
    <mergeCell ref="AK26:AL26"/>
    <mergeCell ref="AK27:AL27"/>
    <mergeCell ref="AK28:AL28"/>
    <mergeCell ref="AK29:AL29"/>
    <mergeCell ref="AK31:AL31"/>
    <mergeCell ref="AK32:AL32"/>
    <mergeCell ref="AK33:AL33"/>
    <mergeCell ref="N22:O22"/>
    <mergeCell ref="N23:O23"/>
    <mergeCell ref="N24:O24"/>
    <mergeCell ref="AK24:AL24"/>
    <mergeCell ref="AN24:AO24"/>
    <mergeCell ref="AK25:AL25"/>
    <mergeCell ref="AN27:AO27"/>
    <mergeCell ref="AN32:AO32"/>
    <mergeCell ref="AM34:AN34"/>
    <mergeCell ref="AP34:AQ34"/>
    <mergeCell ref="AU34:AV34"/>
    <mergeCell ref="AQ35:AR35"/>
    <mergeCell ref="AU35:AV35"/>
    <mergeCell ref="BB35:BC35"/>
    <mergeCell ref="N27:O27"/>
    <mergeCell ref="N28:O28"/>
    <mergeCell ref="N29:O29"/>
    <mergeCell ref="N31:O31"/>
    <mergeCell ref="N32:O32"/>
    <mergeCell ref="N33:O33"/>
    <mergeCell ref="N36:O36"/>
    <mergeCell ref="AN44:AO44"/>
    <mergeCell ref="AN45:AO45"/>
    <mergeCell ref="AQ46:AR46"/>
    <mergeCell ref="AU46:AV46"/>
    <mergeCell ref="BA46:BB46"/>
    <mergeCell ref="AQ48:AR48"/>
    <mergeCell ref="AU48:AV48"/>
    <mergeCell ref="AN49:AO49"/>
    <mergeCell ref="N39:O39"/>
    <mergeCell ref="N41:O41"/>
    <mergeCell ref="N42:O42"/>
    <mergeCell ref="N43:O43"/>
    <mergeCell ref="N44:O44"/>
    <mergeCell ref="N45:O45"/>
    <mergeCell ref="N47:O47"/>
    <mergeCell ref="AK57:AL57"/>
    <mergeCell ref="AN57:AO57"/>
    <mergeCell ref="AK58:AL58"/>
    <mergeCell ref="AN58:AO58"/>
    <mergeCell ref="AK49:AL49"/>
    <mergeCell ref="AK50:AL50"/>
    <mergeCell ref="AN50:AO50"/>
    <mergeCell ref="AU51:AV51"/>
    <mergeCell ref="BA51:BB51"/>
    <mergeCell ref="AK52:AL52"/>
    <mergeCell ref="AN52:AO52"/>
    <mergeCell ref="AQ51:AR51"/>
    <mergeCell ref="AQ53:AR53"/>
    <mergeCell ref="AU53:AV53"/>
    <mergeCell ref="AK54:AL54"/>
    <mergeCell ref="AN54:AO54"/>
    <mergeCell ref="AK55:AL55"/>
    <mergeCell ref="AK56:AL56"/>
    <mergeCell ref="AN55:AO55"/>
    <mergeCell ref="AN56:AO56"/>
    <mergeCell ref="AK59:AL59"/>
    <mergeCell ref="AN59:AO59"/>
    <mergeCell ref="AK60:AL60"/>
    <mergeCell ref="AN60:AO60"/>
    <mergeCell ref="AN61:AO61"/>
    <mergeCell ref="AK61:AL61"/>
    <mergeCell ref="AK62:AL62"/>
    <mergeCell ref="AK63:AL63"/>
    <mergeCell ref="AK64:AL64"/>
    <mergeCell ref="AK65:AL65"/>
    <mergeCell ref="AK66:AL66"/>
    <mergeCell ref="AK67:AL67"/>
    <mergeCell ref="AN62:AO62"/>
    <mergeCell ref="AN63:AO63"/>
    <mergeCell ref="AN64:AO64"/>
    <mergeCell ref="AN65:AO65"/>
    <mergeCell ref="AN66:AO66"/>
    <mergeCell ref="AN67:AO67"/>
    <mergeCell ref="AN68:AO68"/>
    <mergeCell ref="AK68:AL68"/>
    <mergeCell ref="AK69:AL69"/>
    <mergeCell ref="AK70:AL70"/>
    <mergeCell ref="AK71:AL71"/>
    <mergeCell ref="AK72:AL72"/>
    <mergeCell ref="AK73:AL73"/>
    <mergeCell ref="AK74:AL74"/>
    <mergeCell ref="AN69:AO69"/>
    <mergeCell ref="AN70:AO70"/>
    <mergeCell ref="AN71:AO71"/>
    <mergeCell ref="AN72:AO72"/>
    <mergeCell ref="AN73:AO73"/>
    <mergeCell ref="AN74:AO74"/>
    <mergeCell ref="AN75:AO75"/>
    <mergeCell ref="AN76:AO76"/>
    <mergeCell ref="AN77:AO77"/>
    <mergeCell ref="AN78:AO78"/>
    <mergeCell ref="AN79:AO79"/>
    <mergeCell ref="AN80:AO80"/>
    <mergeCell ref="AN81:AO81"/>
    <mergeCell ref="AN82:AO82"/>
    <mergeCell ref="N49:O49"/>
    <mergeCell ref="N50:O50"/>
    <mergeCell ref="N52:O52"/>
    <mergeCell ref="N54:O54"/>
    <mergeCell ref="N55:O55"/>
    <mergeCell ref="N56:O56"/>
    <mergeCell ref="N57:O57"/>
    <mergeCell ref="N58:O58"/>
    <mergeCell ref="N59:O59"/>
    <mergeCell ref="N60:O60"/>
    <mergeCell ref="N61:O61"/>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N77:O77"/>
    <mergeCell ref="N78:O78"/>
    <mergeCell ref="N79:O79"/>
    <mergeCell ref="N80:O80"/>
    <mergeCell ref="N81:O81"/>
    <mergeCell ref="N82:O82"/>
    <mergeCell ref="N83:O83"/>
    <mergeCell ref="N84:O84"/>
    <mergeCell ref="N85:O85"/>
    <mergeCell ref="N86:O86"/>
    <mergeCell ref="N87:O87"/>
    <mergeCell ref="N88:O88"/>
    <mergeCell ref="N89:O89"/>
    <mergeCell ref="N90:O90"/>
    <mergeCell ref="N91:O91"/>
    <mergeCell ref="N92:O92"/>
    <mergeCell ref="N96:O96"/>
    <mergeCell ref="N97:O97"/>
    <mergeCell ref="N98:O98"/>
    <mergeCell ref="N99:O99"/>
    <mergeCell ref="N100:O100"/>
    <mergeCell ref="N101:O101"/>
    <mergeCell ref="N102:O102"/>
    <mergeCell ref="N103:O103"/>
    <mergeCell ref="N105:O105"/>
    <mergeCell ref="N109:O109"/>
    <mergeCell ref="N110:O110"/>
    <mergeCell ref="N111:O111"/>
    <mergeCell ref="N113:O113"/>
    <mergeCell ref="N114:O114"/>
    <mergeCell ref="N115:O115"/>
    <mergeCell ref="N116:O116"/>
    <mergeCell ref="N117:O117"/>
    <mergeCell ref="N119:O119"/>
    <mergeCell ref="N120:O120"/>
    <mergeCell ref="N121:O121"/>
    <mergeCell ref="N123:O123"/>
    <mergeCell ref="N124:O124"/>
    <mergeCell ref="N126:O126"/>
    <mergeCell ref="N128:O128"/>
    <mergeCell ref="N129:O129"/>
    <mergeCell ref="N130:O130"/>
    <mergeCell ref="N131:O131"/>
    <mergeCell ref="N132:O132"/>
    <mergeCell ref="N134:O134"/>
    <mergeCell ref="N137:O137"/>
    <mergeCell ref="N139:O139"/>
    <mergeCell ref="N140:O140"/>
    <mergeCell ref="N143:O143"/>
    <mergeCell ref="N144:O144"/>
    <mergeCell ref="N145:O145"/>
    <mergeCell ref="N146:O146"/>
    <mergeCell ref="N148:O148"/>
    <mergeCell ref="N149:O149"/>
    <mergeCell ref="N151:O151"/>
    <mergeCell ref="N152:O152"/>
    <mergeCell ref="N154:O154"/>
    <mergeCell ref="N155:O155"/>
    <mergeCell ref="N156:O156"/>
    <mergeCell ref="N157:O157"/>
    <mergeCell ref="N159:O159"/>
    <mergeCell ref="N160:O160"/>
    <mergeCell ref="N161:O161"/>
    <mergeCell ref="N162:O162"/>
    <mergeCell ref="N164:O164"/>
    <mergeCell ref="N165:O165"/>
    <mergeCell ref="N166:O166"/>
    <mergeCell ref="N168:O168"/>
    <mergeCell ref="N169:O169"/>
    <mergeCell ref="E170:F170"/>
    <mergeCell ref="N170:O170"/>
    <mergeCell ref="N171:O171"/>
    <mergeCell ref="AK195:AL195"/>
    <mergeCell ref="AK196:AL196"/>
    <mergeCell ref="AK197:AL197"/>
    <mergeCell ref="AK192:AL192"/>
    <mergeCell ref="AN192:AO192"/>
    <mergeCell ref="AK193:AL193"/>
    <mergeCell ref="AN193:AO193"/>
    <mergeCell ref="AK194:AL194"/>
    <mergeCell ref="AN194:AO194"/>
    <mergeCell ref="AN195:AO195"/>
    <mergeCell ref="AN270:AO270"/>
    <mergeCell ref="AN271:AO271"/>
    <mergeCell ref="AN272:AO272"/>
    <mergeCell ref="BD272:BE272"/>
    <mergeCell ref="AU273:AV273"/>
    <mergeCell ref="BB273:BC273"/>
    <mergeCell ref="AK266:AL266"/>
    <mergeCell ref="AN266:AO266"/>
    <mergeCell ref="AK267:AL267"/>
    <mergeCell ref="AN267:AO267"/>
    <mergeCell ref="AK268:AL268"/>
    <mergeCell ref="AN268:AO268"/>
    <mergeCell ref="AN269:AO269"/>
    <mergeCell ref="AN275:AO275"/>
    <mergeCell ref="AN276:AO276"/>
    <mergeCell ref="AN277:AO277"/>
    <mergeCell ref="AN278:AO278"/>
    <mergeCell ref="AN279:AO279"/>
    <mergeCell ref="AN280:AO280"/>
    <mergeCell ref="AN281:AO281"/>
    <mergeCell ref="BD281:BE281"/>
    <mergeCell ref="AK269:AL269"/>
    <mergeCell ref="AK270:AL270"/>
    <mergeCell ref="AK271:AL271"/>
    <mergeCell ref="AK272:AL272"/>
    <mergeCell ref="AK273:AL273"/>
    <mergeCell ref="AM273:AN273"/>
    <mergeCell ref="AN274:AO274"/>
    <mergeCell ref="AK274:AL274"/>
    <mergeCell ref="AK275:AL275"/>
    <mergeCell ref="AK276:AL276"/>
    <mergeCell ref="AK277:AL277"/>
    <mergeCell ref="AK278:AL278"/>
    <mergeCell ref="AK279:AL279"/>
    <mergeCell ref="AK280:AL280"/>
    <mergeCell ref="AN284:AO284"/>
    <mergeCell ref="AN285:AO285"/>
    <mergeCell ref="AK281:AL281"/>
    <mergeCell ref="AK282:AL282"/>
    <mergeCell ref="AN282:AO282"/>
    <mergeCell ref="AK283:AL283"/>
    <mergeCell ref="AN283:AO283"/>
    <mergeCell ref="AK284:AL284"/>
    <mergeCell ref="AK285:AL285"/>
    <mergeCell ref="AK286:AL286"/>
    <mergeCell ref="AN286:AO286"/>
    <mergeCell ref="AM287:AN287"/>
    <mergeCell ref="AP287:AQ287"/>
    <mergeCell ref="AU287:AV287"/>
    <mergeCell ref="AU288:AV288"/>
    <mergeCell ref="BA288:BB288"/>
    <mergeCell ref="AQ288:AR288"/>
    <mergeCell ref="AP289:AQ289"/>
    <mergeCell ref="AU289:AV289"/>
    <mergeCell ref="AK290:AL290"/>
    <mergeCell ref="AN290:AO290"/>
    <mergeCell ref="AK291:AL291"/>
    <mergeCell ref="AK292:AL292"/>
    <mergeCell ref="AN295:AO295"/>
    <mergeCell ref="AQ296:AR296"/>
    <mergeCell ref="AU296:AV296"/>
    <mergeCell ref="BA296:BB296"/>
    <mergeCell ref="AK297:AL297"/>
    <mergeCell ref="AN297:AO297"/>
    <mergeCell ref="BD297:BE297"/>
    <mergeCell ref="AN291:AO291"/>
    <mergeCell ref="AN292:AO292"/>
    <mergeCell ref="AK293:AL293"/>
    <mergeCell ref="AN293:AO293"/>
    <mergeCell ref="AK294:AL294"/>
    <mergeCell ref="AN294:AO294"/>
    <mergeCell ref="AK295:AL295"/>
    <mergeCell ref="AU301:AV301"/>
    <mergeCell ref="BA301:BB301"/>
    <mergeCell ref="AK298:AL298"/>
    <mergeCell ref="AN298:AO298"/>
    <mergeCell ref="AO299:AP299"/>
    <mergeCell ref="AU299:AV299"/>
    <mergeCell ref="AK300:AL300"/>
    <mergeCell ref="AN300:AO300"/>
    <mergeCell ref="AQ301:AR301"/>
    <mergeCell ref="G357:H357"/>
    <mergeCell ref="R358:S358"/>
    <mergeCell ref="R374:S374"/>
    <mergeCell ref="G387:H387"/>
    <mergeCell ref="E393:F393"/>
    <mergeCell ref="H402:I402"/>
    <mergeCell ref="R408:S408"/>
    <mergeCell ref="F462:H462"/>
    <mergeCell ref="E496:F496"/>
    <mergeCell ref="G409:H409"/>
    <mergeCell ref="G411:H411"/>
    <mergeCell ref="G418:H418"/>
    <mergeCell ref="G436:H436"/>
    <mergeCell ref="G441:H441"/>
    <mergeCell ref="G448:H448"/>
    <mergeCell ref="R455:S455"/>
    <mergeCell ref="N261:O261"/>
    <mergeCell ref="N262:O262"/>
    <mergeCell ref="N263:O263"/>
    <mergeCell ref="G265:I265"/>
    <mergeCell ref="N266:O266"/>
    <mergeCell ref="N267:O267"/>
    <mergeCell ref="N268:O268"/>
    <mergeCell ref="N269:O269"/>
    <mergeCell ref="N270:O270"/>
    <mergeCell ref="N271:O271"/>
    <mergeCell ref="N272:O272"/>
    <mergeCell ref="H273:I273"/>
    <mergeCell ref="R273:S273"/>
    <mergeCell ref="N274:O274"/>
    <mergeCell ref="N275:O275"/>
    <mergeCell ref="N276:O276"/>
    <mergeCell ref="N277:O277"/>
    <mergeCell ref="N278:O278"/>
    <mergeCell ref="N279:O279"/>
    <mergeCell ref="N280:O280"/>
    <mergeCell ref="N281:O281"/>
    <mergeCell ref="N282:O282"/>
    <mergeCell ref="N283:O283"/>
    <mergeCell ref="N284:O284"/>
    <mergeCell ref="N285:O285"/>
    <mergeCell ref="N286:O286"/>
    <mergeCell ref="N290:O290"/>
    <mergeCell ref="N291:O291"/>
    <mergeCell ref="R304:S304"/>
    <mergeCell ref="N305:O305"/>
    <mergeCell ref="N306:O306"/>
    <mergeCell ref="G307:H307"/>
    <mergeCell ref="N308:O308"/>
    <mergeCell ref="N309:O309"/>
    <mergeCell ref="N292:O292"/>
    <mergeCell ref="N293:O293"/>
    <mergeCell ref="N294:O294"/>
    <mergeCell ref="N295:O295"/>
    <mergeCell ref="N297:O297"/>
    <mergeCell ref="N298:O298"/>
    <mergeCell ref="N300:O300"/>
    <mergeCell ref="N328:O328"/>
    <mergeCell ref="N329:O329"/>
    <mergeCell ref="G330:H330"/>
    <mergeCell ref="G333:H333"/>
    <mergeCell ref="G334:H334"/>
    <mergeCell ref="G336:H336"/>
    <mergeCell ref="G350:H350"/>
    <mergeCell ref="N435:O435"/>
    <mergeCell ref="N440:O440"/>
    <mergeCell ref="N443:O443"/>
    <mergeCell ref="N446:O446"/>
    <mergeCell ref="N449:O449"/>
    <mergeCell ref="N450:O450"/>
    <mergeCell ref="N454:O454"/>
    <mergeCell ref="N456:O456"/>
    <mergeCell ref="N457:O457"/>
    <mergeCell ref="N458:O458"/>
    <mergeCell ref="N459:O459"/>
    <mergeCell ref="N466:O466"/>
    <mergeCell ref="N467:O467"/>
    <mergeCell ref="N468:O468"/>
    <mergeCell ref="N482:O482"/>
    <mergeCell ref="N484:O484"/>
    <mergeCell ref="N485:O485"/>
    <mergeCell ref="N486:O486"/>
    <mergeCell ref="R490:S490"/>
    <mergeCell ref="N493:O493"/>
    <mergeCell ref="N470:O470"/>
    <mergeCell ref="N475:O475"/>
    <mergeCell ref="N476:O476"/>
    <mergeCell ref="N477:O477"/>
    <mergeCell ref="N478:O478"/>
    <mergeCell ref="N479:O479"/>
    <mergeCell ref="N480:O480"/>
    <mergeCell ref="N311:O311"/>
    <mergeCell ref="N312:O312"/>
    <mergeCell ref="N313:O313"/>
    <mergeCell ref="N315:O315"/>
    <mergeCell ref="N316:O316"/>
    <mergeCell ref="N317:O317"/>
    <mergeCell ref="N318:O318"/>
    <mergeCell ref="N319:O319"/>
    <mergeCell ref="N321:O321"/>
    <mergeCell ref="N322:O322"/>
    <mergeCell ref="N323:O323"/>
    <mergeCell ref="N324:O324"/>
    <mergeCell ref="N325:O325"/>
    <mergeCell ref="N326:O326"/>
    <mergeCell ref="N332:O332"/>
    <mergeCell ref="N338:O338"/>
    <mergeCell ref="N340:O340"/>
    <mergeCell ref="N343:O343"/>
    <mergeCell ref="N344:O344"/>
    <mergeCell ref="N352:O352"/>
    <mergeCell ref="N355:O355"/>
    <mergeCell ref="N361:O361"/>
    <mergeCell ref="N362:O362"/>
    <mergeCell ref="N363:O363"/>
    <mergeCell ref="N372:O372"/>
    <mergeCell ref="N373:O373"/>
    <mergeCell ref="N377:O377"/>
    <mergeCell ref="N381:O381"/>
    <mergeCell ref="N382:O382"/>
    <mergeCell ref="N383:O383"/>
    <mergeCell ref="N386:O386"/>
    <mergeCell ref="N390:O390"/>
    <mergeCell ref="N391:O391"/>
    <mergeCell ref="N394:O394"/>
    <mergeCell ref="N395:O395"/>
    <mergeCell ref="N396:O396"/>
    <mergeCell ref="N398:O398"/>
    <mergeCell ref="N405:O405"/>
    <mergeCell ref="N407:O407"/>
    <mergeCell ref="N410:O410"/>
    <mergeCell ref="N414:O414"/>
    <mergeCell ref="N416:O416"/>
    <mergeCell ref="N417:O417"/>
    <mergeCell ref="N419:O419"/>
    <mergeCell ref="N420:O420"/>
    <mergeCell ref="N423:O423"/>
    <mergeCell ref="N429:O429"/>
    <mergeCell ref="N430:O430"/>
    <mergeCell ref="N431:O431"/>
    <mergeCell ref="AY198:AZ198"/>
    <mergeCell ref="AY199:AZ199"/>
    <mergeCell ref="BB200:BC200"/>
    <mergeCell ref="BB201:BC201"/>
    <mergeCell ref="AN196:AO196"/>
    <mergeCell ref="AN197:AO197"/>
    <mergeCell ref="AK198:AL198"/>
    <mergeCell ref="AU198:AV198"/>
    <mergeCell ref="BB198:BC198"/>
    <mergeCell ref="AU199:AV199"/>
    <mergeCell ref="BB199:BC199"/>
    <mergeCell ref="N172:O172"/>
    <mergeCell ref="N173:O173"/>
    <mergeCell ref="N174:O174"/>
    <mergeCell ref="N175:O175"/>
    <mergeCell ref="N176:O176"/>
    <mergeCell ref="N177:O177"/>
    <mergeCell ref="N178:O178"/>
    <mergeCell ref="N180:O180"/>
    <mergeCell ref="N181:O181"/>
    <mergeCell ref="N182:O182"/>
    <mergeCell ref="N183:O183"/>
    <mergeCell ref="AK183:AL183"/>
    <mergeCell ref="AN183:AO183"/>
    <mergeCell ref="AN185:AO185"/>
    <mergeCell ref="AN188:AO188"/>
    <mergeCell ref="AN189:AO189"/>
    <mergeCell ref="AQ190:AR190"/>
    <mergeCell ref="AU190:AV190"/>
    <mergeCell ref="AQ191:AR191"/>
    <mergeCell ref="AU191:AV191"/>
    <mergeCell ref="BA191:BB191"/>
    <mergeCell ref="N185:O185"/>
    <mergeCell ref="N186:O186"/>
    <mergeCell ref="N187:O187"/>
    <mergeCell ref="N188:O188"/>
    <mergeCell ref="N189:O189"/>
    <mergeCell ref="N192:O192"/>
    <mergeCell ref="N193:O193"/>
    <mergeCell ref="H201:I201"/>
    <mergeCell ref="H202:I202"/>
    <mergeCell ref="H203:I203"/>
    <mergeCell ref="AU203:AV203"/>
    <mergeCell ref="AY203:AZ203"/>
    <mergeCell ref="AK203:AL203"/>
    <mergeCell ref="AK204:AL204"/>
    <mergeCell ref="AU204:AV204"/>
    <mergeCell ref="AY204:AZ204"/>
    <mergeCell ref="AK185:AL185"/>
    <mergeCell ref="AK186:AL186"/>
    <mergeCell ref="AN186:AO186"/>
    <mergeCell ref="AK187:AL187"/>
    <mergeCell ref="AN187:AO187"/>
    <mergeCell ref="AK188:AL188"/>
    <mergeCell ref="AK189:AL189"/>
    <mergeCell ref="AU201:AV201"/>
    <mergeCell ref="AU202:AV202"/>
    <mergeCell ref="AY202:AZ202"/>
    <mergeCell ref="BB202:BC202"/>
    <mergeCell ref="BB203:BC203"/>
    <mergeCell ref="BB204:BC204"/>
    <mergeCell ref="AK199:AL199"/>
    <mergeCell ref="AK200:AL200"/>
    <mergeCell ref="AU200:AV200"/>
    <mergeCell ref="AY200:AZ200"/>
    <mergeCell ref="AK201:AL201"/>
    <mergeCell ref="AY201:AZ201"/>
    <mergeCell ref="AK202:AL202"/>
    <mergeCell ref="AK205:AL205"/>
    <mergeCell ref="AU205:AV205"/>
    <mergeCell ref="AY205:AZ205"/>
    <mergeCell ref="BB205:BC205"/>
    <mergeCell ref="AU206:AV206"/>
    <mergeCell ref="AY206:AZ206"/>
    <mergeCell ref="BB206:BC206"/>
    <mergeCell ref="AN209:AO209"/>
    <mergeCell ref="AN210:AO210"/>
    <mergeCell ref="AK211:AL211"/>
    <mergeCell ref="AN211:AO211"/>
    <mergeCell ref="AK212:AL212"/>
    <mergeCell ref="AN212:AO212"/>
    <mergeCell ref="AK213:AL213"/>
    <mergeCell ref="AN213:AO213"/>
    <mergeCell ref="BD213:BE213"/>
    <mergeCell ref="AK206:AL206"/>
    <mergeCell ref="AK207:AL207"/>
    <mergeCell ref="AN207:AO207"/>
    <mergeCell ref="AK208:AL208"/>
    <mergeCell ref="AN208:AO208"/>
    <mergeCell ref="AK209:AL209"/>
    <mergeCell ref="AK210:AL210"/>
    <mergeCell ref="AK214:AL214"/>
    <mergeCell ref="AN214:AO214"/>
    <mergeCell ref="AQ215:AR215"/>
    <mergeCell ref="AU215:AV215"/>
    <mergeCell ref="BA215:BB215"/>
    <mergeCell ref="AK216:AL216"/>
    <mergeCell ref="AK217:AL217"/>
    <mergeCell ref="AN216:AO216"/>
    <mergeCell ref="AN217:AO217"/>
    <mergeCell ref="AK218:AL218"/>
    <mergeCell ref="AN218:AO218"/>
    <mergeCell ref="AQ219:AR219"/>
    <mergeCell ref="AU219:AV219"/>
    <mergeCell ref="BA219:BB219"/>
    <mergeCell ref="AN223:AO223"/>
    <mergeCell ref="AP224:AQ224"/>
    <mergeCell ref="AU224:AV224"/>
    <mergeCell ref="BA224:BB224"/>
    <mergeCell ref="AK220:AL220"/>
    <mergeCell ref="AN220:AO220"/>
    <mergeCell ref="AK221:AL221"/>
    <mergeCell ref="AN221:AO221"/>
    <mergeCell ref="AK222:AL222"/>
    <mergeCell ref="AN222:AO222"/>
    <mergeCell ref="AK223:AL223"/>
    <mergeCell ref="AK225:AL225"/>
    <mergeCell ref="AN225:AO225"/>
    <mergeCell ref="AM226:AN226"/>
    <mergeCell ref="AP226:AQ226"/>
    <mergeCell ref="AU226:AV226"/>
    <mergeCell ref="BA226:BB226"/>
    <mergeCell ref="AN227:AO227"/>
    <mergeCell ref="AK227:AL227"/>
    <mergeCell ref="AK228:AL228"/>
    <mergeCell ref="AN228:AO228"/>
    <mergeCell ref="AM229:AN229"/>
    <mergeCell ref="AQ229:AR229"/>
    <mergeCell ref="AU229:AV229"/>
    <mergeCell ref="BA229:BB229"/>
    <mergeCell ref="AK230:AL230"/>
    <mergeCell ref="AN230:AO230"/>
    <mergeCell ref="AO231:AP231"/>
    <mergeCell ref="AU231:AV231"/>
    <mergeCell ref="AQ232:AR232"/>
    <mergeCell ref="AU232:AV232"/>
    <mergeCell ref="BA232:BB232"/>
    <mergeCell ref="N194:O194"/>
    <mergeCell ref="N195:O195"/>
    <mergeCell ref="N196:O196"/>
    <mergeCell ref="N197:O197"/>
    <mergeCell ref="H198:I198"/>
    <mergeCell ref="H199:I199"/>
    <mergeCell ref="H200:I200"/>
    <mergeCell ref="H204:I204"/>
    <mergeCell ref="H205:I205"/>
    <mergeCell ref="H206:I206"/>
    <mergeCell ref="N207:O207"/>
    <mergeCell ref="N208:O208"/>
    <mergeCell ref="N209:O209"/>
    <mergeCell ref="N210:O210"/>
    <mergeCell ref="N211:O211"/>
    <mergeCell ref="N212:O212"/>
    <mergeCell ref="N213:O213"/>
    <mergeCell ref="N214:O214"/>
    <mergeCell ref="N216:O216"/>
    <mergeCell ref="N217:O217"/>
    <mergeCell ref="N218:O218"/>
    <mergeCell ref="N220:O220"/>
    <mergeCell ref="N221:O221"/>
    <mergeCell ref="N222:O222"/>
    <mergeCell ref="N223:O223"/>
    <mergeCell ref="N225:O225"/>
    <mergeCell ref="N227:O227"/>
    <mergeCell ref="N228:O228"/>
    <mergeCell ref="N230:O230"/>
    <mergeCell ref="N233:O233"/>
    <mergeCell ref="N234:O234"/>
    <mergeCell ref="N235:O235"/>
    <mergeCell ref="N236:O236"/>
    <mergeCell ref="N237:O237"/>
    <mergeCell ref="N238:O238"/>
    <mergeCell ref="N239:O239"/>
    <mergeCell ref="N240:O240"/>
    <mergeCell ref="N243:O243"/>
    <mergeCell ref="N244:O244"/>
    <mergeCell ref="N245:O245"/>
    <mergeCell ref="N246:O246"/>
    <mergeCell ref="N247:O247"/>
    <mergeCell ref="N248:O248"/>
    <mergeCell ref="N251:O251"/>
    <mergeCell ref="N253:O253"/>
    <mergeCell ref="N254:O254"/>
    <mergeCell ref="N255:O255"/>
    <mergeCell ref="N258:O258"/>
    <mergeCell ref="N260:O260"/>
    <mergeCell ref="BA303:BB303"/>
    <mergeCell ref="BA304:BB304"/>
    <mergeCell ref="AO302:AP302"/>
    <mergeCell ref="AU302:AV302"/>
    <mergeCell ref="BA302:BB302"/>
    <mergeCell ref="AP303:AQ303"/>
    <mergeCell ref="AU303:AV303"/>
    <mergeCell ref="AO304:AP304"/>
    <mergeCell ref="AU304:AV304"/>
    <mergeCell ref="AK305:AL305"/>
    <mergeCell ref="AN305:AO305"/>
    <mergeCell ref="AK306:AL306"/>
    <mergeCell ref="AN306:AO306"/>
    <mergeCell ref="AO307:AP307"/>
    <mergeCell ref="AU307:AV307"/>
    <mergeCell ref="AN308:AO308"/>
    <mergeCell ref="AK308:AL308"/>
    <mergeCell ref="AK309:AL309"/>
    <mergeCell ref="AN309:AO309"/>
    <mergeCell ref="AK310:AL310"/>
    <mergeCell ref="AN310:AO310"/>
    <mergeCell ref="AX310:AY310"/>
    <mergeCell ref="AN311:AO311"/>
    <mergeCell ref="AK311:AL311"/>
    <mergeCell ref="AK312:AL312"/>
    <mergeCell ref="AN312:AO312"/>
    <mergeCell ref="AK313:AL313"/>
    <mergeCell ref="AN313:AO313"/>
    <mergeCell ref="AN314:AO314"/>
    <mergeCell ref="AX314:AY314"/>
    <mergeCell ref="AK319:AL319"/>
    <mergeCell ref="AN319:AO319"/>
    <mergeCell ref="BD319:BE319"/>
    <mergeCell ref="AK320:AL320"/>
    <mergeCell ref="AO320:AP320"/>
    <mergeCell ref="AU320:AV320"/>
    <mergeCell ref="BB320:BC320"/>
    <mergeCell ref="AN317:AO317"/>
    <mergeCell ref="AN318:AO318"/>
    <mergeCell ref="AK314:AL314"/>
    <mergeCell ref="AK315:AL315"/>
    <mergeCell ref="AN315:AO315"/>
    <mergeCell ref="AK316:AL316"/>
    <mergeCell ref="AN316:AO316"/>
    <mergeCell ref="AK317:AL317"/>
    <mergeCell ref="AK318:AL318"/>
    <mergeCell ref="AK324:AL324"/>
    <mergeCell ref="AK325:AL325"/>
    <mergeCell ref="AK326:AL326"/>
    <mergeCell ref="AK321:AL321"/>
    <mergeCell ref="AN321:AO321"/>
    <mergeCell ref="AK322:AL322"/>
    <mergeCell ref="AO322:AP322"/>
    <mergeCell ref="AK323:AL323"/>
    <mergeCell ref="AN323:AO323"/>
    <mergeCell ref="AN324:AO324"/>
    <mergeCell ref="AN325:AO325"/>
    <mergeCell ref="AN326:AO326"/>
    <mergeCell ref="AM327:AN327"/>
    <mergeCell ref="AP327:AQ327"/>
    <mergeCell ref="AU327:AV327"/>
    <mergeCell ref="BA327:BB327"/>
    <mergeCell ref="AN328:AO328"/>
    <mergeCell ref="BA330:BB330"/>
    <mergeCell ref="BA331:BB331"/>
    <mergeCell ref="BD332:BE332"/>
    <mergeCell ref="BA334:BB334"/>
    <mergeCell ref="BA335:BB335"/>
    <mergeCell ref="BA336:BB336"/>
    <mergeCell ref="BA337:BB337"/>
    <mergeCell ref="AM335:AN335"/>
    <mergeCell ref="AP335:AQ335"/>
    <mergeCell ref="AU335:AV335"/>
    <mergeCell ref="AU400:AV400"/>
    <mergeCell ref="AU401:AV401"/>
    <mergeCell ref="AU402:AV402"/>
    <mergeCell ref="AY402:AZ402"/>
    <mergeCell ref="BD402:BE402"/>
    <mergeCell ref="BD410:BE410"/>
    <mergeCell ref="BD416:BE416"/>
    <mergeCell ref="BD419:BE419"/>
    <mergeCell ref="BA421:BB421"/>
    <mergeCell ref="BA424:BB424"/>
    <mergeCell ref="AY425:AZ425"/>
    <mergeCell ref="BD425:BE425"/>
    <mergeCell ref="BA427:BB427"/>
    <mergeCell ref="AU434:AV434"/>
    <mergeCell ref="BA434:BB434"/>
    <mergeCell ref="AM436:AN436"/>
    <mergeCell ref="AM439:AN439"/>
    <mergeCell ref="AM433:AN433"/>
    <mergeCell ref="AM434:AN434"/>
    <mergeCell ref="AP434:AQ434"/>
    <mergeCell ref="AN435:AO435"/>
    <mergeCell ref="AQ436:AR436"/>
    <mergeCell ref="AQ437:AR437"/>
    <mergeCell ref="AQ438:AR438"/>
    <mergeCell ref="AU436:AV436"/>
    <mergeCell ref="AU437:AV437"/>
    <mergeCell ref="AU438:AV438"/>
    <mergeCell ref="AU439:AV439"/>
    <mergeCell ref="AU441:AV441"/>
    <mergeCell ref="AU442:AV442"/>
    <mergeCell ref="AU444:AV444"/>
    <mergeCell ref="AU445:AV445"/>
    <mergeCell ref="AU447:AV447"/>
    <mergeCell ref="AU448:AV448"/>
    <mergeCell ref="AU451:AV451"/>
    <mergeCell ref="AU452:AV452"/>
    <mergeCell ref="AU453:AV453"/>
    <mergeCell ref="AU455:AV455"/>
    <mergeCell ref="AU460:AV460"/>
    <mergeCell ref="AU461:AV461"/>
    <mergeCell ref="AU462:AV462"/>
    <mergeCell ref="AU463:AV463"/>
    <mergeCell ref="AU464:AV464"/>
    <mergeCell ref="AU465:AV465"/>
    <mergeCell ref="AU469:AV469"/>
    <mergeCell ref="AU471:AV471"/>
    <mergeCell ref="AU472:AV472"/>
    <mergeCell ref="AU473:AV473"/>
    <mergeCell ref="AU474:AV474"/>
    <mergeCell ref="AU481:AV481"/>
    <mergeCell ref="AU483:AV483"/>
    <mergeCell ref="AU487:AV487"/>
    <mergeCell ref="AU496:AV496"/>
    <mergeCell ref="AU497:AV497"/>
    <mergeCell ref="AU498:AV498"/>
    <mergeCell ref="AU488:AV488"/>
    <mergeCell ref="AU489:AV489"/>
    <mergeCell ref="AU490:AV490"/>
    <mergeCell ref="AU491:AV491"/>
    <mergeCell ref="AU492:AV492"/>
    <mergeCell ref="AU494:AV494"/>
    <mergeCell ref="AU495:AV495"/>
    <mergeCell ref="AM389:AN389"/>
    <mergeCell ref="AQ389:AR389"/>
    <mergeCell ref="AN390:AO390"/>
    <mergeCell ref="AN391:AO391"/>
    <mergeCell ref="AM392:AN392"/>
    <mergeCell ref="AQ392:AR392"/>
    <mergeCell ref="AQ393:AR393"/>
    <mergeCell ref="AM393:AN393"/>
    <mergeCell ref="AN394:AO394"/>
    <mergeCell ref="AN395:AO395"/>
    <mergeCell ref="AN396:AO396"/>
    <mergeCell ref="AM397:AN397"/>
    <mergeCell ref="AQ397:AR397"/>
    <mergeCell ref="AN398:AO398"/>
    <mergeCell ref="AM400:AN400"/>
    <mergeCell ref="AQ400:AR400"/>
    <mergeCell ref="AM401:AN401"/>
    <mergeCell ref="AQ401:AR401"/>
    <mergeCell ref="AL402:AM402"/>
    <mergeCell ref="AQ403:AR403"/>
    <mergeCell ref="AP404:AQ404"/>
    <mergeCell ref="AM404:AN404"/>
    <mergeCell ref="AN405:AO405"/>
    <mergeCell ref="AM406:AN406"/>
    <mergeCell ref="AQ406:AR406"/>
    <mergeCell ref="AN407:AO407"/>
    <mergeCell ref="AK408:AL408"/>
    <mergeCell ref="AM408:AN408"/>
    <mergeCell ref="AM409:AN409"/>
    <mergeCell ref="AQ409:AR409"/>
    <mergeCell ref="AN410:AO410"/>
    <mergeCell ref="AM411:AN411"/>
    <mergeCell ref="AQ411:AR411"/>
    <mergeCell ref="AM412:AN412"/>
    <mergeCell ref="AP412:AQ412"/>
    <mergeCell ref="AM413:AN413"/>
    <mergeCell ref="AQ413:AR413"/>
    <mergeCell ref="AN414:AO414"/>
    <mergeCell ref="AM415:AN415"/>
    <mergeCell ref="AQ415:AR415"/>
    <mergeCell ref="AN416:AO416"/>
    <mergeCell ref="AN417:AO417"/>
    <mergeCell ref="AQ439:AR439"/>
    <mergeCell ref="AN440:AO440"/>
    <mergeCell ref="AM441:AN441"/>
    <mergeCell ref="AQ441:AR441"/>
    <mergeCell ref="AM442:AN442"/>
    <mergeCell ref="AP442:AQ442"/>
    <mergeCell ref="AN443:AO443"/>
    <mergeCell ref="BA433:BB433"/>
    <mergeCell ref="BA437:BB437"/>
    <mergeCell ref="BA438:BB438"/>
    <mergeCell ref="BA441:BB441"/>
    <mergeCell ref="BA442:BB442"/>
    <mergeCell ref="BA444:BB444"/>
    <mergeCell ref="BA445:BB445"/>
    <mergeCell ref="BD462:BE462"/>
    <mergeCell ref="BD463:BE463"/>
    <mergeCell ref="BA447:BB447"/>
    <mergeCell ref="BA448:BB448"/>
    <mergeCell ref="BA451:BB451"/>
    <mergeCell ref="BA452:BB452"/>
    <mergeCell ref="BA453:BB453"/>
    <mergeCell ref="BA455:BB455"/>
    <mergeCell ref="BA460:BB460"/>
    <mergeCell ref="BA464:BB464"/>
    <mergeCell ref="BA465:BB465"/>
    <mergeCell ref="BA469:BB469"/>
    <mergeCell ref="BA471:BB471"/>
    <mergeCell ref="BA472:BB472"/>
    <mergeCell ref="BA473:BB473"/>
    <mergeCell ref="BA474:BB474"/>
    <mergeCell ref="AY495:AZ495"/>
    <mergeCell ref="BD495:BE495"/>
    <mergeCell ref="BA496:BB496"/>
    <mergeCell ref="BA497:BB497"/>
    <mergeCell ref="BA498:BB498"/>
    <mergeCell ref="BA481:BB481"/>
    <mergeCell ref="BA483:BB483"/>
    <mergeCell ref="BA487:BB487"/>
    <mergeCell ref="BA488:BB488"/>
    <mergeCell ref="BA489:BB489"/>
    <mergeCell ref="BA492:BB492"/>
    <mergeCell ref="BA494:BB494"/>
    <mergeCell ref="AM376:AN376"/>
    <mergeCell ref="AQ376:AR376"/>
    <mergeCell ref="BA376:BB376"/>
    <mergeCell ref="AN377:AO377"/>
    <mergeCell ref="AM378:AN378"/>
    <mergeCell ref="AQ378:AR378"/>
    <mergeCell ref="AM379:AN379"/>
    <mergeCell ref="AU379:AV379"/>
    <mergeCell ref="AM380:AN380"/>
    <mergeCell ref="AU380:AV380"/>
    <mergeCell ref="AQ379:AR379"/>
    <mergeCell ref="AQ380:AR380"/>
    <mergeCell ref="AQ384:AR384"/>
    <mergeCell ref="AU384:AV384"/>
    <mergeCell ref="AQ385:AR385"/>
    <mergeCell ref="AU385:AV385"/>
    <mergeCell ref="AQ387:AR387"/>
    <mergeCell ref="AN381:AO381"/>
    <mergeCell ref="AN382:AO382"/>
    <mergeCell ref="AN383:AO383"/>
    <mergeCell ref="AM385:AN385"/>
    <mergeCell ref="AN386:AO386"/>
    <mergeCell ref="AM388:AN388"/>
    <mergeCell ref="AP388:AQ388"/>
    <mergeCell ref="AM399:AN399"/>
    <mergeCell ref="AP399:AQ399"/>
    <mergeCell ref="BA378:BB378"/>
    <mergeCell ref="BA380:BB380"/>
    <mergeCell ref="BA385:BB385"/>
    <mergeCell ref="BA389:BB389"/>
    <mergeCell ref="BA408:BB408"/>
    <mergeCell ref="BA411:BB411"/>
    <mergeCell ref="BA412:BB412"/>
    <mergeCell ref="BA461:BB461"/>
    <mergeCell ref="AY462:AZ462"/>
    <mergeCell ref="AY463:AZ463"/>
    <mergeCell ref="AN470:AO470"/>
    <mergeCell ref="AM471:AN471"/>
    <mergeCell ref="AQ471:AR471"/>
    <mergeCell ref="AM472:AN472"/>
    <mergeCell ref="AQ472:AR472"/>
    <mergeCell ref="AQ473:AR473"/>
    <mergeCell ref="AQ474:AR474"/>
    <mergeCell ref="AM474:AN474"/>
    <mergeCell ref="AN475:AO475"/>
    <mergeCell ref="AN476:AO476"/>
    <mergeCell ref="AN477:AO477"/>
    <mergeCell ref="AN478:AO478"/>
    <mergeCell ref="AN479:AO479"/>
    <mergeCell ref="AQ481:AR481"/>
    <mergeCell ref="AM489:AN489"/>
    <mergeCell ref="AM490:AN490"/>
    <mergeCell ref="AM491:AN491"/>
    <mergeCell ref="AN493:AO493"/>
    <mergeCell ref="AM494:AN494"/>
    <mergeCell ref="AM495:AN495"/>
    <mergeCell ref="AM496:AN496"/>
    <mergeCell ref="AM498:AN498"/>
    <mergeCell ref="AN480:AO480"/>
    <mergeCell ref="AN482:AO482"/>
    <mergeCell ref="AP483:AQ483"/>
    <mergeCell ref="AN484:AO484"/>
    <mergeCell ref="AN485:AO485"/>
    <mergeCell ref="AN486:AO486"/>
    <mergeCell ref="AM487:AN487"/>
    <mergeCell ref="AP495:AQ495"/>
    <mergeCell ref="AQ496:AR496"/>
    <mergeCell ref="AQ497:AR497"/>
    <mergeCell ref="AQ498:AR498"/>
    <mergeCell ref="AP487:AQ487"/>
    <mergeCell ref="AQ488:AR488"/>
    <mergeCell ref="AQ489:AR489"/>
    <mergeCell ref="AP490:AQ490"/>
    <mergeCell ref="AQ491:AR491"/>
    <mergeCell ref="AQ492:AR492"/>
    <mergeCell ref="AQ494:AR494"/>
    <mergeCell ref="AQ447:AR447"/>
    <mergeCell ref="AQ448:AR448"/>
    <mergeCell ref="AM444:AN444"/>
    <mergeCell ref="AP444:AQ444"/>
    <mergeCell ref="AM445:AN445"/>
    <mergeCell ref="AP445:AQ445"/>
    <mergeCell ref="AN446:AO446"/>
    <mergeCell ref="AM447:AN447"/>
    <mergeCell ref="AM448:AN448"/>
    <mergeCell ref="AN449:AO449"/>
    <mergeCell ref="AN450:AO450"/>
    <mergeCell ref="AM451:AN451"/>
    <mergeCell ref="AP451:AQ451"/>
    <mergeCell ref="AM452:AN452"/>
    <mergeCell ref="AQ452:AR452"/>
    <mergeCell ref="AQ453:AR453"/>
    <mergeCell ref="AN454:AO454"/>
    <mergeCell ref="AK455:AL455"/>
    <mergeCell ref="AM455:AN455"/>
    <mergeCell ref="AN456:AO456"/>
    <mergeCell ref="AN457:AO457"/>
    <mergeCell ref="AN458:AO458"/>
    <mergeCell ref="AN459:AO459"/>
    <mergeCell ref="AP464:AQ464"/>
    <mergeCell ref="AP465:AQ465"/>
    <mergeCell ref="AQ469:AR469"/>
    <mergeCell ref="AM460:AN460"/>
    <mergeCell ref="AP460:AQ460"/>
    <mergeCell ref="AM461:AN461"/>
    <mergeCell ref="AP461:AQ461"/>
    <mergeCell ref="AM462:AN462"/>
    <mergeCell ref="AP462:AQ462"/>
    <mergeCell ref="AP463:AQ463"/>
    <mergeCell ref="AM463:AN463"/>
    <mergeCell ref="AM464:AN464"/>
    <mergeCell ref="AM465:AN465"/>
    <mergeCell ref="AN466:AO466"/>
    <mergeCell ref="AN467:AO467"/>
    <mergeCell ref="AN468:AO468"/>
    <mergeCell ref="AM469:AN469"/>
    <mergeCell ref="AU345:AV345"/>
    <mergeCell ref="AU346:AV346"/>
    <mergeCell ref="AQ347:AR347"/>
    <mergeCell ref="AU347:AV347"/>
    <mergeCell ref="AU348:AV348"/>
    <mergeCell ref="BA348:BB348"/>
    <mergeCell ref="AM349:AN349"/>
    <mergeCell ref="AU349:AV349"/>
    <mergeCell ref="AQ348:AR348"/>
    <mergeCell ref="AQ349:AR349"/>
    <mergeCell ref="AM350:AN350"/>
    <mergeCell ref="AQ350:AR350"/>
    <mergeCell ref="AU350:AV350"/>
    <mergeCell ref="AQ351:AR351"/>
    <mergeCell ref="AU351:AV351"/>
    <mergeCell ref="AN329:AO329"/>
    <mergeCell ref="AM330:AN330"/>
    <mergeCell ref="AQ330:AR330"/>
    <mergeCell ref="AU330:AV330"/>
    <mergeCell ref="AM331:AN331"/>
    <mergeCell ref="AP331:AQ331"/>
    <mergeCell ref="AU331:AV331"/>
    <mergeCell ref="AN332:AO332"/>
    <mergeCell ref="AM333:AN333"/>
    <mergeCell ref="AQ333:AR333"/>
    <mergeCell ref="AU333:AV333"/>
    <mergeCell ref="AM334:AN334"/>
    <mergeCell ref="AQ334:AR334"/>
    <mergeCell ref="AU334:AV334"/>
    <mergeCell ref="AQ339:AR339"/>
    <mergeCell ref="AU339:AV339"/>
    <mergeCell ref="AM336:AN336"/>
    <mergeCell ref="AQ336:AR336"/>
    <mergeCell ref="AU336:AV336"/>
    <mergeCell ref="AQ337:AR337"/>
    <mergeCell ref="AU337:AV337"/>
    <mergeCell ref="AN338:AO338"/>
    <mergeCell ref="AM339:AN339"/>
    <mergeCell ref="AN340:AO340"/>
    <mergeCell ref="AM341:AN341"/>
    <mergeCell ref="AP341:AQ341"/>
    <mergeCell ref="AU341:AV341"/>
    <mergeCell ref="BA341:BB341"/>
    <mergeCell ref="AQ342:AR342"/>
    <mergeCell ref="AU342:AV342"/>
    <mergeCell ref="AN343:AO343"/>
    <mergeCell ref="AN344:AO344"/>
    <mergeCell ref="AM345:AN345"/>
    <mergeCell ref="AP345:AQ345"/>
    <mergeCell ref="BA345:BB345"/>
    <mergeCell ref="AM346:AN346"/>
    <mergeCell ref="AP346:AQ346"/>
    <mergeCell ref="BA346:BB346"/>
    <mergeCell ref="AN352:AO352"/>
    <mergeCell ref="AM353:AN353"/>
    <mergeCell ref="AQ353:AR353"/>
    <mergeCell ref="AU353:AV353"/>
    <mergeCell ref="AM354:AN354"/>
    <mergeCell ref="AQ354:AR354"/>
    <mergeCell ref="AU354:AV354"/>
    <mergeCell ref="BA356:BB356"/>
    <mergeCell ref="BA358:BB358"/>
    <mergeCell ref="BA359:BB359"/>
    <mergeCell ref="AU358:AV358"/>
    <mergeCell ref="AU359:AV359"/>
    <mergeCell ref="AP360:AQ360"/>
    <mergeCell ref="AU360:AV360"/>
    <mergeCell ref="AN355:AO355"/>
    <mergeCell ref="AM356:AN356"/>
    <mergeCell ref="AU356:AV356"/>
    <mergeCell ref="AM357:AN357"/>
    <mergeCell ref="AQ357:AR357"/>
    <mergeCell ref="AU357:AV357"/>
    <mergeCell ref="AQ359:AR359"/>
    <mergeCell ref="AU365:AV365"/>
    <mergeCell ref="AU366:AV366"/>
    <mergeCell ref="AU367:AV367"/>
    <mergeCell ref="AK356:AL356"/>
    <mergeCell ref="AK358:AL358"/>
    <mergeCell ref="AM358:AN358"/>
    <mergeCell ref="AM360:AN360"/>
    <mergeCell ref="AN361:AO361"/>
    <mergeCell ref="AN362:AO362"/>
    <mergeCell ref="AN363:AO363"/>
    <mergeCell ref="BA366:BB366"/>
    <mergeCell ref="BA367:BB367"/>
    <mergeCell ref="AM364:AN364"/>
    <mergeCell ref="AP364:AQ364"/>
    <mergeCell ref="AU364:AV364"/>
    <mergeCell ref="BA364:BB364"/>
    <mergeCell ref="AQ365:AR365"/>
    <mergeCell ref="BA365:BB365"/>
    <mergeCell ref="AQ366:AR366"/>
    <mergeCell ref="AU369:AV369"/>
    <mergeCell ref="AU370:AV370"/>
    <mergeCell ref="AU374:AV374"/>
    <mergeCell ref="AU375:AV375"/>
    <mergeCell ref="AU376:AV376"/>
    <mergeCell ref="AU378:AV378"/>
    <mergeCell ref="AP371:AQ371"/>
    <mergeCell ref="AU371:AV371"/>
    <mergeCell ref="AM365:AN365"/>
    <mergeCell ref="AM367:AN367"/>
    <mergeCell ref="AP367:AQ367"/>
    <mergeCell ref="AQ368:AR368"/>
    <mergeCell ref="AU368:AV368"/>
    <mergeCell ref="AQ369:AR369"/>
    <mergeCell ref="AQ370:AR370"/>
    <mergeCell ref="AM375:AN375"/>
    <mergeCell ref="AQ375:AR375"/>
    <mergeCell ref="BA375:BB375"/>
    <mergeCell ref="AM368:AN368"/>
    <mergeCell ref="AM370:AN370"/>
    <mergeCell ref="AM371:AN371"/>
    <mergeCell ref="AN372:AO372"/>
    <mergeCell ref="AN373:AO373"/>
    <mergeCell ref="AM374:AN374"/>
    <mergeCell ref="AP374:AQ374"/>
    <mergeCell ref="AY379:AZ379"/>
    <mergeCell ref="BD379:BE379"/>
    <mergeCell ref="AU387:AV387"/>
    <mergeCell ref="AU388:AV388"/>
    <mergeCell ref="AU389:AV389"/>
    <mergeCell ref="AU392:AV392"/>
    <mergeCell ref="AU393:AV393"/>
    <mergeCell ref="AU397:AV397"/>
    <mergeCell ref="AU399:AV399"/>
    <mergeCell ref="AU403:AV403"/>
    <mergeCell ref="AU404:AV404"/>
    <mergeCell ref="AU406:AV406"/>
    <mergeCell ref="AU408:AV408"/>
    <mergeCell ref="AU409:AV409"/>
    <mergeCell ref="AU411:AV411"/>
    <mergeCell ref="AU412:AV412"/>
    <mergeCell ref="AU426:AV426"/>
    <mergeCell ref="AU427:AV427"/>
    <mergeCell ref="AU428:AV428"/>
    <mergeCell ref="AU432:AV432"/>
    <mergeCell ref="AU433:AV433"/>
    <mergeCell ref="AU413:AV413"/>
    <mergeCell ref="AU415:AV415"/>
    <mergeCell ref="AU418:AV418"/>
    <mergeCell ref="AU421:AV421"/>
    <mergeCell ref="AU422:AV422"/>
    <mergeCell ref="AU424:AV424"/>
    <mergeCell ref="AU425:AV425"/>
    <mergeCell ref="AQ422:AR422"/>
    <mergeCell ref="AQ424:AR424"/>
    <mergeCell ref="AM418:AN418"/>
    <mergeCell ref="AQ418:AR418"/>
    <mergeCell ref="AN419:AO419"/>
    <mergeCell ref="AN420:AO420"/>
    <mergeCell ref="AM421:AN421"/>
    <mergeCell ref="AP421:AQ421"/>
    <mergeCell ref="AN423:AO423"/>
    <mergeCell ref="AM425:AN425"/>
    <mergeCell ref="AP425:AQ425"/>
    <mergeCell ref="AM426:AN426"/>
    <mergeCell ref="AQ426:AR426"/>
    <mergeCell ref="AM427:AN427"/>
    <mergeCell ref="AP427:AQ427"/>
    <mergeCell ref="AQ428:AR428"/>
    <mergeCell ref="AM428:AN428"/>
    <mergeCell ref="AN429:AO429"/>
    <mergeCell ref="AN430:AO430"/>
    <mergeCell ref="AN431:AO431"/>
    <mergeCell ref="AM432:AN432"/>
    <mergeCell ref="AQ432:AR432"/>
    <mergeCell ref="AQ433:AR433"/>
    <mergeCell ref="AQ122:AR122"/>
    <mergeCell ref="AQ125:AR125"/>
    <mergeCell ref="BA125:BB125"/>
    <mergeCell ref="BA127:BB127"/>
    <mergeCell ref="AN124:AO124"/>
    <mergeCell ref="AO127:AP127"/>
    <mergeCell ref="AN117:AO117"/>
    <mergeCell ref="AN119:AO119"/>
    <mergeCell ref="AN120:AO120"/>
    <mergeCell ref="AN121:AO121"/>
    <mergeCell ref="AU122:AV122"/>
    <mergeCell ref="AN123:AO123"/>
    <mergeCell ref="AU125:AV125"/>
    <mergeCell ref="AU127:AV127"/>
    <mergeCell ref="AN90:AO90"/>
    <mergeCell ref="AN91:AO91"/>
    <mergeCell ref="AN92:AO92"/>
    <mergeCell ref="AQ94:AR94"/>
    <mergeCell ref="AU94:AV94"/>
    <mergeCell ref="AQ95:AR95"/>
    <mergeCell ref="AU95:AV95"/>
    <mergeCell ref="BA95:BB95"/>
    <mergeCell ref="AN83:AO83"/>
    <mergeCell ref="AN84:AO84"/>
    <mergeCell ref="AN85:AO85"/>
    <mergeCell ref="AN86:AO86"/>
    <mergeCell ref="AN87:AO87"/>
    <mergeCell ref="AN88:AO88"/>
    <mergeCell ref="AN89:AO89"/>
    <mergeCell ref="AN103:AO103"/>
    <mergeCell ref="AQ104:AR104"/>
    <mergeCell ref="AU104:AV104"/>
    <mergeCell ref="BA104:BB104"/>
    <mergeCell ref="AN96:AO96"/>
    <mergeCell ref="AN97:AO97"/>
    <mergeCell ref="AN98:AO98"/>
    <mergeCell ref="AN99:AO99"/>
    <mergeCell ref="AN100:AO100"/>
    <mergeCell ref="AN101:AO101"/>
    <mergeCell ref="AN102:AO102"/>
    <mergeCell ref="BA106:BB106"/>
    <mergeCell ref="BA108:BB108"/>
    <mergeCell ref="AN105:AO105"/>
    <mergeCell ref="AO106:AP106"/>
    <mergeCell ref="AU106:AV106"/>
    <mergeCell ref="AQ107:AR107"/>
    <mergeCell ref="AU107:AV107"/>
    <mergeCell ref="AP108:AQ108"/>
    <mergeCell ref="AU108:AV108"/>
    <mergeCell ref="AN109:AO109"/>
    <mergeCell ref="AN110:AO110"/>
    <mergeCell ref="AN111:AO111"/>
    <mergeCell ref="AN113:AO113"/>
    <mergeCell ref="AN114:AO114"/>
    <mergeCell ref="AN115:AO115"/>
    <mergeCell ref="AN116:AO116"/>
    <mergeCell ref="AN14:AO14"/>
    <mergeCell ref="AM15:AN15"/>
    <mergeCell ref="AK11:AL11"/>
    <mergeCell ref="AN11:AO11"/>
    <mergeCell ref="AK12:AL12"/>
    <mergeCell ref="AN12:AO12"/>
    <mergeCell ref="AK13:AL13"/>
    <mergeCell ref="AN13:AO13"/>
    <mergeCell ref="AK14:AL14"/>
    <mergeCell ref="AN3:AO3"/>
    <mergeCell ref="AP4:AQ4"/>
    <mergeCell ref="AU4:AV4"/>
    <mergeCell ref="AK5:AL5"/>
    <mergeCell ref="AN5:AO5"/>
    <mergeCell ref="AQ6:AR6"/>
    <mergeCell ref="AU6:AV6"/>
    <mergeCell ref="AK7:AL7"/>
    <mergeCell ref="AN7:AO7"/>
    <mergeCell ref="AK8:AL8"/>
    <mergeCell ref="AN8:AO8"/>
    <mergeCell ref="AQ9:AR9"/>
    <mergeCell ref="AK10:AL10"/>
    <mergeCell ref="AO10:AP10"/>
    <mergeCell ref="AP15:AQ15"/>
    <mergeCell ref="AP16:AQ16"/>
    <mergeCell ref="AK17:AL17"/>
    <mergeCell ref="AN17:AO17"/>
    <mergeCell ref="AK18:AL18"/>
    <mergeCell ref="AN18:AO18"/>
    <mergeCell ref="AN19:AO19"/>
    <mergeCell ref="N13:O13"/>
    <mergeCell ref="N14:O14"/>
    <mergeCell ref="CR14:CT14"/>
    <mergeCell ref="CR15:CT15"/>
    <mergeCell ref="CR16:CT16"/>
    <mergeCell ref="CR17:CT17"/>
    <mergeCell ref="CR18:CT18"/>
    <mergeCell ref="AN22:AO22"/>
    <mergeCell ref="AN23:AO23"/>
    <mergeCell ref="AK19:AL19"/>
    <mergeCell ref="AK20:AL20"/>
    <mergeCell ref="AN20:AO20"/>
    <mergeCell ref="AK21:AL21"/>
    <mergeCell ref="AN21:AO21"/>
    <mergeCell ref="AK22:AL22"/>
    <mergeCell ref="AK23:AL23"/>
    <mergeCell ref="BA4:BB4"/>
    <mergeCell ref="BA6:BB6"/>
    <mergeCell ref="BA9:BB9"/>
    <mergeCell ref="BA10:BB10"/>
    <mergeCell ref="BD12:BE12"/>
    <mergeCell ref="BB15:BC15"/>
    <mergeCell ref="BB16:BC16"/>
    <mergeCell ref="N2:O2"/>
    <mergeCell ref="AK2:AL2"/>
    <mergeCell ref="AN2:AO2"/>
    <mergeCell ref="CR2:CT2"/>
    <mergeCell ref="AK3:AL3"/>
    <mergeCell ref="CR3:CT3"/>
    <mergeCell ref="CR4:CT4"/>
    <mergeCell ref="AU9:AV9"/>
    <mergeCell ref="AU10:AV10"/>
    <mergeCell ref="AU15:AV15"/>
    <mergeCell ref="AU16:AV16"/>
    <mergeCell ref="N3:O3"/>
    <mergeCell ref="N5:O5"/>
    <mergeCell ref="N7:O7"/>
    <mergeCell ref="N8:O8"/>
    <mergeCell ref="N11:O11"/>
    <mergeCell ref="H12:I12"/>
    <mergeCell ref="N12:O12"/>
    <mergeCell ref="CR19:CT19"/>
    <mergeCell ref="CR20:CT20"/>
    <mergeCell ref="CR21:CT21"/>
    <mergeCell ref="CR22:CT22"/>
    <mergeCell ref="CR23:CT23"/>
    <mergeCell ref="CR24:CT24"/>
    <mergeCell ref="CR25:CT25"/>
    <mergeCell ref="CR26:CT26"/>
    <mergeCell ref="H15:I15"/>
    <mergeCell ref="H16:I16"/>
    <mergeCell ref="N17:O17"/>
    <mergeCell ref="N18:O18"/>
    <mergeCell ref="N19:O19"/>
    <mergeCell ref="N20:O20"/>
    <mergeCell ref="N21:O21"/>
    <mergeCell ref="N25:O25"/>
    <mergeCell ref="N26:O26"/>
    <mergeCell ref="AK41:AL41"/>
    <mergeCell ref="AK42:AL42"/>
    <mergeCell ref="AN42:AO42"/>
    <mergeCell ref="AK43:AL43"/>
    <mergeCell ref="AN43:AO43"/>
    <mergeCell ref="AK44:AL44"/>
    <mergeCell ref="AK45:AL45"/>
    <mergeCell ref="AK112:AL112"/>
    <mergeCell ref="AN112:AO112"/>
    <mergeCell ref="BD112:BE112"/>
    <mergeCell ref="BD123:BE123"/>
    <mergeCell ref="H118:I118"/>
    <mergeCell ref="AK118:AL118"/>
    <mergeCell ref="AM118:AN118"/>
    <mergeCell ref="AU118:AV118"/>
    <mergeCell ref="AY118:AZ118"/>
    <mergeCell ref="BD118:BE118"/>
    <mergeCell ref="AK47:AL47"/>
    <mergeCell ref="AN47:AO47"/>
    <mergeCell ref="H93:I93"/>
    <mergeCell ref="AQ93:AR93"/>
    <mergeCell ref="AU93:AV93"/>
    <mergeCell ref="H112:I112"/>
    <mergeCell ref="N112:O112"/>
    <mergeCell ref="CR5:CT5"/>
    <mergeCell ref="CR6:CT6"/>
    <mergeCell ref="CR7:CT7"/>
    <mergeCell ref="CR8:CT8"/>
    <mergeCell ref="CR9:CT9"/>
    <mergeCell ref="CR10:CT10"/>
    <mergeCell ref="CR11:CT11"/>
    <mergeCell ref="CR12:CT12"/>
    <mergeCell ref="CR13:CT13"/>
    <mergeCell ref="CR27:CT27"/>
    <mergeCell ref="CR28:CT28"/>
    <mergeCell ref="CR29:CT29"/>
    <mergeCell ref="CR31:CT31"/>
    <mergeCell ref="CR32:CT32"/>
    <mergeCell ref="CR33:CT33"/>
    <mergeCell ref="CR34:CT34"/>
    <mergeCell ref="CR35:CT35"/>
    <mergeCell ref="CR36:CT36"/>
    <mergeCell ref="CR37:CT37"/>
    <mergeCell ref="CR38:CT38"/>
    <mergeCell ref="CR39:CT39"/>
    <mergeCell ref="CR40:CT40"/>
    <mergeCell ref="CR41:CT41"/>
    <mergeCell ref="CR42:CT42"/>
    <mergeCell ref="CR43:CT43"/>
    <mergeCell ref="CR44:CT44"/>
    <mergeCell ref="CR45:CT45"/>
    <mergeCell ref="CR46:CT46"/>
    <mergeCell ref="CR47:CT47"/>
    <mergeCell ref="CR48:CT48"/>
    <mergeCell ref="CR49:CT49"/>
    <mergeCell ref="CR50:CT50"/>
    <mergeCell ref="CR52:CT52"/>
    <mergeCell ref="CR53:CT53"/>
    <mergeCell ref="CR54:CT54"/>
    <mergeCell ref="CR55:CT55"/>
    <mergeCell ref="CR56:CT56"/>
    <mergeCell ref="CR57:CT57"/>
    <mergeCell ref="CR58:CT58"/>
    <mergeCell ref="CR59:CT59"/>
    <mergeCell ref="CR60:CT60"/>
    <mergeCell ref="CR61:CT61"/>
    <mergeCell ref="CR62:CT62"/>
    <mergeCell ref="CR63:CT63"/>
    <mergeCell ref="CR64:CT64"/>
    <mergeCell ref="CR65:CT65"/>
    <mergeCell ref="CR66:CT66"/>
    <mergeCell ref="CR67:CT67"/>
    <mergeCell ref="CR68:CT68"/>
    <mergeCell ref="AN143:AO143"/>
    <mergeCell ref="AN144:AO144"/>
    <mergeCell ref="AK138:AL138"/>
    <mergeCell ref="AK139:AL139"/>
    <mergeCell ref="AN139:AO139"/>
    <mergeCell ref="AK140:AL140"/>
    <mergeCell ref="AN140:AO140"/>
    <mergeCell ref="AK143:AL143"/>
    <mergeCell ref="AK144:AL144"/>
    <mergeCell ref="AK75:AL75"/>
    <mergeCell ref="AK76:AL76"/>
    <mergeCell ref="AK77:AL77"/>
    <mergeCell ref="AK78:AL78"/>
    <mergeCell ref="AK79:AL79"/>
    <mergeCell ref="AK80:AL80"/>
    <mergeCell ref="AK81:AL81"/>
    <mergeCell ref="AK82:AL82"/>
    <mergeCell ref="AK83:AL83"/>
    <mergeCell ref="AK84:AL84"/>
    <mergeCell ref="AK85:AL85"/>
    <mergeCell ref="AK86:AL86"/>
    <mergeCell ref="AK87:AL87"/>
    <mergeCell ref="AK88:AL88"/>
    <mergeCell ref="AK89:AL89"/>
    <mergeCell ref="AK90:AL90"/>
    <mergeCell ref="AK91:AL91"/>
    <mergeCell ref="AK92:AL92"/>
    <mergeCell ref="AK96:AL96"/>
    <mergeCell ref="AK97:AL97"/>
    <mergeCell ref="AK98:AL98"/>
    <mergeCell ref="AK99:AL99"/>
    <mergeCell ref="AK100:AL100"/>
    <mergeCell ref="AK101:AL101"/>
    <mergeCell ref="AK102:AL102"/>
    <mergeCell ref="AK103:AL103"/>
    <mergeCell ref="AK105:AL105"/>
    <mergeCell ref="AK109:AL109"/>
    <mergeCell ref="AK110:AL110"/>
    <mergeCell ref="AK111:AL111"/>
    <mergeCell ref="AK113:AL113"/>
    <mergeCell ref="AK114:AL114"/>
    <mergeCell ref="AK115:AL115"/>
    <mergeCell ref="AK116:AL116"/>
    <mergeCell ref="AK117:AL117"/>
    <mergeCell ref="AK119:AL119"/>
    <mergeCell ref="AK120:AL120"/>
    <mergeCell ref="AK121:AL121"/>
    <mergeCell ref="AK123:AL123"/>
    <mergeCell ref="AK124:AL124"/>
    <mergeCell ref="AK126:AL126"/>
    <mergeCell ref="AN126:AO126"/>
    <mergeCell ref="AK131:AL131"/>
    <mergeCell ref="AK132:AL132"/>
    <mergeCell ref="AK133:AL133"/>
    <mergeCell ref="AK134:AL134"/>
    <mergeCell ref="AN134:AO134"/>
    <mergeCell ref="AK137:AL137"/>
    <mergeCell ref="AN137:AO137"/>
    <mergeCell ref="AQ158:AR158"/>
    <mergeCell ref="AU158:AV158"/>
    <mergeCell ref="BA158:BB158"/>
    <mergeCell ref="AK159:AL159"/>
    <mergeCell ref="AN159:AO159"/>
    <mergeCell ref="AK160:AL160"/>
    <mergeCell ref="AK161:AL161"/>
    <mergeCell ref="AN160:AO160"/>
    <mergeCell ref="AN161:AO161"/>
    <mergeCell ref="AK162:AL162"/>
    <mergeCell ref="AN162:AO162"/>
    <mergeCell ref="AQ163:AR163"/>
    <mergeCell ref="AU163:AV163"/>
    <mergeCell ref="BA163:BB163"/>
    <mergeCell ref="AN132:AO132"/>
    <mergeCell ref="AM133:AN133"/>
    <mergeCell ref="AU133:AV133"/>
    <mergeCell ref="AY133:AZ133"/>
    <mergeCell ref="BD133:BE133"/>
    <mergeCell ref="AU135:AV135"/>
    <mergeCell ref="BA135:BB135"/>
    <mergeCell ref="AO138:AP138"/>
    <mergeCell ref="AO141:AP141"/>
    <mergeCell ref="AU141:AV141"/>
    <mergeCell ref="BA141:BB141"/>
    <mergeCell ref="AP142:AQ142"/>
    <mergeCell ref="AU142:AV142"/>
    <mergeCell ref="AQ135:AR135"/>
    <mergeCell ref="AQ136:AR136"/>
    <mergeCell ref="AU136:AV136"/>
    <mergeCell ref="BA136:BB136"/>
    <mergeCell ref="AQ138:AR138"/>
    <mergeCell ref="AU138:AV138"/>
    <mergeCell ref="BA138:BB138"/>
    <mergeCell ref="AK128:AL128"/>
    <mergeCell ref="AN128:AO128"/>
    <mergeCell ref="AK129:AL129"/>
    <mergeCell ref="AN129:AO129"/>
    <mergeCell ref="AK130:AL130"/>
    <mergeCell ref="AN130:AO130"/>
    <mergeCell ref="AN131:AO131"/>
    <mergeCell ref="AK145:AL145"/>
    <mergeCell ref="AN145:AO145"/>
    <mergeCell ref="AK146:AL146"/>
    <mergeCell ref="AN146:AO146"/>
    <mergeCell ref="AQ147:AR147"/>
    <mergeCell ref="AU147:AV147"/>
    <mergeCell ref="BA147:BB147"/>
    <mergeCell ref="AK148:AL148"/>
    <mergeCell ref="AN148:AO148"/>
    <mergeCell ref="BD148:BE148"/>
    <mergeCell ref="AK149:AL149"/>
    <mergeCell ref="AN149:AO149"/>
    <mergeCell ref="AQ150:AR150"/>
    <mergeCell ref="AU150:AV150"/>
    <mergeCell ref="AK164:AL164"/>
    <mergeCell ref="AN164:AO164"/>
    <mergeCell ref="BD171:BE171"/>
    <mergeCell ref="AN181:AO181"/>
    <mergeCell ref="AN182:AO182"/>
    <mergeCell ref="AP184:AQ184"/>
    <mergeCell ref="AU184:AV184"/>
    <mergeCell ref="BA184:BB184"/>
    <mergeCell ref="BD192:BE192"/>
    <mergeCell ref="AN176:AO176"/>
    <mergeCell ref="AN177:AO177"/>
    <mergeCell ref="AN178:AO178"/>
    <mergeCell ref="AQ179:AR179"/>
    <mergeCell ref="AU179:AV179"/>
    <mergeCell ref="BA179:BB179"/>
    <mergeCell ref="AN180:AO180"/>
    <mergeCell ref="AK151:AL151"/>
    <mergeCell ref="AO151:AP151"/>
    <mergeCell ref="AK152:AL152"/>
    <mergeCell ref="AN152:AO152"/>
    <mergeCell ref="AQ153:AR153"/>
    <mergeCell ref="AU153:AV153"/>
    <mergeCell ref="AN154:AO154"/>
    <mergeCell ref="AK154:AL154"/>
    <mergeCell ref="AK155:AL155"/>
    <mergeCell ref="AN155:AO155"/>
    <mergeCell ref="AK156:AL156"/>
    <mergeCell ref="AN156:AO156"/>
    <mergeCell ref="AK157:AL157"/>
    <mergeCell ref="AN157:AO157"/>
    <mergeCell ref="AK165:AL165"/>
    <mergeCell ref="AN165:AO165"/>
    <mergeCell ref="AN166:AO166"/>
    <mergeCell ref="AO167:AP167"/>
    <mergeCell ref="AQ167:AR167"/>
    <mergeCell ref="AU167:AV167"/>
    <mergeCell ref="BA167:BB167"/>
    <mergeCell ref="AN170:AO170"/>
    <mergeCell ref="AN171:AO171"/>
    <mergeCell ref="AK166:AL166"/>
    <mergeCell ref="AK168:AL168"/>
    <mergeCell ref="AN168:AO168"/>
    <mergeCell ref="AK169:AL169"/>
    <mergeCell ref="AN169:AO169"/>
    <mergeCell ref="AK170:AL170"/>
    <mergeCell ref="AK171:AL171"/>
    <mergeCell ref="AK175:AL175"/>
    <mergeCell ref="AK176:AL176"/>
    <mergeCell ref="AK177:AL177"/>
    <mergeCell ref="AK178:AL178"/>
    <mergeCell ref="AK180:AL180"/>
    <mergeCell ref="AK181:AL181"/>
    <mergeCell ref="AK182:AL182"/>
    <mergeCell ref="AK172:AL172"/>
    <mergeCell ref="AN172:AO172"/>
    <mergeCell ref="AK173:AL173"/>
    <mergeCell ref="AN173:AO173"/>
    <mergeCell ref="AK174:AL174"/>
    <mergeCell ref="AN174:AO174"/>
    <mergeCell ref="AN175:AO175"/>
    <mergeCell ref="AK233:AL233"/>
    <mergeCell ref="AN233:AO233"/>
    <mergeCell ref="AK234:AL234"/>
    <mergeCell ref="AN234:AO234"/>
    <mergeCell ref="AK235:AL235"/>
    <mergeCell ref="AN235:AO235"/>
    <mergeCell ref="AN236:AO236"/>
    <mergeCell ref="AQ242:AR242"/>
    <mergeCell ref="AU242:AV242"/>
    <mergeCell ref="BA242:BB242"/>
    <mergeCell ref="AN243:AO243"/>
    <mergeCell ref="AN244:AO244"/>
    <mergeCell ref="BD246:BE246"/>
    <mergeCell ref="AN237:AO237"/>
    <mergeCell ref="AN238:AO238"/>
    <mergeCell ref="AN239:AO239"/>
    <mergeCell ref="AN240:AO240"/>
    <mergeCell ref="BD240:BE240"/>
    <mergeCell ref="AN241:AO241"/>
    <mergeCell ref="AX241:AY241"/>
    <mergeCell ref="AK236:AL236"/>
    <mergeCell ref="AK237:AL237"/>
    <mergeCell ref="AK238:AL238"/>
    <mergeCell ref="AK239:AL239"/>
    <mergeCell ref="AK240:AL240"/>
    <mergeCell ref="AK241:AL241"/>
    <mergeCell ref="AK243:AL243"/>
    <mergeCell ref="AN247:AO247"/>
    <mergeCell ref="AN248:AO248"/>
    <mergeCell ref="AQ249:AR249"/>
    <mergeCell ref="AU249:AV249"/>
    <mergeCell ref="BA249:BB249"/>
    <mergeCell ref="AM249:AN249"/>
    <mergeCell ref="AM250:AN250"/>
    <mergeCell ref="AQ250:AR250"/>
    <mergeCell ref="AU250:AV250"/>
    <mergeCell ref="BA250:BB250"/>
    <mergeCell ref="AK244:AL244"/>
    <mergeCell ref="AK245:AL245"/>
    <mergeCell ref="AN245:AO245"/>
    <mergeCell ref="AK246:AL246"/>
    <mergeCell ref="AN246:AO246"/>
    <mergeCell ref="AK247:AL247"/>
    <mergeCell ref="AK248:AL248"/>
    <mergeCell ref="AN254:AO254"/>
    <mergeCell ref="AN255:AO255"/>
    <mergeCell ref="AO256:AP256"/>
    <mergeCell ref="AQ256:AR256"/>
    <mergeCell ref="BA256:BB256"/>
    <mergeCell ref="AN251:AO251"/>
    <mergeCell ref="AQ252:AR252"/>
    <mergeCell ref="AU252:AV252"/>
    <mergeCell ref="AK253:AL253"/>
    <mergeCell ref="AN253:AO253"/>
    <mergeCell ref="AK254:AL254"/>
    <mergeCell ref="AK255:AL255"/>
    <mergeCell ref="AN259:AO259"/>
    <mergeCell ref="AX259:AY259"/>
    <mergeCell ref="AU256:AV256"/>
    <mergeCell ref="AQ257:AR257"/>
    <mergeCell ref="AU257:AV257"/>
    <mergeCell ref="BA257:BB257"/>
    <mergeCell ref="AK258:AL258"/>
    <mergeCell ref="AN258:AO258"/>
    <mergeCell ref="AK259:AL259"/>
    <mergeCell ref="AN263:AO263"/>
    <mergeCell ref="AO264:AP264"/>
    <mergeCell ref="AQ264:AR264"/>
    <mergeCell ref="AU264:AV264"/>
    <mergeCell ref="BA264:BB264"/>
    <mergeCell ref="AK265:AL265"/>
    <mergeCell ref="AN265:AO265"/>
    <mergeCell ref="AX265:AY265"/>
    <mergeCell ref="AK260:AL260"/>
    <mergeCell ref="AN260:AO260"/>
    <mergeCell ref="AK261:AL261"/>
    <mergeCell ref="AN261:AO261"/>
    <mergeCell ref="AK262:AL262"/>
    <mergeCell ref="AN262:AO262"/>
    <mergeCell ref="AK263:AL263"/>
    <mergeCell ref="CR444:CT444"/>
    <mergeCell ref="CR445:CT445"/>
    <mergeCell ref="CR446:CT446"/>
    <mergeCell ref="CR447:CT447"/>
    <mergeCell ref="CR448:CT448"/>
    <mergeCell ref="CR449:CT449"/>
    <mergeCell ref="CR450:CT450"/>
    <mergeCell ref="CR451:CT451"/>
    <mergeCell ref="CR452:CT452"/>
    <mergeCell ref="CR453:CT453"/>
    <mergeCell ref="CR454:CT454"/>
    <mergeCell ref="CR455:CT455"/>
    <mergeCell ref="CR456:CT456"/>
    <mergeCell ref="CR457:CT457"/>
    <mergeCell ref="CR458:CT458"/>
    <mergeCell ref="CR459:CT459"/>
    <mergeCell ref="CR460:CT460"/>
    <mergeCell ref="CR461:CT461"/>
    <mergeCell ref="CR462:CT462"/>
    <mergeCell ref="CR463:CT463"/>
    <mergeCell ref="CR464:CT464"/>
    <mergeCell ref="CR465:CT465"/>
    <mergeCell ref="CR466:CT466"/>
    <mergeCell ref="CR467:CT467"/>
    <mergeCell ref="CR468:CT468"/>
    <mergeCell ref="CR469:CT469"/>
    <mergeCell ref="CR470:CT470"/>
    <mergeCell ref="CR471:CT471"/>
    <mergeCell ref="CR472:CT472"/>
    <mergeCell ref="CR473:CT473"/>
    <mergeCell ref="CR474:CT474"/>
    <mergeCell ref="CR475:CT475"/>
    <mergeCell ref="CR476:CT476"/>
    <mergeCell ref="CR477:CT477"/>
    <mergeCell ref="CR478:CT478"/>
    <mergeCell ref="CR479:CT479"/>
    <mergeCell ref="CR480:CT480"/>
    <mergeCell ref="CR481:CT481"/>
    <mergeCell ref="CR482:CT482"/>
    <mergeCell ref="CR483:CT483"/>
    <mergeCell ref="CR484:CT484"/>
    <mergeCell ref="CR485:CT485"/>
    <mergeCell ref="CR493:CT493"/>
    <mergeCell ref="CR494:CT494"/>
    <mergeCell ref="CR495:CT495"/>
    <mergeCell ref="CR496:CT496"/>
    <mergeCell ref="CR497:CT497"/>
    <mergeCell ref="CR498:CT498"/>
    <mergeCell ref="CR486:CT486"/>
    <mergeCell ref="CR487:CT487"/>
    <mergeCell ref="CR488:CT488"/>
    <mergeCell ref="CR489:CT489"/>
    <mergeCell ref="CR490:CT490"/>
    <mergeCell ref="CR491:CT491"/>
    <mergeCell ref="CR492:CT492"/>
    <mergeCell ref="CR393:CT393"/>
    <mergeCell ref="CR394:CT394"/>
    <mergeCell ref="CR395:CT395"/>
    <mergeCell ref="CR396:CT396"/>
    <mergeCell ref="CR397:CT397"/>
    <mergeCell ref="CR398:CT398"/>
    <mergeCell ref="CR399:CT399"/>
    <mergeCell ref="CR400:CT400"/>
    <mergeCell ref="CR402:CT402"/>
    <mergeCell ref="CR403:CT403"/>
    <mergeCell ref="CR404:CT404"/>
    <mergeCell ref="CR405:CT405"/>
    <mergeCell ref="CR406:CT406"/>
    <mergeCell ref="CR407:CT407"/>
    <mergeCell ref="CR408:CT408"/>
    <mergeCell ref="CR409:CT409"/>
    <mergeCell ref="CR410:CT410"/>
    <mergeCell ref="CR411:CT411"/>
    <mergeCell ref="CR412:CT412"/>
    <mergeCell ref="CR413:CT413"/>
    <mergeCell ref="CR414:CT414"/>
    <mergeCell ref="CR415:CT415"/>
    <mergeCell ref="CR416:CT416"/>
    <mergeCell ref="CR417:CT417"/>
    <mergeCell ref="CR418:CT418"/>
    <mergeCell ref="CR419:CT419"/>
    <mergeCell ref="CR420:CT420"/>
    <mergeCell ref="CR421:CT421"/>
    <mergeCell ref="CR422:CT422"/>
    <mergeCell ref="CR423:CT423"/>
    <mergeCell ref="CR424:CT424"/>
    <mergeCell ref="CR425:CT425"/>
    <mergeCell ref="CR426:CT426"/>
    <mergeCell ref="CR427:CT427"/>
    <mergeCell ref="CR428:CT428"/>
    <mergeCell ref="CR429:CT429"/>
    <mergeCell ref="CR430:CT430"/>
    <mergeCell ref="CR431:CT431"/>
    <mergeCell ref="CR432:CT432"/>
    <mergeCell ref="CR433:CT433"/>
    <mergeCell ref="CR434:CT434"/>
    <mergeCell ref="CR435:CT435"/>
    <mergeCell ref="CR436:CT436"/>
    <mergeCell ref="CR437:CT437"/>
    <mergeCell ref="CR438:CT438"/>
    <mergeCell ref="CR439:CT439"/>
    <mergeCell ref="CR440:CT440"/>
    <mergeCell ref="CR441:CT441"/>
    <mergeCell ref="CR443:CT443"/>
    <mergeCell ref="CR69:CT69"/>
    <mergeCell ref="CR70:CT70"/>
    <mergeCell ref="CR71:CT71"/>
    <mergeCell ref="CR72:CT72"/>
    <mergeCell ref="CR73:CT73"/>
    <mergeCell ref="CR74:CT74"/>
    <mergeCell ref="CR75:CT75"/>
    <mergeCell ref="CR76:CT76"/>
    <mergeCell ref="CR77:CT77"/>
    <mergeCell ref="CR78:CT78"/>
    <mergeCell ref="CR79:CT79"/>
    <mergeCell ref="CR80:CT80"/>
    <mergeCell ref="CR81:CT81"/>
    <mergeCell ref="CR82:CT82"/>
    <mergeCell ref="CR83:CT83"/>
    <mergeCell ref="CR84:CT84"/>
    <mergeCell ref="CR85:CT85"/>
    <mergeCell ref="CR86:CT86"/>
    <mergeCell ref="CR87:CT87"/>
    <mergeCell ref="CR88:CT88"/>
    <mergeCell ref="CR89:CT89"/>
    <mergeCell ref="CR90:CT90"/>
    <mergeCell ref="CR91:CT91"/>
    <mergeCell ref="CR92:CT92"/>
    <mergeCell ref="CR93:CT93"/>
    <mergeCell ref="CR94:CT94"/>
    <mergeCell ref="CR95:CT95"/>
    <mergeCell ref="CR96:CT96"/>
    <mergeCell ref="CR97:CT97"/>
    <mergeCell ref="CR98:CT98"/>
    <mergeCell ref="CR99:CT99"/>
    <mergeCell ref="CR100:CT100"/>
    <mergeCell ref="CR101:CT101"/>
    <mergeCell ref="CR102:CT102"/>
    <mergeCell ref="CR103:CT103"/>
    <mergeCell ref="CR104:CT104"/>
    <mergeCell ref="CR105:CT105"/>
    <mergeCell ref="CR106:CT106"/>
    <mergeCell ref="CR107:CT107"/>
    <mergeCell ref="CR109:CT109"/>
    <mergeCell ref="CR110:CT110"/>
    <mergeCell ref="CR111:CT111"/>
    <mergeCell ref="CR112:CT112"/>
    <mergeCell ref="CR113:CT113"/>
    <mergeCell ref="CR114:CT114"/>
    <mergeCell ref="CR115:CT115"/>
    <mergeCell ref="CR116:CT116"/>
    <mergeCell ref="CR117:CT117"/>
    <mergeCell ref="CR118:CT118"/>
    <mergeCell ref="CR119:CT119"/>
    <mergeCell ref="CR120:CT120"/>
    <mergeCell ref="CR121:CT121"/>
    <mergeCell ref="CR122:CT122"/>
    <mergeCell ref="CR123:CT123"/>
    <mergeCell ref="CR124:CT124"/>
    <mergeCell ref="CR126:CT126"/>
    <mergeCell ref="CR127:CT127"/>
    <mergeCell ref="CR128:CT128"/>
    <mergeCell ref="CR129:CT129"/>
    <mergeCell ref="CR130:CT130"/>
    <mergeCell ref="CR131:CT131"/>
    <mergeCell ref="CR132:CT132"/>
    <mergeCell ref="CR133:CT133"/>
    <mergeCell ref="CR134:CT134"/>
    <mergeCell ref="CR136:CT136"/>
    <mergeCell ref="CR137:CT137"/>
    <mergeCell ref="CR138:CT138"/>
    <mergeCell ref="CR139:CT139"/>
    <mergeCell ref="CR140:CT140"/>
    <mergeCell ref="CR141:CT141"/>
    <mergeCell ref="CR142:CT142"/>
    <mergeCell ref="CR143:CT143"/>
    <mergeCell ref="CR144:CT144"/>
    <mergeCell ref="CR145:CT145"/>
    <mergeCell ref="CR146:CT146"/>
    <mergeCell ref="CR147:CT147"/>
    <mergeCell ref="CR148:CT148"/>
    <mergeCell ref="CR149:CT149"/>
    <mergeCell ref="CR150:CT150"/>
    <mergeCell ref="CR151:CT151"/>
    <mergeCell ref="CR152:CT152"/>
    <mergeCell ref="CR153:CT153"/>
    <mergeCell ref="CR154:CT154"/>
    <mergeCell ref="CR155:CT155"/>
    <mergeCell ref="CR156:CT156"/>
    <mergeCell ref="CR157:CT157"/>
    <mergeCell ref="CR158:CT158"/>
    <mergeCell ref="CR159:CT159"/>
    <mergeCell ref="CR160:CT160"/>
    <mergeCell ref="CR161:CT161"/>
    <mergeCell ref="CR162:CT162"/>
    <mergeCell ref="CR163:CT163"/>
    <mergeCell ref="CR164:CT164"/>
    <mergeCell ref="CR165:CT165"/>
    <mergeCell ref="CR166:CT166"/>
    <mergeCell ref="CR167:CT167"/>
    <mergeCell ref="CR168:CT168"/>
    <mergeCell ref="CR169:CT169"/>
    <mergeCell ref="CR170:CT170"/>
    <mergeCell ref="CR171:CT171"/>
    <mergeCell ref="CR172:CT172"/>
    <mergeCell ref="CR173:CT173"/>
    <mergeCell ref="CR174:CT174"/>
    <mergeCell ref="CR175:CT175"/>
    <mergeCell ref="CR176:CT176"/>
    <mergeCell ref="CR177:CT177"/>
    <mergeCell ref="CR178:CT178"/>
    <mergeCell ref="CR179:CT179"/>
    <mergeCell ref="CR180:CT180"/>
    <mergeCell ref="CR181:CT181"/>
    <mergeCell ref="CR182:CT182"/>
    <mergeCell ref="CR183:CT183"/>
    <mergeCell ref="CR184:CT184"/>
    <mergeCell ref="CR185:CT185"/>
    <mergeCell ref="CR186:CT186"/>
    <mergeCell ref="CR187:CT187"/>
    <mergeCell ref="CR188:CT188"/>
    <mergeCell ref="CR189:CT189"/>
    <mergeCell ref="CR190:CT190"/>
    <mergeCell ref="CR192:CT192"/>
    <mergeCell ref="CR193:CT193"/>
    <mergeCell ref="CR194:CT194"/>
    <mergeCell ref="CR195:CT195"/>
    <mergeCell ref="CR196:CT196"/>
    <mergeCell ref="CR197:CT197"/>
    <mergeCell ref="CR198:CT198"/>
    <mergeCell ref="CR199:CT199"/>
    <mergeCell ref="CR200:CT200"/>
    <mergeCell ref="CR201:CT201"/>
    <mergeCell ref="CR202:CT202"/>
    <mergeCell ref="CR203:CT203"/>
    <mergeCell ref="CR204:CT204"/>
    <mergeCell ref="CR205:CT205"/>
    <mergeCell ref="CR206:CT206"/>
    <mergeCell ref="CR207:CT207"/>
    <mergeCell ref="CR208:CT208"/>
    <mergeCell ref="CR209:CT209"/>
    <mergeCell ref="CR210:CT210"/>
    <mergeCell ref="CR211:CT211"/>
    <mergeCell ref="CR212:CT212"/>
    <mergeCell ref="CR213:CT213"/>
    <mergeCell ref="CR214:CT214"/>
    <mergeCell ref="CR215:CT215"/>
    <mergeCell ref="CR216:CT216"/>
    <mergeCell ref="CR217:CT217"/>
    <mergeCell ref="CR218:CT218"/>
    <mergeCell ref="CR220:CT220"/>
    <mergeCell ref="CR221:CT221"/>
    <mergeCell ref="CR222:CT222"/>
    <mergeCell ref="CR223:CT223"/>
    <mergeCell ref="CR225:CT225"/>
    <mergeCell ref="CR226:CT226"/>
    <mergeCell ref="CR227:CT227"/>
    <mergeCell ref="CR228:CT228"/>
    <mergeCell ref="CR229:CT229"/>
    <mergeCell ref="CR230:CT230"/>
    <mergeCell ref="CR231:CT231"/>
    <mergeCell ref="CR232:CT232"/>
    <mergeCell ref="CR233:CT233"/>
    <mergeCell ref="CR234:CT234"/>
    <mergeCell ref="CR235:CT235"/>
    <mergeCell ref="CR236:CT236"/>
    <mergeCell ref="CR237:CT237"/>
    <mergeCell ref="CR238:CT238"/>
    <mergeCell ref="CR239:CT239"/>
    <mergeCell ref="CR240:CT240"/>
    <mergeCell ref="CR241:CT241"/>
    <mergeCell ref="CR243:CT243"/>
    <mergeCell ref="CR244:CT244"/>
    <mergeCell ref="CR245:CT245"/>
    <mergeCell ref="CR246:CT246"/>
    <mergeCell ref="CR247:CT247"/>
    <mergeCell ref="CR248:CT248"/>
    <mergeCell ref="CR249:CT249"/>
    <mergeCell ref="CR250:CT250"/>
    <mergeCell ref="CR251:CT251"/>
    <mergeCell ref="CR252:CT252"/>
    <mergeCell ref="CR253:CT253"/>
    <mergeCell ref="CR254:CT254"/>
    <mergeCell ref="CR255:CT255"/>
    <mergeCell ref="CR256:CT256"/>
    <mergeCell ref="CR257:CT257"/>
    <mergeCell ref="CR258:CT258"/>
    <mergeCell ref="CR259:CT259"/>
    <mergeCell ref="CR260:CT260"/>
    <mergeCell ref="CR261:CT261"/>
    <mergeCell ref="CR262:CT262"/>
    <mergeCell ref="CR263:CT263"/>
    <mergeCell ref="CR264:CT264"/>
    <mergeCell ref="CR265:CT265"/>
    <mergeCell ref="CR266:CT266"/>
    <mergeCell ref="CR267:CT267"/>
    <mergeCell ref="CR268:CT268"/>
    <mergeCell ref="CR269:CT269"/>
    <mergeCell ref="CR270:CT270"/>
    <mergeCell ref="CR271:CT271"/>
    <mergeCell ref="CR272:CT272"/>
    <mergeCell ref="CR273:CT273"/>
    <mergeCell ref="CR274:CT274"/>
    <mergeCell ref="CR275:CT275"/>
    <mergeCell ref="CR276:CT276"/>
    <mergeCell ref="CR277:CT277"/>
    <mergeCell ref="CR278:CT278"/>
    <mergeCell ref="CR279:CT279"/>
    <mergeCell ref="CR280:CT280"/>
    <mergeCell ref="CR281:CT281"/>
    <mergeCell ref="CR282:CT282"/>
    <mergeCell ref="CR283:CT283"/>
    <mergeCell ref="CR284:CT284"/>
    <mergeCell ref="CR285:CT285"/>
    <mergeCell ref="CR286:CT286"/>
    <mergeCell ref="CR287:CT287"/>
    <mergeCell ref="CR289:CT289"/>
    <mergeCell ref="CR290:CT290"/>
    <mergeCell ref="CR291:CT291"/>
    <mergeCell ref="CR292:CT292"/>
    <mergeCell ref="CR293:CT293"/>
    <mergeCell ref="CR294:CT294"/>
    <mergeCell ref="CR295:CT295"/>
    <mergeCell ref="CR297:CT297"/>
    <mergeCell ref="CR298:CT298"/>
    <mergeCell ref="CR299:CT299"/>
    <mergeCell ref="CR300:CT300"/>
    <mergeCell ref="CR301:CT301"/>
    <mergeCell ref="CR302:CT302"/>
    <mergeCell ref="CR304:CT304"/>
    <mergeCell ref="CR305:CT305"/>
    <mergeCell ref="CR306:CT306"/>
    <mergeCell ref="CR307:CT307"/>
    <mergeCell ref="CR308:CT308"/>
    <mergeCell ref="CR309:CT309"/>
    <mergeCell ref="CR310:CT310"/>
    <mergeCell ref="CR311:CT311"/>
    <mergeCell ref="CR312:CT312"/>
    <mergeCell ref="CR313:CT313"/>
    <mergeCell ref="CR314:CT314"/>
    <mergeCell ref="CR315:CT315"/>
    <mergeCell ref="CR316:CT316"/>
    <mergeCell ref="CR317:CT317"/>
    <mergeCell ref="CR318:CT318"/>
    <mergeCell ref="CR319:CT319"/>
    <mergeCell ref="CR320:CT320"/>
    <mergeCell ref="CR321:CT321"/>
    <mergeCell ref="CR322:CT322"/>
    <mergeCell ref="CR323:CT323"/>
    <mergeCell ref="CR369:CT369"/>
    <mergeCell ref="CR370:CT370"/>
    <mergeCell ref="CR372:CT372"/>
    <mergeCell ref="CR373:CT373"/>
    <mergeCell ref="CR374:CT374"/>
    <mergeCell ref="CR376:CT376"/>
    <mergeCell ref="CR377:CT377"/>
    <mergeCell ref="CR378:CT378"/>
    <mergeCell ref="CR379:CT379"/>
    <mergeCell ref="CR380:CT380"/>
    <mergeCell ref="CR381:CT381"/>
    <mergeCell ref="CR382:CT382"/>
    <mergeCell ref="CR383:CT383"/>
    <mergeCell ref="CR384:CT384"/>
    <mergeCell ref="CR324:CT324"/>
    <mergeCell ref="CR325:CT325"/>
    <mergeCell ref="CR326:CT326"/>
    <mergeCell ref="CR327:CT327"/>
    <mergeCell ref="CR328:CT328"/>
    <mergeCell ref="CR329:CT329"/>
    <mergeCell ref="CR330:CT330"/>
    <mergeCell ref="CR331:CT331"/>
    <mergeCell ref="CR332:CT332"/>
    <mergeCell ref="CR333:CT333"/>
    <mergeCell ref="CR335:CT335"/>
    <mergeCell ref="CR336:CT336"/>
    <mergeCell ref="CR337:CT337"/>
    <mergeCell ref="CR338:CT338"/>
    <mergeCell ref="CR339:CT339"/>
    <mergeCell ref="CR340:CT340"/>
    <mergeCell ref="CR341:CT341"/>
    <mergeCell ref="CR342:CT342"/>
    <mergeCell ref="CR343:CT343"/>
    <mergeCell ref="CR344:CT344"/>
    <mergeCell ref="CR346:CT346"/>
    <mergeCell ref="CR347:CT347"/>
    <mergeCell ref="CR348:CT348"/>
    <mergeCell ref="CR349:CT349"/>
    <mergeCell ref="CR350:CT350"/>
    <mergeCell ref="CR351:CT351"/>
    <mergeCell ref="CR352:CT352"/>
    <mergeCell ref="CR353:CT353"/>
    <mergeCell ref="CR354:CT354"/>
    <mergeCell ref="CR355:CT355"/>
    <mergeCell ref="CR356:CT356"/>
    <mergeCell ref="CR357:CT357"/>
    <mergeCell ref="CR358:CT358"/>
    <mergeCell ref="CR359:CT359"/>
    <mergeCell ref="CR360:CT360"/>
    <mergeCell ref="CR361:CT361"/>
    <mergeCell ref="CR362:CT362"/>
    <mergeCell ref="CR363:CT363"/>
    <mergeCell ref="CR364:CT364"/>
    <mergeCell ref="CR365:CT365"/>
    <mergeCell ref="CR366:CT366"/>
    <mergeCell ref="CR367:CT367"/>
    <mergeCell ref="CR386:CT386"/>
    <mergeCell ref="CR387:CT387"/>
    <mergeCell ref="CR388:CT388"/>
    <mergeCell ref="CR389:CT389"/>
    <mergeCell ref="CR390:CT390"/>
    <mergeCell ref="CR391:CT391"/>
    <mergeCell ref="CR392:CT392"/>
  </mergeCells>
  <hyperlinks>
    <hyperlink r:id="rId1" ref="M2"/>
    <hyperlink r:id="rId2" ref="CR2"/>
    <hyperlink r:id="rId3" ref="M3"/>
    <hyperlink r:id="rId4" ref="CR3"/>
    <hyperlink r:id="rId5" ref="M4"/>
    <hyperlink r:id="rId6" ref="CR4"/>
    <hyperlink r:id="rId7" ref="M5"/>
    <hyperlink r:id="rId8" ref="CR5"/>
    <hyperlink r:id="rId9" ref="M6"/>
    <hyperlink r:id="rId10" ref="CR6"/>
    <hyperlink r:id="rId11" ref="M7"/>
    <hyperlink r:id="rId12" ref="CR7"/>
    <hyperlink r:id="rId13" ref="M8"/>
    <hyperlink r:id="rId14" ref="CR8"/>
    <hyperlink r:id="rId15" ref="M9"/>
    <hyperlink r:id="rId16" ref="CR9"/>
    <hyperlink r:id="rId17" ref="M10"/>
    <hyperlink r:id="rId18" ref="CR10"/>
    <hyperlink r:id="rId19" ref="M11"/>
    <hyperlink r:id="rId20" ref="CR11"/>
    <hyperlink r:id="rId21" ref="M12"/>
    <hyperlink r:id="rId22" ref="CR12"/>
    <hyperlink r:id="rId23" ref="M13"/>
    <hyperlink r:id="rId24" ref="CR13"/>
    <hyperlink r:id="rId25" ref="M14"/>
    <hyperlink r:id="rId26" ref="CR14"/>
    <hyperlink r:id="rId27" ref="CR15"/>
    <hyperlink r:id="rId28" ref="M16"/>
    <hyperlink r:id="rId29" ref="CR16"/>
    <hyperlink r:id="rId30" ref="M17"/>
    <hyperlink r:id="rId31" ref="CR17"/>
    <hyperlink r:id="rId32" ref="M18"/>
    <hyperlink r:id="rId33" ref="CR18"/>
    <hyperlink r:id="rId34" ref="M19"/>
    <hyperlink r:id="rId35" ref="CR19"/>
    <hyperlink r:id="rId36" ref="M20"/>
    <hyperlink r:id="rId37" ref="CR20"/>
    <hyperlink r:id="rId38" ref="M21"/>
    <hyperlink r:id="rId39" ref="CR21"/>
    <hyperlink r:id="rId40" ref="M22"/>
    <hyperlink r:id="rId41" ref="CR22"/>
    <hyperlink r:id="rId42" ref="M23"/>
    <hyperlink r:id="rId43" ref="CR23"/>
    <hyperlink r:id="rId44" ref="M24"/>
    <hyperlink r:id="rId45" ref="CR24"/>
    <hyperlink r:id="rId46" ref="M25"/>
    <hyperlink r:id="rId47" ref="CR25"/>
    <hyperlink r:id="rId48" ref="M26"/>
    <hyperlink r:id="rId49" ref="CR26"/>
    <hyperlink r:id="rId50" ref="M27"/>
    <hyperlink r:id="rId51" ref="CR27"/>
    <hyperlink r:id="rId52" ref="M28"/>
    <hyperlink r:id="rId53" ref="CR28"/>
    <hyperlink r:id="rId54" ref="M29"/>
    <hyperlink r:id="rId55" ref="CR29"/>
    <hyperlink r:id="rId56" ref="M30"/>
    <hyperlink r:id="rId57" ref="CR30"/>
    <hyperlink r:id="rId58" ref="M31"/>
    <hyperlink r:id="rId59" ref="CR31"/>
    <hyperlink r:id="rId60" ref="CR32"/>
    <hyperlink r:id="rId61" ref="M33"/>
    <hyperlink r:id="rId62" ref="CR33"/>
    <hyperlink r:id="rId63" ref="CR34"/>
    <hyperlink r:id="rId64" ref="M35"/>
    <hyperlink r:id="rId65" ref="CR35"/>
    <hyperlink r:id="rId66" ref="M36"/>
    <hyperlink r:id="rId67" ref="CR36"/>
    <hyperlink r:id="rId68" ref="M37"/>
    <hyperlink r:id="rId69" ref="CR37"/>
    <hyperlink r:id="rId70" ref="M38"/>
    <hyperlink r:id="rId71" ref="CR38"/>
    <hyperlink r:id="rId72" ref="M39"/>
    <hyperlink r:id="rId73" ref="CR39"/>
    <hyperlink r:id="rId74" ref="M40"/>
    <hyperlink r:id="rId75" ref="CR40"/>
    <hyperlink r:id="rId76" ref="M41"/>
    <hyperlink r:id="rId77" ref="CR41"/>
    <hyperlink r:id="rId78" ref="M42"/>
    <hyperlink r:id="rId79" ref="CR42"/>
    <hyperlink r:id="rId80" ref="M43"/>
    <hyperlink r:id="rId81" ref="CR43"/>
    <hyperlink r:id="rId82" ref="M44"/>
    <hyperlink r:id="rId83" ref="CR44"/>
    <hyperlink r:id="rId84" ref="M45"/>
    <hyperlink r:id="rId85" ref="CR45"/>
    <hyperlink r:id="rId86" ref="M46"/>
    <hyperlink r:id="rId87" ref="CR46"/>
    <hyperlink r:id="rId88" ref="M47"/>
    <hyperlink r:id="rId89" ref="CR47"/>
    <hyperlink r:id="rId90" ref="M48"/>
    <hyperlink r:id="rId91" ref="CR48"/>
    <hyperlink r:id="rId92" ref="M49"/>
    <hyperlink r:id="rId93" ref="CR49"/>
    <hyperlink r:id="rId94" ref="M50"/>
    <hyperlink r:id="rId95" ref="CR50"/>
    <hyperlink r:id="rId96" ref="M51"/>
    <hyperlink r:id="rId97" ref="CR51"/>
    <hyperlink r:id="rId98" ref="M52"/>
    <hyperlink r:id="rId99" ref="CR52"/>
    <hyperlink r:id="rId100" ref="M53"/>
    <hyperlink r:id="rId101" ref="CR53"/>
    <hyperlink r:id="rId102" ref="M54"/>
    <hyperlink r:id="rId103" ref="CR54"/>
    <hyperlink r:id="rId104" ref="M55"/>
    <hyperlink r:id="rId105" ref="CR55"/>
    <hyperlink r:id="rId106" ref="M56"/>
    <hyperlink r:id="rId107" ref="CR56"/>
    <hyperlink r:id="rId108" ref="M57"/>
    <hyperlink r:id="rId109" ref="CR57"/>
    <hyperlink r:id="rId110" ref="M58"/>
    <hyperlink r:id="rId111" ref="CR58"/>
    <hyperlink r:id="rId112" ref="M59"/>
    <hyperlink r:id="rId113" ref="CR59"/>
    <hyperlink r:id="rId114" ref="M60"/>
    <hyperlink r:id="rId115" ref="CR60"/>
    <hyperlink r:id="rId116" ref="M61"/>
    <hyperlink r:id="rId117" ref="CR61"/>
    <hyperlink r:id="rId118" ref="M62"/>
    <hyperlink r:id="rId119" ref="CR62"/>
    <hyperlink r:id="rId120" ref="M63"/>
    <hyperlink r:id="rId121" ref="CR63"/>
    <hyperlink r:id="rId122" ref="M64"/>
    <hyperlink r:id="rId123" ref="CR64"/>
    <hyperlink r:id="rId124" ref="M65"/>
    <hyperlink r:id="rId125" ref="CR65"/>
    <hyperlink r:id="rId126" ref="CR66"/>
    <hyperlink r:id="rId127" ref="M67"/>
    <hyperlink r:id="rId128" ref="CR67"/>
    <hyperlink r:id="rId129" ref="M68"/>
    <hyperlink r:id="rId130" ref="CR68"/>
    <hyperlink r:id="rId131" ref="M69"/>
    <hyperlink r:id="rId132" ref="CR69"/>
    <hyperlink r:id="rId133" ref="M70"/>
    <hyperlink r:id="rId134" ref="CR70"/>
    <hyperlink r:id="rId135" ref="M71"/>
    <hyperlink r:id="rId136" ref="CR71"/>
    <hyperlink r:id="rId137" ref="M72"/>
    <hyperlink r:id="rId138" ref="CR72"/>
    <hyperlink r:id="rId139" ref="M73"/>
    <hyperlink r:id="rId140" ref="CR73"/>
    <hyperlink r:id="rId141" ref="M74"/>
    <hyperlink r:id="rId142" ref="CR74"/>
    <hyperlink r:id="rId143" ref="M75"/>
    <hyperlink r:id="rId144" ref="CR75"/>
    <hyperlink r:id="rId145" ref="M76"/>
    <hyperlink r:id="rId146" ref="CR76"/>
    <hyperlink r:id="rId147" ref="M77"/>
    <hyperlink r:id="rId148" ref="CR77"/>
    <hyperlink r:id="rId149" ref="M78"/>
    <hyperlink r:id="rId150" ref="CR78"/>
    <hyperlink r:id="rId151" ref="M79"/>
    <hyperlink r:id="rId152" ref="CR79"/>
    <hyperlink r:id="rId153" ref="M80"/>
    <hyperlink r:id="rId154" ref="CR80"/>
    <hyperlink r:id="rId155" ref="M81"/>
    <hyperlink r:id="rId156" ref="CR81"/>
    <hyperlink r:id="rId157" ref="M82"/>
    <hyperlink r:id="rId158" ref="CR82"/>
    <hyperlink r:id="rId159" ref="M83"/>
    <hyperlink r:id="rId160" ref="CR83"/>
    <hyperlink r:id="rId161" ref="M84"/>
    <hyperlink r:id="rId162" ref="CR84"/>
    <hyperlink r:id="rId163" ref="M85"/>
    <hyperlink r:id="rId164" ref="CR85"/>
    <hyperlink r:id="rId165" ref="M86"/>
    <hyperlink r:id="rId166" ref="CR86"/>
    <hyperlink r:id="rId167" ref="M87"/>
    <hyperlink r:id="rId168" ref="CR87"/>
    <hyperlink r:id="rId169" ref="M88"/>
    <hyperlink r:id="rId170" ref="CR88"/>
    <hyperlink r:id="rId171" ref="M89"/>
    <hyperlink r:id="rId172" ref="CR89"/>
    <hyperlink r:id="rId173" ref="M90"/>
    <hyperlink r:id="rId174" ref="CR90"/>
    <hyperlink r:id="rId175" ref="M91"/>
    <hyperlink r:id="rId176" ref="CR91"/>
    <hyperlink r:id="rId177" ref="M92"/>
    <hyperlink r:id="rId178" ref="CR92"/>
    <hyperlink r:id="rId179" ref="M93"/>
    <hyperlink r:id="rId180" ref="CR93"/>
    <hyperlink r:id="rId181" ref="M94"/>
    <hyperlink r:id="rId182" ref="CR94"/>
    <hyperlink r:id="rId183" ref="CR95"/>
    <hyperlink r:id="rId184" ref="M96"/>
    <hyperlink r:id="rId185" ref="CR96"/>
    <hyperlink r:id="rId186" ref="M97"/>
    <hyperlink r:id="rId187" ref="CR97"/>
    <hyperlink r:id="rId188" ref="M98"/>
    <hyperlink r:id="rId189" ref="CR98"/>
    <hyperlink r:id="rId190" ref="M99"/>
    <hyperlink r:id="rId191" ref="CR99"/>
    <hyperlink r:id="rId192" ref="CR100"/>
    <hyperlink r:id="rId193" ref="M101"/>
    <hyperlink r:id="rId194" ref="CR101"/>
    <hyperlink r:id="rId195" ref="M102"/>
    <hyperlink r:id="rId196" ref="CR102"/>
    <hyperlink r:id="rId197" ref="M103"/>
    <hyperlink r:id="rId198" ref="CR103"/>
    <hyperlink r:id="rId199" ref="M104"/>
    <hyperlink r:id="rId200" ref="CR104"/>
    <hyperlink r:id="rId201" ref="M105"/>
    <hyperlink r:id="rId202" ref="CR105"/>
    <hyperlink r:id="rId203" ref="M106"/>
    <hyperlink r:id="rId204" ref="CR106"/>
    <hyperlink r:id="rId205" ref="M107"/>
    <hyperlink r:id="rId206" ref="CR107"/>
    <hyperlink r:id="rId207" ref="M108"/>
    <hyperlink r:id="rId208" ref="CR108"/>
    <hyperlink r:id="rId209" ref="M109"/>
    <hyperlink r:id="rId210" ref="CR109"/>
    <hyperlink r:id="rId211" ref="M110"/>
    <hyperlink r:id="rId212" ref="CR110"/>
    <hyperlink r:id="rId213" ref="M111"/>
    <hyperlink r:id="rId214" ref="CR111"/>
    <hyperlink r:id="rId215" ref="M112"/>
    <hyperlink r:id="rId216" ref="CR112"/>
    <hyperlink r:id="rId217" ref="M113"/>
    <hyperlink r:id="rId218" ref="CR113"/>
    <hyperlink r:id="rId219" ref="M114"/>
    <hyperlink r:id="rId220" ref="CR114"/>
    <hyperlink r:id="rId221" ref="M115"/>
    <hyperlink r:id="rId222" ref="CR115"/>
    <hyperlink r:id="rId223" ref="M116"/>
    <hyperlink r:id="rId224" ref="CR116"/>
    <hyperlink r:id="rId225" ref="M117"/>
    <hyperlink r:id="rId226" ref="CR117"/>
    <hyperlink r:id="rId227" ref="CR118"/>
    <hyperlink r:id="rId228" ref="M119"/>
    <hyperlink r:id="rId229" ref="CR119"/>
    <hyperlink r:id="rId230" ref="M120"/>
    <hyperlink r:id="rId231" ref="CR120"/>
    <hyperlink r:id="rId232" ref="M121"/>
    <hyperlink r:id="rId233" ref="CR121"/>
    <hyperlink r:id="rId234" ref="M122"/>
    <hyperlink r:id="rId235" ref="CR122"/>
    <hyperlink r:id="rId236" ref="M123"/>
    <hyperlink r:id="rId237" ref="CR123"/>
    <hyperlink r:id="rId238" ref="M124"/>
    <hyperlink r:id="rId239" ref="CR124"/>
    <hyperlink r:id="rId240" ref="M125"/>
    <hyperlink r:id="rId241" ref="CR125"/>
    <hyperlink r:id="rId242" ref="M126"/>
    <hyperlink r:id="rId243" ref="CR126"/>
    <hyperlink r:id="rId244" ref="M127"/>
    <hyperlink r:id="rId245" ref="CR127"/>
    <hyperlink r:id="rId246" ref="M128"/>
    <hyperlink r:id="rId247" ref="CR128"/>
    <hyperlink r:id="rId248" ref="M129"/>
    <hyperlink r:id="rId249" ref="CR129"/>
    <hyperlink r:id="rId250" ref="M130"/>
    <hyperlink r:id="rId251" ref="CR130"/>
    <hyperlink r:id="rId252" ref="M131"/>
    <hyperlink r:id="rId253" ref="CR131"/>
    <hyperlink r:id="rId254" ref="M132"/>
    <hyperlink r:id="rId255" ref="CR132"/>
    <hyperlink r:id="rId256" ref="CR133"/>
    <hyperlink r:id="rId257" ref="M134"/>
    <hyperlink r:id="rId258" ref="CR134"/>
    <hyperlink r:id="rId259" ref="M135"/>
    <hyperlink r:id="rId260" ref="CR135"/>
    <hyperlink r:id="rId261" ref="M136"/>
    <hyperlink r:id="rId262" ref="CR136"/>
    <hyperlink r:id="rId263" ref="M137"/>
    <hyperlink r:id="rId264" ref="CR137"/>
    <hyperlink r:id="rId265" ref="M138"/>
    <hyperlink r:id="rId266" ref="CR138"/>
    <hyperlink r:id="rId267" ref="M139"/>
    <hyperlink r:id="rId268" ref="CR139"/>
    <hyperlink r:id="rId269" ref="M140"/>
    <hyperlink r:id="rId270" ref="CR140"/>
    <hyperlink r:id="rId271" ref="M141"/>
    <hyperlink r:id="rId272" ref="CR141"/>
    <hyperlink r:id="rId273" ref="M142"/>
    <hyperlink r:id="rId274" ref="CR142"/>
    <hyperlink r:id="rId275" ref="M143"/>
    <hyperlink r:id="rId276" ref="CR143"/>
    <hyperlink r:id="rId277" ref="M144"/>
    <hyperlink r:id="rId278" ref="CR144"/>
    <hyperlink r:id="rId279" ref="M145"/>
    <hyperlink r:id="rId280" ref="CR145"/>
    <hyperlink r:id="rId281" ref="M146"/>
    <hyperlink r:id="rId282" ref="CR146"/>
    <hyperlink r:id="rId283" ref="M147"/>
    <hyperlink r:id="rId284" ref="CR147"/>
    <hyperlink r:id="rId285" ref="M148"/>
    <hyperlink r:id="rId286" ref="CR148"/>
    <hyperlink r:id="rId287" ref="M149"/>
    <hyperlink r:id="rId288" ref="CR149"/>
    <hyperlink r:id="rId289" ref="M150"/>
    <hyperlink r:id="rId290" ref="CR150"/>
    <hyperlink r:id="rId291" ref="M151"/>
    <hyperlink r:id="rId292" ref="CR151"/>
    <hyperlink r:id="rId293" ref="M152"/>
    <hyperlink r:id="rId294" ref="CR152"/>
    <hyperlink r:id="rId295" ref="M153"/>
    <hyperlink r:id="rId296" ref="CR153"/>
    <hyperlink r:id="rId297" ref="M154"/>
    <hyperlink r:id="rId298" ref="CR154"/>
    <hyperlink r:id="rId299" ref="M155"/>
    <hyperlink r:id="rId300" ref="CR155"/>
    <hyperlink r:id="rId301" ref="M156"/>
    <hyperlink r:id="rId302" ref="CR156"/>
    <hyperlink r:id="rId303" ref="M157"/>
    <hyperlink r:id="rId304" ref="CR157"/>
    <hyperlink r:id="rId305" ref="M158"/>
    <hyperlink r:id="rId306" ref="CR158"/>
    <hyperlink r:id="rId307" ref="M159"/>
    <hyperlink r:id="rId308" ref="CR159"/>
    <hyperlink r:id="rId309" ref="M160"/>
    <hyperlink r:id="rId310" ref="CR160"/>
    <hyperlink r:id="rId311" ref="M161"/>
    <hyperlink r:id="rId312" ref="CR161"/>
    <hyperlink r:id="rId313" ref="M162"/>
    <hyperlink r:id="rId314" ref="CR162"/>
    <hyperlink r:id="rId315" ref="M163"/>
    <hyperlink r:id="rId316" ref="CR163"/>
    <hyperlink r:id="rId317" ref="M164"/>
    <hyperlink r:id="rId318" ref="CR164"/>
    <hyperlink r:id="rId319" ref="M165"/>
    <hyperlink r:id="rId320" ref="CR165"/>
    <hyperlink r:id="rId321" ref="M166"/>
    <hyperlink r:id="rId322" ref="CR166"/>
    <hyperlink r:id="rId323" ref="M167"/>
    <hyperlink r:id="rId324" ref="CR167"/>
    <hyperlink r:id="rId325" ref="M168"/>
    <hyperlink r:id="rId326" ref="CR168"/>
    <hyperlink r:id="rId327" ref="M169"/>
    <hyperlink r:id="rId328" ref="CR169"/>
    <hyperlink r:id="rId329" ref="M170"/>
    <hyperlink r:id="rId330" ref="CR170"/>
    <hyperlink r:id="rId331" ref="M171"/>
    <hyperlink r:id="rId332" ref="CR171"/>
    <hyperlink r:id="rId333" ref="M172"/>
    <hyperlink r:id="rId334" ref="CR172"/>
    <hyperlink r:id="rId335" ref="M173"/>
    <hyperlink r:id="rId336" ref="CR173"/>
    <hyperlink r:id="rId337" ref="M174"/>
    <hyperlink r:id="rId338" ref="CR174"/>
    <hyperlink r:id="rId339" ref="M175"/>
    <hyperlink r:id="rId340" ref="CR175"/>
    <hyperlink r:id="rId341" ref="M176"/>
    <hyperlink r:id="rId342" ref="CR176"/>
    <hyperlink r:id="rId343" ref="M177"/>
    <hyperlink r:id="rId344" ref="CR177"/>
    <hyperlink r:id="rId345" ref="M178"/>
    <hyperlink r:id="rId346" ref="CR178"/>
    <hyperlink r:id="rId347" ref="M179"/>
    <hyperlink r:id="rId348" ref="CR179"/>
    <hyperlink r:id="rId349" ref="M180"/>
    <hyperlink r:id="rId350" ref="CR180"/>
    <hyperlink r:id="rId351" ref="M181"/>
    <hyperlink r:id="rId352" ref="CR181"/>
    <hyperlink r:id="rId353" ref="M182"/>
    <hyperlink r:id="rId354" ref="CR182"/>
    <hyperlink r:id="rId355" ref="M183"/>
    <hyperlink r:id="rId356" ref="CR183"/>
    <hyperlink r:id="rId357" ref="M184"/>
    <hyperlink r:id="rId358" ref="CR184"/>
    <hyperlink r:id="rId359" ref="M185"/>
    <hyperlink r:id="rId360" ref="CR185"/>
    <hyperlink r:id="rId361" ref="M186"/>
    <hyperlink r:id="rId362" ref="CR186"/>
    <hyperlink r:id="rId363" ref="M187"/>
    <hyperlink r:id="rId364" ref="CR187"/>
    <hyperlink r:id="rId365" ref="M188"/>
    <hyperlink r:id="rId366" ref="CR188"/>
    <hyperlink r:id="rId367" ref="M189"/>
    <hyperlink r:id="rId368" ref="CR189"/>
    <hyperlink r:id="rId369" ref="M190"/>
    <hyperlink r:id="rId370" ref="CR190"/>
    <hyperlink r:id="rId371" ref="M191"/>
    <hyperlink r:id="rId372" ref="CR191"/>
    <hyperlink r:id="rId373" ref="M192"/>
    <hyperlink r:id="rId374" ref="CR192"/>
    <hyperlink r:id="rId375" ref="CR193"/>
    <hyperlink r:id="rId376" ref="M194"/>
    <hyperlink r:id="rId377" ref="CR194"/>
    <hyperlink r:id="rId378" ref="M195"/>
    <hyperlink r:id="rId379" ref="CR195"/>
    <hyperlink r:id="rId380" ref="M196"/>
    <hyperlink r:id="rId381" ref="CR196"/>
    <hyperlink r:id="rId382" ref="M197"/>
    <hyperlink r:id="rId383" ref="CR197"/>
    <hyperlink r:id="rId384" ref="CR198"/>
    <hyperlink r:id="rId385" ref="CR199"/>
    <hyperlink r:id="rId386" ref="CR200"/>
    <hyperlink r:id="rId387" ref="CR201"/>
    <hyperlink r:id="rId388" ref="CR202"/>
    <hyperlink r:id="rId389" ref="CR203"/>
    <hyperlink r:id="rId390" ref="CR204"/>
    <hyperlink r:id="rId391" ref="CR205"/>
    <hyperlink r:id="rId392" ref="CR206"/>
    <hyperlink r:id="rId393" ref="M207"/>
    <hyperlink r:id="rId394" ref="CR207"/>
    <hyperlink r:id="rId395" ref="M208"/>
    <hyperlink r:id="rId396" ref="CR208"/>
    <hyperlink r:id="rId397" ref="M209"/>
    <hyperlink r:id="rId398" ref="CR209"/>
    <hyperlink r:id="rId399" ref="M210"/>
    <hyperlink r:id="rId400" ref="CR210"/>
    <hyperlink r:id="rId401" ref="M211"/>
    <hyperlink r:id="rId402" ref="CR211"/>
    <hyperlink r:id="rId403" ref="M212"/>
    <hyperlink r:id="rId404" ref="CR212"/>
    <hyperlink r:id="rId405" ref="M213"/>
    <hyperlink r:id="rId406" ref="CR213"/>
    <hyperlink r:id="rId407" ref="M214"/>
    <hyperlink r:id="rId408" ref="CR214"/>
    <hyperlink r:id="rId409" ref="M215"/>
    <hyperlink r:id="rId410" ref="CR215"/>
    <hyperlink r:id="rId411" ref="M216"/>
    <hyperlink r:id="rId412" ref="CR216"/>
    <hyperlink r:id="rId413" ref="M217"/>
    <hyperlink r:id="rId414" ref="CR217"/>
    <hyperlink r:id="rId415" ref="M218"/>
    <hyperlink r:id="rId416" ref="CR218"/>
    <hyperlink r:id="rId417" ref="M219"/>
    <hyperlink r:id="rId418" ref="CR219"/>
    <hyperlink r:id="rId419" ref="M220"/>
    <hyperlink r:id="rId420" ref="CR220"/>
    <hyperlink r:id="rId421" ref="M221"/>
    <hyperlink r:id="rId422" ref="CR221"/>
    <hyperlink r:id="rId423" ref="M222"/>
    <hyperlink r:id="rId424" ref="CR222"/>
    <hyperlink r:id="rId425" ref="M223"/>
    <hyperlink r:id="rId426" ref="CR223"/>
    <hyperlink r:id="rId427" ref="M224"/>
    <hyperlink r:id="rId428" ref="CR224"/>
    <hyperlink r:id="rId429" ref="M225"/>
    <hyperlink r:id="rId430" ref="CR225"/>
    <hyperlink r:id="rId431" ref="M226"/>
    <hyperlink r:id="rId432" ref="CR226"/>
    <hyperlink r:id="rId433" ref="M227"/>
    <hyperlink r:id="rId434" ref="CR227"/>
    <hyperlink r:id="rId435" ref="M228"/>
    <hyperlink r:id="rId436" ref="CR228"/>
    <hyperlink r:id="rId437" ref="M229"/>
    <hyperlink r:id="rId438" ref="CR229"/>
    <hyperlink r:id="rId439" ref="M230"/>
    <hyperlink r:id="rId440" ref="CR230"/>
    <hyperlink r:id="rId441" ref="M231"/>
    <hyperlink r:id="rId442" ref="CR231"/>
    <hyperlink r:id="rId443" ref="M232"/>
    <hyperlink r:id="rId444" ref="CR232"/>
    <hyperlink r:id="rId445" ref="M233"/>
    <hyperlink r:id="rId446" ref="CR233"/>
    <hyperlink r:id="rId447" ref="M234"/>
    <hyperlink r:id="rId448" ref="CR234"/>
    <hyperlink r:id="rId449" ref="M235"/>
    <hyperlink r:id="rId450" ref="CR235"/>
    <hyperlink r:id="rId451" ref="M236"/>
    <hyperlink r:id="rId452" ref="CR236"/>
    <hyperlink r:id="rId453" ref="M237"/>
    <hyperlink r:id="rId454" ref="CR237"/>
    <hyperlink r:id="rId455" ref="M238"/>
    <hyperlink r:id="rId456" ref="CR238"/>
    <hyperlink r:id="rId457" ref="M239"/>
    <hyperlink r:id="rId458" ref="CR239"/>
    <hyperlink r:id="rId459" ref="M240"/>
    <hyperlink r:id="rId460" ref="CR240"/>
    <hyperlink r:id="rId461" ref="M241"/>
    <hyperlink r:id="rId462" ref="CR241"/>
    <hyperlink r:id="rId463" ref="M242"/>
    <hyperlink r:id="rId464" ref="CR242"/>
    <hyperlink r:id="rId465" ref="M243"/>
    <hyperlink r:id="rId466" ref="CR243"/>
    <hyperlink r:id="rId467" ref="M244"/>
    <hyperlink r:id="rId468" ref="CR244"/>
    <hyperlink r:id="rId469" ref="M245"/>
    <hyperlink r:id="rId470" ref="CR245"/>
    <hyperlink r:id="rId471" ref="M246"/>
    <hyperlink r:id="rId472" ref="CR246"/>
    <hyperlink r:id="rId473" ref="M247"/>
    <hyperlink r:id="rId474" ref="CR247"/>
    <hyperlink r:id="rId475" ref="M248"/>
    <hyperlink r:id="rId476" ref="CR248"/>
    <hyperlink r:id="rId477" ref="M249"/>
    <hyperlink r:id="rId478" ref="CR249"/>
    <hyperlink r:id="rId479" ref="M250"/>
    <hyperlink r:id="rId480" ref="CR250"/>
    <hyperlink r:id="rId481" ref="M251"/>
    <hyperlink r:id="rId482" ref="CR251"/>
    <hyperlink r:id="rId483" ref="M252"/>
    <hyperlink r:id="rId484" ref="CR252"/>
    <hyperlink r:id="rId485" ref="M253"/>
    <hyperlink r:id="rId486" ref="CR253"/>
    <hyperlink r:id="rId487" ref="M254"/>
    <hyperlink r:id="rId488" ref="CR254"/>
    <hyperlink r:id="rId489" ref="M255"/>
    <hyperlink r:id="rId490" ref="CR255"/>
    <hyperlink r:id="rId491" ref="M256"/>
    <hyperlink r:id="rId492" ref="CR256"/>
    <hyperlink r:id="rId493" ref="M257"/>
    <hyperlink r:id="rId494" ref="CR257"/>
    <hyperlink r:id="rId495" ref="M258"/>
    <hyperlink r:id="rId496" ref="CR258"/>
    <hyperlink r:id="rId497" ref="M259"/>
    <hyperlink r:id="rId498" ref="CR259"/>
    <hyperlink r:id="rId499" ref="M260"/>
    <hyperlink r:id="rId500" ref="CR260"/>
    <hyperlink r:id="rId501" ref="M261"/>
    <hyperlink r:id="rId502" ref="CR261"/>
    <hyperlink r:id="rId503" ref="M262"/>
    <hyperlink r:id="rId504" ref="CR262"/>
    <hyperlink r:id="rId505" ref="M263"/>
    <hyperlink r:id="rId506" ref="CR263"/>
    <hyperlink r:id="rId507" ref="M264"/>
    <hyperlink r:id="rId508" ref="CR264"/>
    <hyperlink r:id="rId509" ref="M265"/>
    <hyperlink r:id="rId510" ref="CR265"/>
    <hyperlink r:id="rId511" ref="M266"/>
    <hyperlink r:id="rId512" ref="CR266"/>
    <hyperlink r:id="rId513" ref="M267"/>
    <hyperlink r:id="rId514" ref="CR267"/>
    <hyperlink r:id="rId515" ref="M268"/>
    <hyperlink r:id="rId516" ref="CR268"/>
    <hyperlink r:id="rId517" ref="M269"/>
    <hyperlink r:id="rId518" ref="CR269"/>
    <hyperlink r:id="rId519" ref="M270"/>
    <hyperlink r:id="rId520" ref="CR270"/>
    <hyperlink r:id="rId521" ref="M271"/>
    <hyperlink r:id="rId522" ref="CR271"/>
    <hyperlink r:id="rId523" ref="M272"/>
    <hyperlink r:id="rId524" ref="CR272"/>
    <hyperlink r:id="rId525" ref="CR273"/>
    <hyperlink r:id="rId526" ref="M274"/>
    <hyperlink r:id="rId527" ref="CR274"/>
    <hyperlink r:id="rId528" ref="M275"/>
    <hyperlink r:id="rId529" ref="CR275"/>
    <hyperlink r:id="rId530" ref="M276"/>
    <hyperlink r:id="rId531" ref="CR276"/>
    <hyperlink r:id="rId532" ref="M277"/>
    <hyperlink r:id="rId533" ref="CR277"/>
    <hyperlink r:id="rId534" ref="M278"/>
    <hyperlink r:id="rId535" ref="CR278"/>
    <hyperlink r:id="rId536" ref="M279"/>
    <hyperlink r:id="rId537" ref="CR279"/>
    <hyperlink r:id="rId538" ref="CR280"/>
    <hyperlink r:id="rId539" ref="M281"/>
    <hyperlink r:id="rId540" ref="CR281"/>
    <hyperlink r:id="rId541" ref="M282"/>
    <hyperlink r:id="rId542" ref="CR282"/>
    <hyperlink r:id="rId543" ref="M283"/>
    <hyperlink r:id="rId544" ref="CR283"/>
    <hyperlink r:id="rId545" ref="M284"/>
    <hyperlink r:id="rId546" ref="CR284"/>
    <hyperlink r:id="rId547" ref="CR285"/>
    <hyperlink r:id="rId548" ref="CR286"/>
    <hyperlink r:id="rId549" ref="CR287"/>
    <hyperlink r:id="rId550" ref="M288"/>
    <hyperlink r:id="rId551" ref="CR288"/>
    <hyperlink r:id="rId552" ref="M289"/>
    <hyperlink r:id="rId553" ref="CR289"/>
    <hyperlink r:id="rId554" ref="M290"/>
    <hyperlink r:id="rId555" ref="CR290"/>
    <hyperlink r:id="rId556" ref="M291"/>
    <hyperlink r:id="rId557" ref="CR291"/>
    <hyperlink r:id="rId558" ref="M292"/>
    <hyperlink r:id="rId559" ref="CR292"/>
    <hyperlink r:id="rId560" ref="M293"/>
    <hyperlink r:id="rId561" ref="CR293"/>
    <hyperlink r:id="rId562" ref="M294"/>
    <hyperlink r:id="rId563" ref="CR294"/>
    <hyperlink r:id="rId564" ref="M295"/>
    <hyperlink r:id="rId565" ref="CR295"/>
    <hyperlink r:id="rId566" ref="M296"/>
    <hyperlink r:id="rId567" ref="CR296"/>
    <hyperlink r:id="rId568" ref="M297"/>
    <hyperlink r:id="rId569" ref="CR297"/>
    <hyperlink r:id="rId570" ref="M298"/>
    <hyperlink r:id="rId571" ref="CR298"/>
    <hyperlink r:id="rId572" ref="M299"/>
    <hyperlink r:id="rId573" ref="CR299"/>
    <hyperlink r:id="rId574" ref="M300"/>
    <hyperlink r:id="rId575" ref="CR300"/>
    <hyperlink r:id="rId576" ref="M301"/>
    <hyperlink r:id="rId577" ref="CR301"/>
    <hyperlink r:id="rId578" ref="CR302"/>
    <hyperlink r:id="rId579" ref="M303"/>
    <hyperlink r:id="rId580" ref="CR303"/>
    <hyperlink r:id="rId581" ref="M304"/>
    <hyperlink r:id="rId582" ref="CR304"/>
    <hyperlink r:id="rId583" ref="M305"/>
    <hyperlink r:id="rId584" ref="CR305"/>
    <hyperlink r:id="rId585" ref="M306"/>
    <hyperlink r:id="rId586" ref="CR306"/>
    <hyperlink r:id="rId587" ref="M307"/>
    <hyperlink r:id="rId588" ref="CR307"/>
    <hyperlink r:id="rId589" ref="M308"/>
    <hyperlink r:id="rId590" ref="CR308"/>
    <hyperlink r:id="rId591" ref="M309"/>
    <hyperlink r:id="rId592" ref="CR309"/>
    <hyperlink r:id="rId593" ref="M310"/>
    <hyperlink r:id="rId594" ref="CR310"/>
    <hyperlink r:id="rId595" ref="M311"/>
    <hyperlink r:id="rId596" ref="CR311"/>
    <hyperlink r:id="rId597" ref="M312"/>
    <hyperlink r:id="rId598" ref="CR312"/>
    <hyperlink r:id="rId599" ref="M313"/>
    <hyperlink r:id="rId600" ref="CR313"/>
    <hyperlink r:id="rId601" ref="M314"/>
    <hyperlink r:id="rId602" ref="CR314"/>
    <hyperlink r:id="rId603" ref="M315"/>
    <hyperlink r:id="rId604" ref="CR315"/>
    <hyperlink r:id="rId605" ref="M316"/>
    <hyperlink r:id="rId606" ref="CR316"/>
    <hyperlink r:id="rId607" ref="M317"/>
    <hyperlink r:id="rId608" ref="CR317"/>
    <hyperlink r:id="rId609" ref="M318"/>
    <hyperlink r:id="rId610" ref="CR318"/>
    <hyperlink r:id="rId611" ref="M319"/>
    <hyperlink r:id="rId612" ref="CR319"/>
    <hyperlink r:id="rId613" ref="M320"/>
    <hyperlink r:id="rId614" ref="CR320"/>
    <hyperlink r:id="rId615" ref="M321"/>
    <hyperlink r:id="rId616" ref="CR321"/>
    <hyperlink r:id="rId617" ref="M322"/>
    <hyperlink r:id="rId618" ref="CR322"/>
    <hyperlink r:id="rId619" ref="M323"/>
    <hyperlink r:id="rId620" ref="CR323"/>
    <hyperlink r:id="rId621" ref="M324"/>
    <hyperlink r:id="rId622" ref="CR324"/>
    <hyperlink r:id="rId623" ref="M325"/>
    <hyperlink r:id="rId624" ref="CR325"/>
    <hyperlink r:id="rId625" ref="M326"/>
    <hyperlink r:id="rId626" ref="CR326"/>
    <hyperlink r:id="rId627" ref="M327"/>
    <hyperlink r:id="rId628" ref="CR327"/>
    <hyperlink r:id="rId629" ref="M328"/>
    <hyperlink r:id="rId630" ref="CR328"/>
    <hyperlink r:id="rId631" ref="M329"/>
    <hyperlink r:id="rId632" ref="CR329"/>
    <hyperlink r:id="rId633" ref="M330"/>
    <hyperlink r:id="rId634" ref="CR330"/>
    <hyperlink r:id="rId635" ref="M331"/>
    <hyperlink r:id="rId636" ref="CR331"/>
    <hyperlink r:id="rId637" ref="M332"/>
    <hyperlink r:id="rId638" ref="CR332"/>
    <hyperlink r:id="rId639" ref="CR333"/>
    <hyperlink r:id="rId640" ref="M334"/>
    <hyperlink r:id="rId641" ref="CR334"/>
    <hyperlink r:id="rId642" ref="CR335"/>
    <hyperlink r:id="rId643" ref="M336"/>
    <hyperlink r:id="rId644" ref="CR336"/>
    <hyperlink r:id="rId645" ref="M337"/>
    <hyperlink r:id="rId646" ref="CR337"/>
    <hyperlink r:id="rId647" ref="M338"/>
    <hyperlink r:id="rId648" ref="CR338"/>
    <hyperlink r:id="rId649" ref="M339"/>
    <hyperlink r:id="rId650" ref="CR339"/>
    <hyperlink r:id="rId651" ref="M340"/>
    <hyperlink r:id="rId652" ref="CR340"/>
    <hyperlink r:id="rId653" ref="M341"/>
    <hyperlink r:id="rId654" ref="CR341"/>
    <hyperlink r:id="rId655" ref="M342"/>
    <hyperlink r:id="rId656" ref="CR342"/>
    <hyperlink r:id="rId657" ref="M343"/>
    <hyperlink r:id="rId658" ref="CR343"/>
    <hyperlink r:id="rId659" ref="M344"/>
    <hyperlink r:id="rId660" ref="CR344"/>
    <hyperlink r:id="rId661" ref="M345"/>
    <hyperlink r:id="rId662" ref="CR345"/>
    <hyperlink r:id="rId663" ref="M346"/>
    <hyperlink r:id="rId664" ref="CR346"/>
    <hyperlink r:id="rId665" ref="M347"/>
    <hyperlink r:id="rId666" ref="CR347"/>
    <hyperlink r:id="rId667" ref="M348"/>
    <hyperlink r:id="rId668" ref="CR348"/>
    <hyperlink r:id="rId669" ref="M349"/>
    <hyperlink r:id="rId670" ref="CR349"/>
    <hyperlink r:id="rId671" ref="M350"/>
    <hyperlink r:id="rId672" ref="CR350"/>
    <hyperlink r:id="rId673" ref="M351"/>
    <hyperlink r:id="rId674" ref="CR351"/>
    <hyperlink r:id="rId675" ref="M352"/>
    <hyperlink r:id="rId676" ref="CR352"/>
    <hyperlink r:id="rId677" ref="M353"/>
    <hyperlink r:id="rId678" ref="CR353"/>
    <hyperlink r:id="rId679" ref="M354"/>
    <hyperlink r:id="rId680" ref="CR354"/>
    <hyperlink r:id="rId681" ref="CR355"/>
    <hyperlink r:id="rId682" ref="CR356"/>
    <hyperlink r:id="rId683" ref="M357"/>
    <hyperlink r:id="rId684" ref="CR357"/>
    <hyperlink r:id="rId685" ref="CR358"/>
    <hyperlink r:id="rId686" ref="M359"/>
    <hyperlink r:id="rId687" ref="CR359"/>
    <hyperlink r:id="rId688" ref="M360"/>
    <hyperlink r:id="rId689" ref="CR360"/>
    <hyperlink r:id="rId690" ref="M361"/>
    <hyperlink r:id="rId691" ref="CR361"/>
    <hyperlink r:id="rId692" ref="M362"/>
    <hyperlink r:id="rId693" ref="CR362"/>
    <hyperlink r:id="rId694" ref="M363"/>
    <hyperlink r:id="rId695" ref="CR363"/>
    <hyperlink r:id="rId696" ref="M364"/>
    <hyperlink r:id="rId697" ref="CR364"/>
    <hyperlink r:id="rId698" ref="M365"/>
    <hyperlink r:id="rId699" ref="CR365"/>
    <hyperlink r:id="rId700" ref="M366"/>
    <hyperlink r:id="rId701" ref="CR366"/>
    <hyperlink r:id="rId702" ref="M367"/>
    <hyperlink r:id="rId703" ref="CR367"/>
    <hyperlink r:id="rId704" ref="M368"/>
    <hyperlink r:id="rId705" ref="CR368"/>
    <hyperlink r:id="rId706" ref="M369"/>
    <hyperlink r:id="rId707" ref="CR369"/>
    <hyperlink r:id="rId708" ref="M370"/>
    <hyperlink r:id="rId709" ref="CR370"/>
    <hyperlink r:id="rId710" ref="M371"/>
    <hyperlink r:id="rId711" ref="CR371"/>
    <hyperlink r:id="rId712" ref="M372"/>
    <hyperlink r:id="rId713" ref="CR372"/>
    <hyperlink r:id="rId714" ref="M373"/>
    <hyperlink r:id="rId715" ref="CR373"/>
    <hyperlink r:id="rId716" ref="CR374"/>
    <hyperlink r:id="rId717" ref="M375"/>
    <hyperlink r:id="rId718" ref="CR375"/>
    <hyperlink r:id="rId719" ref="M376"/>
    <hyperlink r:id="rId720" ref="CR376"/>
    <hyperlink r:id="rId721" ref="M377"/>
    <hyperlink r:id="rId722" ref="CR377"/>
    <hyperlink r:id="rId723" ref="CR378"/>
    <hyperlink r:id="rId724" ref="CR379"/>
    <hyperlink r:id="rId725" ref="M380"/>
    <hyperlink r:id="rId726" ref="CR380"/>
    <hyperlink r:id="rId727" ref="M381"/>
    <hyperlink r:id="rId728" ref="CR381"/>
    <hyperlink r:id="rId729" ref="M382"/>
    <hyperlink r:id="rId730" ref="CR382"/>
    <hyperlink r:id="rId731" ref="M383"/>
    <hyperlink r:id="rId732" ref="CR383"/>
    <hyperlink r:id="rId733" ref="M384"/>
    <hyperlink r:id="rId734" ref="CR384"/>
    <hyperlink r:id="rId735" ref="M385"/>
    <hyperlink r:id="rId736" ref="CR385"/>
    <hyperlink r:id="rId737" ref="CR386"/>
    <hyperlink r:id="rId738" ref="M387"/>
    <hyperlink r:id="rId739" ref="CR387"/>
    <hyperlink r:id="rId740" ref="M388"/>
    <hyperlink r:id="rId741" ref="CR388"/>
    <hyperlink r:id="rId742" ref="CR389"/>
    <hyperlink r:id="rId743" ref="M390"/>
    <hyperlink r:id="rId744" ref="CR390"/>
    <hyperlink r:id="rId745" ref="CR391"/>
    <hyperlink r:id="rId746" ref="M392"/>
    <hyperlink r:id="rId747" ref="CR392"/>
    <hyperlink r:id="rId748" ref="M393"/>
    <hyperlink r:id="rId749" ref="CR393"/>
    <hyperlink r:id="rId750" ref="M394"/>
    <hyperlink r:id="rId751" ref="CR394"/>
    <hyperlink r:id="rId752" ref="M395"/>
    <hyperlink r:id="rId753" ref="CR395"/>
    <hyperlink r:id="rId754" ref="M396"/>
    <hyperlink r:id="rId755" ref="CR396"/>
    <hyperlink r:id="rId756" ref="M397"/>
    <hyperlink r:id="rId757" ref="CR397"/>
    <hyperlink r:id="rId758" ref="M398"/>
    <hyperlink r:id="rId759" ref="CR398"/>
    <hyperlink r:id="rId760" ref="CR399"/>
    <hyperlink r:id="rId761" ref="M400"/>
    <hyperlink r:id="rId762" ref="CR400"/>
    <hyperlink r:id="rId763" ref="M401"/>
    <hyperlink r:id="rId764" ref="CR401"/>
    <hyperlink r:id="rId765" ref="CR402"/>
    <hyperlink r:id="rId766" ref="M403"/>
    <hyperlink r:id="rId767" ref="CR403"/>
    <hyperlink r:id="rId768" ref="M404"/>
    <hyperlink r:id="rId769" ref="CR404"/>
    <hyperlink r:id="rId770" ref="CR405"/>
    <hyperlink r:id="rId771" ref="M406"/>
    <hyperlink r:id="rId772" ref="CR406"/>
    <hyperlink r:id="rId773" ref="M407"/>
    <hyperlink r:id="rId774" ref="CR407"/>
    <hyperlink r:id="rId775" ref="CR408"/>
    <hyperlink r:id="rId776" ref="M409"/>
    <hyperlink r:id="rId777" ref="CR409"/>
    <hyperlink r:id="rId778" ref="CR410"/>
    <hyperlink r:id="rId779" ref="M411"/>
    <hyperlink r:id="rId780" ref="CR411"/>
    <hyperlink r:id="rId781" ref="M412"/>
    <hyperlink r:id="rId782" ref="CR412"/>
    <hyperlink r:id="rId783" ref="M413"/>
    <hyperlink r:id="rId784" ref="CR413"/>
    <hyperlink r:id="rId785" ref="CR414"/>
    <hyperlink r:id="rId786" ref="CR415"/>
    <hyperlink r:id="rId787" ref="M416"/>
    <hyperlink r:id="rId788" ref="CR416"/>
    <hyperlink r:id="rId789" ref="CR417"/>
    <hyperlink r:id="rId790" ref="CR418"/>
    <hyperlink r:id="rId791" ref="M419"/>
    <hyperlink r:id="rId792" ref="CR419"/>
    <hyperlink r:id="rId793" ref="M420"/>
    <hyperlink r:id="rId794" ref="CR420"/>
    <hyperlink r:id="rId795" ref="M421"/>
    <hyperlink r:id="rId796" ref="CR421"/>
    <hyperlink r:id="rId797" ref="M422"/>
    <hyperlink r:id="rId798" ref="CR422"/>
    <hyperlink r:id="rId799" ref="M423"/>
    <hyperlink r:id="rId800" ref="CR423"/>
    <hyperlink r:id="rId801" ref="M424"/>
    <hyperlink r:id="rId802" ref="CR424"/>
    <hyperlink r:id="rId803" ref="CR425"/>
    <hyperlink r:id="rId804" ref="CR426"/>
    <hyperlink r:id="rId805" ref="M427"/>
    <hyperlink r:id="rId806" ref="CR427"/>
    <hyperlink r:id="rId807" ref="M428"/>
    <hyperlink r:id="rId808" ref="CR428"/>
    <hyperlink r:id="rId809" ref="M429"/>
    <hyperlink r:id="rId810" ref="CR429"/>
    <hyperlink r:id="rId811" ref="CR430"/>
    <hyperlink r:id="rId812" ref="M431"/>
    <hyperlink r:id="rId813" ref="CR431"/>
    <hyperlink r:id="rId814" ref="M432"/>
    <hyperlink r:id="rId815" ref="CR432"/>
    <hyperlink r:id="rId816" ref="M433"/>
    <hyperlink r:id="rId817" ref="CR433"/>
    <hyperlink r:id="rId818" ref="M434"/>
    <hyperlink r:id="rId819" ref="CR434"/>
    <hyperlink r:id="rId820" ref="M435"/>
    <hyperlink r:id="rId821" ref="CR435"/>
    <hyperlink r:id="rId822" ref="M436"/>
    <hyperlink r:id="rId823" ref="CR436"/>
    <hyperlink r:id="rId824" ref="M437"/>
    <hyperlink r:id="rId825" ref="CR437"/>
    <hyperlink r:id="rId826" ref="M438"/>
    <hyperlink r:id="rId827" ref="CR438"/>
    <hyperlink r:id="rId828" ref="M439"/>
    <hyperlink r:id="rId829" ref="CR439"/>
    <hyperlink r:id="rId830" ref="M440"/>
    <hyperlink r:id="rId831" ref="CR440"/>
    <hyperlink r:id="rId832" ref="CR441"/>
    <hyperlink r:id="rId833" ref="M442"/>
    <hyperlink r:id="rId834" ref="CR442"/>
    <hyperlink r:id="rId835" ref="M443"/>
    <hyperlink r:id="rId836" ref="CR443"/>
    <hyperlink r:id="rId837" ref="M444"/>
    <hyperlink r:id="rId838" ref="CR444"/>
    <hyperlink r:id="rId839" ref="M445"/>
    <hyperlink r:id="rId840" ref="CR445"/>
    <hyperlink r:id="rId841" ref="M446"/>
    <hyperlink r:id="rId842" ref="CR446"/>
    <hyperlink r:id="rId843" ref="M447"/>
    <hyperlink r:id="rId844" ref="CR447"/>
    <hyperlink r:id="rId845" ref="CR448"/>
    <hyperlink r:id="rId846" ref="CR449"/>
    <hyperlink r:id="rId847" ref="M450"/>
    <hyperlink r:id="rId848" ref="CR450"/>
    <hyperlink r:id="rId849" ref="M451"/>
    <hyperlink r:id="rId850" ref="CR451"/>
    <hyperlink r:id="rId851" ref="M452"/>
    <hyperlink r:id="rId852" ref="CR452"/>
    <hyperlink r:id="rId853" ref="M453"/>
    <hyperlink r:id="rId854" ref="CR453"/>
    <hyperlink r:id="rId855" ref="M454"/>
    <hyperlink r:id="rId856" ref="CR454"/>
    <hyperlink r:id="rId857" ref="CR455"/>
    <hyperlink r:id="rId858" ref="CR456"/>
    <hyperlink r:id="rId859" ref="M457"/>
    <hyperlink r:id="rId860" ref="CR457"/>
    <hyperlink r:id="rId861" ref="M458"/>
    <hyperlink r:id="rId862" ref="CR458"/>
    <hyperlink r:id="rId863" ref="M459"/>
    <hyperlink r:id="rId864" ref="CR459"/>
    <hyperlink r:id="rId865" ref="M460"/>
    <hyperlink r:id="rId866" ref="CR460"/>
    <hyperlink r:id="rId867" ref="M461"/>
    <hyperlink r:id="rId868" ref="CR461"/>
    <hyperlink r:id="rId869" ref="CR462"/>
    <hyperlink r:id="rId870" ref="CR463"/>
    <hyperlink r:id="rId871" ref="M464"/>
    <hyperlink r:id="rId872" ref="CR464"/>
    <hyperlink r:id="rId873" ref="M465"/>
    <hyperlink r:id="rId874" ref="CR465"/>
    <hyperlink r:id="rId875" ref="M466"/>
    <hyperlink r:id="rId876" ref="CR466"/>
    <hyperlink r:id="rId877" ref="CR467"/>
    <hyperlink r:id="rId878" ref="M468"/>
    <hyperlink r:id="rId879" ref="CR468"/>
    <hyperlink r:id="rId880" ref="M469"/>
    <hyperlink r:id="rId881" ref="CR469"/>
    <hyperlink r:id="rId882" ref="M470"/>
    <hyperlink r:id="rId883" ref="CR470"/>
    <hyperlink r:id="rId884" ref="M471"/>
    <hyperlink r:id="rId885" ref="CR471"/>
    <hyperlink r:id="rId886" ref="M472"/>
    <hyperlink r:id="rId887" ref="CR472"/>
    <hyperlink r:id="rId888" ref="M473"/>
    <hyperlink r:id="rId889" ref="CR473"/>
    <hyperlink r:id="rId890" ref="M474"/>
    <hyperlink r:id="rId891" ref="CR474"/>
    <hyperlink r:id="rId892" ref="CR475"/>
    <hyperlink r:id="rId893" ref="M476"/>
    <hyperlink r:id="rId894" ref="CR476"/>
    <hyperlink r:id="rId895" ref="CR477"/>
    <hyperlink r:id="rId896" ref="M478"/>
    <hyperlink r:id="rId897" ref="CR478"/>
    <hyperlink r:id="rId898" ref="M479"/>
    <hyperlink r:id="rId899" ref="CR479"/>
    <hyperlink r:id="rId900" ref="M480"/>
    <hyperlink r:id="rId901" ref="CR480"/>
    <hyperlink r:id="rId902" ref="M481"/>
    <hyperlink r:id="rId903" ref="CR481"/>
    <hyperlink r:id="rId904" ref="M482"/>
    <hyperlink r:id="rId905" ref="CR482"/>
    <hyperlink r:id="rId906" ref="M483"/>
    <hyperlink r:id="rId907" ref="CR483"/>
    <hyperlink r:id="rId908" ref="M484"/>
    <hyperlink r:id="rId909" ref="CR484"/>
    <hyperlink r:id="rId910" ref="M485"/>
    <hyperlink r:id="rId911" ref="CR485"/>
    <hyperlink r:id="rId912" ref="M486"/>
    <hyperlink r:id="rId913" ref="CR486"/>
    <hyperlink r:id="rId914" ref="M487"/>
    <hyperlink r:id="rId915" ref="CR487"/>
    <hyperlink r:id="rId916" ref="M488"/>
    <hyperlink r:id="rId917" ref="CR488"/>
    <hyperlink r:id="rId918" ref="M489"/>
    <hyperlink r:id="rId919" ref="CR489"/>
    <hyperlink r:id="rId920" ref="M490"/>
    <hyperlink r:id="rId921" ref="CR490"/>
    <hyperlink r:id="rId922" ref="M491"/>
    <hyperlink r:id="rId923" ref="CR491"/>
    <hyperlink r:id="rId924" ref="M492"/>
    <hyperlink r:id="rId925" ref="CR492"/>
    <hyperlink r:id="rId926" ref="M493"/>
    <hyperlink r:id="rId927" ref="CR493"/>
    <hyperlink r:id="rId928" ref="M494"/>
    <hyperlink r:id="rId929" ref="CR494"/>
    <hyperlink r:id="rId930" ref="CR495"/>
    <hyperlink r:id="rId931" ref="M496"/>
    <hyperlink r:id="rId932" ref="CR496"/>
    <hyperlink r:id="rId933" ref="M497"/>
    <hyperlink r:id="rId934" ref="CR497"/>
    <hyperlink r:id="rId935" ref="M498"/>
    <hyperlink r:id="rId936" ref="CR498"/>
  </hyperlinks>
  <drawing r:id="rId9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2037</v>
      </c>
      <c r="B1" s="1" t="s">
        <v>2038</v>
      </c>
      <c r="C1" s="1" t="s">
        <v>2039</v>
      </c>
      <c r="D1" s="1" t="s">
        <v>35</v>
      </c>
      <c r="E1" s="1" t="s">
        <v>2040</v>
      </c>
      <c r="F1" s="1" t="s">
        <v>2041</v>
      </c>
    </row>
    <row r="2">
      <c r="A2" s="1" t="s">
        <v>1800</v>
      </c>
      <c r="B2" s="1" t="s">
        <v>2042</v>
      </c>
      <c r="C2" s="1" t="s">
        <v>281</v>
      </c>
      <c r="D2" s="2">
        <v>46051.36444444444</v>
      </c>
      <c r="E2" s="1" t="s">
        <v>2043</v>
      </c>
      <c r="F2" s="1" t="b">
        <v>0</v>
      </c>
    </row>
    <row r="3">
      <c r="A3" s="1" t="s">
        <v>1800</v>
      </c>
      <c r="B3" s="1" t="s">
        <v>2042</v>
      </c>
      <c r="C3" s="1" t="s">
        <v>281</v>
      </c>
      <c r="D3" s="2">
        <v>46051.36988425926</v>
      </c>
      <c r="E3" s="1" t="s">
        <v>2044</v>
      </c>
      <c r="F3" s="1" t="b">
        <v>0</v>
      </c>
    </row>
    <row r="4">
      <c r="A4" s="1" t="s">
        <v>1800</v>
      </c>
      <c r="B4" s="1" t="s">
        <v>2042</v>
      </c>
      <c r="C4" s="1" t="s">
        <v>281</v>
      </c>
      <c r="D4" s="2">
        <v>46051.39896990741</v>
      </c>
      <c r="E4" s="1" t="s">
        <v>2045</v>
      </c>
      <c r="F4" s="1" t="b">
        <v>0</v>
      </c>
    </row>
    <row r="5">
      <c r="A5" s="1" t="s">
        <v>1800</v>
      </c>
      <c r="B5" s="1" t="s">
        <v>2046</v>
      </c>
      <c r="C5" s="1">
        <v>574085.0</v>
      </c>
      <c r="D5" s="2">
        <v>46051.40085648148</v>
      </c>
      <c r="E5" s="1" t="s">
        <v>2047</v>
      </c>
      <c r="F5" s="1" t="b">
        <v>0</v>
      </c>
    </row>
    <row r="6">
      <c r="A6" s="1" t="s">
        <v>1800</v>
      </c>
      <c r="B6" s="1" t="s">
        <v>2046</v>
      </c>
      <c r="C6" s="1">
        <v>574085.0</v>
      </c>
      <c r="D6" s="2">
        <v>46051.403761574074</v>
      </c>
      <c r="E6" s="1" t="s">
        <v>2048</v>
      </c>
      <c r="F6" s="1" t="b">
        <v>1</v>
      </c>
    </row>
    <row r="7">
      <c r="A7" s="1" t="s">
        <v>1800</v>
      </c>
      <c r="B7" s="1" t="s">
        <v>2046</v>
      </c>
      <c r="C7" s="1">
        <v>594863.0</v>
      </c>
      <c r="D7" s="2">
        <v>46051.40466435185</v>
      </c>
      <c r="E7" s="1" t="s">
        <v>2049</v>
      </c>
      <c r="F7" s="1" t="b">
        <v>1</v>
      </c>
    </row>
    <row r="8">
      <c r="A8" s="1" t="s">
        <v>1800</v>
      </c>
      <c r="B8" s="1" t="s">
        <v>2046</v>
      </c>
      <c r="C8" s="1">
        <v>594863.0</v>
      </c>
      <c r="D8" s="2">
        <v>46051.41371527778</v>
      </c>
      <c r="E8" s="1" t="s">
        <v>2050</v>
      </c>
      <c r="F8" s="1" t="b">
        <v>0</v>
      </c>
    </row>
    <row r="9">
      <c r="A9" s="1" t="s">
        <v>1800</v>
      </c>
      <c r="B9" s="1" t="s">
        <v>2042</v>
      </c>
      <c r="C9" s="1" t="s">
        <v>281</v>
      </c>
      <c r="D9" s="2">
        <v>46051.42350694445</v>
      </c>
      <c r="E9" s="1" t="s">
        <v>2051</v>
      </c>
      <c r="F9" s="1" t="b">
        <v>0</v>
      </c>
    </row>
    <row r="10">
      <c r="A10" s="1" t="s">
        <v>1800</v>
      </c>
      <c r="B10" s="1" t="s">
        <v>2042</v>
      </c>
      <c r="C10" s="1" t="s">
        <v>281</v>
      </c>
      <c r="D10" s="2">
        <v>46051.42361111111</v>
      </c>
      <c r="E10" s="1" t="s">
        <v>2052</v>
      </c>
      <c r="F10" s="1" t="b">
        <v>0</v>
      </c>
    </row>
    <row r="11">
      <c r="A11" s="1" t="s">
        <v>1800</v>
      </c>
      <c r="B11" s="1" t="s">
        <v>2042</v>
      </c>
      <c r="C11" s="1" t="s">
        <v>281</v>
      </c>
      <c r="D11" s="2">
        <v>46051.423680555556</v>
      </c>
      <c r="E11" s="1" t="s">
        <v>2053</v>
      </c>
      <c r="F11" s="1" t="b">
        <v>0</v>
      </c>
    </row>
    <row r="12">
      <c r="A12" s="1" t="s">
        <v>1800</v>
      </c>
      <c r="B12" s="1" t="s">
        <v>2042</v>
      </c>
      <c r="C12" s="1" t="s">
        <v>281</v>
      </c>
      <c r="D12" s="2">
        <v>46051.423738425925</v>
      </c>
      <c r="E12" s="1" t="s">
        <v>2054</v>
      </c>
      <c r="F12" s="1" t="b">
        <v>0</v>
      </c>
    </row>
    <row r="13">
      <c r="A13" s="1" t="s">
        <v>1800</v>
      </c>
      <c r="B13" s="1" t="s">
        <v>2042</v>
      </c>
      <c r="C13" s="1" t="s">
        <v>281</v>
      </c>
      <c r="D13" s="2">
        <v>46051.423993055556</v>
      </c>
      <c r="E13" s="1" t="s">
        <v>2055</v>
      </c>
      <c r="F13" s="1" t="b">
        <v>0</v>
      </c>
    </row>
    <row r="14">
      <c r="A14" s="1" t="s">
        <v>1800</v>
      </c>
      <c r="B14" s="1" t="s">
        <v>2042</v>
      </c>
      <c r="C14" s="1" t="s">
        <v>281</v>
      </c>
      <c r="D14" s="2">
        <v>46051.4240625</v>
      </c>
      <c r="E14" s="1" t="s">
        <v>2056</v>
      </c>
      <c r="F14" s="1" t="b">
        <v>0</v>
      </c>
    </row>
    <row r="15">
      <c r="A15" s="1" t="s">
        <v>1800</v>
      </c>
      <c r="B15" s="1" t="s">
        <v>2042</v>
      </c>
      <c r="C15" s="1" t="s">
        <v>281</v>
      </c>
      <c r="D15" s="2">
        <v>46051.42453703703</v>
      </c>
      <c r="E15" s="1" t="s">
        <v>2057</v>
      </c>
      <c r="F15" s="1" t="b">
        <v>0</v>
      </c>
    </row>
    <row r="16">
      <c r="A16" s="1" t="s">
        <v>1800</v>
      </c>
      <c r="B16" s="1" t="s">
        <v>2042</v>
      </c>
      <c r="C16" s="1" t="s">
        <v>281</v>
      </c>
      <c r="D16" s="2">
        <v>46051.42466435185</v>
      </c>
      <c r="E16" s="1" t="s">
        <v>2058</v>
      </c>
      <c r="F16" s="1" t="b">
        <v>0</v>
      </c>
    </row>
    <row r="17">
      <c r="A17" s="1" t="s">
        <v>1800</v>
      </c>
      <c r="B17" s="1" t="s">
        <v>2046</v>
      </c>
      <c r="C17" s="1">
        <v>594863.0</v>
      </c>
      <c r="D17" s="2">
        <v>46051.42519675926</v>
      </c>
      <c r="E17" s="1" t="s">
        <v>2059</v>
      </c>
      <c r="F17" s="1" t="b">
        <v>0</v>
      </c>
    </row>
    <row r="18">
      <c r="A18" s="1" t="s">
        <v>1800</v>
      </c>
      <c r="B18" s="1" t="s">
        <v>2042</v>
      </c>
      <c r="C18" s="1" t="s">
        <v>281</v>
      </c>
      <c r="D18" s="2">
        <v>46051.437789351854</v>
      </c>
      <c r="E18" s="1" t="s">
        <v>2060</v>
      </c>
      <c r="F18" s="1" t="b">
        <v>0</v>
      </c>
    </row>
    <row r="19">
      <c r="A19" s="1" t="s">
        <v>1800</v>
      </c>
      <c r="B19" s="1" t="s">
        <v>2042</v>
      </c>
      <c r="C19" s="1" t="s">
        <v>281</v>
      </c>
      <c r="D19" s="2">
        <v>46051.43784722222</v>
      </c>
      <c r="E19" s="1" t="s">
        <v>2061</v>
      </c>
      <c r="F19" s="1" t="b">
        <v>0</v>
      </c>
    </row>
    <row r="20">
      <c r="A20" s="1" t="s">
        <v>1800</v>
      </c>
      <c r="B20" s="1" t="s">
        <v>2046</v>
      </c>
      <c r="C20" s="1">
        <v>594863.0</v>
      </c>
      <c r="D20" s="2">
        <v>46051.438159722224</v>
      </c>
      <c r="E20" s="1" t="s">
        <v>2062</v>
      </c>
      <c r="F20" s="1" t="b">
        <v>0</v>
      </c>
    </row>
    <row r="21">
      <c r="A21" s="1" t="s">
        <v>1800</v>
      </c>
      <c r="B21" s="1" t="s">
        <v>2042</v>
      </c>
      <c r="C21" s="1" t="s">
        <v>281</v>
      </c>
      <c r="D21" s="2">
        <v>46051.43859953704</v>
      </c>
      <c r="E21" s="1" t="s">
        <v>2063</v>
      </c>
      <c r="F21" s="1" t="b">
        <v>0</v>
      </c>
    </row>
    <row r="22">
      <c r="A22" s="1" t="s">
        <v>1800</v>
      </c>
      <c r="B22" s="1" t="s">
        <v>2046</v>
      </c>
      <c r="C22" s="1">
        <v>594863.0</v>
      </c>
      <c r="D22" s="2">
        <v>46051.44038194444</v>
      </c>
      <c r="E22" s="1" t="s">
        <v>2064</v>
      </c>
      <c r="F22" s="1" t="b">
        <v>1</v>
      </c>
    </row>
    <row r="23">
      <c r="A23" s="1" t="s">
        <v>1800</v>
      </c>
      <c r="B23" s="1" t="s">
        <v>2046</v>
      </c>
      <c r="C23" s="1">
        <v>594863.0</v>
      </c>
      <c r="D23" s="2">
        <v>46051.57466435185</v>
      </c>
      <c r="E23" s="1" t="s">
        <v>2065</v>
      </c>
      <c r="F23" s="1" t="b">
        <v>0</v>
      </c>
    </row>
    <row r="24">
      <c r="A24" s="1" t="s">
        <v>2033</v>
      </c>
      <c r="B24" s="1" t="s">
        <v>2042</v>
      </c>
      <c r="C24" s="1" t="s">
        <v>2035</v>
      </c>
      <c r="D24" s="2">
        <v>46048.41915509259</v>
      </c>
      <c r="E24" s="1" t="s">
        <v>2066</v>
      </c>
      <c r="F24" s="1" t="b">
        <v>0</v>
      </c>
    </row>
    <row r="25">
      <c r="A25" s="1" t="s">
        <v>2033</v>
      </c>
      <c r="B25" s="1" t="s">
        <v>2046</v>
      </c>
      <c r="C25" s="1">
        <v>506375.0</v>
      </c>
      <c r="D25" s="2">
        <v>46048.42521990741</v>
      </c>
      <c r="E25" s="1" t="s">
        <v>2067</v>
      </c>
      <c r="F25" s="1" t="b">
        <v>0</v>
      </c>
    </row>
    <row r="26">
      <c r="A26" s="1" t="s">
        <v>2033</v>
      </c>
      <c r="B26" s="1" t="s">
        <v>2046</v>
      </c>
      <c r="C26" s="1">
        <v>506375.0</v>
      </c>
      <c r="D26" s="2">
        <v>46048.42532407407</v>
      </c>
      <c r="E26" s="1" t="s">
        <v>2068</v>
      </c>
      <c r="F26" s="1" t="b">
        <v>0</v>
      </c>
    </row>
    <row r="27">
      <c r="A27" s="1" t="s">
        <v>2031</v>
      </c>
      <c r="B27" s="1" t="s">
        <v>2042</v>
      </c>
      <c r="C27" s="1" t="s">
        <v>537</v>
      </c>
      <c r="D27" s="2">
        <v>46048.446805555555</v>
      </c>
      <c r="E27" s="1" t="s">
        <v>2069</v>
      </c>
      <c r="F27" s="1" t="b">
        <v>0</v>
      </c>
    </row>
    <row r="28">
      <c r="A28" s="1" t="s">
        <v>2031</v>
      </c>
      <c r="B28" s="1" t="s">
        <v>2042</v>
      </c>
      <c r="C28" s="1" t="s">
        <v>537</v>
      </c>
      <c r="D28" s="2">
        <v>46048.44702546296</v>
      </c>
      <c r="E28" s="1" t="s">
        <v>2070</v>
      </c>
      <c r="F28" s="1" t="b">
        <v>0</v>
      </c>
    </row>
    <row r="29">
      <c r="A29" s="1" t="s">
        <v>2031</v>
      </c>
      <c r="B29" s="1" t="s">
        <v>2042</v>
      </c>
      <c r="C29" s="1" t="s">
        <v>537</v>
      </c>
      <c r="D29" s="2">
        <v>46048.447175925925</v>
      </c>
      <c r="E29" s="1" t="s">
        <v>2071</v>
      </c>
      <c r="F29" s="1" t="b">
        <v>0</v>
      </c>
    </row>
    <row r="30">
      <c r="A30" s="1" t="s">
        <v>2031</v>
      </c>
      <c r="B30" s="1" t="s">
        <v>2042</v>
      </c>
      <c r="C30" s="1" t="s">
        <v>537</v>
      </c>
      <c r="D30" s="2">
        <v>46048.44747685185</v>
      </c>
      <c r="E30" s="1" t="s">
        <v>2072</v>
      </c>
      <c r="F30" s="1" t="b">
        <v>0</v>
      </c>
    </row>
    <row r="31">
      <c r="A31" s="1" t="s">
        <v>2031</v>
      </c>
      <c r="B31" s="1" t="s">
        <v>2042</v>
      </c>
      <c r="C31" s="1" t="s">
        <v>537</v>
      </c>
      <c r="D31" s="2">
        <v>46048.44770833333</v>
      </c>
      <c r="E31" s="1" t="s">
        <v>2073</v>
      </c>
      <c r="F31" s="1" t="b">
        <v>0</v>
      </c>
    </row>
    <row r="32">
      <c r="A32" s="1" t="s">
        <v>2031</v>
      </c>
      <c r="B32" s="1" t="s">
        <v>2042</v>
      </c>
      <c r="C32" s="1" t="s">
        <v>537</v>
      </c>
      <c r="D32" s="2">
        <v>46048.44856481482</v>
      </c>
      <c r="E32" s="1" t="s">
        <v>2074</v>
      </c>
      <c r="F32" s="1" t="b">
        <v>0</v>
      </c>
    </row>
    <row r="33">
      <c r="A33" s="1" t="s">
        <v>2031</v>
      </c>
      <c r="B33" s="1" t="s">
        <v>2046</v>
      </c>
      <c r="C33" s="1">
        <v>574085.0</v>
      </c>
      <c r="D33" s="2">
        <v>46048.45119212963</v>
      </c>
      <c r="E33" s="1" t="s">
        <v>2075</v>
      </c>
      <c r="F33" s="1" t="b">
        <v>0</v>
      </c>
    </row>
    <row r="34">
      <c r="A34" s="1" t="s">
        <v>2031</v>
      </c>
      <c r="B34" s="1" t="s">
        <v>2042</v>
      </c>
      <c r="C34" s="1" t="s">
        <v>537</v>
      </c>
      <c r="D34" s="2">
        <v>46048.452199074076</v>
      </c>
      <c r="E34" s="1" t="s">
        <v>2076</v>
      </c>
      <c r="F34" s="1" t="b">
        <v>0</v>
      </c>
    </row>
    <row r="35">
      <c r="A35" s="1" t="s">
        <v>2031</v>
      </c>
      <c r="B35" s="1" t="s">
        <v>2046</v>
      </c>
      <c r="C35" s="1">
        <v>574085.0</v>
      </c>
      <c r="D35" s="2">
        <v>46048.45899305555</v>
      </c>
      <c r="E35" s="1" t="s">
        <v>2077</v>
      </c>
      <c r="F35" s="1" t="b">
        <v>0</v>
      </c>
    </row>
    <row r="36">
      <c r="A36" s="1" t="s">
        <v>2031</v>
      </c>
      <c r="B36" s="1" t="s">
        <v>2046</v>
      </c>
      <c r="C36" s="1">
        <v>574085.0</v>
      </c>
      <c r="D36" s="2">
        <v>46048.4603587963</v>
      </c>
      <c r="E36" s="1" t="s">
        <v>2078</v>
      </c>
      <c r="F36" s="1" t="b">
        <v>0</v>
      </c>
    </row>
    <row r="37">
      <c r="A37" s="1" t="s">
        <v>2031</v>
      </c>
      <c r="B37" s="1" t="s">
        <v>2046</v>
      </c>
      <c r="C37" s="1">
        <v>574085.0</v>
      </c>
      <c r="D37" s="2">
        <v>46048.46840277778</v>
      </c>
      <c r="E37" s="1" t="s">
        <v>2079</v>
      </c>
      <c r="F37" s="1" t="b">
        <v>1</v>
      </c>
    </row>
    <row r="38">
      <c r="A38" s="1" t="s">
        <v>2031</v>
      </c>
      <c r="B38" s="1" t="s">
        <v>2042</v>
      </c>
      <c r="C38" s="1" t="s">
        <v>537</v>
      </c>
      <c r="D38" s="2">
        <v>46048.50010416667</v>
      </c>
      <c r="E38" s="1" t="s">
        <v>2080</v>
      </c>
      <c r="F38" s="1" t="b">
        <v>0</v>
      </c>
    </row>
    <row r="39">
      <c r="A39" s="1" t="s">
        <v>2031</v>
      </c>
      <c r="B39" s="1" t="s">
        <v>2042</v>
      </c>
      <c r="C39" s="1" t="s">
        <v>537</v>
      </c>
      <c r="D39" s="2">
        <v>46048.5002662037</v>
      </c>
      <c r="E39" s="1" t="s">
        <v>2081</v>
      </c>
      <c r="F39" s="1" t="b">
        <v>0</v>
      </c>
    </row>
    <row r="40">
      <c r="A40" s="1" t="s">
        <v>2031</v>
      </c>
      <c r="B40" s="1" t="s">
        <v>2046</v>
      </c>
      <c r="C40" s="1">
        <v>574085.0</v>
      </c>
      <c r="D40" s="2">
        <v>46048.502337962964</v>
      </c>
      <c r="E40" s="1" t="s">
        <v>2082</v>
      </c>
      <c r="F40" s="1" t="b">
        <v>0</v>
      </c>
    </row>
    <row r="41">
      <c r="A41" s="1" t="s">
        <v>2031</v>
      </c>
      <c r="B41" s="1" t="s">
        <v>2042</v>
      </c>
      <c r="C41" s="1" t="s">
        <v>537</v>
      </c>
      <c r="D41" s="2">
        <v>46048.50356481481</v>
      </c>
      <c r="E41" s="1" t="s">
        <v>2083</v>
      </c>
      <c r="F41" s="1" t="b">
        <v>0</v>
      </c>
    </row>
    <row r="42">
      <c r="A42" s="1" t="s">
        <v>2031</v>
      </c>
      <c r="B42" s="1" t="s">
        <v>2042</v>
      </c>
      <c r="C42" s="1" t="s">
        <v>537</v>
      </c>
      <c r="D42" s="2">
        <v>46048.50362268519</v>
      </c>
      <c r="E42" s="1" t="s">
        <v>2084</v>
      </c>
      <c r="F42" s="1" t="b">
        <v>0</v>
      </c>
    </row>
    <row r="43">
      <c r="A43" s="1" t="s">
        <v>2031</v>
      </c>
      <c r="B43" s="1" t="s">
        <v>2042</v>
      </c>
      <c r="C43" s="1" t="s">
        <v>537</v>
      </c>
      <c r="D43" s="2">
        <v>46048.50369212963</v>
      </c>
      <c r="E43" s="1" t="s">
        <v>2085</v>
      </c>
      <c r="F43" s="1" t="b">
        <v>0</v>
      </c>
    </row>
    <row r="44">
      <c r="A44" s="1" t="s">
        <v>2031</v>
      </c>
      <c r="B44" s="1" t="s">
        <v>2042</v>
      </c>
      <c r="C44" s="1" t="s">
        <v>537</v>
      </c>
      <c r="D44" s="2">
        <v>46048.50375</v>
      </c>
      <c r="E44" s="1" t="s">
        <v>2086</v>
      </c>
      <c r="F44" s="1" t="b">
        <v>0</v>
      </c>
    </row>
    <row r="45">
      <c r="A45" s="1" t="s">
        <v>2031</v>
      </c>
      <c r="B45" s="1" t="s">
        <v>2042</v>
      </c>
      <c r="C45" s="1" t="s">
        <v>537</v>
      </c>
      <c r="D45" s="2">
        <v>46048.50380787037</v>
      </c>
      <c r="E45" s="1" t="s">
        <v>2087</v>
      </c>
      <c r="F45" s="1" t="b">
        <v>0</v>
      </c>
    </row>
    <row r="46">
      <c r="A46" s="1" t="s">
        <v>2031</v>
      </c>
      <c r="B46" s="1" t="s">
        <v>2046</v>
      </c>
      <c r="C46" s="1">
        <v>574085.0</v>
      </c>
      <c r="D46" s="2">
        <v>46048.50398148148</v>
      </c>
      <c r="E46" s="1" t="s">
        <v>2088</v>
      </c>
      <c r="F46" s="1" t="b">
        <v>0</v>
      </c>
    </row>
    <row r="47">
      <c r="A47" s="1" t="s">
        <v>2031</v>
      </c>
      <c r="B47" s="1" t="s">
        <v>2042</v>
      </c>
      <c r="C47" s="1" t="s">
        <v>537</v>
      </c>
      <c r="D47" s="2">
        <v>46048.504328703704</v>
      </c>
      <c r="E47" s="1" t="s">
        <v>2089</v>
      </c>
      <c r="F47" s="1" t="b">
        <v>0</v>
      </c>
    </row>
    <row r="48">
      <c r="A48" s="1" t="s">
        <v>2031</v>
      </c>
      <c r="B48" s="1" t="s">
        <v>2042</v>
      </c>
      <c r="C48" s="1" t="s">
        <v>537</v>
      </c>
      <c r="D48" s="2">
        <v>46048.50443287037</v>
      </c>
      <c r="E48" s="1" t="s">
        <v>2090</v>
      </c>
      <c r="F48" s="1" t="b">
        <v>0</v>
      </c>
    </row>
    <row r="49">
      <c r="A49" s="1" t="s">
        <v>2031</v>
      </c>
      <c r="B49" s="1" t="s">
        <v>2042</v>
      </c>
      <c r="C49" s="1" t="s">
        <v>537</v>
      </c>
      <c r="D49" s="2">
        <v>46048.50465277778</v>
      </c>
      <c r="F49" s="1" t="b">
        <v>0</v>
      </c>
    </row>
    <row r="50">
      <c r="A50" s="1" t="s">
        <v>2031</v>
      </c>
      <c r="B50" s="1" t="s">
        <v>2042</v>
      </c>
      <c r="C50" s="1" t="s">
        <v>537</v>
      </c>
      <c r="D50" s="2">
        <v>46048.50582175926</v>
      </c>
      <c r="F50" s="1" t="b">
        <v>0</v>
      </c>
    </row>
    <row r="51">
      <c r="A51" s="1" t="s">
        <v>2031</v>
      </c>
      <c r="B51" s="1" t="s">
        <v>2046</v>
      </c>
      <c r="C51" s="1">
        <v>574085.0</v>
      </c>
      <c r="D51" s="2">
        <v>46048.50653935185</v>
      </c>
      <c r="F51" s="1" t="b">
        <v>0</v>
      </c>
    </row>
    <row r="52">
      <c r="A52" s="1" t="s">
        <v>2031</v>
      </c>
      <c r="B52" s="1" t="s">
        <v>2046</v>
      </c>
      <c r="C52" s="1">
        <v>574085.0</v>
      </c>
      <c r="D52" s="2">
        <v>46048.5078125</v>
      </c>
      <c r="F52" s="1" t="b">
        <v>0</v>
      </c>
    </row>
    <row r="53">
      <c r="A53" s="1" t="s">
        <v>2031</v>
      </c>
      <c r="B53" s="1" t="s">
        <v>2046</v>
      </c>
      <c r="C53" s="1">
        <v>574085.0</v>
      </c>
      <c r="D53" s="2">
        <v>46048.51299768518</v>
      </c>
      <c r="E53" s="1" t="s">
        <v>2091</v>
      </c>
      <c r="F53" s="1" t="b">
        <v>0</v>
      </c>
    </row>
    <row r="54">
      <c r="A54" s="1" t="s">
        <v>2026</v>
      </c>
      <c r="B54" s="1" t="s">
        <v>2042</v>
      </c>
      <c r="C54" s="1" t="s">
        <v>2092</v>
      </c>
      <c r="D54" s="2">
        <v>46048.454375</v>
      </c>
      <c r="E54" s="1" t="s">
        <v>2093</v>
      </c>
      <c r="F54" s="1" t="b">
        <v>0</v>
      </c>
    </row>
    <row r="55">
      <c r="A55" s="1" t="s">
        <v>2026</v>
      </c>
      <c r="B55" s="1" t="s">
        <v>2046</v>
      </c>
      <c r="C55" s="1">
        <v>506375.0</v>
      </c>
      <c r="D55" s="2">
        <v>46048.462858796294</v>
      </c>
      <c r="E55" s="1" t="s">
        <v>2094</v>
      </c>
      <c r="F55" s="1" t="b">
        <v>1</v>
      </c>
    </row>
    <row r="56">
      <c r="A56" s="1" t="s">
        <v>2026</v>
      </c>
      <c r="B56" s="1" t="s">
        <v>2046</v>
      </c>
      <c r="C56" s="1">
        <v>574085.0</v>
      </c>
      <c r="D56" s="2">
        <v>46048.46287037037</v>
      </c>
      <c r="E56" s="1" t="s">
        <v>2095</v>
      </c>
      <c r="F56" s="1" t="b">
        <v>0</v>
      </c>
    </row>
    <row r="57">
      <c r="A57" s="1" t="s">
        <v>2026</v>
      </c>
      <c r="B57" s="1" t="s">
        <v>2046</v>
      </c>
      <c r="C57" s="1">
        <v>506375.0</v>
      </c>
      <c r="D57" s="2">
        <v>46048.462916666664</v>
      </c>
      <c r="E57" s="1" t="s">
        <v>2096</v>
      </c>
      <c r="F57" s="1" t="b">
        <v>1</v>
      </c>
    </row>
    <row r="58">
      <c r="A58" s="1" t="s">
        <v>2026</v>
      </c>
      <c r="B58" s="1" t="s">
        <v>2046</v>
      </c>
      <c r="C58" s="1">
        <v>574085.0</v>
      </c>
      <c r="D58" s="2">
        <v>46048.46309027778</v>
      </c>
      <c r="E58" s="1" t="s">
        <v>2097</v>
      </c>
      <c r="F58" s="1" t="b">
        <v>1</v>
      </c>
    </row>
    <row r="59">
      <c r="A59" s="1" t="s">
        <v>2026</v>
      </c>
      <c r="B59" s="1" t="s">
        <v>2046</v>
      </c>
      <c r="C59" s="1">
        <v>506375.0</v>
      </c>
      <c r="D59" s="2">
        <v>46048.465</v>
      </c>
      <c r="E59" s="1" t="s">
        <v>2098</v>
      </c>
      <c r="F59" s="1" t="b">
        <v>1</v>
      </c>
    </row>
    <row r="60">
      <c r="A60" s="1" t="s">
        <v>2026</v>
      </c>
      <c r="B60" s="1" t="s">
        <v>2042</v>
      </c>
      <c r="C60" s="1" t="s">
        <v>2092</v>
      </c>
      <c r="D60" s="2">
        <v>46048.48142361111</v>
      </c>
      <c r="F60" s="1" t="b">
        <v>0</v>
      </c>
    </row>
    <row r="61">
      <c r="A61" s="1" t="s">
        <v>2026</v>
      </c>
      <c r="B61" s="1" t="s">
        <v>2042</v>
      </c>
      <c r="C61" s="1" t="s">
        <v>2092</v>
      </c>
      <c r="D61" s="2">
        <v>46048.48144675926</v>
      </c>
      <c r="E61" s="1" t="s">
        <v>2099</v>
      </c>
      <c r="F61" s="1" t="b">
        <v>0</v>
      </c>
    </row>
    <row r="62">
      <c r="A62" s="1" t="s">
        <v>2026</v>
      </c>
      <c r="B62" s="1" t="s">
        <v>2046</v>
      </c>
      <c r="C62" s="1">
        <v>574085.0</v>
      </c>
      <c r="D62" s="2">
        <v>46048.48388888889</v>
      </c>
      <c r="E62" s="1" t="s">
        <v>2100</v>
      </c>
      <c r="F62" s="1" t="b">
        <v>0</v>
      </c>
    </row>
    <row r="63">
      <c r="A63" s="1" t="s">
        <v>2026</v>
      </c>
      <c r="B63" s="1" t="s">
        <v>2042</v>
      </c>
      <c r="C63" s="1" t="s">
        <v>2092</v>
      </c>
      <c r="D63" s="2">
        <v>46048.48483796296</v>
      </c>
      <c r="E63" s="1" t="s">
        <v>2101</v>
      </c>
      <c r="F63" s="1" t="b">
        <v>0</v>
      </c>
    </row>
    <row r="64">
      <c r="A64" s="1" t="s">
        <v>2026</v>
      </c>
      <c r="B64" s="1" t="s">
        <v>2042</v>
      </c>
      <c r="C64" s="1" t="s">
        <v>2092</v>
      </c>
      <c r="D64" s="2">
        <v>46048.485659722224</v>
      </c>
      <c r="F64" s="1" t="b">
        <v>0</v>
      </c>
    </row>
    <row r="65">
      <c r="A65" s="1" t="s">
        <v>2026</v>
      </c>
      <c r="B65" s="1" t="s">
        <v>2042</v>
      </c>
      <c r="C65" s="1" t="s">
        <v>2092</v>
      </c>
      <c r="D65" s="2">
        <v>46048.485914351855</v>
      </c>
      <c r="F65" s="1" t="b">
        <v>0</v>
      </c>
    </row>
    <row r="66">
      <c r="A66" s="1" t="s">
        <v>2026</v>
      </c>
      <c r="B66" s="1" t="s">
        <v>2042</v>
      </c>
      <c r="C66" s="1" t="s">
        <v>2092</v>
      </c>
      <c r="D66" s="2">
        <v>46048.48596064815</v>
      </c>
      <c r="F66" s="1" t="b">
        <v>0</v>
      </c>
    </row>
    <row r="67">
      <c r="A67" s="1" t="s">
        <v>2026</v>
      </c>
      <c r="B67" s="1" t="s">
        <v>2046</v>
      </c>
      <c r="C67" s="1">
        <v>574085.0</v>
      </c>
      <c r="D67" s="2">
        <v>46048.48908564815</v>
      </c>
      <c r="E67" s="1" t="s">
        <v>2102</v>
      </c>
      <c r="F67" s="1" t="b">
        <v>0</v>
      </c>
    </row>
    <row r="68">
      <c r="A68" s="1" t="s">
        <v>2026</v>
      </c>
      <c r="B68" s="1" t="s">
        <v>2042</v>
      </c>
      <c r="C68" s="1" t="s">
        <v>2029</v>
      </c>
      <c r="D68" s="2">
        <v>46048.49407407407</v>
      </c>
      <c r="E68" s="1" t="s">
        <v>2103</v>
      </c>
      <c r="F68" s="1" t="b">
        <v>0</v>
      </c>
    </row>
    <row r="69">
      <c r="A69" s="1" t="s">
        <v>2026</v>
      </c>
      <c r="B69" s="1" t="s">
        <v>2046</v>
      </c>
      <c r="C69" s="1">
        <v>574085.0</v>
      </c>
      <c r="D69" s="2">
        <v>46048.49612268519</v>
      </c>
      <c r="E69" s="1" t="s">
        <v>2104</v>
      </c>
      <c r="F69" s="1" t="b">
        <v>0</v>
      </c>
    </row>
    <row r="70">
      <c r="A70" s="1" t="s">
        <v>2026</v>
      </c>
      <c r="B70" s="1" t="s">
        <v>2042</v>
      </c>
      <c r="C70" s="1" t="s">
        <v>2029</v>
      </c>
      <c r="D70" s="2">
        <v>46048.49670138889</v>
      </c>
      <c r="E70" s="1" t="s">
        <v>2105</v>
      </c>
      <c r="F70" s="1" t="b">
        <v>0</v>
      </c>
    </row>
    <row r="71">
      <c r="A71" s="1" t="s">
        <v>2026</v>
      </c>
      <c r="B71" s="1" t="s">
        <v>2046</v>
      </c>
      <c r="C71" s="1">
        <v>574085.0</v>
      </c>
      <c r="D71" s="2">
        <v>46048.49862268518</v>
      </c>
      <c r="E71" s="1" t="s">
        <v>2106</v>
      </c>
      <c r="F71" s="1" t="b">
        <v>0</v>
      </c>
    </row>
    <row r="72">
      <c r="A72" s="1" t="s">
        <v>2026</v>
      </c>
      <c r="B72" s="1" t="s">
        <v>2042</v>
      </c>
      <c r="C72" s="1" t="s">
        <v>2029</v>
      </c>
      <c r="D72" s="2">
        <v>46048.50009259259</v>
      </c>
      <c r="E72" s="1" t="s">
        <v>2107</v>
      </c>
      <c r="F72" s="1" t="b">
        <v>0</v>
      </c>
    </row>
    <row r="73">
      <c r="A73" s="1" t="s">
        <v>2026</v>
      </c>
      <c r="B73" s="1" t="s">
        <v>2046</v>
      </c>
      <c r="C73" s="1">
        <v>574085.0</v>
      </c>
      <c r="D73" s="2">
        <v>46048.502604166664</v>
      </c>
      <c r="E73" s="1" t="s">
        <v>2108</v>
      </c>
      <c r="F73" s="1" t="b">
        <v>0</v>
      </c>
    </row>
    <row r="74">
      <c r="A74" s="1" t="s">
        <v>1990</v>
      </c>
      <c r="B74" s="1" t="s">
        <v>2042</v>
      </c>
      <c r="C74" s="1" t="s">
        <v>1992</v>
      </c>
      <c r="D74" s="2">
        <v>46048.538402777776</v>
      </c>
      <c r="E74" s="1" t="s">
        <v>2109</v>
      </c>
      <c r="F74" s="1" t="b">
        <v>0</v>
      </c>
    </row>
    <row r="75">
      <c r="A75" s="1" t="s">
        <v>1990</v>
      </c>
      <c r="B75" s="1" t="s">
        <v>2046</v>
      </c>
      <c r="C75" s="1">
        <v>594863.0</v>
      </c>
      <c r="D75" s="2">
        <v>46048.60975694445</v>
      </c>
      <c r="E75" s="1" t="s">
        <v>2110</v>
      </c>
      <c r="F75" s="1" t="b">
        <v>0</v>
      </c>
    </row>
    <row r="76">
      <c r="A76" s="1" t="s">
        <v>1990</v>
      </c>
      <c r="B76" s="1" t="s">
        <v>2046</v>
      </c>
      <c r="C76" s="1">
        <v>594863.0</v>
      </c>
      <c r="D76" s="2">
        <v>46049.599710648145</v>
      </c>
      <c r="E76" s="1" t="s">
        <v>2111</v>
      </c>
      <c r="F76" s="1" t="b">
        <v>0</v>
      </c>
    </row>
    <row r="77">
      <c r="A77" s="1" t="s">
        <v>2021</v>
      </c>
      <c r="B77" s="1" t="s">
        <v>2042</v>
      </c>
      <c r="C77" s="1" t="s">
        <v>2024</v>
      </c>
      <c r="D77" s="2">
        <v>46048.47262731481</v>
      </c>
      <c r="E77" s="1" t="s">
        <v>2112</v>
      </c>
      <c r="F77" s="1" t="b">
        <v>0</v>
      </c>
    </row>
    <row r="78">
      <c r="A78" s="1" t="s">
        <v>2021</v>
      </c>
      <c r="B78" s="1" t="s">
        <v>2046</v>
      </c>
      <c r="C78" s="1">
        <v>594863.0</v>
      </c>
      <c r="D78" s="2">
        <v>46048.486909722225</v>
      </c>
      <c r="E78" s="1" t="s">
        <v>2113</v>
      </c>
      <c r="F78" s="1" t="b">
        <v>1</v>
      </c>
    </row>
    <row r="79">
      <c r="A79" s="1" t="s">
        <v>2016</v>
      </c>
      <c r="B79" s="1" t="s">
        <v>2042</v>
      </c>
      <c r="C79" s="1" t="s">
        <v>2019</v>
      </c>
      <c r="D79" s="2">
        <v>46048.47922453703</v>
      </c>
      <c r="F79" s="1" t="b">
        <v>0</v>
      </c>
    </row>
    <row r="80">
      <c r="A80" s="1" t="s">
        <v>2016</v>
      </c>
      <c r="B80" s="1" t="s">
        <v>2042</v>
      </c>
      <c r="C80" s="1" t="s">
        <v>2019</v>
      </c>
      <c r="D80" s="2">
        <v>46048.479317129626</v>
      </c>
      <c r="E80" s="1" t="s">
        <v>2114</v>
      </c>
      <c r="F80" s="1" t="b">
        <v>0</v>
      </c>
    </row>
    <row r="81">
      <c r="A81" s="1" t="s">
        <v>2016</v>
      </c>
      <c r="B81" s="1" t="s">
        <v>2042</v>
      </c>
      <c r="C81" s="1" t="s">
        <v>2019</v>
      </c>
      <c r="D81" s="2">
        <v>46048.481261574074</v>
      </c>
      <c r="E81" s="1" t="s">
        <v>2115</v>
      </c>
      <c r="F81" s="1" t="b">
        <v>0</v>
      </c>
    </row>
    <row r="82">
      <c r="A82" s="1" t="s">
        <v>2016</v>
      </c>
      <c r="B82" s="1" t="s">
        <v>2046</v>
      </c>
      <c r="C82" s="1">
        <v>574085.0</v>
      </c>
      <c r="D82" s="2">
        <v>46048.48228009259</v>
      </c>
      <c r="E82" s="1" t="s">
        <v>2116</v>
      </c>
      <c r="F82" s="1" t="b">
        <v>0</v>
      </c>
    </row>
    <row r="83">
      <c r="A83" s="1" t="s">
        <v>2016</v>
      </c>
      <c r="B83" s="1" t="s">
        <v>2046</v>
      </c>
      <c r="C83" s="1">
        <v>574085.0</v>
      </c>
      <c r="D83" s="2">
        <v>46048.48538194445</v>
      </c>
      <c r="E83" s="1" t="s">
        <v>2117</v>
      </c>
      <c r="F83" s="1" t="b">
        <v>0</v>
      </c>
    </row>
    <row r="84">
      <c r="A84" s="1" t="s">
        <v>2016</v>
      </c>
      <c r="B84" s="1" t="s">
        <v>2042</v>
      </c>
      <c r="C84" s="1" t="s">
        <v>2019</v>
      </c>
      <c r="D84" s="2">
        <v>46048.48594907407</v>
      </c>
      <c r="E84" s="1" t="s">
        <v>2118</v>
      </c>
      <c r="F84" s="1" t="b">
        <v>0</v>
      </c>
    </row>
    <row r="85">
      <c r="A85" s="1" t="s">
        <v>2016</v>
      </c>
      <c r="B85" s="1" t="s">
        <v>2042</v>
      </c>
      <c r="C85" s="1" t="s">
        <v>2019</v>
      </c>
      <c r="D85" s="2">
        <v>46048.48604166666</v>
      </c>
      <c r="E85" s="1" t="s">
        <v>2119</v>
      </c>
      <c r="F85" s="1" t="b">
        <v>0</v>
      </c>
    </row>
    <row r="86">
      <c r="A86" s="1" t="s">
        <v>2016</v>
      </c>
      <c r="B86" s="1" t="s">
        <v>2042</v>
      </c>
      <c r="C86" s="1" t="s">
        <v>2019</v>
      </c>
      <c r="D86" s="2">
        <v>46048.48621527778</v>
      </c>
      <c r="E86" s="1" t="s">
        <v>2120</v>
      </c>
      <c r="F86" s="1" t="b">
        <v>0</v>
      </c>
    </row>
    <row r="87">
      <c r="A87" s="1" t="s">
        <v>2016</v>
      </c>
      <c r="B87" s="1" t="s">
        <v>2046</v>
      </c>
      <c r="C87" s="1">
        <v>574085.0</v>
      </c>
      <c r="D87" s="2">
        <v>46048.486608796295</v>
      </c>
      <c r="E87" s="1" t="s">
        <v>2121</v>
      </c>
      <c r="F87" s="1" t="b">
        <v>0</v>
      </c>
    </row>
    <row r="88">
      <c r="A88" s="1" t="s">
        <v>2016</v>
      </c>
      <c r="B88" s="1" t="s">
        <v>2042</v>
      </c>
      <c r="C88" s="1" t="s">
        <v>2019</v>
      </c>
      <c r="D88" s="2">
        <v>46048.486712962964</v>
      </c>
      <c r="E88" s="1" t="s">
        <v>2122</v>
      </c>
      <c r="F88" s="1" t="b">
        <v>0</v>
      </c>
    </row>
    <row r="89">
      <c r="A89" s="1" t="s">
        <v>2016</v>
      </c>
      <c r="B89" s="1" t="s">
        <v>2046</v>
      </c>
      <c r="C89" s="1">
        <v>574085.0</v>
      </c>
      <c r="D89" s="2">
        <v>46048.486759259256</v>
      </c>
      <c r="E89" s="1" t="s">
        <v>2123</v>
      </c>
      <c r="F89" s="1" t="b">
        <v>0</v>
      </c>
    </row>
    <row r="90">
      <c r="A90" s="1" t="s">
        <v>2016</v>
      </c>
      <c r="B90" s="1" t="s">
        <v>2042</v>
      </c>
      <c r="C90" s="1" t="s">
        <v>2019</v>
      </c>
      <c r="D90" s="2">
        <v>46048.486805555556</v>
      </c>
      <c r="E90" s="1" t="s">
        <v>2124</v>
      </c>
      <c r="F90" s="1" t="b">
        <v>0</v>
      </c>
    </row>
    <row r="91">
      <c r="A91" s="1" t="s">
        <v>2016</v>
      </c>
      <c r="B91" s="1" t="s">
        <v>2046</v>
      </c>
      <c r="C91" s="1">
        <v>574085.0</v>
      </c>
      <c r="D91" s="2">
        <v>46048.486875</v>
      </c>
      <c r="E91" s="1" t="s">
        <v>2125</v>
      </c>
      <c r="F91" s="1" t="b">
        <v>0</v>
      </c>
    </row>
    <row r="92">
      <c r="A92" s="1" t="s">
        <v>2016</v>
      </c>
      <c r="B92" s="1" t="s">
        <v>2042</v>
      </c>
      <c r="C92" s="1" t="s">
        <v>2019</v>
      </c>
      <c r="D92" s="2">
        <v>46048.486979166664</v>
      </c>
      <c r="E92" s="1" t="s">
        <v>2114</v>
      </c>
      <c r="F92" s="1" t="b">
        <v>0</v>
      </c>
    </row>
    <row r="93">
      <c r="A93" s="1" t="s">
        <v>2016</v>
      </c>
      <c r="B93" s="1" t="s">
        <v>2042</v>
      </c>
      <c r="C93" s="1" t="s">
        <v>2019</v>
      </c>
      <c r="D93" s="2">
        <v>46048.4871412037</v>
      </c>
      <c r="E93" s="1" t="s">
        <v>2126</v>
      </c>
      <c r="F93" s="1" t="b">
        <v>0</v>
      </c>
    </row>
    <row r="94">
      <c r="A94" s="1" t="s">
        <v>2016</v>
      </c>
      <c r="B94" s="1" t="s">
        <v>2046</v>
      </c>
      <c r="C94" s="1">
        <v>574085.0</v>
      </c>
      <c r="D94" s="2">
        <v>46048.48966435185</v>
      </c>
      <c r="E94" s="1" t="s">
        <v>2127</v>
      </c>
      <c r="F94" s="1" t="b">
        <v>0</v>
      </c>
    </row>
    <row r="95">
      <c r="A95" s="1" t="s">
        <v>2016</v>
      </c>
      <c r="B95" s="1" t="s">
        <v>2042</v>
      </c>
      <c r="C95" s="1" t="s">
        <v>2019</v>
      </c>
      <c r="D95" s="2">
        <v>46048.49712962963</v>
      </c>
      <c r="E95" s="1">
        <v>8.858103843E9</v>
      </c>
      <c r="F95" s="1" t="b">
        <v>0</v>
      </c>
    </row>
    <row r="96">
      <c r="A96" s="1" t="s">
        <v>2016</v>
      </c>
      <c r="B96" s="1" t="s">
        <v>2046</v>
      </c>
      <c r="C96" s="1">
        <v>574085.0</v>
      </c>
      <c r="D96" s="2">
        <v>46048.49953703704</v>
      </c>
      <c r="E96" s="1" t="s">
        <v>2128</v>
      </c>
      <c r="F96" s="1" t="b">
        <v>0</v>
      </c>
    </row>
    <row r="97">
      <c r="A97" s="1" t="s">
        <v>2016</v>
      </c>
      <c r="B97" s="1" t="s">
        <v>2042</v>
      </c>
      <c r="C97" s="1" t="s">
        <v>2019</v>
      </c>
      <c r="D97" s="2">
        <v>46048.50240740741</v>
      </c>
      <c r="E97" s="1" t="s">
        <v>2129</v>
      </c>
      <c r="F97" s="1" t="b">
        <v>0</v>
      </c>
    </row>
    <row r="98">
      <c r="A98" s="1" t="s">
        <v>2016</v>
      </c>
      <c r="B98" s="1" t="s">
        <v>2046</v>
      </c>
      <c r="C98" s="1">
        <v>574085.0</v>
      </c>
      <c r="D98" s="2">
        <v>46048.50277777778</v>
      </c>
      <c r="E98" s="1" t="s">
        <v>2108</v>
      </c>
      <c r="F98" s="1" t="b">
        <v>0</v>
      </c>
    </row>
    <row r="99">
      <c r="A99" s="1" t="s">
        <v>2014</v>
      </c>
      <c r="B99" s="1" t="s">
        <v>2042</v>
      </c>
      <c r="C99" s="1" t="s">
        <v>1164</v>
      </c>
      <c r="D99" s="2">
        <v>46048.49333333333</v>
      </c>
      <c r="E99" s="1" t="s">
        <v>2130</v>
      </c>
      <c r="F99" s="1" t="b">
        <v>0</v>
      </c>
    </row>
    <row r="100">
      <c r="A100" s="1" t="s">
        <v>2014</v>
      </c>
      <c r="B100" s="1" t="s">
        <v>2042</v>
      </c>
      <c r="C100" s="1" t="s">
        <v>1164</v>
      </c>
      <c r="D100" s="2">
        <v>46048.666550925926</v>
      </c>
      <c r="F100" s="1" t="b">
        <v>0</v>
      </c>
    </row>
    <row r="101">
      <c r="A101" s="1" t="s">
        <v>2014</v>
      </c>
      <c r="B101" s="1" t="s">
        <v>2042</v>
      </c>
      <c r="C101" s="1" t="s">
        <v>1164</v>
      </c>
      <c r="D101" s="2">
        <v>46048.66699074074</v>
      </c>
      <c r="E101" s="1" t="s">
        <v>2131</v>
      </c>
      <c r="F101" s="1" t="b">
        <v>0</v>
      </c>
    </row>
    <row r="102">
      <c r="A102" s="1" t="s">
        <v>2012</v>
      </c>
      <c r="B102" s="1" t="s">
        <v>2042</v>
      </c>
      <c r="C102" s="1" t="s">
        <v>1917</v>
      </c>
      <c r="D102" s="2">
        <v>46048.51778935185</v>
      </c>
      <c r="E102" s="1" t="s">
        <v>2132</v>
      </c>
      <c r="F102" s="1" t="b">
        <v>0</v>
      </c>
    </row>
    <row r="103">
      <c r="A103" s="1" t="s">
        <v>2012</v>
      </c>
      <c r="B103" s="1" t="s">
        <v>2042</v>
      </c>
      <c r="C103" s="1" t="s">
        <v>1917</v>
      </c>
      <c r="D103" s="2">
        <v>46048.52005787037</v>
      </c>
      <c r="E103" s="1" t="s">
        <v>2133</v>
      </c>
      <c r="F103" s="1" t="b">
        <v>0</v>
      </c>
    </row>
    <row r="104">
      <c r="A104" s="1" t="s">
        <v>2012</v>
      </c>
      <c r="B104" s="1" t="s">
        <v>2042</v>
      </c>
      <c r="C104" s="1" t="s">
        <v>1917</v>
      </c>
      <c r="D104" s="2">
        <v>46048.52018518518</v>
      </c>
      <c r="E104" s="1" t="s">
        <v>2134</v>
      </c>
      <c r="F104" s="1" t="b">
        <v>0</v>
      </c>
    </row>
    <row r="105">
      <c r="A105" s="1" t="s">
        <v>2012</v>
      </c>
      <c r="B105" s="1" t="s">
        <v>2046</v>
      </c>
      <c r="C105" s="1">
        <v>574085.0</v>
      </c>
      <c r="D105" s="2">
        <v>46048.56917824074</v>
      </c>
      <c r="E105" s="1" t="s">
        <v>2135</v>
      </c>
      <c r="F105" s="1" t="b">
        <v>0</v>
      </c>
    </row>
    <row r="106">
      <c r="A106" s="1" t="s">
        <v>2012</v>
      </c>
      <c r="B106" s="1" t="s">
        <v>2042</v>
      </c>
      <c r="C106" s="1" t="s">
        <v>1917</v>
      </c>
      <c r="D106" s="2">
        <v>46048.57512731481</v>
      </c>
      <c r="E106" s="1" t="s">
        <v>2136</v>
      </c>
      <c r="F106" s="1" t="b">
        <v>0</v>
      </c>
    </row>
    <row r="107">
      <c r="A107" s="1" t="s">
        <v>2012</v>
      </c>
      <c r="B107" s="1" t="s">
        <v>2042</v>
      </c>
      <c r="C107" s="1" t="s">
        <v>1917</v>
      </c>
      <c r="D107" s="2">
        <v>46048.57582175926</v>
      </c>
      <c r="E107" s="1" t="s">
        <v>2137</v>
      </c>
      <c r="F107" s="1" t="b">
        <v>0</v>
      </c>
    </row>
    <row r="108">
      <c r="A108" s="1" t="s">
        <v>2012</v>
      </c>
      <c r="B108" s="1" t="s">
        <v>2046</v>
      </c>
      <c r="C108" s="1">
        <v>574085.0</v>
      </c>
      <c r="D108" s="2">
        <v>46048.592685185184</v>
      </c>
      <c r="E108" s="1" t="s">
        <v>2138</v>
      </c>
      <c r="F108" s="1" t="b">
        <v>0</v>
      </c>
    </row>
    <row r="109">
      <c r="A109" s="1" t="s">
        <v>2012</v>
      </c>
      <c r="B109" s="1" t="s">
        <v>2042</v>
      </c>
      <c r="C109" s="1" t="s">
        <v>1917</v>
      </c>
      <c r="D109" s="2">
        <v>46048.63377314815</v>
      </c>
      <c r="E109" s="1" t="s">
        <v>2139</v>
      </c>
      <c r="F109" s="1" t="b">
        <v>0</v>
      </c>
    </row>
    <row r="110">
      <c r="A110" s="1" t="s">
        <v>2012</v>
      </c>
      <c r="B110" s="1" t="s">
        <v>2046</v>
      </c>
      <c r="C110" s="1">
        <v>574085.0</v>
      </c>
      <c r="D110" s="2">
        <v>46048.66265046296</v>
      </c>
      <c r="E110" s="1" t="s">
        <v>2140</v>
      </c>
      <c r="F110" s="1" t="b">
        <v>1</v>
      </c>
    </row>
    <row r="111">
      <c r="A111" s="1" t="s">
        <v>2012</v>
      </c>
      <c r="B111" s="1" t="s">
        <v>2046</v>
      </c>
      <c r="C111" s="1">
        <v>574085.0</v>
      </c>
      <c r="D111" s="2">
        <v>46048.66292824074</v>
      </c>
      <c r="E111" s="1" t="s">
        <v>2141</v>
      </c>
      <c r="F111" s="1" t="b">
        <v>1</v>
      </c>
    </row>
    <row r="112">
      <c r="A112" s="1" t="s">
        <v>2012</v>
      </c>
      <c r="B112" s="1" t="s">
        <v>2046</v>
      </c>
      <c r="C112" s="1">
        <v>574085.0</v>
      </c>
      <c r="D112" s="2">
        <v>46048.662986111114</v>
      </c>
      <c r="E112" s="1" t="s">
        <v>2142</v>
      </c>
      <c r="F112" s="1" t="b">
        <v>1</v>
      </c>
    </row>
    <row r="113">
      <c r="A113" s="1" t="s">
        <v>2012</v>
      </c>
      <c r="B113" s="1" t="s">
        <v>2046</v>
      </c>
      <c r="C113" s="1">
        <v>506375.0</v>
      </c>
      <c r="D113" s="2">
        <v>46048.678032407406</v>
      </c>
      <c r="E113" s="1" t="s">
        <v>2143</v>
      </c>
      <c r="F113" s="1" t="b">
        <v>1</v>
      </c>
    </row>
    <row r="114">
      <c r="A114" s="1" t="s">
        <v>2012</v>
      </c>
      <c r="B114" s="1" t="s">
        <v>2046</v>
      </c>
      <c r="C114" s="1">
        <v>506375.0</v>
      </c>
      <c r="D114" s="2">
        <v>46048.67824074074</v>
      </c>
      <c r="E114" s="1" t="s">
        <v>2144</v>
      </c>
      <c r="F114" s="1" t="b">
        <v>1</v>
      </c>
    </row>
    <row r="115">
      <c r="A115" s="1" t="s">
        <v>2012</v>
      </c>
      <c r="B115" s="1" t="s">
        <v>2046</v>
      </c>
      <c r="C115" s="1">
        <v>506375.0</v>
      </c>
      <c r="D115" s="2">
        <v>46048.67835648148</v>
      </c>
      <c r="E115" s="1" t="s">
        <v>2145</v>
      </c>
      <c r="F115" s="1" t="b">
        <v>1</v>
      </c>
    </row>
    <row r="116">
      <c r="A116" s="1" t="s">
        <v>2012</v>
      </c>
      <c r="B116" s="1" t="s">
        <v>2046</v>
      </c>
      <c r="C116" s="1">
        <v>574085.0</v>
      </c>
      <c r="D116" s="2">
        <v>46048.678402777776</v>
      </c>
      <c r="E116" s="1" t="s">
        <v>2146</v>
      </c>
      <c r="F116" s="1" t="b">
        <v>1</v>
      </c>
    </row>
    <row r="117">
      <c r="A117" s="1" t="s">
        <v>2012</v>
      </c>
      <c r="B117" s="1" t="s">
        <v>2046</v>
      </c>
      <c r="C117" s="1">
        <v>574085.0</v>
      </c>
      <c r="D117" s="2">
        <v>46048.67859953704</v>
      </c>
      <c r="E117" s="1" t="s">
        <v>2147</v>
      </c>
      <c r="F117" s="1" t="b">
        <v>1</v>
      </c>
    </row>
    <row r="118">
      <c r="A118" s="1" t="s">
        <v>2012</v>
      </c>
      <c r="B118" s="1" t="s">
        <v>2046</v>
      </c>
      <c r="C118" s="1">
        <v>574085.0</v>
      </c>
      <c r="D118" s="2">
        <v>46048.67978009259</v>
      </c>
      <c r="E118" s="1" t="s">
        <v>2148</v>
      </c>
      <c r="F118" s="1" t="b">
        <v>1</v>
      </c>
    </row>
    <row r="119">
      <c r="A119" s="1" t="s">
        <v>2012</v>
      </c>
      <c r="B119" s="1" t="s">
        <v>2046</v>
      </c>
      <c r="C119" s="1">
        <v>506375.0</v>
      </c>
      <c r="D119" s="2">
        <v>46048.68015046296</v>
      </c>
      <c r="E119" s="1" t="s">
        <v>2149</v>
      </c>
      <c r="F119" s="1" t="b">
        <v>1</v>
      </c>
    </row>
    <row r="120">
      <c r="A120" s="1" t="s">
        <v>2012</v>
      </c>
      <c r="B120" s="1" t="s">
        <v>2150</v>
      </c>
      <c r="C120" s="1" t="s">
        <v>2151</v>
      </c>
      <c r="D120" s="2">
        <v>46048.68021990741</v>
      </c>
      <c r="E120" s="1" t="s">
        <v>2152</v>
      </c>
      <c r="F120" s="1" t="b">
        <v>1</v>
      </c>
    </row>
    <row r="121">
      <c r="A121" s="1" t="s">
        <v>2012</v>
      </c>
      <c r="B121" s="1" t="s">
        <v>2046</v>
      </c>
      <c r="C121" s="1">
        <v>574085.0</v>
      </c>
      <c r="D121" s="2">
        <v>46048.68035879629</v>
      </c>
      <c r="E121" s="1" t="s">
        <v>2153</v>
      </c>
      <c r="F121" s="1" t="b">
        <v>1</v>
      </c>
    </row>
    <row r="122">
      <c r="A122" s="1" t="s">
        <v>2012</v>
      </c>
      <c r="B122" s="1" t="s">
        <v>2046</v>
      </c>
      <c r="C122" s="1">
        <v>506375.0</v>
      </c>
      <c r="D122" s="2">
        <v>46048.68201388889</v>
      </c>
      <c r="E122" s="1" t="s">
        <v>2154</v>
      </c>
      <c r="F122" s="1" t="b">
        <v>0</v>
      </c>
    </row>
    <row r="123">
      <c r="A123" s="1" t="s">
        <v>2012</v>
      </c>
      <c r="B123" s="1" t="s">
        <v>2046</v>
      </c>
      <c r="C123" s="1">
        <v>506375.0</v>
      </c>
      <c r="D123" s="2">
        <v>46052.486597222225</v>
      </c>
      <c r="E123" s="1" t="s">
        <v>2108</v>
      </c>
      <c r="F123" s="1" t="b">
        <v>0</v>
      </c>
    </row>
    <row r="124">
      <c r="A124" s="1" t="s">
        <v>2008</v>
      </c>
      <c r="B124" s="1" t="s">
        <v>2042</v>
      </c>
      <c r="C124" s="1" t="s">
        <v>2010</v>
      </c>
      <c r="D124" s="2">
        <v>46048.520416666666</v>
      </c>
      <c r="F124" s="1" t="b">
        <v>0</v>
      </c>
    </row>
    <row r="125">
      <c r="A125" s="1" t="s">
        <v>2008</v>
      </c>
      <c r="B125" s="1" t="s">
        <v>2042</v>
      </c>
      <c r="C125" s="1" t="s">
        <v>2010</v>
      </c>
      <c r="D125" s="2">
        <v>46048.52123842593</v>
      </c>
      <c r="E125" s="1" t="s">
        <v>2155</v>
      </c>
      <c r="F125" s="1" t="b">
        <v>0</v>
      </c>
    </row>
    <row r="126">
      <c r="A126" s="1" t="s">
        <v>2008</v>
      </c>
      <c r="B126" s="1" t="s">
        <v>2042</v>
      </c>
      <c r="C126" s="1" t="s">
        <v>2010</v>
      </c>
      <c r="D126" s="2">
        <v>46048.521261574075</v>
      </c>
      <c r="F126" s="1" t="b">
        <v>0</v>
      </c>
    </row>
    <row r="127">
      <c r="A127" s="1" t="s">
        <v>2008</v>
      </c>
      <c r="B127" s="1" t="s">
        <v>2042</v>
      </c>
      <c r="C127" s="1" t="s">
        <v>2010</v>
      </c>
      <c r="D127" s="2">
        <v>46048.52171296296</v>
      </c>
      <c r="E127" s="1" t="s">
        <v>2156</v>
      </c>
      <c r="F127" s="1" t="b">
        <v>0</v>
      </c>
    </row>
    <row r="128">
      <c r="A128" s="1" t="s">
        <v>2008</v>
      </c>
      <c r="B128" s="1" t="s">
        <v>2046</v>
      </c>
      <c r="C128" s="1">
        <v>574085.0</v>
      </c>
      <c r="D128" s="2">
        <v>46048.57541666667</v>
      </c>
      <c r="E128" s="1" t="s">
        <v>2157</v>
      </c>
      <c r="F128" s="1" t="b">
        <v>1</v>
      </c>
    </row>
    <row r="129">
      <c r="A129" s="1" t="s">
        <v>2008</v>
      </c>
      <c r="B129" s="1" t="s">
        <v>2046</v>
      </c>
      <c r="C129" s="1">
        <v>574085.0</v>
      </c>
      <c r="D129" s="2">
        <v>46048.575532407405</v>
      </c>
      <c r="E129" s="1" t="s">
        <v>2158</v>
      </c>
      <c r="F129" s="1" t="b">
        <v>1</v>
      </c>
    </row>
    <row r="130">
      <c r="A130" s="1" t="s">
        <v>2008</v>
      </c>
      <c r="B130" s="1" t="s">
        <v>2046</v>
      </c>
      <c r="C130" s="1">
        <v>574085.0</v>
      </c>
      <c r="D130" s="2">
        <v>46048.575694444444</v>
      </c>
      <c r="E130" s="1" t="s">
        <v>2159</v>
      </c>
      <c r="F130" s="1" t="b">
        <v>1</v>
      </c>
    </row>
    <row r="131">
      <c r="A131" s="1" t="s">
        <v>2008</v>
      </c>
      <c r="B131" s="1" t="s">
        <v>2046</v>
      </c>
      <c r="C131" s="1">
        <v>574085.0</v>
      </c>
      <c r="D131" s="2">
        <v>46048.5759375</v>
      </c>
      <c r="E131" s="1" t="s">
        <v>2160</v>
      </c>
      <c r="F131" s="1" t="b">
        <v>1</v>
      </c>
    </row>
    <row r="132">
      <c r="A132" s="1" t="s">
        <v>2008</v>
      </c>
      <c r="B132" s="1" t="s">
        <v>2046</v>
      </c>
      <c r="C132" s="1">
        <v>574085.0</v>
      </c>
      <c r="D132" s="2">
        <v>46048.57608796296</v>
      </c>
      <c r="E132" s="1" t="s">
        <v>2161</v>
      </c>
      <c r="F132" s="1" t="b">
        <v>1</v>
      </c>
    </row>
    <row r="133">
      <c r="A133" s="1" t="s">
        <v>2008</v>
      </c>
      <c r="B133" s="1" t="s">
        <v>2046</v>
      </c>
      <c r="C133" s="1">
        <v>574085.0</v>
      </c>
      <c r="D133" s="2">
        <v>46048.576145833336</v>
      </c>
      <c r="E133" s="1" t="s">
        <v>2162</v>
      </c>
      <c r="F133" s="1" t="b">
        <v>1</v>
      </c>
    </row>
    <row r="134">
      <c r="A134" s="1" t="s">
        <v>2008</v>
      </c>
      <c r="B134" s="1" t="s">
        <v>2046</v>
      </c>
      <c r="C134" s="1">
        <v>574085.0</v>
      </c>
      <c r="D134" s="2">
        <v>46048.57675925926</v>
      </c>
      <c r="E134" s="1" t="s">
        <v>2163</v>
      </c>
      <c r="F134" s="1" t="b">
        <v>1</v>
      </c>
    </row>
    <row r="135">
      <c r="A135" s="1" t="s">
        <v>2008</v>
      </c>
      <c r="B135" s="1" t="s">
        <v>2046</v>
      </c>
      <c r="C135" s="1">
        <v>574085.0</v>
      </c>
      <c r="D135" s="2">
        <v>46048.57701388889</v>
      </c>
      <c r="E135" s="1" t="s">
        <v>2164</v>
      </c>
      <c r="F135" s="1" t="b">
        <v>1</v>
      </c>
    </row>
    <row r="136">
      <c r="A136" s="1" t="s">
        <v>2008</v>
      </c>
      <c r="B136" s="1" t="s">
        <v>2046</v>
      </c>
      <c r="C136" s="1">
        <v>506375.0</v>
      </c>
      <c r="D136" s="2">
        <v>46048.58002314815</v>
      </c>
      <c r="E136" s="1" t="s">
        <v>2165</v>
      </c>
      <c r="F136" s="1" t="b">
        <v>1</v>
      </c>
    </row>
    <row r="137">
      <c r="A137" s="1" t="s">
        <v>2008</v>
      </c>
      <c r="B137" s="1" t="s">
        <v>2046</v>
      </c>
      <c r="C137" s="1">
        <v>506375.0</v>
      </c>
      <c r="D137" s="2">
        <v>46048.58043981482</v>
      </c>
      <c r="E137" s="1" t="s">
        <v>2166</v>
      </c>
      <c r="F137" s="1" t="b">
        <v>1</v>
      </c>
    </row>
    <row r="138">
      <c r="A138" s="1" t="s">
        <v>2008</v>
      </c>
      <c r="B138" s="1" t="s">
        <v>2046</v>
      </c>
      <c r="C138" s="1">
        <v>574085.0</v>
      </c>
      <c r="D138" s="2">
        <v>46048.58337962963</v>
      </c>
      <c r="E138" s="1" t="s">
        <v>2167</v>
      </c>
      <c r="F138" s="1" t="b">
        <v>1</v>
      </c>
    </row>
    <row r="139">
      <c r="A139" s="1" t="s">
        <v>2008</v>
      </c>
      <c r="B139" s="1" t="s">
        <v>2150</v>
      </c>
      <c r="C139" s="1" t="s">
        <v>2151</v>
      </c>
      <c r="D139" s="2">
        <v>46048.58353009259</v>
      </c>
      <c r="E139" s="1" t="s">
        <v>2168</v>
      </c>
      <c r="F139" s="1" t="b">
        <v>1</v>
      </c>
    </row>
    <row r="140">
      <c r="A140" s="1" t="s">
        <v>2008</v>
      </c>
      <c r="B140" s="1" t="s">
        <v>2046</v>
      </c>
      <c r="C140" s="1">
        <v>574085.0</v>
      </c>
      <c r="D140" s="2">
        <v>46048.58553240741</v>
      </c>
      <c r="E140" s="1" t="s">
        <v>2169</v>
      </c>
      <c r="F140" s="1" t="b">
        <v>0</v>
      </c>
    </row>
    <row r="141">
      <c r="A141" s="1" t="s">
        <v>2008</v>
      </c>
      <c r="B141" s="1" t="s">
        <v>2042</v>
      </c>
      <c r="C141" s="1" t="s">
        <v>2010</v>
      </c>
      <c r="D141" s="2">
        <v>46049.41306712963</v>
      </c>
      <c r="E141" s="1" t="s">
        <v>2170</v>
      </c>
      <c r="F141" s="1" t="b">
        <v>0</v>
      </c>
    </row>
    <row r="142">
      <c r="A142" s="1" t="s">
        <v>2008</v>
      </c>
      <c r="B142" s="1" t="s">
        <v>2046</v>
      </c>
      <c r="C142" s="1">
        <v>574085.0</v>
      </c>
      <c r="D142" s="2">
        <v>46049.415671296294</v>
      </c>
      <c r="E142" s="1" t="s">
        <v>2171</v>
      </c>
      <c r="F142" s="1" t="b">
        <v>0</v>
      </c>
    </row>
    <row r="143">
      <c r="A143" s="1" t="s">
        <v>2008</v>
      </c>
      <c r="B143" s="1" t="s">
        <v>2042</v>
      </c>
      <c r="C143" s="1" t="s">
        <v>2010</v>
      </c>
      <c r="D143" s="2">
        <v>46049.439409722225</v>
      </c>
      <c r="E143" s="1" t="s">
        <v>2172</v>
      </c>
      <c r="F143" s="1" t="b">
        <v>0</v>
      </c>
    </row>
    <row r="144">
      <c r="A144" s="1" t="s">
        <v>2008</v>
      </c>
      <c r="B144" s="1" t="s">
        <v>2042</v>
      </c>
      <c r="C144" s="1" t="s">
        <v>2010</v>
      </c>
      <c r="D144" s="2">
        <v>46049.4399537037</v>
      </c>
      <c r="E144" s="1" t="s">
        <v>2173</v>
      </c>
      <c r="F144" s="1" t="b">
        <v>0</v>
      </c>
    </row>
    <row r="145">
      <c r="A145" s="1" t="s">
        <v>2008</v>
      </c>
      <c r="B145" s="1" t="s">
        <v>2046</v>
      </c>
      <c r="C145" s="1">
        <v>574085.0</v>
      </c>
      <c r="D145" s="2">
        <v>46049.4575</v>
      </c>
      <c r="E145" s="1" t="s">
        <v>2174</v>
      </c>
      <c r="F145" s="1" t="b">
        <v>0</v>
      </c>
    </row>
    <row r="146">
      <c r="A146" s="1" t="s">
        <v>2008</v>
      </c>
      <c r="B146" s="1" t="s">
        <v>2042</v>
      </c>
      <c r="C146" s="1" t="s">
        <v>2010</v>
      </c>
      <c r="D146" s="2">
        <v>46049.459016203706</v>
      </c>
      <c r="E146" s="1" t="s">
        <v>2175</v>
      </c>
      <c r="F146" s="1" t="b">
        <v>0</v>
      </c>
    </row>
    <row r="147">
      <c r="A147" s="1" t="s">
        <v>2008</v>
      </c>
      <c r="B147" s="1" t="s">
        <v>2042</v>
      </c>
      <c r="C147" s="1" t="s">
        <v>2010</v>
      </c>
      <c r="D147" s="2">
        <v>46049.45931712963</v>
      </c>
      <c r="E147" s="1" t="s">
        <v>2176</v>
      </c>
      <c r="F147" s="1" t="b">
        <v>0</v>
      </c>
    </row>
    <row r="148">
      <c r="A148" s="1" t="s">
        <v>2008</v>
      </c>
      <c r="B148" s="1" t="s">
        <v>2046</v>
      </c>
      <c r="C148" s="1">
        <v>574085.0</v>
      </c>
      <c r="D148" s="2">
        <v>46049.46331018519</v>
      </c>
      <c r="E148" s="1" t="s">
        <v>2177</v>
      </c>
      <c r="F148" s="1" t="b">
        <v>0</v>
      </c>
    </row>
    <row r="149">
      <c r="A149" s="1" t="s">
        <v>2008</v>
      </c>
      <c r="B149" s="1" t="s">
        <v>2046</v>
      </c>
      <c r="C149" s="1">
        <v>574085.0</v>
      </c>
      <c r="D149" s="2">
        <v>46049.62876157407</v>
      </c>
      <c r="E149" s="1" t="s">
        <v>2178</v>
      </c>
      <c r="F149" s="1" t="b">
        <v>0</v>
      </c>
    </row>
    <row r="150">
      <c r="A150" s="1" t="s">
        <v>2008</v>
      </c>
      <c r="B150" s="1" t="s">
        <v>2046</v>
      </c>
      <c r="C150" s="1">
        <v>574085.0</v>
      </c>
      <c r="D150" s="2">
        <v>46049.629166666666</v>
      </c>
      <c r="E150" s="1" t="s">
        <v>2179</v>
      </c>
      <c r="F150" s="1" t="b">
        <v>0</v>
      </c>
    </row>
    <row r="151">
      <c r="A151" s="1" t="s">
        <v>2008</v>
      </c>
      <c r="B151" s="1" t="s">
        <v>2042</v>
      </c>
      <c r="C151" s="1" t="s">
        <v>2010</v>
      </c>
      <c r="D151" s="2">
        <v>46050.63494212963</v>
      </c>
      <c r="E151" s="1" t="s">
        <v>2180</v>
      </c>
      <c r="F151" s="1" t="b">
        <v>0</v>
      </c>
    </row>
    <row r="152">
      <c r="A152" s="1" t="s">
        <v>2008</v>
      </c>
      <c r="B152" s="1" t="s">
        <v>2042</v>
      </c>
      <c r="C152" s="1" t="s">
        <v>2010</v>
      </c>
      <c r="D152" s="2">
        <v>46050.63506944444</v>
      </c>
      <c r="E152" s="1" t="s">
        <v>2181</v>
      </c>
      <c r="F152" s="1" t="b">
        <v>0</v>
      </c>
    </row>
    <row r="153">
      <c r="A153" s="1" t="s">
        <v>2008</v>
      </c>
      <c r="B153" s="1" t="s">
        <v>2046</v>
      </c>
      <c r="C153" s="1">
        <v>574085.0</v>
      </c>
      <c r="D153" s="2">
        <v>46050.65181712963</v>
      </c>
      <c r="E153" s="1" t="s">
        <v>2182</v>
      </c>
      <c r="F153" s="1" t="b">
        <v>0</v>
      </c>
    </row>
    <row r="154">
      <c r="A154" s="1" t="s">
        <v>2008</v>
      </c>
      <c r="B154" s="1" t="s">
        <v>2042</v>
      </c>
      <c r="C154" s="1" t="s">
        <v>2010</v>
      </c>
      <c r="D154" s="2">
        <v>46050.706921296296</v>
      </c>
      <c r="E154" s="1" t="s">
        <v>2183</v>
      </c>
      <c r="F154" s="1" t="b">
        <v>0</v>
      </c>
    </row>
    <row r="155">
      <c r="A155" s="1" t="s">
        <v>2008</v>
      </c>
      <c r="B155" s="1" t="s">
        <v>2046</v>
      </c>
      <c r="C155" s="1">
        <v>574085.0</v>
      </c>
      <c r="D155" s="2">
        <v>46050.721979166665</v>
      </c>
      <c r="E155" s="1" t="s">
        <v>2184</v>
      </c>
      <c r="F155" s="1" t="b">
        <v>0</v>
      </c>
    </row>
    <row r="156">
      <c r="A156" s="1" t="s">
        <v>2008</v>
      </c>
      <c r="B156" s="1" t="s">
        <v>2042</v>
      </c>
      <c r="C156" s="1" t="s">
        <v>2010</v>
      </c>
      <c r="D156" s="2">
        <v>46050.72423611111</v>
      </c>
      <c r="E156" s="1" t="s">
        <v>2185</v>
      </c>
      <c r="F156" s="1" t="b">
        <v>0</v>
      </c>
    </row>
    <row r="157">
      <c r="A157" s="1" t="s">
        <v>2008</v>
      </c>
      <c r="B157" s="1" t="s">
        <v>2046</v>
      </c>
      <c r="C157" s="1">
        <v>574085.0</v>
      </c>
      <c r="D157" s="2">
        <v>46050.72777777778</v>
      </c>
      <c r="E157" s="1" t="s">
        <v>2186</v>
      </c>
      <c r="F157" s="1" t="b">
        <v>0</v>
      </c>
    </row>
    <row r="158">
      <c r="A158" s="1" t="s">
        <v>2008</v>
      </c>
      <c r="B158" s="1" t="s">
        <v>2042</v>
      </c>
      <c r="C158" s="1" t="s">
        <v>2010</v>
      </c>
      <c r="D158" s="2">
        <v>46050.72858796296</v>
      </c>
      <c r="E158" s="1" t="s">
        <v>2187</v>
      </c>
      <c r="F158" s="1" t="b">
        <v>0</v>
      </c>
    </row>
    <row r="159">
      <c r="A159" s="1" t="s">
        <v>2008</v>
      </c>
      <c r="B159" s="1" t="s">
        <v>2046</v>
      </c>
      <c r="C159" s="1">
        <v>574085.0</v>
      </c>
      <c r="D159" s="2">
        <v>46050.739583333336</v>
      </c>
      <c r="E159" s="1" t="s">
        <v>2188</v>
      </c>
      <c r="F159" s="1" t="b">
        <v>0</v>
      </c>
    </row>
    <row r="160">
      <c r="A160" s="1" t="s">
        <v>2008</v>
      </c>
      <c r="B160" s="1" t="s">
        <v>2042</v>
      </c>
      <c r="C160" s="1" t="s">
        <v>2010</v>
      </c>
      <c r="D160" s="2">
        <v>46050.81695601852</v>
      </c>
      <c r="E160" s="1" t="s">
        <v>2189</v>
      </c>
      <c r="F160" s="1" t="b">
        <v>0</v>
      </c>
    </row>
    <row r="161">
      <c r="A161" s="1" t="s">
        <v>2008</v>
      </c>
      <c r="B161" s="1" t="s">
        <v>2046</v>
      </c>
      <c r="C161" s="1">
        <v>506375.0</v>
      </c>
      <c r="D161" s="2">
        <v>46051.441400462965</v>
      </c>
      <c r="E161" s="1" t="s">
        <v>2190</v>
      </c>
      <c r="F161" s="1" t="b">
        <v>1</v>
      </c>
    </row>
    <row r="162">
      <c r="A162" s="1" t="s">
        <v>2008</v>
      </c>
      <c r="B162" s="1" t="s">
        <v>2150</v>
      </c>
      <c r="C162" s="1" t="s">
        <v>2151</v>
      </c>
      <c r="D162" s="2">
        <v>46051.441469907404</v>
      </c>
      <c r="E162" s="1" t="s">
        <v>2191</v>
      </c>
      <c r="F162" s="1" t="b">
        <v>1</v>
      </c>
    </row>
    <row r="163">
      <c r="A163" s="1" t="s">
        <v>2008</v>
      </c>
      <c r="B163" s="1" t="s">
        <v>2046</v>
      </c>
      <c r="C163" s="1">
        <v>574085.0</v>
      </c>
      <c r="D163" s="2">
        <v>46051.441516203704</v>
      </c>
      <c r="E163" s="1" t="s">
        <v>2192</v>
      </c>
      <c r="F163" s="1" t="b">
        <v>1</v>
      </c>
    </row>
    <row r="164">
      <c r="A164" s="1" t="s">
        <v>2008</v>
      </c>
      <c r="B164" s="1" t="s">
        <v>2046</v>
      </c>
      <c r="C164" s="1">
        <v>506375.0</v>
      </c>
      <c r="D164" s="2">
        <v>46051.44157407407</v>
      </c>
      <c r="E164" s="1" t="s">
        <v>2193</v>
      </c>
      <c r="F164" s="1" t="b">
        <v>1</v>
      </c>
    </row>
    <row r="165">
      <c r="A165" s="1" t="s">
        <v>2008</v>
      </c>
      <c r="B165" s="1" t="s">
        <v>2046</v>
      </c>
      <c r="C165" s="1">
        <v>574085.0</v>
      </c>
      <c r="D165" s="2">
        <v>46051.44158564815</v>
      </c>
      <c r="E165" s="1" t="s">
        <v>2194</v>
      </c>
      <c r="F165" s="1" t="b">
        <v>1</v>
      </c>
    </row>
    <row r="166">
      <c r="A166" s="1" t="s">
        <v>2008</v>
      </c>
      <c r="B166" s="1" t="s">
        <v>2046</v>
      </c>
      <c r="C166" s="1">
        <v>506375.0</v>
      </c>
      <c r="D166" s="2">
        <v>46051.44164351852</v>
      </c>
      <c r="E166" s="1" t="s">
        <v>2195</v>
      </c>
      <c r="F166" s="1" t="b">
        <v>1</v>
      </c>
    </row>
    <row r="167">
      <c r="A167" s="1" t="s">
        <v>2008</v>
      </c>
      <c r="B167" s="1" t="s">
        <v>2046</v>
      </c>
      <c r="C167" s="1">
        <v>574085.0</v>
      </c>
      <c r="D167" s="2">
        <v>46051.442291666666</v>
      </c>
      <c r="E167" s="1" t="s">
        <v>2196</v>
      </c>
      <c r="F167" s="1" t="b">
        <v>0</v>
      </c>
    </row>
    <row r="168">
      <c r="A168" s="1" t="s">
        <v>2008</v>
      </c>
      <c r="B168" s="1" t="s">
        <v>2042</v>
      </c>
      <c r="C168" s="1" t="s">
        <v>2010</v>
      </c>
      <c r="D168" s="2">
        <v>46051.448275462964</v>
      </c>
      <c r="E168" s="1" t="s">
        <v>2197</v>
      </c>
      <c r="F168" s="1" t="b">
        <v>0</v>
      </c>
    </row>
    <row r="169">
      <c r="A169" s="1" t="s">
        <v>2008</v>
      </c>
      <c r="B169" s="1" t="s">
        <v>2042</v>
      </c>
      <c r="C169" s="1" t="s">
        <v>2010</v>
      </c>
      <c r="D169" s="2">
        <v>46051.448530092595</v>
      </c>
      <c r="E169" s="1" t="s">
        <v>2198</v>
      </c>
      <c r="F169" s="1" t="b">
        <v>0</v>
      </c>
    </row>
    <row r="170">
      <c r="A170" s="1" t="s">
        <v>2008</v>
      </c>
      <c r="B170" s="1" t="s">
        <v>2046</v>
      </c>
      <c r="C170" s="1">
        <v>574085.0</v>
      </c>
      <c r="D170" s="2">
        <v>46051.456412037034</v>
      </c>
      <c r="E170" s="1" t="s">
        <v>2199</v>
      </c>
      <c r="F170" s="1" t="b">
        <v>0</v>
      </c>
    </row>
    <row r="171">
      <c r="A171" s="1" t="s">
        <v>2008</v>
      </c>
      <c r="B171" s="1" t="s">
        <v>2042</v>
      </c>
      <c r="C171" s="1" t="s">
        <v>2010</v>
      </c>
      <c r="D171" s="2">
        <v>46051.6209375</v>
      </c>
      <c r="F171" s="1" t="b">
        <v>0</v>
      </c>
    </row>
    <row r="172">
      <c r="A172" s="1" t="s">
        <v>2008</v>
      </c>
      <c r="B172" s="1" t="s">
        <v>2042</v>
      </c>
      <c r="C172" s="1" t="s">
        <v>2010</v>
      </c>
      <c r="D172" s="2">
        <v>46051.62096064815</v>
      </c>
      <c r="E172" s="1" t="s">
        <v>2200</v>
      </c>
      <c r="F172" s="1" t="b">
        <v>0</v>
      </c>
    </row>
    <row r="173">
      <c r="A173" s="1" t="s">
        <v>2008</v>
      </c>
      <c r="B173" s="1" t="s">
        <v>2046</v>
      </c>
      <c r="C173" s="1">
        <v>574085.0</v>
      </c>
      <c r="D173" s="2">
        <v>46051.65756944445</v>
      </c>
      <c r="E173" s="1" t="s">
        <v>2201</v>
      </c>
      <c r="F173" s="1" t="b">
        <v>0</v>
      </c>
    </row>
    <row r="174">
      <c r="A174" s="1" t="s">
        <v>2008</v>
      </c>
      <c r="B174" s="1" t="s">
        <v>2046</v>
      </c>
      <c r="C174" s="1">
        <v>574085.0</v>
      </c>
      <c r="D174" s="2">
        <v>46051.658113425925</v>
      </c>
      <c r="E174" s="1" t="s">
        <v>2202</v>
      </c>
      <c r="F174" s="1" t="b">
        <v>1</v>
      </c>
    </row>
    <row r="175">
      <c r="A175" s="1" t="s">
        <v>2008</v>
      </c>
      <c r="B175" s="1" t="s">
        <v>2046</v>
      </c>
      <c r="C175" s="1">
        <v>607950.0</v>
      </c>
      <c r="D175" s="2">
        <v>46051.658229166664</v>
      </c>
      <c r="E175" s="1" t="s">
        <v>2124</v>
      </c>
      <c r="F175" s="1" t="b">
        <v>1</v>
      </c>
    </row>
    <row r="176">
      <c r="A176" s="1" t="s">
        <v>2008</v>
      </c>
      <c r="B176" s="1" t="s">
        <v>2046</v>
      </c>
      <c r="C176" s="1">
        <v>574085.0</v>
      </c>
      <c r="D176" s="2">
        <v>46052.634351851855</v>
      </c>
      <c r="E176" s="1" t="s">
        <v>2203</v>
      </c>
      <c r="F176" s="1" t="b">
        <v>0</v>
      </c>
    </row>
    <row r="177">
      <c r="A177" s="1" t="s">
        <v>2008</v>
      </c>
      <c r="B177" s="1" t="s">
        <v>2042</v>
      </c>
      <c r="C177" s="1" t="s">
        <v>2010</v>
      </c>
      <c r="D177" s="2">
        <v>46052.701157407406</v>
      </c>
      <c r="E177" s="1" t="s">
        <v>2204</v>
      </c>
      <c r="F177" s="1" t="b">
        <v>0</v>
      </c>
    </row>
    <row r="178">
      <c r="A178" s="1" t="s">
        <v>2008</v>
      </c>
      <c r="B178" s="1" t="s">
        <v>2046</v>
      </c>
      <c r="C178" s="1">
        <v>607950.0</v>
      </c>
      <c r="D178" s="2">
        <v>46052.702314814815</v>
      </c>
      <c r="E178" s="1" t="s">
        <v>2205</v>
      </c>
      <c r="F178" s="1" t="b">
        <v>0</v>
      </c>
    </row>
    <row r="179">
      <c r="A179" s="1" t="s">
        <v>2002</v>
      </c>
      <c r="B179" s="1" t="s">
        <v>2042</v>
      </c>
      <c r="C179" s="1" t="s">
        <v>2005</v>
      </c>
      <c r="D179" s="2">
        <v>46048.52148148148</v>
      </c>
      <c r="E179" s="1" t="s">
        <v>2206</v>
      </c>
      <c r="F179" s="1" t="b">
        <v>0</v>
      </c>
    </row>
    <row r="180">
      <c r="A180" s="1" t="s">
        <v>2002</v>
      </c>
      <c r="B180" s="1" t="s">
        <v>2042</v>
      </c>
      <c r="C180" s="1" t="s">
        <v>2005</v>
      </c>
      <c r="D180" s="2">
        <v>46048.56159722222</v>
      </c>
      <c r="E180" s="1" t="s">
        <v>2207</v>
      </c>
      <c r="F180" s="1" t="b">
        <v>0</v>
      </c>
    </row>
    <row r="181">
      <c r="A181" s="1" t="s">
        <v>2002</v>
      </c>
      <c r="B181" s="1" t="s">
        <v>2046</v>
      </c>
      <c r="C181" s="1">
        <v>574085.0</v>
      </c>
      <c r="D181" s="2">
        <v>46048.58856481482</v>
      </c>
      <c r="E181" s="1" t="s">
        <v>2208</v>
      </c>
      <c r="F181" s="1" t="b">
        <v>0</v>
      </c>
    </row>
    <row r="182">
      <c r="A182" s="1" t="s">
        <v>2002</v>
      </c>
      <c r="B182" s="1" t="s">
        <v>2046</v>
      </c>
      <c r="C182" s="1">
        <v>506375.0</v>
      </c>
      <c r="D182" s="2">
        <v>46048.59085648148</v>
      </c>
      <c r="E182" s="1" t="s">
        <v>2209</v>
      </c>
      <c r="F182" s="1" t="b">
        <v>0</v>
      </c>
    </row>
    <row r="183">
      <c r="A183" s="1" t="s">
        <v>2002</v>
      </c>
      <c r="B183" s="1" t="s">
        <v>2042</v>
      </c>
      <c r="C183" s="1" t="s">
        <v>2005</v>
      </c>
      <c r="D183" s="2">
        <v>46048.59805555556</v>
      </c>
      <c r="E183" s="1" t="s">
        <v>2210</v>
      </c>
      <c r="F183" s="1" t="b">
        <v>0</v>
      </c>
    </row>
    <row r="184">
      <c r="A184" s="1" t="s">
        <v>2002</v>
      </c>
      <c r="B184" s="1" t="s">
        <v>2042</v>
      </c>
      <c r="C184" s="1" t="s">
        <v>2005</v>
      </c>
      <c r="D184" s="2">
        <v>46048.59815972222</v>
      </c>
      <c r="E184" s="1" t="s">
        <v>2211</v>
      </c>
      <c r="F184" s="1" t="b">
        <v>0</v>
      </c>
    </row>
    <row r="185">
      <c r="A185" s="1" t="s">
        <v>2002</v>
      </c>
      <c r="B185" s="1" t="s">
        <v>2046</v>
      </c>
      <c r="C185" s="1">
        <v>506375.0</v>
      </c>
      <c r="D185" s="2">
        <v>46048.63627314815</v>
      </c>
      <c r="E185" s="1" t="s">
        <v>2212</v>
      </c>
      <c r="F185" s="1" t="b">
        <v>0</v>
      </c>
    </row>
    <row r="186">
      <c r="A186" s="1" t="s">
        <v>2002</v>
      </c>
      <c r="B186" s="1" t="s">
        <v>2046</v>
      </c>
      <c r="C186" s="1">
        <v>506375.0</v>
      </c>
      <c r="D186" s="2">
        <v>46048.68271990741</v>
      </c>
      <c r="E186" s="1" t="s">
        <v>2213</v>
      </c>
      <c r="F186" s="1" t="b">
        <v>1</v>
      </c>
    </row>
    <row r="187">
      <c r="A187" s="1" t="s">
        <v>2002</v>
      </c>
      <c r="B187" s="1" t="s">
        <v>2046</v>
      </c>
      <c r="C187" s="1">
        <v>506375.0</v>
      </c>
      <c r="D187" s="2">
        <v>46049.38707175926</v>
      </c>
      <c r="E187" s="1" t="s">
        <v>2214</v>
      </c>
      <c r="F187" s="1" t="b">
        <v>0</v>
      </c>
    </row>
    <row r="188">
      <c r="A188" s="1" t="s">
        <v>2002</v>
      </c>
      <c r="B188" s="1" t="s">
        <v>2042</v>
      </c>
      <c r="C188" s="1" t="s">
        <v>2005</v>
      </c>
      <c r="D188" s="2">
        <v>46049.828101851854</v>
      </c>
      <c r="E188" s="1" t="s">
        <v>2215</v>
      </c>
      <c r="F188" s="1" t="b">
        <v>0</v>
      </c>
    </row>
    <row r="189">
      <c r="A189" s="1" t="s">
        <v>2002</v>
      </c>
      <c r="B189" s="1" t="s">
        <v>2042</v>
      </c>
      <c r="C189" s="1" t="s">
        <v>2005</v>
      </c>
      <c r="D189" s="2">
        <v>46049.82818287037</v>
      </c>
      <c r="E189" s="1" t="s">
        <v>2216</v>
      </c>
      <c r="F189" s="1" t="b">
        <v>0</v>
      </c>
    </row>
    <row r="190">
      <c r="A190" s="1" t="s">
        <v>2002</v>
      </c>
      <c r="B190" s="1" t="s">
        <v>2046</v>
      </c>
      <c r="C190" s="1">
        <v>574085.0</v>
      </c>
      <c r="D190" s="2">
        <v>46050.48605324074</v>
      </c>
      <c r="E190" s="1" t="s">
        <v>2217</v>
      </c>
      <c r="F190" s="1" t="b">
        <v>1</v>
      </c>
    </row>
    <row r="191">
      <c r="A191" s="1" t="s">
        <v>2002</v>
      </c>
      <c r="B191" s="1" t="s">
        <v>2046</v>
      </c>
      <c r="C191" s="1">
        <v>506375.0</v>
      </c>
      <c r="D191" s="2">
        <v>46050.576875</v>
      </c>
      <c r="E191" s="1" t="s">
        <v>2218</v>
      </c>
      <c r="F191" s="1" t="b">
        <v>0</v>
      </c>
    </row>
    <row r="192">
      <c r="A192" s="1" t="s">
        <v>2002</v>
      </c>
      <c r="B192" s="1" t="s">
        <v>2042</v>
      </c>
      <c r="C192" s="1" t="s">
        <v>2005</v>
      </c>
      <c r="D192" s="2">
        <v>46051.113229166665</v>
      </c>
      <c r="E192" s="1" t="s">
        <v>2219</v>
      </c>
      <c r="F192" s="1" t="b">
        <v>0</v>
      </c>
    </row>
    <row r="193">
      <c r="A193" s="1" t="s">
        <v>2002</v>
      </c>
      <c r="B193" s="1" t="s">
        <v>2046</v>
      </c>
      <c r="C193" s="1">
        <v>506375.0</v>
      </c>
      <c r="D193" s="2">
        <v>46051.39011574074</v>
      </c>
      <c r="E193" s="1" t="s">
        <v>2220</v>
      </c>
      <c r="F193" s="1" t="b">
        <v>1</v>
      </c>
    </row>
    <row r="194">
      <c r="A194" s="1" t="s">
        <v>2002</v>
      </c>
      <c r="B194" s="1" t="s">
        <v>2046</v>
      </c>
      <c r="C194" s="1">
        <v>506375.0</v>
      </c>
      <c r="D194" s="2">
        <v>46051.39019675926</v>
      </c>
      <c r="E194" s="1" t="s">
        <v>2221</v>
      </c>
      <c r="F194" s="1" t="b">
        <v>0</v>
      </c>
    </row>
    <row r="195">
      <c r="A195" s="1" t="s">
        <v>2002</v>
      </c>
      <c r="B195" s="1" t="s">
        <v>2046</v>
      </c>
      <c r="C195" s="1">
        <v>594863.0</v>
      </c>
      <c r="D195" s="2">
        <v>46051.40193287037</v>
      </c>
      <c r="E195" s="1" t="s">
        <v>2222</v>
      </c>
      <c r="F195" s="1" t="b">
        <v>1</v>
      </c>
    </row>
    <row r="196">
      <c r="A196" s="1" t="s">
        <v>2002</v>
      </c>
      <c r="B196" s="1" t="s">
        <v>2046</v>
      </c>
      <c r="C196" s="1">
        <v>526753.0</v>
      </c>
      <c r="D196" s="2">
        <v>46051.405960648146</v>
      </c>
      <c r="E196" s="1" t="s">
        <v>2223</v>
      </c>
      <c r="F196" s="1" t="b">
        <v>1</v>
      </c>
    </row>
    <row r="197">
      <c r="A197" s="1" t="s">
        <v>2002</v>
      </c>
      <c r="B197" s="1" t="s">
        <v>2046</v>
      </c>
      <c r="C197" s="1">
        <v>526753.0</v>
      </c>
      <c r="D197" s="2">
        <v>46051.411516203705</v>
      </c>
      <c r="E197" s="1" t="s">
        <v>2224</v>
      </c>
      <c r="F197" s="1" t="b">
        <v>0</v>
      </c>
    </row>
    <row r="198">
      <c r="A198" s="1" t="s">
        <v>2002</v>
      </c>
      <c r="B198" s="1" t="s">
        <v>2042</v>
      </c>
      <c r="C198" s="1" t="s">
        <v>2005</v>
      </c>
      <c r="D198" s="2">
        <v>46051.527708333335</v>
      </c>
      <c r="E198" s="1" t="s">
        <v>2225</v>
      </c>
      <c r="F198" s="1" t="b">
        <v>0</v>
      </c>
    </row>
    <row r="199">
      <c r="A199" s="1" t="s">
        <v>2002</v>
      </c>
      <c r="B199" s="1" t="s">
        <v>2046</v>
      </c>
      <c r="C199" s="1">
        <v>506375.0</v>
      </c>
      <c r="D199" s="2">
        <v>46051.67711805556</v>
      </c>
      <c r="E199" s="1" t="s">
        <v>2226</v>
      </c>
      <c r="F199" s="1" t="b">
        <v>0</v>
      </c>
    </row>
    <row r="200">
      <c r="A200" s="1" t="s">
        <v>1998</v>
      </c>
      <c r="B200" s="1" t="s">
        <v>2042</v>
      </c>
      <c r="C200" s="1" t="s">
        <v>2000</v>
      </c>
      <c r="D200" s="2">
        <v>46048.522465277776</v>
      </c>
      <c r="E200" s="1" t="s">
        <v>2227</v>
      </c>
      <c r="F200" s="1" t="b">
        <v>0</v>
      </c>
    </row>
    <row r="201">
      <c r="A201" s="1" t="s">
        <v>1998</v>
      </c>
      <c r="B201" s="1" t="s">
        <v>2042</v>
      </c>
      <c r="C201" s="1" t="s">
        <v>2000</v>
      </c>
      <c r="D201" s="2">
        <v>46048.52290509259</v>
      </c>
      <c r="E201" s="1" t="s">
        <v>2228</v>
      </c>
      <c r="F201" s="1" t="b">
        <v>0</v>
      </c>
    </row>
    <row r="202">
      <c r="A202" s="1" t="s">
        <v>1998</v>
      </c>
      <c r="B202" s="1" t="s">
        <v>2042</v>
      </c>
      <c r="C202" s="1" t="s">
        <v>2000</v>
      </c>
      <c r="D202" s="2">
        <v>46048.52334490741</v>
      </c>
      <c r="E202" s="1" t="s">
        <v>2229</v>
      </c>
      <c r="F202" s="1" t="b">
        <v>0</v>
      </c>
    </row>
    <row r="203">
      <c r="A203" s="1" t="s">
        <v>1998</v>
      </c>
      <c r="B203" s="1" t="s">
        <v>2046</v>
      </c>
      <c r="C203" s="1">
        <v>574085.0</v>
      </c>
      <c r="D203" s="2">
        <v>46048.5778587963</v>
      </c>
      <c r="E203" s="1" t="s">
        <v>2230</v>
      </c>
      <c r="F203" s="1" t="b">
        <v>0</v>
      </c>
    </row>
    <row r="204">
      <c r="A204" s="1" t="s">
        <v>1998</v>
      </c>
      <c r="B204" s="1" t="s">
        <v>2042</v>
      </c>
      <c r="C204" s="1" t="s">
        <v>2000</v>
      </c>
      <c r="D204" s="2">
        <v>46048.585231481484</v>
      </c>
      <c r="E204" s="1" t="s">
        <v>2231</v>
      </c>
      <c r="F204" s="1" t="b">
        <v>0</v>
      </c>
    </row>
    <row r="205">
      <c r="A205" s="1" t="s">
        <v>1998</v>
      </c>
      <c r="B205" s="1" t="s">
        <v>2042</v>
      </c>
      <c r="C205" s="1" t="s">
        <v>2000</v>
      </c>
      <c r="D205" s="2">
        <v>46048.5853587963</v>
      </c>
      <c r="E205" s="1" t="s">
        <v>2232</v>
      </c>
      <c r="F205" s="1" t="b">
        <v>0</v>
      </c>
    </row>
    <row r="206">
      <c r="A206" s="1" t="s">
        <v>1998</v>
      </c>
      <c r="B206" s="1" t="s">
        <v>2046</v>
      </c>
      <c r="C206" s="1">
        <v>574085.0</v>
      </c>
      <c r="D206" s="2">
        <v>46048.59153935185</v>
      </c>
      <c r="E206" s="1" t="s">
        <v>2233</v>
      </c>
      <c r="F206" s="1" t="b">
        <v>0</v>
      </c>
    </row>
    <row r="207">
      <c r="A207" s="1" t="s">
        <v>1998</v>
      </c>
      <c r="B207" s="1" t="s">
        <v>2042</v>
      </c>
      <c r="C207" s="1" t="s">
        <v>2000</v>
      </c>
      <c r="D207" s="2">
        <v>46048.59275462963</v>
      </c>
      <c r="E207" s="1" t="s">
        <v>2234</v>
      </c>
      <c r="F207" s="1" t="b">
        <v>0</v>
      </c>
    </row>
    <row r="208">
      <c r="A208" s="1" t="s">
        <v>1998</v>
      </c>
      <c r="B208" s="1" t="s">
        <v>2046</v>
      </c>
      <c r="C208" s="1">
        <v>574085.0</v>
      </c>
      <c r="D208" s="2">
        <v>46048.59449074074</v>
      </c>
      <c r="E208" s="1" t="s">
        <v>2235</v>
      </c>
      <c r="F208" s="1" t="b">
        <v>0</v>
      </c>
    </row>
    <row r="209">
      <c r="A209" s="1" t="s">
        <v>1994</v>
      </c>
      <c r="B209" s="1" t="s">
        <v>2042</v>
      </c>
      <c r="C209" s="1" t="s">
        <v>2236</v>
      </c>
      <c r="D209" s="2">
        <v>46048.53822916667</v>
      </c>
      <c r="E209" s="1" t="s">
        <v>2237</v>
      </c>
      <c r="F209" s="1" t="b">
        <v>0</v>
      </c>
    </row>
    <row r="210">
      <c r="A210" s="1" t="s">
        <v>1994</v>
      </c>
      <c r="B210" s="1" t="s">
        <v>2046</v>
      </c>
      <c r="C210" s="1">
        <v>574085.0</v>
      </c>
      <c r="D210" s="2">
        <v>46048.578368055554</v>
      </c>
      <c r="E210" s="1" t="s">
        <v>2238</v>
      </c>
      <c r="F210" s="1" t="b">
        <v>0</v>
      </c>
    </row>
    <row r="211">
      <c r="A211" s="1" t="s">
        <v>1994</v>
      </c>
      <c r="B211" s="1" t="s">
        <v>2042</v>
      </c>
      <c r="C211" s="1" t="s">
        <v>1996</v>
      </c>
      <c r="D211" s="2">
        <v>46048.614166666666</v>
      </c>
      <c r="E211" s="1" t="s">
        <v>2239</v>
      </c>
      <c r="F211" s="1" t="b">
        <v>0</v>
      </c>
    </row>
    <row r="212">
      <c r="A212" s="1" t="s">
        <v>1994</v>
      </c>
      <c r="B212" s="1" t="s">
        <v>2046</v>
      </c>
      <c r="C212" s="1">
        <v>574085.0</v>
      </c>
      <c r="D212" s="2">
        <v>46048.7415625</v>
      </c>
      <c r="E212" s="1" t="s">
        <v>2240</v>
      </c>
      <c r="F212" s="1" t="b">
        <v>0</v>
      </c>
    </row>
    <row r="213">
      <c r="A213" s="1" t="s">
        <v>1988</v>
      </c>
      <c r="B213" s="1" t="s">
        <v>2042</v>
      </c>
      <c r="C213" s="1" t="s">
        <v>1986</v>
      </c>
      <c r="D213" s="2">
        <v>46048.575590277775</v>
      </c>
      <c r="E213" s="1" t="s">
        <v>2241</v>
      </c>
      <c r="F213" s="1" t="b">
        <v>0</v>
      </c>
    </row>
    <row r="214">
      <c r="A214" s="1" t="s">
        <v>1988</v>
      </c>
      <c r="B214" s="1" t="s">
        <v>2042</v>
      </c>
      <c r="C214" s="1" t="s">
        <v>1986</v>
      </c>
      <c r="D214" s="2">
        <v>46048.57607638889</v>
      </c>
      <c r="E214" s="1" t="s">
        <v>2242</v>
      </c>
      <c r="F214" s="1" t="b">
        <v>0</v>
      </c>
    </row>
    <row r="215">
      <c r="A215" s="1" t="s">
        <v>1984</v>
      </c>
      <c r="B215" s="1" t="s">
        <v>2042</v>
      </c>
      <c r="C215" s="1" t="s">
        <v>1986</v>
      </c>
      <c r="D215" s="2">
        <v>46048.577060185184</v>
      </c>
      <c r="E215" s="1" t="s">
        <v>2243</v>
      </c>
      <c r="F215" s="1" t="b">
        <v>0</v>
      </c>
    </row>
    <row r="216">
      <c r="A216" s="1" t="s">
        <v>1984</v>
      </c>
      <c r="B216" s="1" t="s">
        <v>2042</v>
      </c>
      <c r="C216" s="1" t="s">
        <v>1986</v>
      </c>
      <c r="D216" s="2">
        <v>46048.577627314815</v>
      </c>
      <c r="E216" s="1" t="s">
        <v>2244</v>
      </c>
      <c r="F216" s="1" t="b">
        <v>0</v>
      </c>
    </row>
    <row r="217">
      <c r="A217" s="1" t="s">
        <v>1982</v>
      </c>
      <c r="B217" s="1" t="s">
        <v>2042</v>
      </c>
      <c r="C217" s="1" t="s">
        <v>2245</v>
      </c>
      <c r="D217" s="2">
        <v>46048.58708333333</v>
      </c>
      <c r="E217" s="1" t="s">
        <v>2246</v>
      </c>
      <c r="F217" s="1" t="b">
        <v>0</v>
      </c>
    </row>
    <row r="218">
      <c r="A218" s="1" t="s">
        <v>1982</v>
      </c>
      <c r="B218" s="1" t="s">
        <v>2042</v>
      </c>
      <c r="C218" s="1" t="s">
        <v>2245</v>
      </c>
      <c r="D218" s="2">
        <v>46048.587430555555</v>
      </c>
      <c r="E218" s="1" t="s">
        <v>2247</v>
      </c>
      <c r="F218" s="1" t="b">
        <v>0</v>
      </c>
    </row>
    <row r="219">
      <c r="A219" s="1" t="s">
        <v>1915</v>
      </c>
      <c r="B219" s="1" t="s">
        <v>2150</v>
      </c>
      <c r="C219" s="1">
        <v>81559.0</v>
      </c>
      <c r="D219" s="2">
        <v>46048.68236111111</v>
      </c>
      <c r="E219" s="1" t="s">
        <v>2248</v>
      </c>
      <c r="F219" s="1" t="b">
        <v>1</v>
      </c>
    </row>
    <row r="220">
      <c r="A220" s="1" t="s">
        <v>1915</v>
      </c>
      <c r="B220" s="1" t="s">
        <v>2042</v>
      </c>
      <c r="C220" s="1" t="s">
        <v>1917</v>
      </c>
      <c r="D220" s="2">
        <v>46049.651550925926</v>
      </c>
      <c r="E220" s="1" t="s">
        <v>2249</v>
      </c>
      <c r="F220" s="1" t="b">
        <v>0</v>
      </c>
    </row>
    <row r="221">
      <c r="A221" s="1" t="s">
        <v>1915</v>
      </c>
      <c r="B221" s="1" t="s">
        <v>2046</v>
      </c>
      <c r="C221" s="1">
        <v>506375.0</v>
      </c>
      <c r="D221" s="2">
        <v>46049.69327546296</v>
      </c>
      <c r="E221" s="1" t="s">
        <v>2250</v>
      </c>
      <c r="F221" s="1" t="b">
        <v>1</v>
      </c>
    </row>
    <row r="222">
      <c r="A222" s="1" t="s">
        <v>1979</v>
      </c>
      <c r="B222" s="1" t="s">
        <v>2042</v>
      </c>
      <c r="C222" s="1" t="s">
        <v>1977</v>
      </c>
      <c r="D222" s="2">
        <v>46048.698599537034</v>
      </c>
      <c r="E222" s="1" t="s">
        <v>2251</v>
      </c>
      <c r="F222" s="1" t="b">
        <v>0</v>
      </c>
    </row>
    <row r="223">
      <c r="A223" s="1" t="s">
        <v>1979</v>
      </c>
      <c r="B223" s="1" t="s">
        <v>2042</v>
      </c>
      <c r="C223" s="1" t="s">
        <v>1977</v>
      </c>
      <c r="D223" s="2">
        <v>46048.698969907404</v>
      </c>
      <c r="E223" s="1" t="s">
        <v>2252</v>
      </c>
      <c r="F223" s="1" t="b">
        <v>0</v>
      </c>
    </row>
    <row r="224">
      <c r="A224" s="1" t="s">
        <v>1979</v>
      </c>
      <c r="B224" s="1" t="s">
        <v>2042</v>
      </c>
      <c r="C224" s="1" t="s">
        <v>1977</v>
      </c>
      <c r="D224" s="2">
        <v>46048.69957175926</v>
      </c>
      <c r="E224" s="1" t="s">
        <v>2253</v>
      </c>
      <c r="F224" s="1" t="b">
        <v>0</v>
      </c>
    </row>
    <row r="225">
      <c r="A225" s="1" t="s">
        <v>1979</v>
      </c>
      <c r="B225" s="1" t="s">
        <v>2046</v>
      </c>
      <c r="C225" s="1">
        <v>506375.0</v>
      </c>
      <c r="D225" s="2">
        <v>46048.70605324074</v>
      </c>
      <c r="E225" s="1" t="s">
        <v>2254</v>
      </c>
      <c r="F225" s="1" t="b">
        <v>1</v>
      </c>
    </row>
    <row r="226">
      <c r="A226" s="1" t="s">
        <v>1979</v>
      </c>
      <c r="B226" s="1" t="s">
        <v>2150</v>
      </c>
      <c r="C226" s="1" t="s">
        <v>2151</v>
      </c>
      <c r="D226" s="2">
        <v>46048.70615740741</v>
      </c>
      <c r="E226" s="1" t="s">
        <v>2255</v>
      </c>
      <c r="F226" s="1" t="b">
        <v>1</v>
      </c>
    </row>
    <row r="227">
      <c r="A227" s="1" t="s">
        <v>1979</v>
      </c>
      <c r="B227" s="1" t="s">
        <v>2046</v>
      </c>
      <c r="C227" s="1">
        <v>506375.0</v>
      </c>
      <c r="D227" s="2">
        <v>46048.70930555555</v>
      </c>
      <c r="E227" s="1" t="s">
        <v>2256</v>
      </c>
      <c r="F227" s="1" t="b">
        <v>1</v>
      </c>
    </row>
    <row r="228">
      <c r="A228" s="1" t="s">
        <v>1979</v>
      </c>
      <c r="B228" s="1" t="s">
        <v>2150</v>
      </c>
      <c r="C228" s="1" t="s">
        <v>2151</v>
      </c>
      <c r="D228" s="2">
        <v>46048.709398148145</v>
      </c>
      <c r="E228" s="1" t="s">
        <v>2257</v>
      </c>
      <c r="F228" s="1" t="b">
        <v>1</v>
      </c>
    </row>
    <row r="229">
      <c r="A229" s="1" t="s">
        <v>1979</v>
      </c>
      <c r="B229" s="1" t="s">
        <v>2046</v>
      </c>
      <c r="C229" s="1">
        <v>506375.0</v>
      </c>
      <c r="D229" s="2">
        <v>46048.7103125</v>
      </c>
      <c r="E229" s="1" t="s">
        <v>2258</v>
      </c>
      <c r="F229" s="1" t="b">
        <v>0</v>
      </c>
    </row>
    <row r="230">
      <c r="A230" s="1" t="s">
        <v>1979</v>
      </c>
      <c r="B230" s="1" t="s">
        <v>2046</v>
      </c>
      <c r="C230" s="1">
        <v>574085.0</v>
      </c>
      <c r="D230" s="2">
        <v>46048.71140046296</v>
      </c>
      <c r="E230" s="1" t="s">
        <v>2259</v>
      </c>
      <c r="F230" s="1" t="b">
        <v>0</v>
      </c>
    </row>
    <row r="231">
      <c r="A231" s="1" t="s">
        <v>1979</v>
      </c>
      <c r="B231" s="1" t="s">
        <v>2042</v>
      </c>
      <c r="C231" s="1" t="s">
        <v>1977</v>
      </c>
      <c r="D231" s="2">
        <v>46048.714780092596</v>
      </c>
      <c r="E231" s="1" t="s">
        <v>2260</v>
      </c>
      <c r="F231" s="1" t="b">
        <v>0</v>
      </c>
    </row>
    <row r="232">
      <c r="A232" s="1" t="s">
        <v>1979</v>
      </c>
      <c r="B232" s="1" t="s">
        <v>2046</v>
      </c>
      <c r="C232" s="1">
        <v>574085.0</v>
      </c>
      <c r="D232" s="2">
        <v>46048.71608796297</v>
      </c>
      <c r="E232" s="1" t="s">
        <v>2261</v>
      </c>
      <c r="F232" s="1" t="b">
        <v>0</v>
      </c>
    </row>
    <row r="233">
      <c r="A233" s="1" t="s">
        <v>1979</v>
      </c>
      <c r="B233" s="1" t="s">
        <v>2042</v>
      </c>
      <c r="C233" s="1" t="s">
        <v>1977</v>
      </c>
      <c r="D233" s="2">
        <v>46048.716840277775</v>
      </c>
      <c r="E233" s="1" t="s">
        <v>2262</v>
      </c>
      <c r="F233" s="1" t="b">
        <v>0</v>
      </c>
    </row>
    <row r="234">
      <c r="A234" s="1" t="s">
        <v>1975</v>
      </c>
      <c r="B234" s="1" t="s">
        <v>2042</v>
      </c>
      <c r="C234" s="1" t="s">
        <v>1977</v>
      </c>
      <c r="D234" s="2">
        <v>46048.70009259259</v>
      </c>
      <c r="E234" s="1" t="s">
        <v>2263</v>
      </c>
      <c r="F234" s="1" t="b">
        <v>0</v>
      </c>
    </row>
    <row r="235">
      <c r="A235" s="1" t="s">
        <v>1973</v>
      </c>
      <c r="B235" s="1" t="s">
        <v>2042</v>
      </c>
      <c r="C235" s="1" t="s">
        <v>1851</v>
      </c>
      <c r="D235" s="2">
        <v>46048.71560185185</v>
      </c>
      <c r="E235" s="1" t="s">
        <v>2264</v>
      </c>
      <c r="F235" s="1" t="b">
        <v>0</v>
      </c>
    </row>
    <row r="236">
      <c r="A236" s="1" t="s">
        <v>1973</v>
      </c>
      <c r="B236" s="1" t="s">
        <v>2042</v>
      </c>
      <c r="C236" s="1" t="s">
        <v>1851</v>
      </c>
      <c r="D236" s="2">
        <v>46049.685625</v>
      </c>
      <c r="E236" s="1" t="s">
        <v>2265</v>
      </c>
      <c r="F236" s="1" t="b">
        <v>0</v>
      </c>
    </row>
    <row r="237">
      <c r="A237" s="1" t="s">
        <v>1973</v>
      </c>
      <c r="B237" s="1" t="s">
        <v>2042</v>
      </c>
      <c r="C237" s="1" t="s">
        <v>1851</v>
      </c>
      <c r="D237" s="2">
        <v>46049.68583333334</v>
      </c>
      <c r="E237" s="1" t="s">
        <v>2114</v>
      </c>
      <c r="F237" s="1" t="b">
        <v>0</v>
      </c>
    </row>
    <row r="238">
      <c r="A238" s="1" t="s">
        <v>1973</v>
      </c>
      <c r="B238" s="1" t="s">
        <v>2042</v>
      </c>
      <c r="C238" s="1" t="s">
        <v>1851</v>
      </c>
      <c r="D238" s="2">
        <v>46049.68785879629</v>
      </c>
      <c r="E238" s="1" t="s">
        <v>2266</v>
      </c>
      <c r="F238" s="1" t="b">
        <v>0</v>
      </c>
    </row>
    <row r="239">
      <c r="A239" s="1" t="s">
        <v>1973</v>
      </c>
      <c r="B239" s="1" t="s">
        <v>2046</v>
      </c>
      <c r="C239" s="1">
        <v>574085.0</v>
      </c>
      <c r="D239" s="2">
        <v>46049.69261574074</v>
      </c>
      <c r="E239" s="1" t="s">
        <v>2267</v>
      </c>
      <c r="F239" s="1" t="b">
        <v>1</v>
      </c>
    </row>
    <row r="240">
      <c r="A240" s="1" t="s">
        <v>1973</v>
      </c>
      <c r="B240" s="1" t="s">
        <v>2150</v>
      </c>
      <c r="C240" s="1" t="s">
        <v>2151</v>
      </c>
      <c r="D240" s="2">
        <v>46049.692777777775</v>
      </c>
      <c r="E240" s="1" t="s">
        <v>2268</v>
      </c>
      <c r="F240" s="1" t="b">
        <v>1</v>
      </c>
    </row>
    <row r="241">
      <c r="A241" s="1" t="s">
        <v>1973</v>
      </c>
      <c r="B241" s="1" t="s">
        <v>2046</v>
      </c>
      <c r="C241" s="1">
        <v>574085.0</v>
      </c>
      <c r="D241" s="2">
        <v>46049.69583333333</v>
      </c>
      <c r="E241" s="1" t="s">
        <v>2269</v>
      </c>
      <c r="F241" s="1" t="b">
        <v>0</v>
      </c>
    </row>
    <row r="242">
      <c r="A242" s="1" t="s">
        <v>1973</v>
      </c>
      <c r="B242" s="1" t="s">
        <v>2042</v>
      </c>
      <c r="C242" s="1" t="s">
        <v>1851</v>
      </c>
      <c r="D242" s="2">
        <v>46049.69699074074</v>
      </c>
      <c r="E242" s="1" t="s">
        <v>2270</v>
      </c>
      <c r="F242" s="1" t="b">
        <v>0</v>
      </c>
    </row>
    <row r="243">
      <c r="A243" s="1" t="s">
        <v>1973</v>
      </c>
      <c r="B243" s="1" t="s">
        <v>2046</v>
      </c>
      <c r="C243" s="1">
        <v>574085.0</v>
      </c>
      <c r="D243" s="2">
        <v>46049.70006944444</v>
      </c>
      <c r="E243" s="1" t="s">
        <v>2271</v>
      </c>
      <c r="F243" s="1" t="b">
        <v>0</v>
      </c>
    </row>
    <row r="244">
      <c r="A244" s="1" t="s">
        <v>1973</v>
      </c>
      <c r="B244" s="1" t="s">
        <v>2042</v>
      </c>
      <c r="C244" s="1" t="s">
        <v>1851</v>
      </c>
      <c r="D244" s="2">
        <v>46049.70082175926</v>
      </c>
      <c r="E244" s="1" t="s">
        <v>2272</v>
      </c>
      <c r="F244" s="1" t="b">
        <v>0</v>
      </c>
    </row>
    <row r="245">
      <c r="A245" s="1" t="s">
        <v>1973</v>
      </c>
      <c r="B245" s="1" t="s">
        <v>2046</v>
      </c>
      <c r="C245" s="1">
        <v>574085.0</v>
      </c>
      <c r="D245" s="2">
        <v>46049.7009837963</v>
      </c>
      <c r="E245" s="1" t="s">
        <v>2108</v>
      </c>
      <c r="F245" s="1" t="b">
        <v>0</v>
      </c>
    </row>
    <row r="246">
      <c r="A246" s="1" t="s">
        <v>1969</v>
      </c>
      <c r="B246" s="1" t="s">
        <v>2042</v>
      </c>
      <c r="C246" s="1" t="s">
        <v>1971</v>
      </c>
      <c r="D246" s="2">
        <v>46048.722025462965</v>
      </c>
      <c r="E246" s="1" t="s">
        <v>2273</v>
      </c>
      <c r="F246" s="1" t="b">
        <v>0</v>
      </c>
    </row>
    <row r="247">
      <c r="A247" s="1" t="s">
        <v>1969</v>
      </c>
      <c r="B247" s="1" t="s">
        <v>2042</v>
      </c>
      <c r="C247" s="1" t="s">
        <v>1971</v>
      </c>
      <c r="D247" s="2">
        <v>46048.723391203705</v>
      </c>
      <c r="E247" s="1" t="s">
        <v>2274</v>
      </c>
      <c r="F247" s="1" t="b">
        <v>0</v>
      </c>
    </row>
    <row r="248">
      <c r="A248" s="1" t="s">
        <v>1969</v>
      </c>
      <c r="B248" s="1" t="s">
        <v>2042</v>
      </c>
      <c r="C248" s="1" t="s">
        <v>1971</v>
      </c>
      <c r="D248" s="2">
        <v>46048.725335648145</v>
      </c>
      <c r="E248" s="1" t="s">
        <v>2275</v>
      </c>
      <c r="F248" s="1" t="b">
        <v>0</v>
      </c>
    </row>
    <row r="249">
      <c r="A249" s="1" t="s">
        <v>1969</v>
      </c>
      <c r="B249" s="1" t="s">
        <v>2042</v>
      </c>
      <c r="C249" s="1" t="s">
        <v>1971</v>
      </c>
      <c r="D249" s="2">
        <v>46048.727164351854</v>
      </c>
      <c r="E249" s="1" t="s">
        <v>2276</v>
      </c>
      <c r="F249" s="1" t="b">
        <v>0</v>
      </c>
    </row>
    <row r="250">
      <c r="A250" s="1" t="s">
        <v>1967</v>
      </c>
      <c r="B250" s="1" t="s">
        <v>2042</v>
      </c>
      <c r="C250" s="1" t="s">
        <v>1742</v>
      </c>
      <c r="D250" s="2">
        <v>46048.725625</v>
      </c>
      <c r="E250" s="1" t="s">
        <v>2277</v>
      </c>
      <c r="F250" s="1" t="b">
        <v>0</v>
      </c>
    </row>
    <row r="251">
      <c r="A251" s="1" t="s">
        <v>1959</v>
      </c>
      <c r="B251" s="1" t="s">
        <v>2042</v>
      </c>
      <c r="C251" s="1" t="s">
        <v>1961</v>
      </c>
      <c r="D251" s="2">
        <v>46048.78262731482</v>
      </c>
      <c r="E251" s="1" t="s">
        <v>2278</v>
      </c>
      <c r="F251" s="1" t="b">
        <v>0</v>
      </c>
    </row>
    <row r="252">
      <c r="A252" s="1" t="s">
        <v>1963</v>
      </c>
      <c r="B252" s="1" t="s">
        <v>2042</v>
      </c>
      <c r="C252" s="1" t="s">
        <v>1965</v>
      </c>
      <c r="D252" s="2">
        <v>46048.782488425924</v>
      </c>
      <c r="E252" s="1" t="s">
        <v>2279</v>
      </c>
      <c r="F252" s="1" t="b">
        <v>0</v>
      </c>
    </row>
    <row r="253">
      <c r="A253" s="1" t="s">
        <v>1963</v>
      </c>
      <c r="B253" s="1" t="s">
        <v>2042</v>
      </c>
      <c r="C253" s="1" t="s">
        <v>1965</v>
      </c>
      <c r="D253" s="2">
        <v>46048.7828125</v>
      </c>
      <c r="E253" s="1" t="s">
        <v>2280</v>
      </c>
      <c r="F253" s="1" t="b">
        <v>0</v>
      </c>
    </row>
    <row r="254">
      <c r="A254" s="1" t="s">
        <v>1955</v>
      </c>
      <c r="B254" s="1" t="s">
        <v>2042</v>
      </c>
      <c r="C254" s="1" t="s">
        <v>1957</v>
      </c>
      <c r="D254" s="2">
        <v>46048.809907407405</v>
      </c>
      <c r="E254" s="1" t="s">
        <v>2281</v>
      </c>
      <c r="F254" s="1" t="b">
        <v>0</v>
      </c>
    </row>
    <row r="255">
      <c r="A255" s="1" t="s">
        <v>1951</v>
      </c>
      <c r="B255" s="1" t="s">
        <v>2042</v>
      </c>
      <c r="C255" s="1" t="s">
        <v>1953</v>
      </c>
      <c r="D255" s="2">
        <v>46048.85633101852</v>
      </c>
      <c r="E255" s="1" t="s">
        <v>2282</v>
      </c>
      <c r="F255" s="1" t="b">
        <v>0</v>
      </c>
    </row>
    <row r="256">
      <c r="A256" s="1" t="s">
        <v>1949</v>
      </c>
      <c r="B256" s="1" t="s">
        <v>2042</v>
      </c>
      <c r="C256" s="1" t="s">
        <v>1003</v>
      </c>
      <c r="D256" s="2">
        <v>46049.31423611111</v>
      </c>
      <c r="E256" s="1" t="s">
        <v>2283</v>
      </c>
      <c r="F256" s="1" t="b">
        <v>0</v>
      </c>
    </row>
    <row r="257">
      <c r="A257" s="1" t="s">
        <v>1949</v>
      </c>
      <c r="B257" s="1" t="s">
        <v>2042</v>
      </c>
      <c r="C257" s="1" t="s">
        <v>1003</v>
      </c>
      <c r="D257" s="2">
        <v>46049.315104166664</v>
      </c>
      <c r="E257" s="1" t="s">
        <v>2284</v>
      </c>
      <c r="F257" s="1" t="b">
        <v>0</v>
      </c>
    </row>
    <row r="258">
      <c r="A258" s="1" t="s">
        <v>1949</v>
      </c>
      <c r="B258" s="1" t="s">
        <v>2046</v>
      </c>
      <c r="C258" s="1">
        <v>574085.0</v>
      </c>
      <c r="D258" s="2">
        <v>46049.41059027778</v>
      </c>
      <c r="E258" s="1" t="s">
        <v>2285</v>
      </c>
      <c r="F258" s="1" t="b">
        <v>1</v>
      </c>
    </row>
    <row r="259">
      <c r="A259" s="1" t="s">
        <v>1949</v>
      </c>
      <c r="B259" s="1" t="s">
        <v>2046</v>
      </c>
      <c r="C259" s="1">
        <v>574085.0</v>
      </c>
      <c r="D259" s="2">
        <v>46049.414039351854</v>
      </c>
      <c r="E259" s="1" t="s">
        <v>2286</v>
      </c>
      <c r="F259" s="1" t="b">
        <v>0</v>
      </c>
    </row>
    <row r="260">
      <c r="A260" s="1" t="s">
        <v>1949</v>
      </c>
      <c r="B260" s="1" t="s">
        <v>2042</v>
      </c>
      <c r="C260" s="1" t="s">
        <v>1003</v>
      </c>
      <c r="D260" s="2">
        <v>46049.44001157407</v>
      </c>
      <c r="E260" s="1" t="s">
        <v>2287</v>
      </c>
      <c r="F260" s="1" t="b">
        <v>0</v>
      </c>
    </row>
    <row r="261">
      <c r="A261" s="1" t="s">
        <v>1949</v>
      </c>
      <c r="B261" s="1" t="s">
        <v>2046</v>
      </c>
      <c r="C261" s="1">
        <v>574085.0</v>
      </c>
      <c r="D261" s="2">
        <v>46049.46173611111</v>
      </c>
      <c r="E261" s="1" t="s">
        <v>2288</v>
      </c>
      <c r="F261" s="1" t="b">
        <v>0</v>
      </c>
    </row>
    <row r="262">
      <c r="A262" s="1" t="s">
        <v>1949</v>
      </c>
      <c r="B262" s="1" t="s">
        <v>2046</v>
      </c>
      <c r="C262" s="1">
        <v>506375.0</v>
      </c>
      <c r="D262" s="2">
        <v>46052.48694444444</v>
      </c>
      <c r="E262" s="1" t="s">
        <v>2108</v>
      </c>
      <c r="F262" s="1" t="b">
        <v>0</v>
      </c>
    </row>
    <row r="263">
      <c r="A263" s="1" t="s">
        <v>1947</v>
      </c>
      <c r="B263" s="1" t="s">
        <v>2042</v>
      </c>
      <c r="C263" s="1" t="s">
        <v>1793</v>
      </c>
      <c r="D263" s="2">
        <v>46049.40767361111</v>
      </c>
      <c r="E263" s="1" t="s">
        <v>2289</v>
      </c>
      <c r="F263" s="1" t="b">
        <v>0</v>
      </c>
    </row>
    <row r="264">
      <c r="A264" s="1" t="s">
        <v>1947</v>
      </c>
      <c r="B264" s="1" t="s">
        <v>2042</v>
      </c>
      <c r="C264" s="1" t="s">
        <v>1793</v>
      </c>
      <c r="D264" s="2">
        <v>46049.40795138889</v>
      </c>
      <c r="E264" s="1" t="s">
        <v>2290</v>
      </c>
      <c r="F264" s="1" t="b">
        <v>0</v>
      </c>
    </row>
    <row r="265">
      <c r="A265" s="1" t="s">
        <v>1947</v>
      </c>
      <c r="B265" s="1" t="s">
        <v>2042</v>
      </c>
      <c r="C265" s="1" t="s">
        <v>1793</v>
      </c>
      <c r="D265" s="2">
        <v>46049.41605324074</v>
      </c>
      <c r="E265" s="1" t="s">
        <v>2291</v>
      </c>
      <c r="F265" s="1" t="b">
        <v>0</v>
      </c>
    </row>
    <row r="266">
      <c r="A266" s="1" t="s">
        <v>1947</v>
      </c>
      <c r="B266" s="1" t="s">
        <v>2042</v>
      </c>
      <c r="C266" s="1" t="s">
        <v>1793</v>
      </c>
      <c r="D266" s="2">
        <v>46049.424259259256</v>
      </c>
      <c r="E266" s="1" t="s">
        <v>2133</v>
      </c>
      <c r="F266" s="1" t="b">
        <v>0</v>
      </c>
    </row>
    <row r="267">
      <c r="A267" s="1" t="s">
        <v>1947</v>
      </c>
      <c r="B267" s="1" t="s">
        <v>2042</v>
      </c>
      <c r="C267" s="1" t="s">
        <v>1793</v>
      </c>
      <c r="D267" s="2">
        <v>46049.424421296295</v>
      </c>
      <c r="E267" s="1" t="s">
        <v>2292</v>
      </c>
      <c r="F267" s="1" t="b">
        <v>0</v>
      </c>
    </row>
    <row r="268">
      <c r="A268" s="1" t="s">
        <v>1947</v>
      </c>
      <c r="B268" s="1" t="s">
        <v>2042</v>
      </c>
      <c r="C268" s="1" t="s">
        <v>1793</v>
      </c>
      <c r="D268" s="2">
        <v>46049.42453703703</v>
      </c>
      <c r="E268" s="1" t="s">
        <v>2293</v>
      </c>
      <c r="F268" s="1" t="b">
        <v>0</v>
      </c>
    </row>
    <row r="269">
      <c r="A269" s="1" t="s">
        <v>1947</v>
      </c>
      <c r="B269" s="1" t="s">
        <v>2046</v>
      </c>
      <c r="C269" s="1">
        <v>574085.0</v>
      </c>
      <c r="D269" s="2">
        <v>46049.425474537034</v>
      </c>
      <c r="E269" s="1" t="s">
        <v>2294</v>
      </c>
      <c r="F269" s="1" t="b">
        <v>0</v>
      </c>
    </row>
    <row r="270">
      <c r="A270" s="1" t="s">
        <v>1947</v>
      </c>
      <c r="B270" s="1" t="s">
        <v>2042</v>
      </c>
      <c r="C270" s="1" t="s">
        <v>1793</v>
      </c>
      <c r="D270" s="2">
        <v>46049.425474537034</v>
      </c>
      <c r="E270" s="1" t="s">
        <v>2295</v>
      </c>
      <c r="F270" s="1" t="b">
        <v>0</v>
      </c>
    </row>
    <row r="271">
      <c r="A271" s="1" t="s">
        <v>1947</v>
      </c>
      <c r="B271" s="1" t="s">
        <v>2042</v>
      </c>
      <c r="C271" s="1" t="s">
        <v>1793</v>
      </c>
      <c r="D271" s="2">
        <v>46049.42591435185</v>
      </c>
      <c r="E271" s="1" t="s">
        <v>2296</v>
      </c>
      <c r="F271" s="1" t="b">
        <v>0</v>
      </c>
    </row>
    <row r="272">
      <c r="A272" s="1" t="s">
        <v>1947</v>
      </c>
      <c r="B272" s="1" t="s">
        <v>2042</v>
      </c>
      <c r="C272" s="1" t="s">
        <v>1793</v>
      </c>
      <c r="D272" s="2">
        <v>46049.42600694444</v>
      </c>
      <c r="E272" s="1" t="s">
        <v>2297</v>
      </c>
      <c r="F272" s="1" t="b">
        <v>0</v>
      </c>
    </row>
    <row r="273">
      <c r="A273" s="1" t="s">
        <v>1947</v>
      </c>
      <c r="B273" s="1" t="s">
        <v>2042</v>
      </c>
      <c r="C273" s="1" t="s">
        <v>1793</v>
      </c>
      <c r="D273" s="2">
        <v>46049.42605324074</v>
      </c>
      <c r="E273" s="1" t="s">
        <v>2298</v>
      </c>
      <c r="F273" s="1" t="b">
        <v>0</v>
      </c>
    </row>
    <row r="274">
      <c r="A274" s="1" t="s">
        <v>1947</v>
      </c>
      <c r="B274" s="1" t="s">
        <v>2046</v>
      </c>
      <c r="C274" s="1">
        <v>574085.0</v>
      </c>
      <c r="D274" s="2">
        <v>46049.42728009259</v>
      </c>
      <c r="E274" s="1" t="s">
        <v>2299</v>
      </c>
      <c r="F274" s="1" t="b">
        <v>0</v>
      </c>
    </row>
    <row r="275">
      <c r="A275" s="1" t="s">
        <v>1947</v>
      </c>
      <c r="B275" s="1" t="s">
        <v>2042</v>
      </c>
      <c r="C275" s="1" t="s">
        <v>1793</v>
      </c>
      <c r="D275" s="2">
        <v>46049.4275</v>
      </c>
      <c r="E275" s="1" t="s">
        <v>2293</v>
      </c>
      <c r="F275" s="1" t="b">
        <v>0</v>
      </c>
    </row>
    <row r="276">
      <c r="A276" s="1" t="s">
        <v>1947</v>
      </c>
      <c r="B276" s="1" t="s">
        <v>2046</v>
      </c>
      <c r="C276" s="1">
        <v>574085.0</v>
      </c>
      <c r="D276" s="2">
        <v>46049.429143518515</v>
      </c>
      <c r="E276" s="1" t="s">
        <v>2300</v>
      </c>
      <c r="F276" s="1" t="b">
        <v>0</v>
      </c>
    </row>
    <row r="277">
      <c r="A277" s="1" t="s">
        <v>1947</v>
      </c>
      <c r="B277" s="1" t="s">
        <v>2042</v>
      </c>
      <c r="C277" s="1" t="s">
        <v>1793</v>
      </c>
      <c r="D277" s="2">
        <v>46049.42935185185</v>
      </c>
      <c r="E277" s="1" t="s">
        <v>2301</v>
      </c>
      <c r="F277" s="1" t="b">
        <v>0</v>
      </c>
    </row>
    <row r="278">
      <c r="A278" s="1" t="s">
        <v>1947</v>
      </c>
      <c r="B278" s="1" t="s">
        <v>2042</v>
      </c>
      <c r="C278" s="1" t="s">
        <v>1793</v>
      </c>
      <c r="D278" s="2">
        <v>46049.42936342592</v>
      </c>
      <c r="E278" s="1" t="s">
        <v>2302</v>
      </c>
      <c r="F278" s="1" t="b">
        <v>0</v>
      </c>
    </row>
    <row r="279">
      <c r="A279" s="1" t="s">
        <v>1947</v>
      </c>
      <c r="B279" s="1" t="s">
        <v>2042</v>
      </c>
      <c r="C279" s="1" t="s">
        <v>1793</v>
      </c>
      <c r="D279" s="2">
        <v>46049.429398148146</v>
      </c>
      <c r="E279" s="1" t="s">
        <v>2303</v>
      </c>
      <c r="F279" s="1" t="b">
        <v>0</v>
      </c>
    </row>
    <row r="280">
      <c r="A280" s="1" t="s">
        <v>1947</v>
      </c>
      <c r="B280" s="1" t="s">
        <v>2046</v>
      </c>
      <c r="C280" s="1">
        <v>574085.0</v>
      </c>
      <c r="D280" s="2">
        <v>46049.42958333333</v>
      </c>
      <c r="E280" s="1" t="s">
        <v>2108</v>
      </c>
      <c r="F280" s="1" t="b">
        <v>0</v>
      </c>
    </row>
    <row r="281">
      <c r="A281" s="1" t="s">
        <v>1903</v>
      </c>
      <c r="B281" s="1" t="s">
        <v>2042</v>
      </c>
      <c r="C281" s="1" t="s">
        <v>1542</v>
      </c>
      <c r="D281" s="2">
        <v>46049.6834375</v>
      </c>
      <c r="E281" s="1" t="s">
        <v>2304</v>
      </c>
      <c r="F281" s="1" t="b">
        <v>0</v>
      </c>
    </row>
    <row r="282">
      <c r="A282" s="1" t="s">
        <v>1903</v>
      </c>
      <c r="B282" s="1" t="s">
        <v>2042</v>
      </c>
      <c r="C282" s="1" t="s">
        <v>1542</v>
      </c>
      <c r="D282" s="2">
        <v>46049.68635416667</v>
      </c>
      <c r="E282" s="1" t="s">
        <v>2305</v>
      </c>
      <c r="F282" s="1" t="b">
        <v>0</v>
      </c>
    </row>
    <row r="283">
      <c r="A283" s="1" t="s">
        <v>1903</v>
      </c>
      <c r="B283" s="1" t="s">
        <v>2046</v>
      </c>
      <c r="C283" s="1">
        <v>594863.0</v>
      </c>
      <c r="D283" s="2">
        <v>46049.69028935185</v>
      </c>
      <c r="E283" s="1" t="s">
        <v>2306</v>
      </c>
      <c r="F283" s="1" t="b">
        <v>1</v>
      </c>
    </row>
    <row r="284">
      <c r="A284" s="1" t="s">
        <v>1903</v>
      </c>
      <c r="B284" s="1" t="s">
        <v>2046</v>
      </c>
      <c r="C284" s="1">
        <v>506375.0</v>
      </c>
      <c r="D284" s="2">
        <v>46049.69060185185</v>
      </c>
      <c r="E284" s="1" t="s">
        <v>2307</v>
      </c>
      <c r="F284" s="1" t="b">
        <v>1</v>
      </c>
    </row>
    <row r="285">
      <c r="A285" s="1" t="s">
        <v>1903</v>
      </c>
      <c r="B285" s="1" t="s">
        <v>2046</v>
      </c>
      <c r="C285" s="1">
        <v>506375.0</v>
      </c>
      <c r="D285" s="2">
        <v>46049.692141203705</v>
      </c>
      <c r="E285" s="1" t="s">
        <v>2308</v>
      </c>
      <c r="F285" s="1" t="b">
        <v>0</v>
      </c>
    </row>
    <row r="286">
      <c r="A286" s="1" t="s">
        <v>1903</v>
      </c>
      <c r="B286" s="1" t="s">
        <v>2042</v>
      </c>
      <c r="C286" s="1" t="s">
        <v>1542</v>
      </c>
      <c r="D286" s="2">
        <v>46049.7003125</v>
      </c>
      <c r="E286" s="1" t="s">
        <v>2309</v>
      </c>
      <c r="F286" s="1" t="b">
        <v>0</v>
      </c>
    </row>
    <row r="287">
      <c r="A287" s="1" t="s">
        <v>1903</v>
      </c>
      <c r="B287" s="1" t="s">
        <v>2042</v>
      </c>
      <c r="C287" s="1" t="s">
        <v>1542</v>
      </c>
      <c r="D287" s="2">
        <v>46049.700520833336</v>
      </c>
      <c r="E287" s="1" t="s">
        <v>2310</v>
      </c>
      <c r="F287" s="1" t="b">
        <v>0</v>
      </c>
    </row>
    <row r="288">
      <c r="A288" s="1" t="s">
        <v>1903</v>
      </c>
      <c r="B288" s="1" t="s">
        <v>2046</v>
      </c>
      <c r="C288" s="1">
        <v>506375.0</v>
      </c>
      <c r="D288" s="2">
        <v>46049.70966435185</v>
      </c>
      <c r="E288" s="1" t="s">
        <v>2311</v>
      </c>
      <c r="F288" s="1" t="b">
        <v>0</v>
      </c>
    </row>
    <row r="289">
      <c r="A289" s="1" t="s">
        <v>1903</v>
      </c>
      <c r="B289" s="1" t="s">
        <v>2042</v>
      </c>
      <c r="C289" s="1" t="s">
        <v>1542</v>
      </c>
      <c r="D289" s="2">
        <v>46049.723275462966</v>
      </c>
      <c r="E289" s="1" t="s">
        <v>2312</v>
      </c>
      <c r="F289" s="1" t="b">
        <v>0</v>
      </c>
    </row>
    <row r="290">
      <c r="A290" s="1" t="s">
        <v>1903</v>
      </c>
      <c r="B290" s="1" t="s">
        <v>2042</v>
      </c>
      <c r="C290" s="1" t="s">
        <v>1542</v>
      </c>
      <c r="D290" s="2">
        <v>46049.723344907405</v>
      </c>
      <c r="E290" s="1" t="s">
        <v>2313</v>
      </c>
      <c r="F290" s="1" t="b">
        <v>0</v>
      </c>
    </row>
    <row r="291">
      <c r="A291" s="1" t="s">
        <v>1903</v>
      </c>
      <c r="B291" s="1" t="s">
        <v>2046</v>
      </c>
      <c r="C291" s="1">
        <v>506375.0</v>
      </c>
      <c r="D291" s="2">
        <v>46049.73347222222</v>
      </c>
      <c r="E291" s="1" t="s">
        <v>2314</v>
      </c>
      <c r="F291" s="1" t="b">
        <v>0</v>
      </c>
    </row>
    <row r="292">
      <c r="A292" s="1" t="s">
        <v>1903</v>
      </c>
      <c r="B292" s="1" t="s">
        <v>2042</v>
      </c>
      <c r="C292" s="1" t="s">
        <v>1542</v>
      </c>
      <c r="D292" s="2">
        <v>46049.734143518515</v>
      </c>
      <c r="E292" s="1" t="s">
        <v>2315</v>
      </c>
      <c r="F292" s="1" t="b">
        <v>0</v>
      </c>
    </row>
    <row r="293">
      <c r="A293" s="1" t="s">
        <v>1903</v>
      </c>
      <c r="B293" s="1" t="s">
        <v>2046</v>
      </c>
      <c r="C293" s="1">
        <v>506375.0</v>
      </c>
      <c r="D293" s="2">
        <v>46049.74188657408</v>
      </c>
      <c r="E293" s="1" t="s">
        <v>2316</v>
      </c>
      <c r="F293" s="1" t="b">
        <v>0</v>
      </c>
    </row>
    <row r="294">
      <c r="A294" s="1" t="s">
        <v>1903</v>
      </c>
      <c r="B294" s="1" t="s">
        <v>2042</v>
      </c>
      <c r="C294" s="1" t="s">
        <v>1542</v>
      </c>
      <c r="D294" s="2">
        <v>46049.74320601852</v>
      </c>
      <c r="E294" s="1" t="s">
        <v>2317</v>
      </c>
      <c r="F294" s="1" t="b">
        <v>0</v>
      </c>
    </row>
    <row r="295">
      <c r="A295" s="1" t="s">
        <v>1903</v>
      </c>
      <c r="B295" s="1" t="s">
        <v>2042</v>
      </c>
      <c r="C295" s="1" t="s">
        <v>1542</v>
      </c>
      <c r="D295" s="2">
        <v>46049.743368055555</v>
      </c>
      <c r="E295" s="1" t="s">
        <v>2318</v>
      </c>
      <c r="F295" s="1" t="b">
        <v>0</v>
      </c>
    </row>
    <row r="296">
      <c r="A296" s="1" t="s">
        <v>1903</v>
      </c>
      <c r="B296" s="1" t="s">
        <v>2046</v>
      </c>
      <c r="C296" s="1">
        <v>506375.0</v>
      </c>
      <c r="D296" s="2">
        <v>46049.74512731482</v>
      </c>
      <c r="E296" s="1" t="s">
        <v>2319</v>
      </c>
      <c r="F296" s="1" t="b">
        <v>0</v>
      </c>
    </row>
    <row r="297">
      <c r="A297" s="1" t="s">
        <v>1903</v>
      </c>
      <c r="B297" s="1" t="s">
        <v>2042</v>
      </c>
      <c r="C297" s="1" t="s">
        <v>1542</v>
      </c>
      <c r="D297" s="2">
        <v>46049.7621875</v>
      </c>
      <c r="E297" s="1" t="s">
        <v>2320</v>
      </c>
      <c r="F297" s="1" t="b">
        <v>0</v>
      </c>
    </row>
    <row r="298">
      <c r="A298" s="1" t="s">
        <v>1903</v>
      </c>
      <c r="B298" s="1" t="s">
        <v>2046</v>
      </c>
      <c r="C298" s="1">
        <v>506375.0</v>
      </c>
      <c r="D298" s="2">
        <v>46049.76298611111</v>
      </c>
      <c r="E298" s="1" t="s">
        <v>2321</v>
      </c>
      <c r="F298" s="1" t="b">
        <v>0</v>
      </c>
    </row>
    <row r="299">
      <c r="A299" s="1" t="s">
        <v>1943</v>
      </c>
      <c r="B299" s="1" t="s">
        <v>2042</v>
      </c>
      <c r="C299" s="1" t="s">
        <v>1945</v>
      </c>
      <c r="D299" s="2">
        <v>46049.43429398148</v>
      </c>
      <c r="E299" s="1" t="s">
        <v>2322</v>
      </c>
      <c r="F299" s="1" t="b">
        <v>0</v>
      </c>
    </row>
    <row r="300">
      <c r="A300" s="1" t="s">
        <v>1943</v>
      </c>
      <c r="B300" s="1" t="s">
        <v>2042</v>
      </c>
      <c r="C300" s="1" t="s">
        <v>1945</v>
      </c>
      <c r="D300" s="2">
        <v>46049.43436342593</v>
      </c>
      <c r="F300" s="1" t="b">
        <v>0</v>
      </c>
    </row>
    <row r="301">
      <c r="A301" s="1" t="s">
        <v>1943</v>
      </c>
      <c r="B301" s="1" t="s">
        <v>2042</v>
      </c>
      <c r="C301" s="1" t="s">
        <v>1945</v>
      </c>
      <c r="D301" s="2">
        <v>46049.4346875</v>
      </c>
      <c r="E301" s="1" t="s">
        <v>2323</v>
      </c>
      <c r="F301" s="1" t="b">
        <v>0</v>
      </c>
    </row>
    <row r="302">
      <c r="A302" s="1" t="s">
        <v>1943</v>
      </c>
      <c r="B302" s="1" t="s">
        <v>2046</v>
      </c>
      <c r="C302" s="1">
        <v>574085.0</v>
      </c>
      <c r="D302" s="2">
        <v>46049.436956018515</v>
      </c>
      <c r="E302" s="1" t="s">
        <v>2324</v>
      </c>
      <c r="F302" s="1" t="b">
        <v>0</v>
      </c>
    </row>
    <row r="303">
      <c r="A303" s="1" t="s">
        <v>1943</v>
      </c>
      <c r="B303" s="1" t="s">
        <v>2042</v>
      </c>
      <c r="C303" s="1" t="s">
        <v>1945</v>
      </c>
      <c r="D303" s="2">
        <v>46049.45282407408</v>
      </c>
      <c r="E303" s="1" t="s">
        <v>2325</v>
      </c>
      <c r="F303" s="1" t="b">
        <v>0</v>
      </c>
    </row>
    <row r="304">
      <c r="A304" s="1" t="s">
        <v>1943</v>
      </c>
      <c r="B304" s="1" t="s">
        <v>2046</v>
      </c>
      <c r="C304" s="1">
        <v>574085.0</v>
      </c>
      <c r="D304" s="2">
        <v>46049.46356481482</v>
      </c>
      <c r="E304" s="1" t="s">
        <v>2326</v>
      </c>
      <c r="F304" s="1" t="b">
        <v>0</v>
      </c>
    </row>
    <row r="305">
      <c r="A305" s="1" t="s">
        <v>1943</v>
      </c>
      <c r="B305" s="1" t="s">
        <v>2046</v>
      </c>
      <c r="C305" s="1">
        <v>574085.0</v>
      </c>
      <c r="D305" s="2">
        <v>46049.46371527778</v>
      </c>
      <c r="E305" s="1" t="s">
        <v>2254</v>
      </c>
      <c r="F305" s="1" t="b">
        <v>1</v>
      </c>
    </row>
    <row r="306">
      <c r="A306" s="1" t="s">
        <v>1943</v>
      </c>
      <c r="B306" s="1" t="s">
        <v>2150</v>
      </c>
      <c r="C306" s="1" t="s">
        <v>2151</v>
      </c>
      <c r="D306" s="2">
        <v>46049.46388888889</v>
      </c>
      <c r="E306" s="1" t="s">
        <v>2327</v>
      </c>
      <c r="F306" s="1" t="b">
        <v>1</v>
      </c>
    </row>
    <row r="307">
      <c r="A307" s="1" t="s">
        <v>1943</v>
      </c>
      <c r="B307" s="1" t="s">
        <v>2046</v>
      </c>
      <c r="C307" s="1">
        <v>574085.0</v>
      </c>
      <c r="D307" s="2">
        <v>46049.4653587963</v>
      </c>
      <c r="E307" s="1" t="s">
        <v>2328</v>
      </c>
      <c r="F307" s="1" t="b">
        <v>0</v>
      </c>
    </row>
    <row r="308">
      <c r="A308" s="1" t="s">
        <v>1943</v>
      </c>
      <c r="B308" s="1" t="s">
        <v>2046</v>
      </c>
      <c r="C308" s="1">
        <v>574085.0</v>
      </c>
      <c r="D308" s="2">
        <v>46049.498125</v>
      </c>
      <c r="E308" s="1" t="s">
        <v>2329</v>
      </c>
      <c r="F308" s="1" t="b">
        <v>0</v>
      </c>
    </row>
    <row r="309">
      <c r="A309" s="1" t="s">
        <v>1939</v>
      </c>
      <c r="B309" s="1" t="s">
        <v>2042</v>
      </c>
      <c r="C309" s="1" t="s">
        <v>1322</v>
      </c>
      <c r="D309" s="2">
        <v>46049.46166666667</v>
      </c>
      <c r="E309" s="1" t="s">
        <v>2330</v>
      </c>
      <c r="F309" s="1" t="b">
        <v>0</v>
      </c>
    </row>
    <row r="310">
      <c r="A310" s="1" t="s">
        <v>1939</v>
      </c>
      <c r="B310" s="1" t="s">
        <v>2042</v>
      </c>
      <c r="C310" s="1" t="s">
        <v>1322</v>
      </c>
      <c r="D310" s="2">
        <v>46049.46179398148</v>
      </c>
      <c r="F310" s="1" t="b">
        <v>0</v>
      </c>
    </row>
    <row r="311">
      <c r="A311" s="1" t="s">
        <v>1939</v>
      </c>
      <c r="B311" s="1" t="s">
        <v>2046</v>
      </c>
      <c r="C311" s="1">
        <v>506375.0</v>
      </c>
      <c r="D311" s="2">
        <v>46049.46880787037</v>
      </c>
      <c r="E311" s="1" t="s">
        <v>2331</v>
      </c>
      <c r="F311" s="1" t="b">
        <v>0</v>
      </c>
    </row>
    <row r="312">
      <c r="A312" s="1" t="s">
        <v>1939</v>
      </c>
      <c r="B312" s="1" t="s">
        <v>2046</v>
      </c>
      <c r="C312" s="1">
        <v>506375.0</v>
      </c>
      <c r="D312" s="2">
        <v>46049.46894675926</v>
      </c>
      <c r="E312" s="1" t="s">
        <v>2332</v>
      </c>
      <c r="F312" s="1" t="b">
        <v>0</v>
      </c>
    </row>
    <row r="313">
      <c r="A313" s="1" t="s">
        <v>1939</v>
      </c>
      <c r="B313" s="1" t="s">
        <v>2046</v>
      </c>
      <c r="C313" s="1">
        <v>370963.0</v>
      </c>
      <c r="D313" s="2">
        <v>46049.46931712963</v>
      </c>
      <c r="E313" s="1" t="s">
        <v>2333</v>
      </c>
      <c r="F313" s="1" t="b">
        <v>1</v>
      </c>
    </row>
    <row r="314">
      <c r="A314" s="1" t="s">
        <v>1939</v>
      </c>
      <c r="B314" s="1" t="s">
        <v>2046</v>
      </c>
      <c r="C314" s="1">
        <v>506375.0</v>
      </c>
      <c r="D314" s="2">
        <v>46049.46944444445</v>
      </c>
      <c r="E314" s="1" t="s">
        <v>2334</v>
      </c>
      <c r="F314" s="1" t="b">
        <v>1</v>
      </c>
    </row>
    <row r="315">
      <c r="A315" s="1" t="s">
        <v>1939</v>
      </c>
      <c r="B315" s="1" t="s">
        <v>2046</v>
      </c>
      <c r="C315" s="1">
        <v>506375.0</v>
      </c>
      <c r="D315" s="2">
        <v>46049.47053240741</v>
      </c>
      <c r="E315" s="1" t="s">
        <v>2335</v>
      </c>
      <c r="F315" s="1" t="b">
        <v>0</v>
      </c>
    </row>
    <row r="316">
      <c r="A316" s="1" t="s">
        <v>1939</v>
      </c>
      <c r="B316" s="1" t="s">
        <v>2042</v>
      </c>
      <c r="C316" s="1" t="s">
        <v>1322</v>
      </c>
      <c r="D316" s="2">
        <v>46049.47059027778</v>
      </c>
      <c r="E316" s="1" t="s">
        <v>2336</v>
      </c>
      <c r="F316" s="1" t="b">
        <v>0</v>
      </c>
    </row>
    <row r="317">
      <c r="A317" s="1" t="s">
        <v>1939</v>
      </c>
      <c r="B317" s="1" t="s">
        <v>2046</v>
      </c>
      <c r="C317" s="1">
        <v>506375.0</v>
      </c>
      <c r="D317" s="2">
        <v>46049.47081018519</v>
      </c>
      <c r="E317" s="1" t="s">
        <v>2337</v>
      </c>
      <c r="F317" s="1" t="b">
        <v>0</v>
      </c>
    </row>
    <row r="318">
      <c r="A318" s="1" t="s">
        <v>1939</v>
      </c>
      <c r="B318" s="1" t="s">
        <v>2046</v>
      </c>
      <c r="C318" s="1">
        <v>506375.0</v>
      </c>
      <c r="D318" s="2">
        <v>46049.471134259256</v>
      </c>
      <c r="E318" s="1" t="s">
        <v>2338</v>
      </c>
      <c r="F318" s="1" t="b">
        <v>1</v>
      </c>
    </row>
    <row r="319">
      <c r="A319" s="1" t="s">
        <v>1939</v>
      </c>
      <c r="B319" s="1" t="s">
        <v>2046</v>
      </c>
      <c r="C319" s="1">
        <v>506375.0</v>
      </c>
      <c r="D319" s="2">
        <v>46049.472291666665</v>
      </c>
      <c r="E319" s="1" t="s">
        <v>2339</v>
      </c>
      <c r="F319" s="1" t="b">
        <v>1</v>
      </c>
    </row>
    <row r="320">
      <c r="A320" s="1" t="s">
        <v>1939</v>
      </c>
      <c r="B320" s="1" t="s">
        <v>2046</v>
      </c>
      <c r="C320" s="1">
        <v>574085.0</v>
      </c>
      <c r="D320" s="2">
        <v>46049.47247685185</v>
      </c>
      <c r="E320" s="1" t="s">
        <v>2340</v>
      </c>
      <c r="F320" s="1" t="b">
        <v>1</v>
      </c>
    </row>
    <row r="321">
      <c r="A321" s="1" t="s">
        <v>1939</v>
      </c>
      <c r="B321" s="1" t="s">
        <v>2150</v>
      </c>
      <c r="C321" s="1" t="s">
        <v>2151</v>
      </c>
      <c r="D321" s="2">
        <v>46049.47269675926</v>
      </c>
      <c r="E321" s="1" t="s">
        <v>2341</v>
      </c>
      <c r="F321" s="1" t="b">
        <v>1</v>
      </c>
    </row>
    <row r="322">
      <c r="A322" s="1" t="s">
        <v>1939</v>
      </c>
      <c r="B322" s="1" t="s">
        <v>2046</v>
      </c>
      <c r="C322" s="1">
        <v>574085.0</v>
      </c>
      <c r="D322" s="2">
        <v>46049.473587962966</v>
      </c>
      <c r="E322" s="1" t="s">
        <v>2342</v>
      </c>
      <c r="F322" s="1" t="b">
        <v>1</v>
      </c>
    </row>
    <row r="323">
      <c r="A323" s="1" t="s">
        <v>1939</v>
      </c>
      <c r="B323" s="1" t="s">
        <v>2150</v>
      </c>
      <c r="C323" s="1" t="s">
        <v>2151</v>
      </c>
      <c r="D323" s="2">
        <v>46049.47373842593</v>
      </c>
      <c r="E323" s="1" t="s">
        <v>2343</v>
      </c>
      <c r="F323" s="1" t="b">
        <v>1</v>
      </c>
    </row>
    <row r="324">
      <c r="A324" s="1" t="s">
        <v>1937</v>
      </c>
      <c r="B324" s="1" t="s">
        <v>2042</v>
      </c>
      <c r="C324" s="1" t="s">
        <v>335</v>
      </c>
      <c r="D324" s="2">
        <v>46049.508564814816</v>
      </c>
      <c r="F324" s="1" t="b">
        <v>0</v>
      </c>
    </row>
    <row r="325">
      <c r="A325" s="1" t="s">
        <v>1937</v>
      </c>
      <c r="B325" s="1" t="s">
        <v>2042</v>
      </c>
      <c r="C325" s="1" t="s">
        <v>335</v>
      </c>
      <c r="D325" s="2">
        <v>46049.509039351855</v>
      </c>
      <c r="E325" s="1" t="s">
        <v>2344</v>
      </c>
      <c r="F325" s="1" t="b">
        <v>0</v>
      </c>
    </row>
    <row r="326">
      <c r="A326" s="1" t="s">
        <v>1937</v>
      </c>
      <c r="B326" s="1" t="s">
        <v>2042</v>
      </c>
      <c r="C326" s="1" t="s">
        <v>335</v>
      </c>
      <c r="D326" s="2">
        <v>46049.509560185186</v>
      </c>
      <c r="E326" s="1" t="s">
        <v>2345</v>
      </c>
      <c r="F326" s="1" t="b">
        <v>0</v>
      </c>
    </row>
    <row r="327">
      <c r="A327" s="1" t="s">
        <v>1937</v>
      </c>
      <c r="B327" s="1" t="s">
        <v>2042</v>
      </c>
      <c r="C327" s="1" t="s">
        <v>335</v>
      </c>
      <c r="D327" s="2">
        <v>46049.510567129626</v>
      </c>
      <c r="F327" s="1" t="b">
        <v>0</v>
      </c>
    </row>
    <row r="328">
      <c r="A328" s="1" t="s">
        <v>1937</v>
      </c>
      <c r="B328" s="1" t="s">
        <v>2042</v>
      </c>
      <c r="C328" s="1" t="s">
        <v>335</v>
      </c>
      <c r="D328" s="2">
        <v>46049.51076388889</v>
      </c>
      <c r="E328" s="1" t="s">
        <v>2346</v>
      </c>
      <c r="F328" s="1" t="b">
        <v>0</v>
      </c>
    </row>
    <row r="329">
      <c r="A329" s="1" t="s">
        <v>1935</v>
      </c>
      <c r="B329" s="1" t="s">
        <v>2042</v>
      </c>
      <c r="C329" s="1" t="s">
        <v>1825</v>
      </c>
      <c r="D329" s="2">
        <v>46049.50938657407</v>
      </c>
      <c r="E329" s="1" t="s">
        <v>2347</v>
      </c>
      <c r="F329" s="1" t="b">
        <v>0</v>
      </c>
    </row>
    <row r="330">
      <c r="A330" s="1" t="s">
        <v>1935</v>
      </c>
      <c r="B330" s="1" t="s">
        <v>2046</v>
      </c>
      <c r="C330" s="1">
        <v>506375.0</v>
      </c>
      <c r="D330" s="2">
        <v>46049.512604166666</v>
      </c>
      <c r="E330" s="1" t="s">
        <v>2348</v>
      </c>
      <c r="F330" s="1" t="b">
        <v>0</v>
      </c>
    </row>
    <row r="331">
      <c r="A331" s="1" t="s">
        <v>1935</v>
      </c>
      <c r="B331" s="1" t="s">
        <v>2042</v>
      </c>
      <c r="C331" s="1" t="s">
        <v>1825</v>
      </c>
      <c r="D331" s="2">
        <v>46049.58809027778</v>
      </c>
      <c r="E331" s="1" t="s">
        <v>2349</v>
      </c>
      <c r="F331" s="1" t="b">
        <v>0</v>
      </c>
    </row>
    <row r="332">
      <c r="A332" s="1" t="s">
        <v>1935</v>
      </c>
      <c r="B332" s="1" t="s">
        <v>2042</v>
      </c>
      <c r="C332" s="1" t="s">
        <v>1825</v>
      </c>
      <c r="D332" s="2">
        <v>46049.58818287037</v>
      </c>
      <c r="E332" s="1" t="s">
        <v>2350</v>
      </c>
      <c r="F332" s="1" t="b">
        <v>0</v>
      </c>
    </row>
    <row r="333">
      <c r="A333" s="1" t="s">
        <v>1935</v>
      </c>
      <c r="B333" s="1" t="s">
        <v>2046</v>
      </c>
      <c r="C333" s="1">
        <v>506375.0</v>
      </c>
      <c r="D333" s="2">
        <v>46049.59395833333</v>
      </c>
      <c r="E333" s="1" t="s">
        <v>2351</v>
      </c>
      <c r="F333" s="1" t="b">
        <v>1</v>
      </c>
    </row>
    <row r="334">
      <c r="A334" s="1" t="s">
        <v>1935</v>
      </c>
      <c r="B334" s="1" t="s">
        <v>2150</v>
      </c>
      <c r="C334" s="1" t="s">
        <v>2151</v>
      </c>
      <c r="D334" s="2">
        <v>46049.59413194445</v>
      </c>
      <c r="E334" s="1" t="s">
        <v>2352</v>
      </c>
      <c r="F334" s="1" t="b">
        <v>1</v>
      </c>
    </row>
    <row r="335">
      <c r="A335" s="1" t="s">
        <v>1935</v>
      </c>
      <c r="B335" s="1" t="s">
        <v>2046</v>
      </c>
      <c r="C335" s="1">
        <v>506375.0</v>
      </c>
      <c r="D335" s="2">
        <v>46049.595185185186</v>
      </c>
      <c r="E335" s="1" t="s">
        <v>2353</v>
      </c>
      <c r="F335" s="1" t="b">
        <v>1</v>
      </c>
    </row>
    <row r="336">
      <c r="A336" s="1" t="s">
        <v>1935</v>
      </c>
      <c r="B336" s="1" t="s">
        <v>2150</v>
      </c>
      <c r="C336" s="1" t="s">
        <v>2151</v>
      </c>
      <c r="D336" s="2">
        <v>46049.59538194445</v>
      </c>
      <c r="E336" s="1" t="s">
        <v>2354</v>
      </c>
      <c r="F336" s="1" t="b">
        <v>1</v>
      </c>
    </row>
    <row r="337">
      <c r="A337" s="1" t="s">
        <v>1935</v>
      </c>
      <c r="B337" s="1" t="s">
        <v>2046</v>
      </c>
      <c r="C337" s="1">
        <v>506375.0</v>
      </c>
      <c r="D337" s="2">
        <v>46049.59825231481</v>
      </c>
      <c r="E337" s="1" t="s">
        <v>2355</v>
      </c>
      <c r="F337" s="1" t="b">
        <v>0</v>
      </c>
    </row>
    <row r="338">
      <c r="A338" s="1" t="s">
        <v>1935</v>
      </c>
      <c r="B338" s="1" t="s">
        <v>2042</v>
      </c>
      <c r="C338" s="1" t="s">
        <v>1825</v>
      </c>
      <c r="D338" s="2">
        <v>46049.65537037037</v>
      </c>
      <c r="E338" s="1" t="s">
        <v>2356</v>
      </c>
      <c r="F338" s="1" t="b">
        <v>0</v>
      </c>
    </row>
    <row r="339">
      <c r="A339" s="1" t="s">
        <v>1935</v>
      </c>
      <c r="B339" s="1" t="s">
        <v>2046</v>
      </c>
      <c r="C339" s="1">
        <v>506375.0</v>
      </c>
      <c r="D339" s="2">
        <v>46049.67130787037</v>
      </c>
      <c r="E339" s="1" t="s">
        <v>2357</v>
      </c>
      <c r="F339" s="1" t="b">
        <v>0</v>
      </c>
    </row>
    <row r="340">
      <c r="A340" s="1" t="s">
        <v>1935</v>
      </c>
      <c r="B340" s="1" t="s">
        <v>2042</v>
      </c>
      <c r="C340" s="1" t="s">
        <v>1825</v>
      </c>
      <c r="D340" s="2">
        <v>46049.678923611114</v>
      </c>
      <c r="E340" s="1" t="s">
        <v>2358</v>
      </c>
      <c r="F340" s="1" t="b">
        <v>0</v>
      </c>
    </row>
    <row r="341">
      <c r="A341" s="1" t="s">
        <v>1935</v>
      </c>
      <c r="B341" s="1" t="s">
        <v>2042</v>
      </c>
      <c r="C341" s="1" t="s">
        <v>1825</v>
      </c>
      <c r="D341" s="2">
        <v>46049.679085648146</v>
      </c>
      <c r="E341" s="1" t="s">
        <v>2359</v>
      </c>
      <c r="F341" s="1" t="b">
        <v>0</v>
      </c>
    </row>
    <row r="342">
      <c r="A342" s="1" t="s">
        <v>1935</v>
      </c>
      <c r="B342" s="1" t="s">
        <v>2046</v>
      </c>
      <c r="C342" s="1">
        <v>574085.0</v>
      </c>
      <c r="D342" s="2">
        <v>46049.691469907404</v>
      </c>
      <c r="E342" s="1" t="s">
        <v>2360</v>
      </c>
      <c r="F342" s="1" t="b">
        <v>1</v>
      </c>
    </row>
    <row r="343">
      <c r="A343" s="1" t="s">
        <v>1935</v>
      </c>
      <c r="B343" s="1" t="s">
        <v>2042</v>
      </c>
      <c r="C343" s="1" t="s">
        <v>1825</v>
      </c>
      <c r="D343" s="2">
        <v>46049.7128125</v>
      </c>
      <c r="E343" s="1" t="s">
        <v>2361</v>
      </c>
      <c r="F343" s="1" t="b">
        <v>0</v>
      </c>
    </row>
    <row r="344">
      <c r="A344" s="1" t="s">
        <v>1935</v>
      </c>
      <c r="B344" s="1" t="s">
        <v>2046</v>
      </c>
      <c r="C344" s="1">
        <v>506375.0</v>
      </c>
      <c r="D344" s="2">
        <v>46049.71865740741</v>
      </c>
      <c r="E344" s="1" t="s">
        <v>2362</v>
      </c>
      <c r="F344" s="1" t="b">
        <v>0</v>
      </c>
    </row>
    <row r="345">
      <c r="A345" s="1" t="s">
        <v>1935</v>
      </c>
      <c r="B345" s="1" t="s">
        <v>2046</v>
      </c>
      <c r="C345" s="1">
        <v>506375.0</v>
      </c>
      <c r="D345" s="2">
        <v>46049.72253472222</v>
      </c>
      <c r="E345" s="1" t="s">
        <v>2363</v>
      </c>
      <c r="F345" s="1" t="b">
        <v>0</v>
      </c>
    </row>
    <row r="346">
      <c r="A346" s="1" t="s">
        <v>1935</v>
      </c>
      <c r="B346" s="1" t="s">
        <v>2046</v>
      </c>
      <c r="C346" s="1">
        <v>506375.0</v>
      </c>
      <c r="D346" s="2">
        <v>46049.725266203706</v>
      </c>
      <c r="E346" s="1" t="s">
        <v>2364</v>
      </c>
      <c r="F346" s="1" t="b">
        <v>0</v>
      </c>
    </row>
    <row r="347">
      <c r="A347" s="1" t="s">
        <v>1935</v>
      </c>
      <c r="B347" s="1" t="s">
        <v>2042</v>
      </c>
      <c r="C347" s="1" t="s">
        <v>1825</v>
      </c>
      <c r="D347" s="2">
        <v>46049.769328703704</v>
      </c>
      <c r="E347" s="1" t="s">
        <v>2365</v>
      </c>
      <c r="F347" s="1" t="b">
        <v>0</v>
      </c>
    </row>
    <row r="348">
      <c r="A348" s="1" t="s">
        <v>1935</v>
      </c>
      <c r="B348" s="1" t="s">
        <v>2046</v>
      </c>
      <c r="C348" s="1">
        <v>574085.0</v>
      </c>
      <c r="D348" s="2">
        <v>46050.45149305555</v>
      </c>
      <c r="E348" s="1" t="s">
        <v>2366</v>
      </c>
      <c r="F348" s="1" t="b">
        <v>1</v>
      </c>
    </row>
    <row r="349">
      <c r="A349" s="1" t="s">
        <v>1935</v>
      </c>
      <c r="B349" s="1" t="s">
        <v>2150</v>
      </c>
      <c r="C349" s="1" t="s">
        <v>2151</v>
      </c>
      <c r="D349" s="2">
        <v>46050.45181712963</v>
      </c>
      <c r="E349" s="1" t="s">
        <v>2367</v>
      </c>
      <c r="F349" s="1" t="b">
        <v>1</v>
      </c>
    </row>
    <row r="350">
      <c r="A350" s="1" t="s">
        <v>1935</v>
      </c>
      <c r="B350" s="1" t="s">
        <v>2046</v>
      </c>
      <c r="C350" s="1">
        <v>574085.0</v>
      </c>
      <c r="D350" s="2">
        <v>46050.45337962963</v>
      </c>
      <c r="E350" s="1" t="s">
        <v>2368</v>
      </c>
      <c r="F350" s="1" t="b">
        <v>0</v>
      </c>
    </row>
    <row r="351">
      <c r="A351" s="1" t="s">
        <v>1935</v>
      </c>
      <c r="B351" s="1" t="s">
        <v>2042</v>
      </c>
      <c r="C351" s="1" t="s">
        <v>1825</v>
      </c>
      <c r="D351" s="2">
        <v>46050.45569444444</v>
      </c>
      <c r="E351" s="1" t="s">
        <v>2369</v>
      </c>
      <c r="F351" s="1" t="b">
        <v>0</v>
      </c>
    </row>
    <row r="352">
      <c r="A352" s="1" t="s">
        <v>1935</v>
      </c>
      <c r="B352" s="1" t="s">
        <v>2046</v>
      </c>
      <c r="C352" s="1">
        <v>574085.0</v>
      </c>
      <c r="D352" s="2">
        <v>46050.45644675926</v>
      </c>
      <c r="E352" s="1" t="s">
        <v>2108</v>
      </c>
      <c r="F352" s="1" t="b">
        <v>0</v>
      </c>
    </row>
    <row r="353">
      <c r="A353" s="1" t="s">
        <v>1933</v>
      </c>
      <c r="B353" s="1" t="s">
        <v>2042</v>
      </c>
      <c r="C353" s="1" t="s">
        <v>335</v>
      </c>
      <c r="D353" s="2">
        <v>46049.51856481482</v>
      </c>
      <c r="E353" s="1" t="s">
        <v>2370</v>
      </c>
      <c r="F353" s="1" t="b">
        <v>0</v>
      </c>
    </row>
    <row r="354">
      <c r="A354" s="1" t="s">
        <v>1933</v>
      </c>
      <c r="B354" s="1" t="s">
        <v>2042</v>
      </c>
      <c r="C354" s="1" t="s">
        <v>335</v>
      </c>
      <c r="D354" s="2">
        <v>46049.51898148148</v>
      </c>
      <c r="E354" s="1" t="s">
        <v>2371</v>
      </c>
      <c r="F354" s="1" t="b">
        <v>0</v>
      </c>
    </row>
    <row r="355">
      <c r="A355" s="1" t="s">
        <v>1933</v>
      </c>
      <c r="B355" s="1" t="s">
        <v>2042</v>
      </c>
      <c r="C355" s="1" t="s">
        <v>335</v>
      </c>
      <c r="D355" s="2">
        <v>46049.579305555555</v>
      </c>
      <c r="E355" s="1" t="s">
        <v>2372</v>
      </c>
      <c r="F355" s="1" t="b">
        <v>0</v>
      </c>
    </row>
    <row r="356">
      <c r="A356" s="1" t="s">
        <v>1930</v>
      </c>
      <c r="B356" s="1" t="s">
        <v>2042</v>
      </c>
      <c r="C356" s="1" t="s">
        <v>2373</v>
      </c>
      <c r="D356" s="2">
        <v>46049.54101851852</v>
      </c>
      <c r="E356" s="1" t="s">
        <v>2374</v>
      </c>
      <c r="F356" s="1" t="b">
        <v>0</v>
      </c>
    </row>
    <row r="357">
      <c r="A357" s="1" t="s">
        <v>1930</v>
      </c>
      <c r="B357" s="1" t="s">
        <v>2042</v>
      </c>
      <c r="C357" s="1" t="s">
        <v>2373</v>
      </c>
      <c r="D357" s="2">
        <v>46049.54222222222</v>
      </c>
      <c r="E357" s="1" t="s">
        <v>2375</v>
      </c>
      <c r="F357" s="1" t="b">
        <v>0</v>
      </c>
    </row>
    <row r="358">
      <c r="A358" s="1" t="s">
        <v>1926</v>
      </c>
      <c r="B358" s="1" t="s">
        <v>2042</v>
      </c>
      <c r="C358" s="1" t="s">
        <v>1928</v>
      </c>
      <c r="D358" s="2">
        <v>46049.54760416667</v>
      </c>
      <c r="E358" s="1" t="s">
        <v>2376</v>
      </c>
      <c r="F358" s="1" t="b">
        <v>0</v>
      </c>
    </row>
    <row r="359">
      <c r="A359" s="1" t="s">
        <v>1921</v>
      </c>
      <c r="B359" s="1" t="s">
        <v>2042</v>
      </c>
      <c r="C359" s="1" t="s">
        <v>1923</v>
      </c>
      <c r="D359" s="2">
        <v>46049.57952546296</v>
      </c>
      <c r="E359" s="1" t="s">
        <v>2377</v>
      </c>
      <c r="F359" s="1" t="b">
        <v>0</v>
      </c>
    </row>
    <row r="360">
      <c r="A360" s="1" t="s">
        <v>1921</v>
      </c>
      <c r="B360" s="1" t="s">
        <v>2046</v>
      </c>
      <c r="C360" s="1">
        <v>566275.0</v>
      </c>
      <c r="D360" s="2">
        <v>46049.58956018519</v>
      </c>
      <c r="E360" s="1" t="s">
        <v>2378</v>
      </c>
      <c r="F360" s="1" t="b">
        <v>1</v>
      </c>
    </row>
    <row r="361">
      <c r="A361" s="1" t="s">
        <v>1921</v>
      </c>
      <c r="B361" s="1" t="s">
        <v>2046</v>
      </c>
      <c r="C361" s="1">
        <v>566275.0</v>
      </c>
      <c r="D361" s="2">
        <v>46049.59396990741</v>
      </c>
      <c r="E361" s="1" t="s">
        <v>2379</v>
      </c>
      <c r="F361" s="1" t="b">
        <v>0</v>
      </c>
    </row>
    <row r="362">
      <c r="A362" s="1" t="s">
        <v>1921</v>
      </c>
      <c r="B362" s="1" t="s">
        <v>2046</v>
      </c>
      <c r="C362" s="1">
        <v>566275.0</v>
      </c>
      <c r="D362" s="2">
        <v>46049.594722222224</v>
      </c>
      <c r="E362" s="1" t="s">
        <v>2380</v>
      </c>
      <c r="F362" s="1" t="b">
        <v>0</v>
      </c>
    </row>
    <row r="363">
      <c r="A363" s="1" t="s">
        <v>1921</v>
      </c>
      <c r="B363" s="1" t="s">
        <v>2046</v>
      </c>
      <c r="C363" s="1">
        <v>506375.0</v>
      </c>
      <c r="D363" s="2">
        <v>46052.487395833334</v>
      </c>
      <c r="E363" s="1" t="s">
        <v>2108</v>
      </c>
      <c r="F363" s="1" t="b">
        <v>0</v>
      </c>
    </row>
    <row r="364">
      <c r="A364" s="1" t="s">
        <v>1919</v>
      </c>
      <c r="B364" s="1" t="s">
        <v>2042</v>
      </c>
      <c r="C364" s="1" t="s">
        <v>1416</v>
      </c>
      <c r="D364" s="2">
        <v>46049.63600694444</v>
      </c>
      <c r="E364" s="1" t="s">
        <v>2381</v>
      </c>
      <c r="F364" s="1" t="b">
        <v>0</v>
      </c>
    </row>
    <row r="365">
      <c r="A365" s="1" t="s">
        <v>1919</v>
      </c>
      <c r="B365" s="1" t="s">
        <v>2046</v>
      </c>
      <c r="C365" s="1">
        <v>594863.0</v>
      </c>
      <c r="D365" s="2">
        <v>46049.642858796295</v>
      </c>
      <c r="E365" s="1" t="s">
        <v>2382</v>
      </c>
      <c r="F365" s="1" t="b">
        <v>0</v>
      </c>
    </row>
    <row r="366">
      <c r="A366" s="1" t="s">
        <v>1919</v>
      </c>
      <c r="B366" s="1" t="s">
        <v>2042</v>
      </c>
      <c r="C366" s="1" t="s">
        <v>1416</v>
      </c>
      <c r="D366" s="2">
        <v>46049.645370370374</v>
      </c>
      <c r="E366" s="1" t="s">
        <v>2383</v>
      </c>
      <c r="F366" s="1" t="b">
        <v>0</v>
      </c>
    </row>
    <row r="367">
      <c r="A367" s="1" t="s">
        <v>1919</v>
      </c>
      <c r="B367" s="1" t="s">
        <v>2046</v>
      </c>
      <c r="C367" s="1">
        <v>594863.0</v>
      </c>
      <c r="D367" s="2">
        <v>46049.648356481484</v>
      </c>
      <c r="E367" s="1" t="s">
        <v>2108</v>
      </c>
      <c r="F367" s="1" t="b">
        <v>0</v>
      </c>
    </row>
    <row r="368">
      <c r="A368" s="1" t="s">
        <v>1909</v>
      </c>
      <c r="B368" s="1" t="s">
        <v>2042</v>
      </c>
      <c r="C368" s="1" t="s">
        <v>1913</v>
      </c>
      <c r="D368" s="2">
        <v>46049.66525462963</v>
      </c>
      <c r="E368" s="1" t="s">
        <v>2384</v>
      </c>
      <c r="F368" s="1" t="b">
        <v>0</v>
      </c>
    </row>
    <row r="369">
      <c r="A369" s="1" t="s">
        <v>1909</v>
      </c>
      <c r="B369" s="1" t="s">
        <v>2046</v>
      </c>
      <c r="C369" s="1">
        <v>506375.0</v>
      </c>
      <c r="D369" s="2">
        <v>46049.66988425926</v>
      </c>
      <c r="E369" s="1" t="s">
        <v>2385</v>
      </c>
      <c r="F369" s="1" t="b">
        <v>1</v>
      </c>
    </row>
    <row r="370">
      <c r="A370" s="1" t="s">
        <v>1909</v>
      </c>
      <c r="B370" s="1" t="s">
        <v>2046</v>
      </c>
      <c r="C370" s="1">
        <v>506375.0</v>
      </c>
      <c r="D370" s="2">
        <v>46049.67369212963</v>
      </c>
      <c r="E370" s="1" t="s">
        <v>2386</v>
      </c>
      <c r="F370" s="1" t="b">
        <v>1</v>
      </c>
    </row>
    <row r="371">
      <c r="A371" s="1" t="s">
        <v>1909</v>
      </c>
      <c r="B371" s="1" t="s">
        <v>2046</v>
      </c>
      <c r="C371" s="1">
        <v>506375.0</v>
      </c>
      <c r="D371" s="2">
        <v>46049.69320601852</v>
      </c>
      <c r="E371" s="1" t="s">
        <v>2250</v>
      </c>
      <c r="F371" s="1" t="b">
        <v>1</v>
      </c>
    </row>
    <row r="372">
      <c r="A372" s="1" t="s">
        <v>1906</v>
      </c>
      <c r="B372" s="1" t="s">
        <v>2042</v>
      </c>
      <c r="C372" s="1" t="s">
        <v>545</v>
      </c>
      <c r="D372" s="2">
        <v>46049.67841435185</v>
      </c>
      <c r="E372" s="1" t="s">
        <v>2387</v>
      </c>
      <c r="F372" s="1" t="b">
        <v>0</v>
      </c>
    </row>
    <row r="373">
      <c r="A373" s="1" t="s">
        <v>1906</v>
      </c>
      <c r="B373" s="1" t="s">
        <v>2042</v>
      </c>
      <c r="C373" s="1" t="s">
        <v>545</v>
      </c>
      <c r="D373" s="2">
        <v>46049.67855324074</v>
      </c>
      <c r="E373" s="1" t="s">
        <v>2388</v>
      </c>
      <c r="F373" s="1" t="b">
        <v>0</v>
      </c>
    </row>
    <row r="374">
      <c r="A374" s="1" t="s">
        <v>1906</v>
      </c>
      <c r="B374" s="1" t="s">
        <v>2046</v>
      </c>
      <c r="C374" s="1">
        <v>574085.0</v>
      </c>
      <c r="D374" s="2">
        <v>46049.69672453704</v>
      </c>
      <c r="E374" s="1" t="s">
        <v>2389</v>
      </c>
      <c r="F374" s="1" t="b">
        <v>0</v>
      </c>
    </row>
    <row r="375">
      <c r="A375" s="1" t="s">
        <v>1906</v>
      </c>
      <c r="B375" s="1" t="s">
        <v>2046</v>
      </c>
      <c r="C375" s="1">
        <v>506375.0</v>
      </c>
      <c r="D375" s="2">
        <v>46052.488125</v>
      </c>
      <c r="E375" s="1" t="s">
        <v>2108</v>
      </c>
      <c r="F375" s="1" t="b">
        <v>0</v>
      </c>
    </row>
    <row r="376">
      <c r="A376" s="1" t="s">
        <v>1899</v>
      </c>
      <c r="B376" s="1" t="s">
        <v>2042</v>
      </c>
      <c r="C376" s="1" t="s">
        <v>1901</v>
      </c>
      <c r="D376" s="2">
        <v>46049.69862268519</v>
      </c>
      <c r="E376" s="1" t="s">
        <v>2390</v>
      </c>
      <c r="F376" s="1" t="b">
        <v>0</v>
      </c>
    </row>
    <row r="377">
      <c r="A377" s="1" t="s">
        <v>1899</v>
      </c>
      <c r="B377" s="1" t="s">
        <v>2042</v>
      </c>
      <c r="C377" s="1" t="s">
        <v>1901</v>
      </c>
      <c r="D377" s="2">
        <v>46049.69881944444</v>
      </c>
      <c r="E377" s="1" t="s">
        <v>2391</v>
      </c>
      <c r="F377" s="1" t="b">
        <v>0</v>
      </c>
    </row>
    <row r="378">
      <c r="A378" s="1" t="s">
        <v>1899</v>
      </c>
      <c r="B378" s="1" t="s">
        <v>2042</v>
      </c>
      <c r="C378" s="1" t="s">
        <v>1901</v>
      </c>
      <c r="D378" s="2">
        <v>46049.70011574074</v>
      </c>
      <c r="E378" s="1" t="s">
        <v>2392</v>
      </c>
      <c r="F378" s="1" t="b">
        <v>0</v>
      </c>
    </row>
    <row r="379">
      <c r="A379" s="1" t="s">
        <v>1897</v>
      </c>
      <c r="B379" s="1" t="s">
        <v>2042</v>
      </c>
      <c r="C379" s="1" t="s">
        <v>1812</v>
      </c>
      <c r="D379" s="2">
        <v>46049.721342592595</v>
      </c>
      <c r="E379" s="1" t="s">
        <v>2393</v>
      </c>
      <c r="F379" s="1" t="b">
        <v>0</v>
      </c>
    </row>
    <row r="380">
      <c r="A380" s="1" t="s">
        <v>1897</v>
      </c>
      <c r="B380" s="1" t="s">
        <v>2042</v>
      </c>
      <c r="C380" s="1" t="s">
        <v>1812</v>
      </c>
      <c r="D380" s="2">
        <v>46049.7475</v>
      </c>
      <c r="F380" s="1" t="b">
        <v>0</v>
      </c>
    </row>
    <row r="381">
      <c r="A381" s="1" t="s">
        <v>1897</v>
      </c>
      <c r="B381" s="1" t="s">
        <v>2042</v>
      </c>
      <c r="C381" s="1" t="s">
        <v>1812</v>
      </c>
      <c r="D381" s="2">
        <v>46049.74775462963</v>
      </c>
      <c r="E381" s="1" t="s">
        <v>2394</v>
      </c>
      <c r="F381" s="1" t="b">
        <v>0</v>
      </c>
    </row>
    <row r="382">
      <c r="A382" s="1" t="s">
        <v>1897</v>
      </c>
      <c r="B382" s="1" t="s">
        <v>2042</v>
      </c>
      <c r="C382" s="1" t="s">
        <v>1812</v>
      </c>
      <c r="D382" s="2">
        <v>46049.748032407406</v>
      </c>
      <c r="E382" s="1" t="s">
        <v>2395</v>
      </c>
      <c r="F382" s="1" t="b">
        <v>0</v>
      </c>
    </row>
    <row r="383">
      <c r="A383" s="1" t="s">
        <v>1893</v>
      </c>
      <c r="B383" s="1" t="s">
        <v>2042</v>
      </c>
      <c r="C383" s="1" t="s">
        <v>1895</v>
      </c>
      <c r="D383" s="2">
        <v>46050.411157407405</v>
      </c>
      <c r="E383" s="1" t="s">
        <v>2396</v>
      </c>
      <c r="F383" s="1" t="b">
        <v>0</v>
      </c>
    </row>
    <row r="384">
      <c r="A384" s="1" t="s">
        <v>1893</v>
      </c>
      <c r="B384" s="1" t="s">
        <v>2042</v>
      </c>
      <c r="C384" s="1" t="s">
        <v>1895</v>
      </c>
      <c r="D384" s="2">
        <v>46050.41166666667</v>
      </c>
      <c r="E384" s="1" t="s">
        <v>2397</v>
      </c>
      <c r="F384" s="1" t="b">
        <v>0</v>
      </c>
    </row>
    <row r="385">
      <c r="A385" s="1" t="s">
        <v>1891</v>
      </c>
      <c r="B385" s="1" t="s">
        <v>2042</v>
      </c>
      <c r="C385" s="1" t="s">
        <v>2398</v>
      </c>
      <c r="D385" s="2">
        <v>46050.43475694444</v>
      </c>
      <c r="E385" s="1" t="s">
        <v>2399</v>
      </c>
      <c r="F385" s="1" t="b">
        <v>0</v>
      </c>
    </row>
    <row r="386">
      <c r="A386" s="1" t="s">
        <v>1886</v>
      </c>
      <c r="B386" s="1" t="s">
        <v>2046</v>
      </c>
      <c r="C386" s="1">
        <v>574085.0</v>
      </c>
      <c r="D386" s="2">
        <v>46050.43568287037</v>
      </c>
      <c r="E386" s="1" t="s">
        <v>2400</v>
      </c>
      <c r="F386" s="1" t="b">
        <v>0</v>
      </c>
    </row>
    <row r="387">
      <c r="A387" s="1" t="s">
        <v>1886</v>
      </c>
      <c r="B387" s="1" t="s">
        <v>2042</v>
      </c>
      <c r="C387" s="1" t="s">
        <v>1888</v>
      </c>
      <c r="D387" s="2">
        <v>46050.442141203705</v>
      </c>
      <c r="F387" s="1" t="b">
        <v>0</v>
      </c>
    </row>
    <row r="388">
      <c r="A388" s="1" t="s">
        <v>1886</v>
      </c>
      <c r="B388" s="1" t="s">
        <v>2042</v>
      </c>
      <c r="C388" s="1" t="s">
        <v>1888</v>
      </c>
      <c r="D388" s="2">
        <v>46050.44265046297</v>
      </c>
      <c r="F388" s="1" t="b">
        <v>0</v>
      </c>
    </row>
    <row r="389">
      <c r="A389" s="1" t="s">
        <v>1886</v>
      </c>
      <c r="B389" s="1" t="s">
        <v>2046</v>
      </c>
      <c r="C389" s="1">
        <v>271857.0</v>
      </c>
      <c r="D389" s="2">
        <v>46050.44268518518</v>
      </c>
      <c r="E389" s="1" t="s">
        <v>2401</v>
      </c>
      <c r="F389" s="1" t="b">
        <v>1</v>
      </c>
    </row>
    <row r="390">
      <c r="A390" s="1" t="s">
        <v>1886</v>
      </c>
      <c r="B390" s="1" t="s">
        <v>2046</v>
      </c>
      <c r="C390" s="1">
        <v>574085.0</v>
      </c>
      <c r="D390" s="2">
        <v>46050.44903935185</v>
      </c>
      <c r="E390" s="1" t="s">
        <v>2402</v>
      </c>
      <c r="F390" s="1" t="b">
        <v>1</v>
      </c>
    </row>
    <row r="391">
      <c r="A391" s="1" t="s">
        <v>1886</v>
      </c>
      <c r="B391" s="1" t="s">
        <v>2046</v>
      </c>
      <c r="C391" s="1">
        <v>574085.0</v>
      </c>
      <c r="D391" s="2">
        <v>46050.45265046296</v>
      </c>
      <c r="E391" s="1" t="s">
        <v>2403</v>
      </c>
      <c r="F391" s="1" t="b">
        <v>0</v>
      </c>
    </row>
    <row r="392">
      <c r="A392" s="1" t="s">
        <v>1886</v>
      </c>
      <c r="B392" s="1" t="s">
        <v>2042</v>
      </c>
      <c r="C392" s="1" t="s">
        <v>1888</v>
      </c>
      <c r="D392" s="2">
        <v>46050.45825231481</v>
      </c>
      <c r="E392" s="1" t="s">
        <v>2404</v>
      </c>
      <c r="F392" s="1" t="b">
        <v>0</v>
      </c>
    </row>
    <row r="393">
      <c r="A393" s="1" t="s">
        <v>1886</v>
      </c>
      <c r="B393" s="1" t="s">
        <v>2042</v>
      </c>
      <c r="C393" s="1" t="s">
        <v>1888</v>
      </c>
      <c r="D393" s="2">
        <v>46050.45836805556</v>
      </c>
      <c r="E393" s="1" t="s">
        <v>2405</v>
      </c>
      <c r="F393" s="1" t="b">
        <v>0</v>
      </c>
    </row>
    <row r="394">
      <c r="A394" s="1" t="s">
        <v>1886</v>
      </c>
      <c r="B394" s="1" t="s">
        <v>2042</v>
      </c>
      <c r="C394" s="1" t="s">
        <v>1888</v>
      </c>
      <c r="D394" s="2">
        <v>46050.45847222222</v>
      </c>
      <c r="E394" s="1" t="s">
        <v>2302</v>
      </c>
      <c r="F394" s="1" t="b">
        <v>0</v>
      </c>
    </row>
    <row r="395">
      <c r="A395" s="1" t="s">
        <v>1886</v>
      </c>
      <c r="B395" s="1" t="s">
        <v>2046</v>
      </c>
      <c r="C395" s="1">
        <v>574085.0</v>
      </c>
      <c r="D395" s="2">
        <v>46050.461331018516</v>
      </c>
      <c r="E395" s="1" t="s">
        <v>2406</v>
      </c>
      <c r="F395" s="1" t="b">
        <v>0</v>
      </c>
    </row>
    <row r="396">
      <c r="A396" s="1" t="s">
        <v>1886</v>
      </c>
      <c r="B396" s="1" t="s">
        <v>2046</v>
      </c>
      <c r="C396" s="1">
        <v>574085.0</v>
      </c>
      <c r="D396" s="2">
        <v>46050.46362268519</v>
      </c>
      <c r="E396" s="1" t="s">
        <v>2407</v>
      </c>
      <c r="F396" s="1" t="b">
        <v>1</v>
      </c>
    </row>
    <row r="397">
      <c r="A397" s="1" t="s">
        <v>1882</v>
      </c>
      <c r="B397" s="1" t="s">
        <v>2042</v>
      </c>
      <c r="C397" s="1" t="s">
        <v>1884</v>
      </c>
      <c r="D397" s="2">
        <v>46050.438159722224</v>
      </c>
      <c r="E397" s="1" t="s">
        <v>2408</v>
      </c>
      <c r="F397" s="1" t="b">
        <v>0</v>
      </c>
    </row>
    <row r="398">
      <c r="A398" s="1" t="s">
        <v>1882</v>
      </c>
      <c r="B398" s="1" t="s">
        <v>2042</v>
      </c>
      <c r="C398" s="1" t="s">
        <v>1884</v>
      </c>
      <c r="D398" s="2">
        <v>46051.42833333334</v>
      </c>
      <c r="E398" s="1" t="s">
        <v>2409</v>
      </c>
      <c r="F398" s="1" t="b">
        <v>0</v>
      </c>
    </row>
    <row r="399">
      <c r="A399" s="1" t="s">
        <v>1878</v>
      </c>
      <c r="B399" s="1" t="s">
        <v>2042</v>
      </c>
      <c r="C399" s="1" t="s">
        <v>1880</v>
      </c>
      <c r="D399" s="2">
        <v>46050.46055555555</v>
      </c>
      <c r="E399" s="1" t="s">
        <v>2410</v>
      </c>
      <c r="F399" s="1" t="b">
        <v>0</v>
      </c>
    </row>
    <row r="400">
      <c r="A400" s="1" t="s">
        <v>1878</v>
      </c>
      <c r="B400" s="1" t="s">
        <v>2042</v>
      </c>
      <c r="C400" s="1" t="s">
        <v>1880</v>
      </c>
      <c r="D400" s="2">
        <v>46050.46076388889</v>
      </c>
      <c r="E400" s="1" t="s">
        <v>2411</v>
      </c>
      <c r="F400" s="1" t="b">
        <v>0</v>
      </c>
    </row>
    <row r="401">
      <c r="A401" s="1" t="s">
        <v>1878</v>
      </c>
      <c r="B401" s="1" t="s">
        <v>2042</v>
      </c>
      <c r="C401" s="1" t="s">
        <v>1880</v>
      </c>
      <c r="D401" s="2">
        <v>46050.46108796296</v>
      </c>
      <c r="E401" s="1" t="s">
        <v>2412</v>
      </c>
      <c r="F401" s="1" t="b">
        <v>0</v>
      </c>
    </row>
    <row r="402">
      <c r="A402" s="1" t="s">
        <v>1878</v>
      </c>
      <c r="B402" s="1" t="s">
        <v>2042</v>
      </c>
      <c r="C402" s="1" t="s">
        <v>1880</v>
      </c>
      <c r="D402" s="2">
        <v>46050.46175925926</v>
      </c>
      <c r="E402" s="1" t="s">
        <v>2413</v>
      </c>
      <c r="F402" s="1" t="b">
        <v>0</v>
      </c>
    </row>
    <row r="403">
      <c r="A403" s="1" t="s">
        <v>1878</v>
      </c>
      <c r="B403" s="1" t="s">
        <v>2042</v>
      </c>
      <c r="C403" s="1" t="s">
        <v>1880</v>
      </c>
      <c r="D403" s="2">
        <v>46050.462326388886</v>
      </c>
      <c r="E403" s="1" t="s">
        <v>2414</v>
      </c>
      <c r="F403" s="1" t="b">
        <v>0</v>
      </c>
    </row>
    <row r="404">
      <c r="A404" s="1" t="s">
        <v>1878</v>
      </c>
      <c r="B404" s="1" t="s">
        <v>2042</v>
      </c>
      <c r="C404" s="1" t="s">
        <v>1880</v>
      </c>
      <c r="D404" s="2">
        <v>46050.46304398148</v>
      </c>
      <c r="E404" s="1" t="s">
        <v>2415</v>
      </c>
      <c r="F404" s="1" t="b">
        <v>0</v>
      </c>
    </row>
    <row r="405">
      <c r="A405" s="1" t="s">
        <v>1878</v>
      </c>
      <c r="B405" s="1" t="s">
        <v>2042</v>
      </c>
      <c r="C405" s="1" t="s">
        <v>1880</v>
      </c>
      <c r="D405" s="2">
        <v>46050.463738425926</v>
      </c>
      <c r="E405" s="1" t="s">
        <v>2416</v>
      </c>
      <c r="F405" s="1" t="b">
        <v>0</v>
      </c>
    </row>
    <row r="406">
      <c r="A406" s="1" t="s">
        <v>1878</v>
      </c>
      <c r="B406" s="1" t="s">
        <v>2046</v>
      </c>
      <c r="C406" s="1">
        <v>574085.0</v>
      </c>
      <c r="D406" s="2">
        <v>46050.46429398148</v>
      </c>
      <c r="E406" s="1" t="s">
        <v>2417</v>
      </c>
      <c r="F406" s="1" t="b">
        <v>0</v>
      </c>
    </row>
    <row r="407">
      <c r="A407" s="1" t="s">
        <v>1878</v>
      </c>
      <c r="B407" s="1" t="s">
        <v>2042</v>
      </c>
      <c r="C407" s="1" t="s">
        <v>1880</v>
      </c>
      <c r="D407" s="2">
        <v>46050.46445601852</v>
      </c>
      <c r="E407" s="1" t="s">
        <v>2418</v>
      </c>
      <c r="F407" s="1" t="b">
        <v>0</v>
      </c>
    </row>
    <row r="408">
      <c r="A408" s="1" t="s">
        <v>1873</v>
      </c>
      <c r="B408" s="1" t="s">
        <v>2042</v>
      </c>
      <c r="C408" s="1" t="s">
        <v>1875</v>
      </c>
      <c r="D408" s="2">
        <v>46050.466099537036</v>
      </c>
      <c r="E408" s="1" t="s">
        <v>2419</v>
      </c>
      <c r="F408" s="1" t="b">
        <v>0</v>
      </c>
    </row>
    <row r="409">
      <c r="A409" s="1" t="s">
        <v>1873</v>
      </c>
      <c r="B409" s="1" t="s">
        <v>2042</v>
      </c>
      <c r="C409" s="1" t="s">
        <v>1875</v>
      </c>
      <c r="D409" s="2">
        <v>46050.466215277775</v>
      </c>
      <c r="E409" s="1" t="s">
        <v>2420</v>
      </c>
      <c r="F409" s="1" t="b">
        <v>0</v>
      </c>
    </row>
    <row r="410">
      <c r="A410" s="1" t="s">
        <v>1873</v>
      </c>
      <c r="B410" s="1" t="s">
        <v>2046</v>
      </c>
      <c r="C410" s="1">
        <v>574085.0</v>
      </c>
      <c r="D410" s="2">
        <v>46050.485625</v>
      </c>
      <c r="E410" s="1" t="s">
        <v>2421</v>
      </c>
      <c r="F410" s="1" t="b">
        <v>0</v>
      </c>
    </row>
    <row r="411">
      <c r="A411" s="1" t="s">
        <v>1873</v>
      </c>
      <c r="B411" s="1" t="s">
        <v>2046</v>
      </c>
      <c r="C411" s="1">
        <v>574085.0</v>
      </c>
      <c r="D411" s="2">
        <v>46050.4871875</v>
      </c>
      <c r="E411" s="1" t="s">
        <v>2422</v>
      </c>
      <c r="F411" s="1" t="b">
        <v>0</v>
      </c>
    </row>
    <row r="412">
      <c r="A412" s="1" t="s">
        <v>1873</v>
      </c>
      <c r="B412" s="1" t="s">
        <v>2042</v>
      </c>
      <c r="C412" s="1" t="s">
        <v>1875</v>
      </c>
      <c r="D412" s="2">
        <v>46051.781122685185</v>
      </c>
      <c r="E412" s="1" t="s">
        <v>2423</v>
      </c>
      <c r="F412" s="1" t="b">
        <v>0</v>
      </c>
    </row>
    <row r="413">
      <c r="A413" s="1" t="s">
        <v>1873</v>
      </c>
      <c r="B413" s="1" t="s">
        <v>2042</v>
      </c>
      <c r="C413" s="1" t="s">
        <v>1875</v>
      </c>
      <c r="D413" s="2">
        <v>46051.7812037037</v>
      </c>
      <c r="E413" s="1" t="s">
        <v>2424</v>
      </c>
      <c r="F413" s="1" t="b">
        <v>0</v>
      </c>
    </row>
    <row r="414">
      <c r="A414" s="1" t="s">
        <v>1873</v>
      </c>
      <c r="B414" s="1" t="s">
        <v>2046</v>
      </c>
      <c r="C414" s="1">
        <v>574085.0</v>
      </c>
      <c r="D414" s="2">
        <v>46051.78766203704</v>
      </c>
      <c r="E414" s="1" t="s">
        <v>2108</v>
      </c>
      <c r="F414" s="1" t="b">
        <v>0</v>
      </c>
    </row>
    <row r="415">
      <c r="A415" s="1" t="s">
        <v>1869</v>
      </c>
      <c r="B415" s="1" t="s">
        <v>2042</v>
      </c>
      <c r="C415" s="1" t="s">
        <v>1871</v>
      </c>
      <c r="D415" s="2">
        <v>46050.49217592592</v>
      </c>
      <c r="E415" s="1" t="s">
        <v>2425</v>
      </c>
      <c r="F415" s="1" t="b">
        <v>0</v>
      </c>
    </row>
    <row r="416">
      <c r="A416" s="1" t="s">
        <v>1869</v>
      </c>
      <c r="B416" s="1" t="s">
        <v>2042</v>
      </c>
      <c r="C416" s="1" t="s">
        <v>1871</v>
      </c>
      <c r="D416" s="2">
        <v>46050.49233796296</v>
      </c>
      <c r="E416" s="1" t="s">
        <v>2426</v>
      </c>
      <c r="F416" s="1" t="b">
        <v>0</v>
      </c>
    </row>
    <row r="417">
      <c r="A417" s="1" t="s">
        <v>1869</v>
      </c>
      <c r="B417" s="1" t="s">
        <v>2046</v>
      </c>
      <c r="C417" s="1">
        <v>594863.0</v>
      </c>
      <c r="D417" s="2">
        <v>46050.49796296296</v>
      </c>
      <c r="E417" s="1" t="s">
        <v>2427</v>
      </c>
      <c r="F417" s="1" t="b">
        <v>0</v>
      </c>
    </row>
    <row r="418">
      <c r="A418" s="1" t="s">
        <v>1869</v>
      </c>
      <c r="B418" s="1" t="s">
        <v>2042</v>
      </c>
      <c r="C418" s="1" t="s">
        <v>1871</v>
      </c>
      <c r="D418" s="2">
        <v>46050.503333333334</v>
      </c>
      <c r="E418" s="1" t="s">
        <v>2428</v>
      </c>
      <c r="F418" s="1" t="b">
        <v>0</v>
      </c>
    </row>
    <row r="419">
      <c r="A419" s="1" t="s">
        <v>1869</v>
      </c>
      <c r="B419" s="1" t="s">
        <v>2046</v>
      </c>
      <c r="C419" s="1">
        <v>594863.0</v>
      </c>
      <c r="D419" s="2">
        <v>46050.5059837963</v>
      </c>
      <c r="E419" s="1" t="s">
        <v>2108</v>
      </c>
      <c r="F419" s="1" t="b">
        <v>0</v>
      </c>
    </row>
    <row r="420">
      <c r="A420" s="1" t="s">
        <v>1865</v>
      </c>
      <c r="B420" s="1" t="s">
        <v>2042</v>
      </c>
      <c r="C420" s="1" t="s">
        <v>1867</v>
      </c>
      <c r="D420" s="2">
        <v>46050.49475694444</v>
      </c>
      <c r="E420" s="1" t="s">
        <v>2429</v>
      </c>
      <c r="F420" s="1" t="b">
        <v>0</v>
      </c>
    </row>
    <row r="421">
      <c r="A421" s="1" t="s">
        <v>1865</v>
      </c>
      <c r="B421" s="1" t="s">
        <v>2042</v>
      </c>
      <c r="C421" s="1" t="s">
        <v>1867</v>
      </c>
      <c r="D421" s="2">
        <v>46050.495462962965</v>
      </c>
      <c r="E421" s="1" t="s">
        <v>2430</v>
      </c>
      <c r="F421" s="1" t="b">
        <v>0</v>
      </c>
    </row>
    <row r="422">
      <c r="A422" s="1" t="s">
        <v>1865</v>
      </c>
      <c r="B422" s="1" t="s">
        <v>2042</v>
      </c>
      <c r="C422" s="1" t="s">
        <v>1867</v>
      </c>
      <c r="D422" s="2">
        <v>46050.49637731481</v>
      </c>
      <c r="E422" s="1" t="s">
        <v>2431</v>
      </c>
      <c r="F422" s="1" t="b">
        <v>0</v>
      </c>
    </row>
    <row r="423">
      <c r="A423" s="1" t="s">
        <v>1865</v>
      </c>
      <c r="B423" s="1" t="s">
        <v>2042</v>
      </c>
      <c r="C423" s="1" t="s">
        <v>1867</v>
      </c>
      <c r="D423" s="2">
        <v>46050.49704861111</v>
      </c>
      <c r="E423" s="1" t="s">
        <v>2432</v>
      </c>
      <c r="F423" s="1" t="b">
        <v>0</v>
      </c>
    </row>
    <row r="424">
      <c r="A424" s="1" t="s">
        <v>1861</v>
      </c>
      <c r="B424" s="1" t="s">
        <v>2042</v>
      </c>
      <c r="C424" s="1" t="s">
        <v>1863</v>
      </c>
      <c r="D424" s="2">
        <v>46050.52260416667</v>
      </c>
      <c r="E424" s="1" t="s">
        <v>2433</v>
      </c>
      <c r="F424" s="1" t="b">
        <v>0</v>
      </c>
    </row>
    <row r="425">
      <c r="A425" s="1" t="s">
        <v>1861</v>
      </c>
      <c r="B425" s="1" t="s">
        <v>2042</v>
      </c>
      <c r="C425" s="1" t="s">
        <v>1863</v>
      </c>
      <c r="D425" s="2">
        <v>46050.52332175926</v>
      </c>
      <c r="E425" s="1" t="s">
        <v>2434</v>
      </c>
      <c r="F425" s="1" t="b">
        <v>0</v>
      </c>
    </row>
    <row r="426">
      <c r="A426" s="1" t="s">
        <v>1857</v>
      </c>
      <c r="B426" s="1" t="s">
        <v>2042</v>
      </c>
      <c r="C426" s="1" t="s">
        <v>1505</v>
      </c>
      <c r="D426" s="2">
        <v>46050.534583333334</v>
      </c>
      <c r="E426" s="1" t="s">
        <v>2435</v>
      </c>
      <c r="F426" s="1" t="b">
        <v>0</v>
      </c>
    </row>
    <row r="427">
      <c r="A427" s="1" t="s">
        <v>1857</v>
      </c>
      <c r="B427" s="1" t="s">
        <v>2046</v>
      </c>
      <c r="C427" s="1">
        <v>574085.0</v>
      </c>
      <c r="D427" s="2">
        <v>46050.567557870374</v>
      </c>
      <c r="E427" s="1" t="s">
        <v>2436</v>
      </c>
      <c r="F427" s="1" t="b">
        <v>1</v>
      </c>
    </row>
    <row r="428">
      <c r="A428" s="1" t="s">
        <v>1857</v>
      </c>
      <c r="B428" s="1" t="s">
        <v>2046</v>
      </c>
      <c r="C428" s="1">
        <v>506375.0</v>
      </c>
      <c r="D428" s="2">
        <v>46050.578356481485</v>
      </c>
      <c r="E428" s="1" t="s">
        <v>2437</v>
      </c>
      <c r="F428" s="1" t="b">
        <v>1</v>
      </c>
    </row>
    <row r="429">
      <c r="A429" s="1" t="s">
        <v>1857</v>
      </c>
      <c r="B429" s="1" t="s">
        <v>2150</v>
      </c>
      <c r="C429" s="1" t="s">
        <v>2151</v>
      </c>
      <c r="D429" s="2">
        <v>46050.57842592592</v>
      </c>
      <c r="E429" s="1" t="s">
        <v>2438</v>
      </c>
      <c r="F429" s="1" t="b">
        <v>1</v>
      </c>
    </row>
    <row r="430">
      <c r="A430" s="1" t="s">
        <v>1857</v>
      </c>
      <c r="B430" s="1" t="s">
        <v>2046</v>
      </c>
      <c r="C430" s="1">
        <v>506375.0</v>
      </c>
      <c r="D430" s="2">
        <v>46050.58199074074</v>
      </c>
      <c r="E430" s="1" t="s">
        <v>2439</v>
      </c>
      <c r="F430" s="1" t="b">
        <v>0</v>
      </c>
    </row>
    <row r="431">
      <c r="A431" s="1" t="s">
        <v>1857</v>
      </c>
      <c r="B431" s="1" t="s">
        <v>2046</v>
      </c>
      <c r="C431" s="1">
        <v>506375.0</v>
      </c>
      <c r="D431" s="2">
        <v>46050.58215277778</v>
      </c>
      <c r="F431" s="1" t="b">
        <v>0</v>
      </c>
    </row>
    <row r="432">
      <c r="A432" s="1" t="s">
        <v>1857</v>
      </c>
      <c r="B432" s="1" t="s">
        <v>2046</v>
      </c>
      <c r="C432" s="1">
        <v>506375.0</v>
      </c>
      <c r="D432" s="2">
        <v>46050.58425925926</v>
      </c>
      <c r="E432" s="1" t="s">
        <v>2440</v>
      </c>
      <c r="F432" s="1" t="b">
        <v>0</v>
      </c>
    </row>
    <row r="433">
      <c r="A433" s="1" t="s">
        <v>1857</v>
      </c>
      <c r="B433" s="1" t="s">
        <v>2042</v>
      </c>
      <c r="C433" s="1" t="s">
        <v>1505</v>
      </c>
      <c r="D433" s="2">
        <v>46050.58577546296</v>
      </c>
      <c r="E433" s="1" t="s">
        <v>2441</v>
      </c>
      <c r="F433" s="1" t="b">
        <v>0</v>
      </c>
    </row>
    <row r="434">
      <c r="A434" s="1" t="s">
        <v>1857</v>
      </c>
      <c r="B434" s="1" t="s">
        <v>2042</v>
      </c>
      <c r="C434" s="1" t="s">
        <v>1505</v>
      </c>
      <c r="D434" s="2">
        <v>46050.58604166667</v>
      </c>
      <c r="E434" s="1" t="s">
        <v>2442</v>
      </c>
      <c r="F434" s="1" t="b">
        <v>0</v>
      </c>
    </row>
    <row r="435">
      <c r="A435" s="1" t="s">
        <v>1857</v>
      </c>
      <c r="B435" s="1" t="s">
        <v>2046</v>
      </c>
      <c r="C435" s="1">
        <v>506375.0</v>
      </c>
      <c r="D435" s="2">
        <v>46050.591631944444</v>
      </c>
      <c r="E435" s="1" t="s">
        <v>2443</v>
      </c>
      <c r="F435" s="1" t="b">
        <v>0</v>
      </c>
    </row>
    <row r="436">
      <c r="A436" s="1" t="s">
        <v>1857</v>
      </c>
      <c r="B436" s="1" t="s">
        <v>2042</v>
      </c>
      <c r="C436" s="1" t="s">
        <v>1505</v>
      </c>
      <c r="D436" s="2">
        <v>46050.60637731481</v>
      </c>
      <c r="E436" s="1" t="s">
        <v>2444</v>
      </c>
      <c r="F436" s="1" t="b">
        <v>0</v>
      </c>
    </row>
    <row r="437">
      <c r="A437" s="1" t="s">
        <v>1857</v>
      </c>
      <c r="B437" s="1" t="s">
        <v>2042</v>
      </c>
      <c r="C437" s="1" t="s">
        <v>1505</v>
      </c>
      <c r="D437" s="2">
        <v>46050.60655092593</v>
      </c>
      <c r="E437" s="1" t="s">
        <v>2445</v>
      </c>
      <c r="F437" s="1" t="b">
        <v>0</v>
      </c>
    </row>
    <row r="438">
      <c r="A438" s="1" t="s">
        <v>1857</v>
      </c>
      <c r="B438" s="1" t="s">
        <v>2046</v>
      </c>
      <c r="C438" s="1">
        <v>506375.0</v>
      </c>
      <c r="D438" s="2">
        <v>46050.61384259259</v>
      </c>
      <c r="E438" s="1" t="s">
        <v>2446</v>
      </c>
      <c r="F438" s="1" t="b">
        <v>0</v>
      </c>
    </row>
    <row r="439">
      <c r="A439" s="1" t="s">
        <v>1857</v>
      </c>
      <c r="B439" s="1" t="s">
        <v>2046</v>
      </c>
      <c r="C439" s="1">
        <v>506375.0</v>
      </c>
      <c r="D439" s="2">
        <v>46052.488483796296</v>
      </c>
      <c r="E439" s="1" t="s">
        <v>2108</v>
      </c>
      <c r="F439" s="1" t="b">
        <v>0</v>
      </c>
    </row>
    <row r="440">
      <c r="A440" s="1" t="s">
        <v>1853</v>
      </c>
      <c r="B440" s="1" t="s">
        <v>2042</v>
      </c>
      <c r="C440" s="1" t="s">
        <v>1855</v>
      </c>
      <c r="D440" s="2">
        <v>46050.57828703704</v>
      </c>
      <c r="E440" s="1" t="s">
        <v>2447</v>
      </c>
      <c r="F440" s="1" t="b">
        <v>0</v>
      </c>
    </row>
    <row r="441">
      <c r="A441" s="1" t="s">
        <v>1853</v>
      </c>
      <c r="B441" s="1" t="s">
        <v>2046</v>
      </c>
      <c r="C441" s="1">
        <v>506375.0</v>
      </c>
      <c r="D441" s="2">
        <v>46050.58841435185</v>
      </c>
      <c r="E441" s="1" t="s">
        <v>2448</v>
      </c>
      <c r="F441" s="1" t="b">
        <v>1</v>
      </c>
    </row>
    <row r="442">
      <c r="A442" s="1" t="s">
        <v>1853</v>
      </c>
      <c r="B442" s="1" t="s">
        <v>2150</v>
      </c>
      <c r="C442" s="1" t="s">
        <v>2151</v>
      </c>
      <c r="D442" s="2">
        <v>46050.58849537037</v>
      </c>
      <c r="E442" s="1" t="s">
        <v>2449</v>
      </c>
      <c r="F442" s="1" t="b">
        <v>1</v>
      </c>
    </row>
    <row r="443">
      <c r="A443" s="1" t="s">
        <v>1853</v>
      </c>
      <c r="B443" s="1" t="s">
        <v>2046</v>
      </c>
      <c r="C443" s="1">
        <v>506375.0</v>
      </c>
      <c r="D443" s="2">
        <v>46050.58859953703</v>
      </c>
      <c r="E443" s="1" t="s">
        <v>2450</v>
      </c>
      <c r="F443" s="1" t="b">
        <v>1</v>
      </c>
    </row>
    <row r="444">
      <c r="A444" s="1" t="s">
        <v>1853</v>
      </c>
      <c r="B444" s="1" t="s">
        <v>2150</v>
      </c>
      <c r="C444" s="1" t="s">
        <v>2151</v>
      </c>
      <c r="D444" s="2">
        <v>46050.588738425926</v>
      </c>
      <c r="E444" s="1" t="s">
        <v>2451</v>
      </c>
      <c r="F444" s="1" t="b">
        <v>1</v>
      </c>
    </row>
    <row r="445">
      <c r="A445" s="1" t="s">
        <v>1853</v>
      </c>
      <c r="B445" s="1" t="s">
        <v>2046</v>
      </c>
      <c r="C445" s="1">
        <v>506375.0</v>
      </c>
      <c r="D445" s="2">
        <v>46050.58951388889</v>
      </c>
      <c r="E445" s="1" t="s">
        <v>2452</v>
      </c>
      <c r="F445" s="1" t="b">
        <v>0</v>
      </c>
    </row>
    <row r="446">
      <c r="A446" s="1" t="s">
        <v>1853</v>
      </c>
      <c r="B446" s="1" t="s">
        <v>2046</v>
      </c>
      <c r="C446" s="1">
        <v>506375.0</v>
      </c>
      <c r="D446" s="2">
        <v>46050.589641203704</v>
      </c>
      <c r="E446" s="1" t="s">
        <v>2453</v>
      </c>
      <c r="F446" s="1" t="b">
        <v>1</v>
      </c>
    </row>
    <row r="447">
      <c r="A447" s="1" t="s">
        <v>1853</v>
      </c>
      <c r="B447" s="1" t="s">
        <v>2042</v>
      </c>
      <c r="C447" s="1" t="s">
        <v>1855</v>
      </c>
      <c r="D447" s="2">
        <v>46050.59307870371</v>
      </c>
      <c r="E447" s="1" t="s">
        <v>2063</v>
      </c>
      <c r="F447" s="1" t="b">
        <v>0</v>
      </c>
    </row>
    <row r="448">
      <c r="A448" s="1" t="s">
        <v>1849</v>
      </c>
      <c r="B448" s="1" t="s">
        <v>2042</v>
      </c>
      <c r="C448" s="1" t="s">
        <v>1851</v>
      </c>
      <c r="D448" s="2">
        <v>46050.58645833333</v>
      </c>
      <c r="E448" s="1" t="s">
        <v>2454</v>
      </c>
      <c r="F448" s="1" t="b">
        <v>0</v>
      </c>
    </row>
    <row r="449">
      <c r="A449" s="1" t="s">
        <v>1845</v>
      </c>
      <c r="B449" s="1" t="s">
        <v>2042</v>
      </c>
      <c r="C449" s="1" t="s">
        <v>1847</v>
      </c>
      <c r="D449" s="2">
        <v>46050.60091435185</v>
      </c>
      <c r="E449" s="1" t="s">
        <v>2455</v>
      </c>
      <c r="F449" s="1" t="b">
        <v>0</v>
      </c>
    </row>
    <row r="450">
      <c r="A450" s="1" t="s">
        <v>1845</v>
      </c>
      <c r="B450" s="1" t="s">
        <v>2046</v>
      </c>
      <c r="C450" s="1">
        <v>594863.0</v>
      </c>
      <c r="D450" s="2">
        <v>46050.61011574074</v>
      </c>
      <c r="E450" s="1" t="s">
        <v>2456</v>
      </c>
      <c r="F450" s="1" t="b">
        <v>0</v>
      </c>
    </row>
    <row r="451">
      <c r="A451" s="1" t="s">
        <v>1845</v>
      </c>
      <c r="B451" s="1" t="s">
        <v>2042</v>
      </c>
      <c r="C451" s="1" t="s">
        <v>1847</v>
      </c>
      <c r="D451" s="2">
        <v>46050.61325231481</v>
      </c>
      <c r="E451" s="1" t="s">
        <v>2457</v>
      </c>
      <c r="F451" s="1" t="b">
        <v>0</v>
      </c>
    </row>
    <row r="452">
      <c r="A452" s="1" t="s">
        <v>1845</v>
      </c>
      <c r="B452" s="1" t="s">
        <v>2046</v>
      </c>
      <c r="C452" s="1">
        <v>594863.0</v>
      </c>
      <c r="D452" s="2">
        <v>46050.63009259259</v>
      </c>
      <c r="E452" s="1" t="s">
        <v>2458</v>
      </c>
      <c r="F452" s="1" t="b">
        <v>0</v>
      </c>
    </row>
    <row r="453">
      <c r="A453" s="1" t="s">
        <v>1845</v>
      </c>
      <c r="B453" s="1" t="s">
        <v>2042</v>
      </c>
      <c r="C453" s="1" t="s">
        <v>1847</v>
      </c>
      <c r="D453" s="2">
        <v>46050.636608796296</v>
      </c>
      <c r="E453" s="1" t="s">
        <v>2459</v>
      </c>
      <c r="F453" s="1" t="b">
        <v>0</v>
      </c>
    </row>
    <row r="454">
      <c r="A454" s="1" t="s">
        <v>1845</v>
      </c>
      <c r="B454" s="1" t="s">
        <v>2046</v>
      </c>
      <c r="C454" s="1">
        <v>594863.0</v>
      </c>
      <c r="D454" s="2">
        <v>46050.646365740744</v>
      </c>
      <c r="E454" s="1" t="s">
        <v>2460</v>
      </c>
      <c r="F454" s="1" t="b">
        <v>0</v>
      </c>
    </row>
    <row r="455">
      <c r="A455" s="1" t="s">
        <v>1845</v>
      </c>
      <c r="B455" s="1" t="s">
        <v>2046</v>
      </c>
      <c r="C455" s="1">
        <v>594863.0</v>
      </c>
      <c r="D455" s="2">
        <v>46051.578877314816</v>
      </c>
      <c r="E455" s="1" t="s">
        <v>2108</v>
      </c>
      <c r="F455" s="1" t="b">
        <v>0</v>
      </c>
    </row>
    <row r="456">
      <c r="A456" s="1" t="s">
        <v>1843</v>
      </c>
      <c r="B456" s="1" t="s">
        <v>2042</v>
      </c>
      <c r="C456" s="1" t="s">
        <v>1761</v>
      </c>
      <c r="D456" s="2">
        <v>46050.60681712963</v>
      </c>
      <c r="E456" s="1" t="s">
        <v>2461</v>
      </c>
      <c r="F456" s="1" t="b">
        <v>0</v>
      </c>
    </row>
    <row r="457">
      <c r="A457" s="1" t="s">
        <v>1843</v>
      </c>
      <c r="B457" s="1" t="s">
        <v>2046</v>
      </c>
      <c r="C457" s="1">
        <v>594863.0</v>
      </c>
      <c r="D457" s="2">
        <v>46050.62452546296</v>
      </c>
      <c r="E457" s="1" t="s">
        <v>2462</v>
      </c>
      <c r="F457" s="1" t="b">
        <v>0</v>
      </c>
    </row>
    <row r="458">
      <c r="A458" s="1" t="s">
        <v>1843</v>
      </c>
      <c r="B458" s="1" t="s">
        <v>2046</v>
      </c>
      <c r="C458" s="1">
        <v>594863.0</v>
      </c>
      <c r="D458" s="2">
        <v>46051.57946759259</v>
      </c>
      <c r="E458" s="1" t="s">
        <v>2463</v>
      </c>
      <c r="F458" s="1" t="b">
        <v>0</v>
      </c>
    </row>
    <row r="459">
      <c r="A459" s="1" t="s">
        <v>1839</v>
      </c>
      <c r="B459" s="1" t="s">
        <v>2042</v>
      </c>
      <c r="C459" s="1" t="s">
        <v>1841</v>
      </c>
      <c r="D459" s="2">
        <v>46050.611759259256</v>
      </c>
      <c r="E459" s="1" t="s">
        <v>2464</v>
      </c>
      <c r="F459" s="1" t="b">
        <v>0</v>
      </c>
    </row>
    <row r="460">
      <c r="A460" s="1" t="s">
        <v>1839</v>
      </c>
      <c r="B460" s="1" t="s">
        <v>2042</v>
      </c>
      <c r="C460" s="1" t="s">
        <v>1841</v>
      </c>
      <c r="D460" s="2">
        <v>46050.6121875</v>
      </c>
      <c r="E460" s="1" t="s">
        <v>2465</v>
      </c>
      <c r="F460" s="1" t="b">
        <v>0</v>
      </c>
    </row>
    <row r="461">
      <c r="A461" s="1" t="s">
        <v>1839</v>
      </c>
      <c r="B461" s="1" t="s">
        <v>2042</v>
      </c>
      <c r="C461" s="1" t="s">
        <v>1841</v>
      </c>
      <c r="D461" s="2">
        <v>46050.61325231481</v>
      </c>
      <c r="E461" s="1" t="s">
        <v>2466</v>
      </c>
      <c r="F461" s="1" t="b">
        <v>0</v>
      </c>
    </row>
    <row r="462">
      <c r="A462" s="1" t="s">
        <v>1502</v>
      </c>
      <c r="B462" s="1" t="s">
        <v>2150</v>
      </c>
      <c r="C462" s="1">
        <v>81559.0</v>
      </c>
      <c r="D462" s="2">
        <v>46050.61418981481</v>
      </c>
      <c r="E462" s="1" t="s">
        <v>2467</v>
      </c>
      <c r="F462" s="1" t="b">
        <v>1</v>
      </c>
    </row>
    <row r="463">
      <c r="A463" s="1" t="s">
        <v>1834</v>
      </c>
      <c r="B463" s="1" t="s">
        <v>2042</v>
      </c>
      <c r="C463" s="1" t="s">
        <v>2468</v>
      </c>
      <c r="D463" s="2">
        <v>46050.61996527778</v>
      </c>
      <c r="E463" s="1" t="s">
        <v>2469</v>
      </c>
      <c r="F463" s="1" t="b">
        <v>0</v>
      </c>
    </row>
    <row r="464">
      <c r="A464" s="1" t="s">
        <v>1834</v>
      </c>
      <c r="B464" s="1" t="s">
        <v>2046</v>
      </c>
      <c r="C464" s="1">
        <v>506375.0</v>
      </c>
      <c r="D464" s="2">
        <v>46050.63076388889</v>
      </c>
      <c r="E464" s="1" t="s">
        <v>2470</v>
      </c>
      <c r="F464" s="1" t="b">
        <v>0</v>
      </c>
    </row>
    <row r="465">
      <c r="A465" s="1" t="s">
        <v>1834</v>
      </c>
      <c r="B465" s="1" t="s">
        <v>2046</v>
      </c>
      <c r="C465" s="1">
        <v>506375.0</v>
      </c>
      <c r="D465" s="2">
        <v>46050.738587962966</v>
      </c>
      <c r="E465" s="1" t="s">
        <v>2471</v>
      </c>
      <c r="F465" s="1" t="b">
        <v>1</v>
      </c>
    </row>
    <row r="466">
      <c r="A466" s="1" t="s">
        <v>1834</v>
      </c>
      <c r="B466" s="1" t="s">
        <v>2150</v>
      </c>
      <c r="C466" s="1" t="s">
        <v>2151</v>
      </c>
      <c r="D466" s="2">
        <v>46050.738657407404</v>
      </c>
      <c r="E466" s="1" t="s">
        <v>2472</v>
      </c>
      <c r="F466" s="1" t="b">
        <v>1</v>
      </c>
    </row>
    <row r="467">
      <c r="A467" s="1" t="s">
        <v>1834</v>
      </c>
      <c r="B467" s="1" t="s">
        <v>2046</v>
      </c>
      <c r="C467" s="1">
        <v>506375.0</v>
      </c>
      <c r="D467" s="2">
        <v>46050.7387962963</v>
      </c>
      <c r="E467" s="1" t="s">
        <v>2472</v>
      </c>
      <c r="F467" s="1" t="b">
        <v>0</v>
      </c>
    </row>
    <row r="468">
      <c r="A468" s="1" t="s">
        <v>1829</v>
      </c>
      <c r="B468" s="1" t="s">
        <v>2042</v>
      </c>
      <c r="C468" s="1" t="s">
        <v>2473</v>
      </c>
      <c r="D468" s="2">
        <v>46050.62207175926</v>
      </c>
      <c r="E468" s="1" t="s">
        <v>2474</v>
      </c>
      <c r="F468" s="1" t="b">
        <v>0</v>
      </c>
    </row>
    <row r="469">
      <c r="A469" s="1" t="s">
        <v>1829</v>
      </c>
      <c r="B469" s="1" t="s">
        <v>2046</v>
      </c>
      <c r="C469" s="1">
        <v>506375.0</v>
      </c>
      <c r="D469" s="2">
        <v>46050.63394675926</v>
      </c>
      <c r="E469" s="1" t="s">
        <v>2475</v>
      </c>
      <c r="F469" s="1" t="b">
        <v>0</v>
      </c>
    </row>
    <row r="470">
      <c r="A470" s="1" t="s">
        <v>1829</v>
      </c>
      <c r="B470" s="1" t="s">
        <v>2042</v>
      </c>
      <c r="C470" s="1" t="s">
        <v>2473</v>
      </c>
      <c r="D470" s="2">
        <v>46050.634097222224</v>
      </c>
      <c r="E470" s="1" t="s">
        <v>2476</v>
      </c>
      <c r="F470" s="1" t="b">
        <v>0</v>
      </c>
    </row>
    <row r="471">
      <c r="A471" s="1" t="s">
        <v>1829</v>
      </c>
      <c r="B471" s="1" t="s">
        <v>2046</v>
      </c>
      <c r="C471" s="1">
        <v>506375.0</v>
      </c>
      <c r="D471" s="2">
        <v>46050.648981481485</v>
      </c>
      <c r="E471" s="1" t="s">
        <v>2477</v>
      </c>
      <c r="F471" s="1" t="b">
        <v>0</v>
      </c>
    </row>
    <row r="472">
      <c r="A472" s="1" t="s">
        <v>1829</v>
      </c>
      <c r="B472" s="1" t="s">
        <v>2046</v>
      </c>
      <c r="C472" s="1">
        <v>574085.0</v>
      </c>
      <c r="D472" s="2">
        <v>46050.65959490741</v>
      </c>
      <c r="E472" s="1" t="s">
        <v>2478</v>
      </c>
      <c r="F472" s="1" t="b">
        <v>1</v>
      </c>
    </row>
    <row r="473">
      <c r="A473" s="1" t="s">
        <v>1829</v>
      </c>
      <c r="B473" s="1" t="s">
        <v>2046</v>
      </c>
      <c r="C473" s="1">
        <v>574085.0</v>
      </c>
      <c r="D473" s="2">
        <v>46050.66179398148</v>
      </c>
      <c r="E473" s="1" t="s">
        <v>2479</v>
      </c>
      <c r="F473" s="1" t="b">
        <v>1</v>
      </c>
    </row>
    <row r="474">
      <c r="A474" s="1" t="s">
        <v>1829</v>
      </c>
      <c r="B474" s="1" t="s">
        <v>2046</v>
      </c>
      <c r="C474" s="1">
        <v>574085.0</v>
      </c>
      <c r="D474" s="2">
        <v>46050.68386574074</v>
      </c>
      <c r="E474" s="1" t="s">
        <v>2480</v>
      </c>
      <c r="F474" s="1" t="b">
        <v>1</v>
      </c>
    </row>
    <row r="475">
      <c r="A475" s="1" t="s">
        <v>1829</v>
      </c>
      <c r="B475" s="1" t="s">
        <v>2150</v>
      </c>
      <c r="C475" s="1" t="s">
        <v>2151</v>
      </c>
      <c r="D475" s="2">
        <v>46050.68407407407</v>
      </c>
      <c r="E475" s="1" t="s">
        <v>2481</v>
      </c>
      <c r="F475" s="1" t="b">
        <v>1</v>
      </c>
    </row>
    <row r="476">
      <c r="A476" s="1" t="s">
        <v>1829</v>
      </c>
      <c r="B476" s="1" t="s">
        <v>2046</v>
      </c>
      <c r="C476" s="1">
        <v>574085.0</v>
      </c>
      <c r="D476" s="2">
        <v>46050.68787037037</v>
      </c>
      <c r="E476" s="1" t="s">
        <v>2482</v>
      </c>
      <c r="F476" s="1" t="b">
        <v>0</v>
      </c>
    </row>
    <row r="477">
      <c r="A477" s="1" t="s">
        <v>1827</v>
      </c>
      <c r="B477" s="1" t="s">
        <v>2042</v>
      </c>
      <c r="C477" s="1" t="s">
        <v>2483</v>
      </c>
      <c r="D477" s="2">
        <v>46050.63825231481</v>
      </c>
      <c r="E477" s="1" t="s">
        <v>2484</v>
      </c>
      <c r="F477" s="1" t="b">
        <v>0</v>
      </c>
    </row>
    <row r="478">
      <c r="A478" s="1" t="s">
        <v>1827</v>
      </c>
      <c r="B478" s="1" t="s">
        <v>2042</v>
      </c>
      <c r="C478" s="1" t="s">
        <v>2483</v>
      </c>
      <c r="D478" s="2">
        <v>46050.63847222222</v>
      </c>
      <c r="E478" s="1" t="s">
        <v>2485</v>
      </c>
      <c r="F478" s="1" t="b">
        <v>0</v>
      </c>
    </row>
    <row r="479">
      <c r="A479" s="1" t="s">
        <v>1827</v>
      </c>
      <c r="B479" s="1" t="s">
        <v>2042</v>
      </c>
      <c r="C479" s="1" t="s">
        <v>2483</v>
      </c>
      <c r="D479" s="2">
        <v>46050.683958333335</v>
      </c>
      <c r="E479" s="1" t="s">
        <v>2070</v>
      </c>
      <c r="F479" s="1" t="b">
        <v>0</v>
      </c>
    </row>
    <row r="480">
      <c r="A480" s="1" t="s">
        <v>1822</v>
      </c>
      <c r="B480" s="1" t="s">
        <v>2042</v>
      </c>
      <c r="C480" s="1" t="s">
        <v>1825</v>
      </c>
      <c r="D480" s="2">
        <v>46050.656539351854</v>
      </c>
      <c r="E480" s="1" t="s">
        <v>2486</v>
      </c>
      <c r="F480" s="1" t="b">
        <v>0</v>
      </c>
    </row>
    <row r="481">
      <c r="A481" s="1" t="s">
        <v>1822</v>
      </c>
      <c r="B481" s="1" t="s">
        <v>2046</v>
      </c>
      <c r="C481" s="1">
        <v>574085.0</v>
      </c>
      <c r="D481" s="2">
        <v>46050.66273148148</v>
      </c>
      <c r="E481" s="1" t="s">
        <v>2487</v>
      </c>
      <c r="F481" s="1" t="b">
        <v>0</v>
      </c>
    </row>
    <row r="482">
      <c r="A482" s="1" t="s">
        <v>1822</v>
      </c>
      <c r="B482" s="1" t="s">
        <v>2042</v>
      </c>
      <c r="C482" s="1" t="s">
        <v>1825</v>
      </c>
      <c r="D482" s="2">
        <v>46050.81943287037</v>
      </c>
      <c r="E482" s="1" t="s">
        <v>2488</v>
      </c>
      <c r="F482" s="1" t="b">
        <v>0</v>
      </c>
    </row>
    <row r="483">
      <c r="A483" s="1" t="s">
        <v>1822</v>
      </c>
      <c r="B483" s="1" t="s">
        <v>2046</v>
      </c>
      <c r="C483" s="1">
        <v>574085.0</v>
      </c>
      <c r="D483" s="2">
        <v>46051.39913194445</v>
      </c>
      <c r="E483" s="1" t="s">
        <v>2489</v>
      </c>
      <c r="F483" s="1" t="b">
        <v>0</v>
      </c>
    </row>
    <row r="484">
      <c r="A484" s="1" t="s">
        <v>1822</v>
      </c>
      <c r="B484" s="1" t="s">
        <v>2042</v>
      </c>
      <c r="C484" s="1" t="s">
        <v>1825</v>
      </c>
      <c r="D484" s="2">
        <v>46052.457974537036</v>
      </c>
      <c r="E484" s="1" t="s">
        <v>2490</v>
      </c>
      <c r="F484" s="1" t="b">
        <v>0</v>
      </c>
    </row>
    <row r="485">
      <c r="A485" s="1" t="s">
        <v>1822</v>
      </c>
      <c r="B485" s="1" t="s">
        <v>2046</v>
      </c>
      <c r="C485" s="1">
        <v>506375.0</v>
      </c>
      <c r="D485" s="2">
        <v>46052.479733796295</v>
      </c>
      <c r="E485" s="1" t="s">
        <v>2108</v>
      </c>
      <c r="F485" s="1" t="b">
        <v>0</v>
      </c>
    </row>
    <row r="486">
      <c r="A486" s="1" t="s">
        <v>1818</v>
      </c>
      <c r="B486" s="1" t="s">
        <v>2042</v>
      </c>
      <c r="C486" s="1" t="s">
        <v>2483</v>
      </c>
      <c r="D486" s="2">
        <v>46050.68435185185</v>
      </c>
      <c r="E486" s="1" t="s">
        <v>2070</v>
      </c>
      <c r="F486" s="1" t="b">
        <v>0</v>
      </c>
    </row>
    <row r="487">
      <c r="A487" s="1" t="s">
        <v>1818</v>
      </c>
      <c r="B487" s="1" t="s">
        <v>2042</v>
      </c>
      <c r="C487" s="1" t="s">
        <v>2483</v>
      </c>
      <c r="D487" s="2">
        <v>46050.68449074074</v>
      </c>
      <c r="E487" s="1" t="s">
        <v>2491</v>
      </c>
      <c r="F487" s="1" t="b">
        <v>0</v>
      </c>
    </row>
    <row r="488">
      <c r="A488" s="1" t="s">
        <v>1818</v>
      </c>
      <c r="B488" s="1" t="s">
        <v>2042</v>
      </c>
      <c r="C488" s="1" t="s">
        <v>2483</v>
      </c>
      <c r="D488" s="2">
        <v>46050.68457175926</v>
      </c>
      <c r="E488" s="1" t="s">
        <v>2492</v>
      </c>
      <c r="F488" s="1" t="b">
        <v>0</v>
      </c>
    </row>
    <row r="489">
      <c r="A489" s="1" t="s">
        <v>1818</v>
      </c>
      <c r="B489" s="1" t="s">
        <v>2042</v>
      </c>
      <c r="C489" s="1" t="s">
        <v>2483</v>
      </c>
      <c r="D489" s="2">
        <v>46050.68466435185</v>
      </c>
      <c r="E489" s="1" t="s">
        <v>2070</v>
      </c>
      <c r="F489" s="1" t="b">
        <v>0</v>
      </c>
    </row>
    <row r="490">
      <c r="A490" s="1" t="s">
        <v>1818</v>
      </c>
      <c r="B490" s="1" t="s">
        <v>2042</v>
      </c>
      <c r="C490" s="1" t="s">
        <v>2483</v>
      </c>
      <c r="D490" s="2">
        <v>46050.68488425926</v>
      </c>
      <c r="E490" s="1" t="s">
        <v>2493</v>
      </c>
      <c r="F490" s="1" t="b">
        <v>0</v>
      </c>
    </row>
    <row r="491">
      <c r="A491" s="1" t="s">
        <v>1818</v>
      </c>
      <c r="B491" s="1" t="s">
        <v>2042</v>
      </c>
      <c r="C491" s="1" t="s">
        <v>2483</v>
      </c>
      <c r="D491" s="2">
        <v>46050.68945601852</v>
      </c>
      <c r="E491" s="1" t="s">
        <v>2494</v>
      </c>
      <c r="F491" s="1" t="b">
        <v>0</v>
      </c>
    </row>
    <row r="492">
      <c r="A492" s="1" t="s">
        <v>1818</v>
      </c>
      <c r="B492" s="1" t="s">
        <v>2046</v>
      </c>
      <c r="C492" s="1">
        <v>574085.0</v>
      </c>
      <c r="D492" s="2">
        <v>46050.69023148148</v>
      </c>
      <c r="E492" s="1" t="s">
        <v>2495</v>
      </c>
      <c r="F492" s="1" t="b">
        <v>0</v>
      </c>
    </row>
    <row r="493">
      <c r="A493" s="1" t="s">
        <v>1818</v>
      </c>
      <c r="B493" s="1" t="s">
        <v>2042</v>
      </c>
      <c r="C493" s="1" t="s">
        <v>2483</v>
      </c>
      <c r="D493" s="2">
        <v>46050.69028935185</v>
      </c>
      <c r="E493" s="1" t="s">
        <v>2496</v>
      </c>
      <c r="F493" s="1" t="b">
        <v>0</v>
      </c>
    </row>
    <row r="494">
      <c r="A494" s="1" t="s">
        <v>1818</v>
      </c>
      <c r="B494" s="1" t="s">
        <v>2042</v>
      </c>
      <c r="C494" s="1" t="s">
        <v>2483</v>
      </c>
      <c r="D494" s="2">
        <v>46050.690358796295</v>
      </c>
      <c r="E494" s="1" t="s">
        <v>2497</v>
      </c>
      <c r="F494" s="1" t="b">
        <v>0</v>
      </c>
    </row>
    <row r="495">
      <c r="A495" s="1" t="s">
        <v>1818</v>
      </c>
      <c r="B495" s="1" t="s">
        <v>2046</v>
      </c>
      <c r="C495" s="1">
        <v>506375.0</v>
      </c>
      <c r="D495" s="2">
        <v>46050.7000462963</v>
      </c>
      <c r="E495" s="1" t="s">
        <v>2498</v>
      </c>
      <c r="F495" s="1" t="b">
        <v>0</v>
      </c>
    </row>
    <row r="496">
      <c r="A496" s="1" t="s">
        <v>1818</v>
      </c>
      <c r="B496" s="1" t="s">
        <v>2042</v>
      </c>
      <c r="C496" s="1" t="s">
        <v>2483</v>
      </c>
      <c r="D496" s="2">
        <v>46050.715636574074</v>
      </c>
      <c r="F496" s="1" t="b">
        <v>0</v>
      </c>
    </row>
    <row r="497">
      <c r="A497" s="1" t="s">
        <v>1818</v>
      </c>
      <c r="B497" s="1" t="s">
        <v>2042</v>
      </c>
      <c r="C497" s="1" t="s">
        <v>2483</v>
      </c>
      <c r="D497" s="2">
        <v>46050.71570601852</v>
      </c>
      <c r="E497" s="1" t="s">
        <v>2499</v>
      </c>
      <c r="F497" s="1" t="b">
        <v>0</v>
      </c>
    </row>
    <row r="498">
      <c r="A498" s="1" t="s">
        <v>1818</v>
      </c>
      <c r="B498" s="1" t="s">
        <v>2046</v>
      </c>
      <c r="C498" s="1">
        <v>506375.0</v>
      </c>
      <c r="D498" s="2">
        <v>46050.71607638889</v>
      </c>
      <c r="E498" s="1" t="s">
        <v>2500</v>
      </c>
      <c r="F498" s="1" t="b">
        <v>0</v>
      </c>
    </row>
    <row r="499">
      <c r="A499" s="1" t="s">
        <v>1818</v>
      </c>
      <c r="B499" s="1" t="s">
        <v>2042</v>
      </c>
      <c r="C499" s="1" t="s">
        <v>2483</v>
      </c>
      <c r="D499" s="2">
        <v>46050.717673611114</v>
      </c>
      <c r="F499" s="1" t="b">
        <v>0</v>
      </c>
    </row>
    <row r="500">
      <c r="A500" s="1" t="s">
        <v>1818</v>
      </c>
      <c r="B500" s="1" t="s">
        <v>2042</v>
      </c>
      <c r="C500" s="1" t="s">
        <v>2483</v>
      </c>
      <c r="D500" s="2">
        <v>46050.71770833333</v>
      </c>
      <c r="E500" s="1" t="s">
        <v>2049</v>
      </c>
      <c r="F500" s="1" t="b">
        <v>0</v>
      </c>
    </row>
    <row r="501">
      <c r="A501" s="1" t="s">
        <v>1818</v>
      </c>
      <c r="B501" s="1" t="s">
        <v>2046</v>
      </c>
      <c r="C501" s="1">
        <v>506375.0</v>
      </c>
      <c r="D501" s="2">
        <v>46050.728842592594</v>
      </c>
      <c r="E501" s="1" t="s">
        <v>2501</v>
      </c>
      <c r="F501" s="1" t="b">
        <v>0</v>
      </c>
    </row>
    <row r="502">
      <c r="A502" s="1" t="s">
        <v>1818</v>
      </c>
      <c r="B502" s="1" t="s">
        <v>2046</v>
      </c>
      <c r="C502" s="1">
        <v>506375.0</v>
      </c>
      <c r="D502" s="2">
        <v>46050.72893518519</v>
      </c>
      <c r="E502" s="1" t="s">
        <v>2254</v>
      </c>
      <c r="F502" s="1" t="b">
        <v>1</v>
      </c>
    </row>
    <row r="503">
      <c r="A503" s="1" t="s">
        <v>1818</v>
      </c>
      <c r="B503" s="1" t="s">
        <v>2150</v>
      </c>
      <c r="C503" s="1" t="s">
        <v>2151</v>
      </c>
      <c r="D503" s="2">
        <v>46050.7290625</v>
      </c>
      <c r="E503" s="1" t="s">
        <v>2502</v>
      </c>
      <c r="F503" s="1" t="b">
        <v>1</v>
      </c>
    </row>
    <row r="504">
      <c r="A504" s="1" t="s">
        <v>1818</v>
      </c>
      <c r="B504" s="1" t="s">
        <v>2046</v>
      </c>
      <c r="C504" s="1">
        <v>506375.0</v>
      </c>
      <c r="D504" s="2">
        <v>46050.74120370371</v>
      </c>
      <c r="E504" s="1" t="s">
        <v>2503</v>
      </c>
      <c r="F504" s="1" t="b">
        <v>1</v>
      </c>
    </row>
    <row r="505">
      <c r="A505" s="1" t="s">
        <v>1818</v>
      </c>
      <c r="B505" s="1" t="s">
        <v>2042</v>
      </c>
      <c r="C505" s="1" t="s">
        <v>2483</v>
      </c>
      <c r="D505" s="2">
        <v>46050.75383101852</v>
      </c>
      <c r="E505" s="1" t="s">
        <v>2504</v>
      </c>
      <c r="F505" s="1" t="b">
        <v>0</v>
      </c>
    </row>
    <row r="506">
      <c r="A506" s="1" t="s">
        <v>1818</v>
      </c>
      <c r="B506" s="1" t="s">
        <v>2046</v>
      </c>
      <c r="C506" s="1">
        <v>506375.0</v>
      </c>
      <c r="D506" s="2">
        <v>46051.38982638889</v>
      </c>
      <c r="E506" s="1" t="s">
        <v>2505</v>
      </c>
      <c r="F506" s="1" t="b">
        <v>0</v>
      </c>
    </row>
    <row r="507">
      <c r="A507" s="1" t="s">
        <v>1818</v>
      </c>
      <c r="B507" s="1" t="s">
        <v>2042</v>
      </c>
      <c r="C507" s="1" t="s">
        <v>1820</v>
      </c>
      <c r="D507" s="2">
        <v>46051.422430555554</v>
      </c>
      <c r="E507" s="1" t="s">
        <v>2506</v>
      </c>
      <c r="F507" s="1" t="b">
        <v>0</v>
      </c>
    </row>
    <row r="508">
      <c r="A508" s="1" t="s">
        <v>1818</v>
      </c>
      <c r="B508" s="1" t="s">
        <v>2042</v>
      </c>
      <c r="C508" s="1" t="s">
        <v>1820</v>
      </c>
      <c r="D508" s="2">
        <v>46051.42244212963</v>
      </c>
      <c r="E508" s="1" t="s">
        <v>2426</v>
      </c>
      <c r="F508" s="1" t="b">
        <v>0</v>
      </c>
    </row>
    <row r="509">
      <c r="A509" s="1" t="s">
        <v>1818</v>
      </c>
      <c r="B509" s="1" t="s">
        <v>2046</v>
      </c>
      <c r="C509" s="1">
        <v>506375.0</v>
      </c>
      <c r="D509" s="2">
        <v>46051.438159722224</v>
      </c>
      <c r="E509" s="1" t="s">
        <v>2108</v>
      </c>
      <c r="F509" s="1" t="b">
        <v>0</v>
      </c>
    </row>
    <row r="510">
      <c r="A510" s="1" t="s">
        <v>1814</v>
      </c>
      <c r="B510" s="1" t="s">
        <v>2042</v>
      </c>
      <c r="C510" s="1" t="s">
        <v>1816</v>
      </c>
      <c r="D510" s="2">
        <v>46050.693657407406</v>
      </c>
      <c r="E510" s="1" t="s">
        <v>2507</v>
      </c>
      <c r="F510" s="1" t="b">
        <v>0</v>
      </c>
    </row>
    <row r="511">
      <c r="A511" s="1" t="s">
        <v>1814</v>
      </c>
      <c r="B511" s="1" t="s">
        <v>2042</v>
      </c>
      <c r="C511" s="1" t="s">
        <v>1816</v>
      </c>
      <c r="D511" s="2">
        <v>46050.69412037037</v>
      </c>
      <c r="E511" s="1" t="s">
        <v>2292</v>
      </c>
      <c r="F511" s="1" t="b">
        <v>0</v>
      </c>
    </row>
    <row r="512">
      <c r="A512" s="1" t="s">
        <v>1814</v>
      </c>
      <c r="B512" s="1" t="s">
        <v>2042</v>
      </c>
      <c r="C512" s="1" t="s">
        <v>1816</v>
      </c>
      <c r="D512" s="2">
        <v>46050.69509259259</v>
      </c>
      <c r="E512" s="1" t="s">
        <v>2508</v>
      </c>
      <c r="F512" s="1" t="b">
        <v>0</v>
      </c>
    </row>
    <row r="513">
      <c r="A513" s="1" t="s">
        <v>1814</v>
      </c>
      <c r="B513" s="1" t="s">
        <v>2042</v>
      </c>
      <c r="C513" s="1" t="s">
        <v>1816</v>
      </c>
      <c r="D513" s="2">
        <v>46050.70085648148</v>
      </c>
      <c r="E513" s="1" t="s">
        <v>2292</v>
      </c>
      <c r="F513" s="1" t="b">
        <v>0</v>
      </c>
    </row>
    <row r="514">
      <c r="A514" s="1" t="s">
        <v>1814</v>
      </c>
      <c r="B514" s="1" t="s">
        <v>2042</v>
      </c>
      <c r="C514" s="1" t="s">
        <v>1816</v>
      </c>
      <c r="D514" s="2">
        <v>46050.700949074075</v>
      </c>
      <c r="E514" s="1" t="s">
        <v>2509</v>
      </c>
      <c r="F514" s="1" t="b">
        <v>0</v>
      </c>
    </row>
    <row r="515">
      <c r="A515" s="1" t="s">
        <v>1814</v>
      </c>
      <c r="B515" s="1" t="s">
        <v>2046</v>
      </c>
      <c r="C515" s="1">
        <v>506375.0</v>
      </c>
      <c r="D515" s="2">
        <v>46050.71263888889</v>
      </c>
      <c r="E515" s="1" t="s">
        <v>2351</v>
      </c>
      <c r="F515" s="1" t="b">
        <v>1</v>
      </c>
    </row>
    <row r="516">
      <c r="A516" s="1" t="s">
        <v>1814</v>
      </c>
      <c r="B516" s="1" t="s">
        <v>2150</v>
      </c>
      <c r="C516" s="1" t="s">
        <v>2151</v>
      </c>
      <c r="D516" s="2">
        <v>46050.712789351855</v>
      </c>
      <c r="E516" s="1" t="s">
        <v>2510</v>
      </c>
      <c r="F516" s="1" t="b">
        <v>1</v>
      </c>
    </row>
    <row r="517">
      <c r="A517" s="1" t="s">
        <v>1814</v>
      </c>
      <c r="B517" s="1" t="s">
        <v>2046</v>
      </c>
      <c r="C517" s="1">
        <v>506375.0</v>
      </c>
      <c r="D517" s="2">
        <v>46050.71303240741</v>
      </c>
      <c r="E517" s="1" t="s">
        <v>2511</v>
      </c>
      <c r="F517" s="1" t="b">
        <v>1</v>
      </c>
    </row>
    <row r="518">
      <c r="A518" s="1" t="s">
        <v>1814</v>
      </c>
      <c r="B518" s="1" t="s">
        <v>2150</v>
      </c>
      <c r="C518" s="1" t="s">
        <v>2151</v>
      </c>
      <c r="D518" s="2">
        <v>46050.713217592594</v>
      </c>
      <c r="E518" s="1" t="s">
        <v>2512</v>
      </c>
      <c r="F518" s="1" t="b">
        <v>1</v>
      </c>
    </row>
    <row r="519">
      <c r="A519" s="1" t="s">
        <v>1814</v>
      </c>
      <c r="B519" s="1" t="s">
        <v>2046</v>
      </c>
      <c r="C519" s="1">
        <v>506375.0</v>
      </c>
      <c r="D519" s="2">
        <v>46050.71438657407</v>
      </c>
      <c r="E519" s="1" t="s">
        <v>2513</v>
      </c>
      <c r="F519" s="1" t="b">
        <v>1</v>
      </c>
    </row>
    <row r="520">
      <c r="A520" s="1" t="s">
        <v>1814</v>
      </c>
      <c r="B520" s="1" t="s">
        <v>2046</v>
      </c>
      <c r="C520" s="1">
        <v>506375.0</v>
      </c>
      <c r="D520" s="2">
        <v>46050.71487268519</v>
      </c>
      <c r="E520" s="1" t="s">
        <v>2514</v>
      </c>
      <c r="F520" s="1" t="b">
        <v>0</v>
      </c>
    </row>
    <row r="521">
      <c r="A521" s="1" t="s">
        <v>1814</v>
      </c>
      <c r="B521" s="1" t="s">
        <v>2042</v>
      </c>
      <c r="C521" s="1" t="s">
        <v>1816</v>
      </c>
      <c r="D521" s="2">
        <v>46050.71612268518</v>
      </c>
      <c r="E521" s="1" t="s">
        <v>2515</v>
      </c>
      <c r="F521" s="1" t="b">
        <v>0</v>
      </c>
    </row>
    <row r="522">
      <c r="A522" s="1" t="s">
        <v>1814</v>
      </c>
      <c r="B522" s="1" t="s">
        <v>2046</v>
      </c>
      <c r="C522" s="1">
        <v>506375.0</v>
      </c>
      <c r="D522" s="2">
        <v>46050.74135416667</v>
      </c>
      <c r="E522" s="1" t="s">
        <v>2516</v>
      </c>
      <c r="F522" s="1" t="b">
        <v>1</v>
      </c>
    </row>
    <row r="523">
      <c r="A523" s="1" t="s">
        <v>1814</v>
      </c>
      <c r="B523" s="1" t="s">
        <v>2046</v>
      </c>
      <c r="C523" s="1">
        <v>506375.0</v>
      </c>
      <c r="D523" s="2">
        <v>46050.744479166664</v>
      </c>
      <c r="E523" s="1" t="s">
        <v>2517</v>
      </c>
      <c r="F523" s="1" t="b">
        <v>0</v>
      </c>
    </row>
    <row r="524">
      <c r="A524" s="1" t="s">
        <v>1814</v>
      </c>
      <c r="B524" s="1" t="s">
        <v>2046</v>
      </c>
      <c r="C524" s="1">
        <v>574085.0</v>
      </c>
      <c r="D524" s="2">
        <v>46050.74454861111</v>
      </c>
      <c r="F524" s="1" t="b">
        <v>1</v>
      </c>
    </row>
    <row r="525">
      <c r="A525" s="1" t="s">
        <v>1814</v>
      </c>
      <c r="B525" s="1" t="s">
        <v>2046</v>
      </c>
      <c r="C525" s="1">
        <v>506375.0</v>
      </c>
      <c r="D525" s="2">
        <v>46050.74458333333</v>
      </c>
      <c r="E525" s="1" t="s">
        <v>2518</v>
      </c>
      <c r="F525" s="1" t="b">
        <v>1</v>
      </c>
    </row>
    <row r="526">
      <c r="A526" s="1" t="s">
        <v>1814</v>
      </c>
      <c r="B526" s="1" t="s">
        <v>2046</v>
      </c>
      <c r="C526" s="1">
        <v>506375.0</v>
      </c>
      <c r="D526" s="2">
        <v>46050.74575231481</v>
      </c>
      <c r="E526" s="1" t="s">
        <v>2519</v>
      </c>
      <c r="F526" s="1" t="b">
        <v>0</v>
      </c>
    </row>
    <row r="527">
      <c r="A527" s="1" t="s">
        <v>1814</v>
      </c>
      <c r="B527" s="1" t="s">
        <v>2046</v>
      </c>
      <c r="C527" s="1">
        <v>574085.0</v>
      </c>
      <c r="D527" s="2">
        <v>46050.74837962963</v>
      </c>
      <c r="E527" s="1" t="s">
        <v>2520</v>
      </c>
      <c r="F527" s="1" t="b">
        <v>1</v>
      </c>
    </row>
    <row r="528">
      <c r="A528" s="1" t="s">
        <v>1814</v>
      </c>
      <c r="B528" s="1" t="s">
        <v>2046</v>
      </c>
      <c r="C528" s="1">
        <v>574085.0</v>
      </c>
      <c r="D528" s="2">
        <v>46050.748449074075</v>
      </c>
      <c r="E528" s="1" t="s">
        <v>2521</v>
      </c>
      <c r="F528" s="1" t="b">
        <v>1</v>
      </c>
    </row>
    <row r="529">
      <c r="A529" s="1" t="s">
        <v>1814</v>
      </c>
      <c r="B529" s="1" t="s">
        <v>2046</v>
      </c>
      <c r="C529" s="1">
        <v>506375.0</v>
      </c>
      <c r="D529" s="2">
        <v>46050.75982638889</v>
      </c>
      <c r="E529" s="1" t="s">
        <v>2522</v>
      </c>
      <c r="F529" s="1" t="b">
        <v>1</v>
      </c>
    </row>
    <row r="530">
      <c r="A530" s="1" t="s">
        <v>1814</v>
      </c>
      <c r="B530" s="1" t="s">
        <v>2046</v>
      </c>
      <c r="C530" s="1">
        <v>506375.0</v>
      </c>
      <c r="D530" s="2">
        <v>46051.40149305556</v>
      </c>
      <c r="E530" s="1" t="s">
        <v>2108</v>
      </c>
      <c r="F530" s="1" t="b">
        <v>0</v>
      </c>
    </row>
    <row r="531">
      <c r="A531" s="1" t="s">
        <v>1809</v>
      </c>
      <c r="B531" s="1" t="s">
        <v>2042</v>
      </c>
      <c r="C531" s="1" t="s">
        <v>1812</v>
      </c>
      <c r="D531" s="2">
        <v>46050.718622685185</v>
      </c>
      <c r="E531" s="1" t="s">
        <v>2523</v>
      </c>
      <c r="F531" s="1" t="b">
        <v>0</v>
      </c>
    </row>
    <row r="532">
      <c r="A532" s="1" t="s">
        <v>1809</v>
      </c>
      <c r="B532" s="1" t="s">
        <v>2042</v>
      </c>
      <c r="C532" s="1" t="s">
        <v>1812</v>
      </c>
      <c r="D532" s="2">
        <v>46050.7190625</v>
      </c>
      <c r="E532" s="1" t="s">
        <v>2524</v>
      </c>
      <c r="F532" s="1" t="b">
        <v>0</v>
      </c>
    </row>
    <row r="533">
      <c r="A533" s="1" t="s">
        <v>1809</v>
      </c>
      <c r="B533" s="1" t="s">
        <v>2046</v>
      </c>
      <c r="C533" s="1">
        <v>574085.0</v>
      </c>
      <c r="D533" s="2">
        <v>46050.74123842592</v>
      </c>
      <c r="E533" s="1" t="s">
        <v>2525</v>
      </c>
      <c r="F533" s="1" t="b">
        <v>1</v>
      </c>
    </row>
    <row r="534">
      <c r="A534" s="1" t="s">
        <v>1809</v>
      </c>
      <c r="B534" s="1" t="s">
        <v>2150</v>
      </c>
      <c r="C534" s="1" t="s">
        <v>2151</v>
      </c>
      <c r="D534" s="2">
        <v>46050.74130787037</v>
      </c>
      <c r="E534" s="1" t="s">
        <v>2526</v>
      </c>
      <c r="F534" s="1" t="b">
        <v>1</v>
      </c>
    </row>
    <row r="535">
      <c r="A535" s="1" t="s">
        <v>1809</v>
      </c>
      <c r="B535" s="1" t="s">
        <v>2046</v>
      </c>
      <c r="C535" s="1">
        <v>574085.0</v>
      </c>
      <c r="D535" s="2">
        <v>46050.741631944446</v>
      </c>
      <c r="E535" s="1" t="s">
        <v>2527</v>
      </c>
      <c r="F535" s="1" t="b">
        <v>0</v>
      </c>
    </row>
    <row r="536">
      <c r="A536" s="1" t="s">
        <v>1809</v>
      </c>
      <c r="B536" s="1" t="s">
        <v>2046</v>
      </c>
      <c r="C536" s="1">
        <v>574085.0</v>
      </c>
      <c r="D536" s="2">
        <v>46050.745162037034</v>
      </c>
      <c r="E536" s="1" t="s">
        <v>2254</v>
      </c>
      <c r="F536" s="1" t="b">
        <v>1</v>
      </c>
    </row>
    <row r="537">
      <c r="A537" s="1" t="s">
        <v>1809</v>
      </c>
      <c r="B537" s="1" t="s">
        <v>2150</v>
      </c>
      <c r="C537" s="1" t="s">
        <v>2151</v>
      </c>
      <c r="D537" s="2">
        <v>46050.74532407407</v>
      </c>
      <c r="E537" s="1" t="s">
        <v>2528</v>
      </c>
      <c r="F537" s="1" t="b">
        <v>1</v>
      </c>
    </row>
    <row r="538">
      <c r="A538" s="1" t="s">
        <v>1809</v>
      </c>
      <c r="B538" s="1" t="s">
        <v>2046</v>
      </c>
      <c r="C538" s="1">
        <v>574085.0</v>
      </c>
      <c r="D538" s="2">
        <v>46051.713055555556</v>
      </c>
      <c r="E538" s="1" t="s">
        <v>2529</v>
      </c>
      <c r="F538" s="1" t="b">
        <v>1</v>
      </c>
    </row>
    <row r="539">
      <c r="A539" s="1" t="s">
        <v>1809</v>
      </c>
      <c r="B539" s="1" t="s">
        <v>2046</v>
      </c>
      <c r="C539" s="1">
        <v>574085.0</v>
      </c>
      <c r="D539" s="2">
        <v>46052.57405092593</v>
      </c>
      <c r="E539" s="1" t="s">
        <v>2530</v>
      </c>
      <c r="F539" s="1" t="b">
        <v>1</v>
      </c>
    </row>
    <row r="540">
      <c r="A540" s="1" t="s">
        <v>1809</v>
      </c>
      <c r="B540" s="1" t="s">
        <v>2150</v>
      </c>
      <c r="C540" s="1" t="s">
        <v>2151</v>
      </c>
      <c r="D540" s="2">
        <v>46052.57420138889</v>
      </c>
      <c r="E540" s="1" t="s">
        <v>2531</v>
      </c>
      <c r="F540" s="1" t="b">
        <v>1</v>
      </c>
    </row>
    <row r="541">
      <c r="A541" s="1" t="s">
        <v>1807</v>
      </c>
      <c r="B541" s="1" t="s">
        <v>2042</v>
      </c>
      <c r="C541" s="1" t="s">
        <v>2532</v>
      </c>
      <c r="D541" s="2">
        <v>46050.766331018516</v>
      </c>
      <c r="E541" s="1" t="s">
        <v>2533</v>
      </c>
      <c r="F541" s="1" t="b">
        <v>0</v>
      </c>
    </row>
    <row r="542">
      <c r="A542" s="1" t="s">
        <v>1802</v>
      </c>
      <c r="B542" s="1" t="s">
        <v>2042</v>
      </c>
      <c r="C542" s="1" t="s">
        <v>1804</v>
      </c>
      <c r="D542" s="2">
        <v>46050.85869212963</v>
      </c>
      <c r="E542" s="1" t="s">
        <v>2534</v>
      </c>
      <c r="F542" s="1" t="b">
        <v>0</v>
      </c>
    </row>
    <row r="543">
      <c r="A543" s="1" t="s">
        <v>1802</v>
      </c>
      <c r="B543" s="1" t="s">
        <v>2046</v>
      </c>
      <c r="C543" s="1">
        <v>594863.0</v>
      </c>
      <c r="D543" s="2">
        <v>46051.41473379629</v>
      </c>
      <c r="E543" s="1" t="s">
        <v>2535</v>
      </c>
      <c r="F543" s="1" t="b">
        <v>0</v>
      </c>
    </row>
    <row r="544">
      <c r="A544" s="1" t="s">
        <v>1802</v>
      </c>
      <c r="B544" s="1" t="s">
        <v>2046</v>
      </c>
      <c r="C544" s="1">
        <v>594863.0</v>
      </c>
      <c r="D544" s="2">
        <v>46051.579560185186</v>
      </c>
      <c r="E544" s="1" t="s">
        <v>2108</v>
      </c>
      <c r="F544" s="1" t="b">
        <v>0</v>
      </c>
    </row>
    <row r="545">
      <c r="A545" s="1" t="s">
        <v>1795</v>
      </c>
      <c r="B545" s="1" t="s">
        <v>2042</v>
      </c>
      <c r="C545" s="1" t="s">
        <v>1797</v>
      </c>
      <c r="D545" s="2">
        <v>46051.42052083334</v>
      </c>
      <c r="E545" s="1" t="s">
        <v>2536</v>
      </c>
      <c r="F545" s="1" t="b">
        <v>0</v>
      </c>
    </row>
    <row r="546">
      <c r="A546" s="1" t="s">
        <v>1795</v>
      </c>
      <c r="B546" s="1" t="s">
        <v>2046</v>
      </c>
      <c r="C546" s="1">
        <v>506375.0</v>
      </c>
      <c r="D546" s="2">
        <v>46051.441828703704</v>
      </c>
      <c r="E546" s="1" t="s">
        <v>2537</v>
      </c>
      <c r="F546" s="1" t="b">
        <v>1</v>
      </c>
    </row>
    <row r="547">
      <c r="A547" s="1" t="s">
        <v>1795</v>
      </c>
      <c r="B547" s="1" t="s">
        <v>2150</v>
      </c>
      <c r="C547" s="1" t="s">
        <v>2151</v>
      </c>
      <c r="D547" s="2">
        <v>46051.44204861111</v>
      </c>
      <c r="E547" s="1" t="s">
        <v>2538</v>
      </c>
      <c r="F547" s="1" t="b">
        <v>1</v>
      </c>
    </row>
    <row r="548">
      <c r="A548" s="1" t="s">
        <v>1795</v>
      </c>
      <c r="B548" s="1" t="s">
        <v>2046</v>
      </c>
      <c r="C548" s="1">
        <v>574085.0</v>
      </c>
      <c r="D548" s="2">
        <v>46051.44274305556</v>
      </c>
      <c r="E548" s="1" t="s">
        <v>2539</v>
      </c>
      <c r="F548" s="1" t="b">
        <v>1</v>
      </c>
    </row>
    <row r="549">
      <c r="A549" s="1" t="s">
        <v>1795</v>
      </c>
      <c r="B549" s="1" t="s">
        <v>2046</v>
      </c>
      <c r="C549" s="1">
        <v>506375.0</v>
      </c>
      <c r="D549" s="2">
        <v>46051.442974537036</v>
      </c>
      <c r="E549" s="1" t="s">
        <v>2540</v>
      </c>
      <c r="F549" s="1" t="b">
        <v>1</v>
      </c>
    </row>
    <row r="550">
      <c r="A550" s="1" t="s">
        <v>1795</v>
      </c>
      <c r="B550" s="1" t="s">
        <v>2150</v>
      </c>
      <c r="C550" s="1" t="s">
        <v>2151</v>
      </c>
      <c r="D550" s="2">
        <v>46051.443090277775</v>
      </c>
      <c r="E550" s="1" t="s">
        <v>2541</v>
      </c>
      <c r="F550" s="1" t="b">
        <v>1</v>
      </c>
    </row>
    <row r="551">
      <c r="A551" s="1" t="s">
        <v>1795</v>
      </c>
      <c r="B551" s="1" t="s">
        <v>2046</v>
      </c>
      <c r="C551" s="1">
        <v>506375.0</v>
      </c>
      <c r="D551" s="2">
        <v>46051.444375</v>
      </c>
      <c r="E551" s="1" t="s">
        <v>2542</v>
      </c>
      <c r="F551" s="1" t="b">
        <v>0</v>
      </c>
    </row>
    <row r="552">
      <c r="A552" s="1" t="s">
        <v>1795</v>
      </c>
      <c r="B552" s="1" t="s">
        <v>2042</v>
      </c>
      <c r="C552" s="1" t="s">
        <v>1797</v>
      </c>
      <c r="D552" s="2">
        <v>46051.59539351852</v>
      </c>
      <c r="E552" s="1" t="s">
        <v>2543</v>
      </c>
      <c r="F552" s="1" t="b">
        <v>0</v>
      </c>
    </row>
    <row r="553">
      <c r="A553" s="1" t="s">
        <v>1795</v>
      </c>
      <c r="B553" s="1" t="s">
        <v>2046</v>
      </c>
      <c r="C553" s="1">
        <v>506375.0</v>
      </c>
      <c r="D553" s="2">
        <v>46051.67675925926</v>
      </c>
      <c r="E553" s="1" t="s">
        <v>2544</v>
      </c>
      <c r="F553" s="1" t="b">
        <v>1</v>
      </c>
    </row>
    <row r="554">
      <c r="A554" s="1" t="s">
        <v>1795</v>
      </c>
      <c r="B554" s="1" t="s">
        <v>2150</v>
      </c>
      <c r="C554" s="1" t="s">
        <v>2151</v>
      </c>
      <c r="D554" s="2">
        <v>46051.6769212963</v>
      </c>
      <c r="E554" s="1" t="s">
        <v>2545</v>
      </c>
      <c r="F554" s="1" t="b">
        <v>1</v>
      </c>
    </row>
    <row r="555">
      <c r="A555" s="1" t="s">
        <v>1795</v>
      </c>
      <c r="B555" s="1" t="s">
        <v>2046</v>
      </c>
      <c r="C555" s="1">
        <v>506375.0</v>
      </c>
      <c r="D555" s="2">
        <v>46051.67755787037</v>
      </c>
      <c r="E555" s="1" t="s">
        <v>2545</v>
      </c>
      <c r="F555" s="1" t="b">
        <v>0</v>
      </c>
    </row>
    <row r="556">
      <c r="A556" s="1" t="s">
        <v>1795</v>
      </c>
      <c r="B556" s="1" t="s">
        <v>2042</v>
      </c>
      <c r="C556" s="1" t="s">
        <v>1797</v>
      </c>
      <c r="D556" s="2">
        <v>46051.68350694444</v>
      </c>
      <c r="E556" s="1" t="s">
        <v>2546</v>
      </c>
      <c r="F556" s="1" t="b">
        <v>0</v>
      </c>
    </row>
    <row r="557">
      <c r="A557" s="1" t="s">
        <v>1795</v>
      </c>
      <c r="B557" s="1" t="s">
        <v>2046</v>
      </c>
      <c r="C557" s="1">
        <v>506375.0</v>
      </c>
      <c r="D557" s="2">
        <v>46051.69101851852</v>
      </c>
      <c r="E557" s="1" t="s">
        <v>2254</v>
      </c>
      <c r="F557" s="1" t="b">
        <v>1</v>
      </c>
    </row>
    <row r="558">
      <c r="A558" s="1" t="s">
        <v>1795</v>
      </c>
      <c r="B558" s="1" t="s">
        <v>2150</v>
      </c>
      <c r="C558" s="1" t="s">
        <v>2151</v>
      </c>
      <c r="D558" s="2">
        <v>46051.691157407404</v>
      </c>
      <c r="E558" s="1" t="s">
        <v>2547</v>
      </c>
      <c r="F558" s="1" t="b">
        <v>1</v>
      </c>
    </row>
    <row r="559">
      <c r="A559" s="1" t="s">
        <v>1795</v>
      </c>
      <c r="B559" s="1" t="s">
        <v>2046</v>
      </c>
      <c r="C559" s="1">
        <v>506375.0</v>
      </c>
      <c r="D559" s="2">
        <v>46051.692881944444</v>
      </c>
      <c r="E559" s="1" t="s">
        <v>2548</v>
      </c>
      <c r="F559" s="1" t="b">
        <v>0</v>
      </c>
    </row>
    <row r="560">
      <c r="A560" s="1" t="s">
        <v>1795</v>
      </c>
      <c r="B560" s="1" t="s">
        <v>2046</v>
      </c>
      <c r="C560" s="1">
        <v>506375.0</v>
      </c>
      <c r="D560" s="2">
        <v>46052.580358796295</v>
      </c>
      <c r="E560" s="1" t="s">
        <v>2549</v>
      </c>
      <c r="F560" s="1" t="b">
        <v>0</v>
      </c>
    </row>
    <row r="561">
      <c r="A561" s="1" t="s">
        <v>1795</v>
      </c>
      <c r="B561" s="1" t="s">
        <v>2046</v>
      </c>
      <c r="C561" s="1">
        <v>506375.0</v>
      </c>
      <c r="D561" s="2">
        <v>46052.59903935185</v>
      </c>
      <c r="E561" s="1" t="s">
        <v>2550</v>
      </c>
      <c r="F561" s="1" t="b">
        <v>1</v>
      </c>
    </row>
    <row r="562">
      <c r="A562" s="1" t="s">
        <v>1795</v>
      </c>
      <c r="B562" s="1" t="s">
        <v>2150</v>
      </c>
      <c r="C562" s="1" t="s">
        <v>2151</v>
      </c>
      <c r="D562" s="2">
        <v>46052.599131944444</v>
      </c>
      <c r="E562" s="1" t="s">
        <v>2551</v>
      </c>
      <c r="F562" s="1" t="b">
        <v>1</v>
      </c>
    </row>
    <row r="563">
      <c r="A563" s="1" t="s">
        <v>1795</v>
      </c>
      <c r="B563" s="1" t="s">
        <v>2046</v>
      </c>
      <c r="C563" s="1">
        <v>506375.0</v>
      </c>
      <c r="D563" s="2">
        <v>46052.59993055555</v>
      </c>
      <c r="E563" s="1" t="s">
        <v>2552</v>
      </c>
      <c r="F563" s="1" t="b">
        <v>0</v>
      </c>
    </row>
    <row r="564">
      <c r="A564" s="1" t="s">
        <v>1791</v>
      </c>
      <c r="B564" s="1" t="s">
        <v>2042</v>
      </c>
      <c r="C564" s="1" t="s">
        <v>1793</v>
      </c>
      <c r="D564" s="2">
        <v>46051.424849537034</v>
      </c>
      <c r="E564" s="1" t="s">
        <v>2553</v>
      </c>
      <c r="F564" s="1" t="b">
        <v>0</v>
      </c>
    </row>
    <row r="565">
      <c r="A565" s="1" t="s">
        <v>1791</v>
      </c>
      <c r="B565" s="1" t="s">
        <v>2042</v>
      </c>
      <c r="C565" s="1" t="s">
        <v>1793</v>
      </c>
      <c r="D565" s="2">
        <v>46051.42523148148</v>
      </c>
      <c r="E565" s="1" t="s">
        <v>2554</v>
      </c>
      <c r="F565" s="1" t="b">
        <v>0</v>
      </c>
    </row>
    <row r="566">
      <c r="A566" s="1" t="s">
        <v>1787</v>
      </c>
      <c r="B566" s="1" t="s">
        <v>2042</v>
      </c>
      <c r="C566" s="1" t="s">
        <v>1789</v>
      </c>
      <c r="D566" s="2">
        <v>46051.43349537037</v>
      </c>
      <c r="E566" s="1" t="s">
        <v>2555</v>
      </c>
      <c r="F566" s="1" t="b">
        <v>0</v>
      </c>
    </row>
    <row r="567">
      <c r="A567" s="1" t="s">
        <v>1787</v>
      </c>
      <c r="B567" s="1" t="s">
        <v>2042</v>
      </c>
      <c r="C567" s="1" t="s">
        <v>1789</v>
      </c>
      <c r="D567" s="2">
        <v>46051.433645833335</v>
      </c>
      <c r="E567" s="1" t="s">
        <v>2556</v>
      </c>
      <c r="F567" s="1" t="b">
        <v>0</v>
      </c>
    </row>
    <row r="568">
      <c r="A568" s="1" t="s">
        <v>1781</v>
      </c>
      <c r="B568" s="1" t="s">
        <v>2042</v>
      </c>
      <c r="C568" s="1" t="s">
        <v>2557</v>
      </c>
      <c r="D568" s="2">
        <v>46051.455983796295</v>
      </c>
      <c r="E568" s="1" t="s">
        <v>2558</v>
      </c>
      <c r="F568" s="1" t="b">
        <v>0</v>
      </c>
    </row>
    <row r="569">
      <c r="A569" s="1" t="s">
        <v>1781</v>
      </c>
      <c r="B569" s="1" t="s">
        <v>2046</v>
      </c>
      <c r="C569" s="1">
        <v>574085.0</v>
      </c>
      <c r="D569" s="2">
        <v>46051.45905092593</v>
      </c>
      <c r="E569" s="1" t="s">
        <v>2559</v>
      </c>
      <c r="F569" s="1" t="b">
        <v>0</v>
      </c>
    </row>
    <row r="570">
      <c r="A570" s="1" t="s">
        <v>1781</v>
      </c>
      <c r="B570" s="1" t="s">
        <v>2042</v>
      </c>
      <c r="C570" s="1" t="s">
        <v>2557</v>
      </c>
      <c r="D570" s="2">
        <v>46051.46065972222</v>
      </c>
      <c r="E570" s="1" t="s">
        <v>2560</v>
      </c>
      <c r="F570" s="1" t="b">
        <v>0</v>
      </c>
    </row>
    <row r="571">
      <c r="A571" s="1" t="s">
        <v>1781</v>
      </c>
      <c r="B571" s="1" t="s">
        <v>2042</v>
      </c>
      <c r="C571" s="1" t="s">
        <v>2557</v>
      </c>
      <c r="D571" s="2">
        <v>46051.46747685185</v>
      </c>
      <c r="E571" s="1" t="s">
        <v>2561</v>
      </c>
      <c r="F571" s="1" t="b">
        <v>0</v>
      </c>
    </row>
    <row r="572">
      <c r="A572" s="1" t="s">
        <v>1781</v>
      </c>
      <c r="B572" s="1" t="s">
        <v>2046</v>
      </c>
      <c r="C572" s="1">
        <v>506375.0</v>
      </c>
      <c r="D572" s="2">
        <v>46051.67648148148</v>
      </c>
      <c r="E572" s="1" t="s">
        <v>2562</v>
      </c>
      <c r="F572" s="1" t="b">
        <v>0</v>
      </c>
    </row>
    <row r="573">
      <c r="A573" s="1" t="s">
        <v>1781</v>
      </c>
      <c r="B573" s="1" t="s">
        <v>2046</v>
      </c>
      <c r="C573" s="1">
        <v>506375.0</v>
      </c>
      <c r="D573" s="2">
        <v>46051.70761574074</v>
      </c>
      <c r="E573" s="1" t="s">
        <v>2563</v>
      </c>
      <c r="F573" s="1" t="b">
        <v>1</v>
      </c>
    </row>
    <row r="574">
      <c r="A574" s="1" t="s">
        <v>1781</v>
      </c>
      <c r="B574" s="1" t="s">
        <v>2150</v>
      </c>
      <c r="C574" s="1" t="s">
        <v>2151</v>
      </c>
      <c r="D574" s="2">
        <v>46051.707870370374</v>
      </c>
      <c r="E574" s="1" t="s">
        <v>2564</v>
      </c>
      <c r="F574" s="1" t="b">
        <v>1</v>
      </c>
    </row>
    <row r="575">
      <c r="A575" s="1" t="s">
        <v>1783</v>
      </c>
      <c r="B575" s="1" t="s">
        <v>2042</v>
      </c>
      <c r="C575" s="1" t="s">
        <v>1785</v>
      </c>
      <c r="D575" s="2">
        <v>46051.4552662037</v>
      </c>
      <c r="E575" s="1" t="s">
        <v>2292</v>
      </c>
      <c r="F575" s="1" t="b">
        <v>0</v>
      </c>
    </row>
    <row r="576">
      <c r="A576" s="1" t="s">
        <v>1783</v>
      </c>
      <c r="B576" s="1" t="s">
        <v>2042</v>
      </c>
      <c r="C576" s="1" t="s">
        <v>1785</v>
      </c>
      <c r="D576" s="2">
        <v>46051.45583333333</v>
      </c>
      <c r="E576" s="1" t="s">
        <v>2565</v>
      </c>
      <c r="F576" s="1" t="b">
        <v>0</v>
      </c>
    </row>
    <row r="577">
      <c r="A577" s="1" t="s">
        <v>1783</v>
      </c>
      <c r="B577" s="1" t="s">
        <v>2042</v>
      </c>
      <c r="C577" s="1" t="s">
        <v>1785</v>
      </c>
      <c r="D577" s="2">
        <v>46051.45652777778</v>
      </c>
      <c r="E577" s="1" t="s">
        <v>2070</v>
      </c>
      <c r="F577" s="1" t="b">
        <v>0</v>
      </c>
    </row>
    <row r="578">
      <c r="A578" s="1" t="s">
        <v>1783</v>
      </c>
      <c r="B578" s="1" t="s">
        <v>2042</v>
      </c>
      <c r="C578" s="1" t="s">
        <v>1785</v>
      </c>
      <c r="D578" s="2">
        <v>46051.45862268518</v>
      </c>
      <c r="E578" s="1" t="s">
        <v>2566</v>
      </c>
      <c r="F578" s="1" t="b">
        <v>0</v>
      </c>
    </row>
    <row r="579">
      <c r="A579" s="1" t="s">
        <v>1779</v>
      </c>
      <c r="B579" s="1" t="s">
        <v>2042</v>
      </c>
      <c r="C579" s="1" t="s">
        <v>2567</v>
      </c>
      <c r="D579" s="2">
        <v>46051.50267361111</v>
      </c>
      <c r="F579" s="1" t="b">
        <v>0</v>
      </c>
    </row>
    <row r="580">
      <c r="A580" s="1" t="s">
        <v>1779</v>
      </c>
      <c r="B580" s="1" t="s">
        <v>2042</v>
      </c>
      <c r="C580" s="1" t="s">
        <v>2567</v>
      </c>
      <c r="D580" s="2">
        <v>46051.50269675926</v>
      </c>
      <c r="E580" s="1" t="s">
        <v>2568</v>
      </c>
      <c r="F580" s="1" t="b">
        <v>0</v>
      </c>
    </row>
    <row r="581">
      <c r="A581" s="1" t="s">
        <v>1779</v>
      </c>
      <c r="B581" s="1" t="s">
        <v>2046</v>
      </c>
      <c r="C581" s="1">
        <v>594863.0</v>
      </c>
      <c r="D581" s="2">
        <v>46051.51435185185</v>
      </c>
      <c r="E581" s="1" t="s">
        <v>2569</v>
      </c>
      <c r="F581" s="1" t="b">
        <v>0</v>
      </c>
    </row>
    <row r="582">
      <c r="A582" s="1" t="s">
        <v>1779</v>
      </c>
      <c r="B582" s="1" t="s">
        <v>2046</v>
      </c>
      <c r="C582" s="1">
        <v>594863.0</v>
      </c>
      <c r="D582" s="2">
        <v>46051.57952546296</v>
      </c>
      <c r="E582" s="1" t="s">
        <v>2108</v>
      </c>
      <c r="F582" s="1" t="b">
        <v>0</v>
      </c>
    </row>
    <row r="583">
      <c r="A583" s="1" t="s">
        <v>1777</v>
      </c>
      <c r="B583" s="1" t="s">
        <v>2042</v>
      </c>
      <c r="C583" s="1" t="s">
        <v>2570</v>
      </c>
      <c r="D583" s="2">
        <v>46051.54119212963</v>
      </c>
      <c r="E583" s="1" t="s">
        <v>2571</v>
      </c>
      <c r="F583" s="1" t="b">
        <v>0</v>
      </c>
    </row>
    <row r="584">
      <c r="A584" s="1" t="s">
        <v>1777</v>
      </c>
      <c r="B584" s="1" t="s">
        <v>2042</v>
      </c>
      <c r="C584" s="1" t="s">
        <v>2570</v>
      </c>
      <c r="D584" s="2">
        <v>46051.54148148148</v>
      </c>
      <c r="F584" s="1" t="b">
        <v>0</v>
      </c>
    </row>
    <row r="585">
      <c r="A585" s="1" t="s">
        <v>1777</v>
      </c>
      <c r="B585" s="1" t="s">
        <v>2042</v>
      </c>
      <c r="C585" s="1" t="s">
        <v>2570</v>
      </c>
      <c r="D585" s="2">
        <v>46051.54173611111</v>
      </c>
      <c r="F585" s="1" t="b">
        <v>0</v>
      </c>
    </row>
    <row r="586">
      <c r="A586" s="1" t="s">
        <v>1777</v>
      </c>
      <c r="B586" s="1" t="s">
        <v>2046</v>
      </c>
      <c r="C586" s="1">
        <v>574085.0</v>
      </c>
      <c r="D586" s="2">
        <v>46051.61934027778</v>
      </c>
      <c r="E586" s="1" t="s">
        <v>2572</v>
      </c>
      <c r="F586" s="1" t="b">
        <v>0</v>
      </c>
    </row>
    <row r="587">
      <c r="A587" s="1" t="s">
        <v>1777</v>
      </c>
      <c r="B587" s="1" t="s">
        <v>2046</v>
      </c>
      <c r="C587" s="1">
        <v>506375.0</v>
      </c>
      <c r="D587" s="2">
        <v>46052.4897337963</v>
      </c>
      <c r="E587" s="1" t="s">
        <v>2108</v>
      </c>
      <c r="F587" s="1" t="b">
        <v>0</v>
      </c>
    </row>
    <row r="588">
      <c r="A588" s="1" t="s">
        <v>1772</v>
      </c>
      <c r="B588" s="1" t="s">
        <v>2150</v>
      </c>
      <c r="C588" s="1">
        <v>81559.0</v>
      </c>
      <c r="D588" s="2">
        <v>46051.579872685186</v>
      </c>
      <c r="E588" s="1" t="s">
        <v>2573</v>
      </c>
      <c r="F588" s="1" t="b">
        <v>1</v>
      </c>
    </row>
    <row r="589">
      <c r="A589" s="1" t="s">
        <v>1772</v>
      </c>
      <c r="B589" s="1" t="s">
        <v>2042</v>
      </c>
      <c r="C589" s="1" t="s">
        <v>1774</v>
      </c>
      <c r="D589" s="2">
        <v>46051.60979166667</v>
      </c>
      <c r="E589" s="1" t="s">
        <v>2574</v>
      </c>
      <c r="F589" s="1" t="b">
        <v>0</v>
      </c>
    </row>
    <row r="590">
      <c r="A590" s="1" t="s">
        <v>1770</v>
      </c>
      <c r="B590" s="1" t="s">
        <v>2042</v>
      </c>
      <c r="C590" s="1" t="s">
        <v>1068</v>
      </c>
      <c r="D590" s="2">
        <v>46051.64803240741</v>
      </c>
      <c r="E590" s="1" t="s">
        <v>2575</v>
      </c>
      <c r="F590" s="1" t="b">
        <v>0</v>
      </c>
    </row>
    <row r="591">
      <c r="A591" s="1" t="s">
        <v>1770</v>
      </c>
      <c r="B591" s="1" t="s">
        <v>2042</v>
      </c>
      <c r="C591" s="1" t="s">
        <v>1068</v>
      </c>
      <c r="D591" s="2">
        <v>46051.649050925924</v>
      </c>
      <c r="E591" s="1" t="s">
        <v>2576</v>
      </c>
      <c r="F591" s="1" t="b">
        <v>0</v>
      </c>
    </row>
    <row r="592">
      <c r="A592" s="1" t="s">
        <v>1770</v>
      </c>
      <c r="B592" s="1" t="s">
        <v>2042</v>
      </c>
      <c r="C592" s="1" t="s">
        <v>1068</v>
      </c>
      <c r="D592" s="2">
        <v>46051.64962962963</v>
      </c>
      <c r="E592" s="1" t="s">
        <v>2577</v>
      </c>
      <c r="F592" s="1" t="b">
        <v>0</v>
      </c>
    </row>
    <row r="593">
      <c r="A593" s="1" t="s">
        <v>1770</v>
      </c>
      <c r="B593" s="1" t="s">
        <v>2042</v>
      </c>
      <c r="C593" s="1" t="s">
        <v>1068</v>
      </c>
      <c r="D593" s="2">
        <v>46051.64986111111</v>
      </c>
      <c r="E593" s="1" t="s">
        <v>2578</v>
      </c>
      <c r="F593" s="1" t="b">
        <v>0</v>
      </c>
    </row>
    <row r="594">
      <c r="A594" s="1" t="s">
        <v>1770</v>
      </c>
      <c r="B594" s="1" t="s">
        <v>2042</v>
      </c>
      <c r="C594" s="1" t="s">
        <v>1068</v>
      </c>
      <c r="D594" s="2">
        <v>46051.65038194445</v>
      </c>
      <c r="E594" s="1" t="s">
        <v>2579</v>
      </c>
      <c r="F594" s="1" t="b">
        <v>0</v>
      </c>
    </row>
    <row r="595">
      <c r="A595" s="1" t="s">
        <v>1770</v>
      </c>
      <c r="B595" s="1" t="s">
        <v>2046</v>
      </c>
      <c r="C595" s="1">
        <v>607950.0</v>
      </c>
      <c r="D595" s="2">
        <v>46051.6505787037</v>
      </c>
      <c r="E595" s="1" t="s">
        <v>2580</v>
      </c>
      <c r="F595" s="1" t="b">
        <v>0</v>
      </c>
    </row>
    <row r="596">
      <c r="A596" s="1" t="s">
        <v>1770</v>
      </c>
      <c r="B596" s="1" t="s">
        <v>2046</v>
      </c>
      <c r="C596" s="1">
        <v>607950.0</v>
      </c>
      <c r="D596" s="2">
        <v>46051.650821759256</v>
      </c>
      <c r="E596" s="1" t="s">
        <v>2581</v>
      </c>
      <c r="F596" s="1" t="b">
        <v>1</v>
      </c>
    </row>
    <row r="597">
      <c r="A597" s="1" t="s">
        <v>1770</v>
      </c>
      <c r="B597" s="1" t="s">
        <v>2150</v>
      </c>
      <c r="C597" s="1" t="s">
        <v>2151</v>
      </c>
      <c r="D597" s="2">
        <v>46051.65099537037</v>
      </c>
      <c r="E597" s="1" t="s">
        <v>2582</v>
      </c>
      <c r="F597" s="1" t="b">
        <v>1</v>
      </c>
    </row>
    <row r="598">
      <c r="A598" s="1" t="s">
        <v>1770</v>
      </c>
      <c r="B598" s="1" t="s">
        <v>2046</v>
      </c>
      <c r="C598" s="1">
        <v>607950.0</v>
      </c>
      <c r="D598" s="2">
        <v>46051.651550925926</v>
      </c>
      <c r="E598" s="1" t="s">
        <v>2583</v>
      </c>
      <c r="F598" s="1" t="b">
        <v>0</v>
      </c>
    </row>
    <row r="599">
      <c r="A599" s="1" t="s">
        <v>1770</v>
      </c>
      <c r="B599" s="1" t="s">
        <v>2046</v>
      </c>
      <c r="C599" s="1">
        <v>607950.0</v>
      </c>
      <c r="D599" s="2">
        <v>46051.65324074074</v>
      </c>
      <c r="E599" s="1" t="s">
        <v>2584</v>
      </c>
      <c r="F599" s="1" t="b">
        <v>0</v>
      </c>
    </row>
    <row r="600">
      <c r="A600" s="1" t="s">
        <v>1770</v>
      </c>
      <c r="B600" s="1" t="s">
        <v>2046</v>
      </c>
      <c r="C600" s="1">
        <v>574085.0</v>
      </c>
      <c r="D600" s="2">
        <v>46051.655324074076</v>
      </c>
      <c r="E600" s="1" t="s">
        <v>2585</v>
      </c>
      <c r="F600" s="1" t="b">
        <v>1</v>
      </c>
    </row>
    <row r="601">
      <c r="A601" s="1" t="s">
        <v>1770</v>
      </c>
      <c r="B601" s="1" t="s">
        <v>2042</v>
      </c>
      <c r="C601" s="1" t="s">
        <v>1068</v>
      </c>
      <c r="D601" s="2">
        <v>46051.655324074076</v>
      </c>
      <c r="F601" s="1" t="b">
        <v>0</v>
      </c>
    </row>
    <row r="602">
      <c r="A602" s="1" t="s">
        <v>1770</v>
      </c>
      <c r="B602" s="1" t="s">
        <v>2042</v>
      </c>
      <c r="C602" s="1" t="s">
        <v>1068</v>
      </c>
      <c r="D602" s="2">
        <v>46051.655543981484</v>
      </c>
      <c r="E602" s="1" t="s">
        <v>2586</v>
      </c>
      <c r="F602" s="1" t="b">
        <v>0</v>
      </c>
    </row>
    <row r="603">
      <c r="A603" s="1" t="s">
        <v>1770</v>
      </c>
      <c r="B603" s="1" t="s">
        <v>2046</v>
      </c>
      <c r="C603" s="1">
        <v>607950.0</v>
      </c>
      <c r="D603" s="2">
        <v>46051.65561342592</v>
      </c>
      <c r="E603" s="1" t="s">
        <v>2587</v>
      </c>
      <c r="F603" s="1" t="b">
        <v>0</v>
      </c>
    </row>
    <row r="604">
      <c r="A604" s="1" t="s">
        <v>1770</v>
      </c>
      <c r="B604" s="1" t="s">
        <v>2042</v>
      </c>
      <c r="C604" s="1" t="s">
        <v>1068</v>
      </c>
      <c r="D604" s="2">
        <v>46051.65568287037</v>
      </c>
      <c r="E604" s="1" t="s">
        <v>2588</v>
      </c>
      <c r="F604" s="1" t="b">
        <v>0</v>
      </c>
    </row>
    <row r="605">
      <c r="A605" s="1" t="s">
        <v>1770</v>
      </c>
      <c r="B605" s="1" t="s">
        <v>2046</v>
      </c>
      <c r="C605" s="1">
        <v>574085.0</v>
      </c>
      <c r="D605" s="2">
        <v>46051.656377314815</v>
      </c>
      <c r="E605" s="1" t="s">
        <v>2589</v>
      </c>
      <c r="F605" s="1" t="b">
        <v>1</v>
      </c>
    </row>
    <row r="606">
      <c r="A606" s="1" t="s">
        <v>1770</v>
      </c>
      <c r="B606" s="1" t="s">
        <v>2046</v>
      </c>
      <c r="C606" s="1">
        <v>607950.0</v>
      </c>
      <c r="D606" s="2">
        <v>46051.65673611111</v>
      </c>
      <c r="E606" s="1" t="s">
        <v>2590</v>
      </c>
      <c r="F606" s="1" t="b">
        <v>0</v>
      </c>
    </row>
    <row r="607">
      <c r="A607" s="1" t="s">
        <v>1770</v>
      </c>
      <c r="B607" s="1" t="s">
        <v>2042</v>
      </c>
      <c r="C607" s="1" t="s">
        <v>1068</v>
      </c>
      <c r="D607" s="2">
        <v>46051.66166666667</v>
      </c>
      <c r="E607" s="1" t="s">
        <v>2591</v>
      </c>
      <c r="F607" s="1" t="b">
        <v>0</v>
      </c>
    </row>
    <row r="608">
      <c r="A608" s="1" t="s">
        <v>1770</v>
      </c>
      <c r="B608" s="1" t="s">
        <v>2046</v>
      </c>
      <c r="C608" s="1">
        <v>607950.0</v>
      </c>
      <c r="D608" s="2">
        <v>46051.66185185185</v>
      </c>
      <c r="E608" s="1" t="s">
        <v>2592</v>
      </c>
      <c r="F608" s="1" t="b">
        <v>0</v>
      </c>
    </row>
    <row r="609">
      <c r="A609" s="1" t="s">
        <v>1770</v>
      </c>
      <c r="B609" s="1" t="s">
        <v>2042</v>
      </c>
      <c r="C609" s="1" t="s">
        <v>1068</v>
      </c>
      <c r="D609" s="2">
        <v>46051.66232638889</v>
      </c>
      <c r="E609" s="1" t="s">
        <v>2593</v>
      </c>
      <c r="F609" s="1" t="b">
        <v>0</v>
      </c>
    </row>
    <row r="610">
      <c r="A610" s="1" t="s">
        <v>1770</v>
      </c>
      <c r="B610" s="1" t="s">
        <v>2046</v>
      </c>
      <c r="C610" s="1">
        <v>607950.0</v>
      </c>
      <c r="D610" s="2">
        <v>46051.6625</v>
      </c>
      <c r="E610" s="1" t="s">
        <v>2594</v>
      </c>
      <c r="F610" s="1" t="b">
        <v>0</v>
      </c>
    </row>
    <row r="611">
      <c r="A611" s="1" t="s">
        <v>1770</v>
      </c>
      <c r="B611" s="1" t="s">
        <v>2046</v>
      </c>
      <c r="C611" s="1">
        <v>607950.0</v>
      </c>
      <c r="D611" s="2">
        <v>46051.66266203704</v>
      </c>
      <c r="E611" s="1" t="s">
        <v>2595</v>
      </c>
      <c r="F611" s="1" t="b">
        <v>1</v>
      </c>
    </row>
    <row r="612">
      <c r="A612" s="1" t="s">
        <v>1766</v>
      </c>
      <c r="B612" s="1" t="s">
        <v>2042</v>
      </c>
      <c r="C612" s="1" t="s">
        <v>1768</v>
      </c>
      <c r="D612" s="2">
        <v>46051.718993055554</v>
      </c>
      <c r="E612" s="1" t="s">
        <v>2596</v>
      </c>
      <c r="F612" s="1" t="b">
        <v>0</v>
      </c>
    </row>
    <row r="613">
      <c r="A613" s="1" t="s">
        <v>1764</v>
      </c>
      <c r="B613" s="1" t="s">
        <v>2042</v>
      </c>
      <c r="C613" s="1" t="s">
        <v>1625</v>
      </c>
      <c r="D613" s="2">
        <v>46051.721712962964</v>
      </c>
      <c r="E613" s="1" t="s">
        <v>2597</v>
      </c>
      <c r="F613" s="1" t="b">
        <v>0</v>
      </c>
    </row>
    <row r="614">
      <c r="A614" s="1" t="s">
        <v>1764</v>
      </c>
      <c r="B614" s="1" t="s">
        <v>2042</v>
      </c>
      <c r="C614" s="1" t="s">
        <v>1625</v>
      </c>
      <c r="D614" s="2">
        <v>46051.72390046297</v>
      </c>
      <c r="E614" s="1" t="s">
        <v>2598</v>
      </c>
      <c r="F614" s="1" t="b">
        <v>0</v>
      </c>
    </row>
    <row r="615">
      <c r="A615" s="1" t="s">
        <v>1764</v>
      </c>
      <c r="B615" s="1" t="s">
        <v>2042</v>
      </c>
      <c r="C615" s="1" t="s">
        <v>1625</v>
      </c>
      <c r="D615" s="2">
        <v>46051.72556712963</v>
      </c>
      <c r="E615" s="1" t="s">
        <v>2599</v>
      </c>
      <c r="F615" s="1" t="b">
        <v>0</v>
      </c>
    </row>
    <row r="616">
      <c r="A616" s="1" t="s">
        <v>1764</v>
      </c>
      <c r="B616" s="1" t="s">
        <v>2042</v>
      </c>
      <c r="C616" s="1" t="s">
        <v>1625</v>
      </c>
      <c r="D616" s="2">
        <v>46051.72625</v>
      </c>
      <c r="E616" s="1" t="s">
        <v>2600</v>
      </c>
      <c r="F616" s="1" t="b">
        <v>0</v>
      </c>
    </row>
    <row r="617">
      <c r="A617" s="1" t="s">
        <v>1764</v>
      </c>
      <c r="B617" s="1" t="s">
        <v>2042</v>
      </c>
      <c r="C617" s="1" t="s">
        <v>1625</v>
      </c>
      <c r="D617" s="2">
        <v>46051.72671296296</v>
      </c>
      <c r="E617" s="1" t="s">
        <v>2601</v>
      </c>
      <c r="F617" s="1" t="b">
        <v>0</v>
      </c>
    </row>
    <row r="618">
      <c r="A618" s="1" t="s">
        <v>1764</v>
      </c>
      <c r="B618" s="1" t="s">
        <v>2042</v>
      </c>
      <c r="C618" s="1" t="s">
        <v>1625</v>
      </c>
      <c r="D618" s="2">
        <v>46051.72694444445</v>
      </c>
      <c r="E618" s="1" t="s">
        <v>2602</v>
      </c>
      <c r="F618" s="1" t="b">
        <v>0</v>
      </c>
    </row>
    <row r="619">
      <c r="A619" s="1" t="s">
        <v>1764</v>
      </c>
      <c r="B619" s="1" t="s">
        <v>2042</v>
      </c>
      <c r="C619" s="1" t="s">
        <v>1625</v>
      </c>
      <c r="D619" s="2">
        <v>46051.7271875</v>
      </c>
      <c r="E619" s="1" t="s">
        <v>2603</v>
      </c>
      <c r="F619" s="1" t="b">
        <v>0</v>
      </c>
    </row>
    <row r="620">
      <c r="A620" s="1" t="s">
        <v>1764</v>
      </c>
      <c r="B620" s="1" t="s">
        <v>2046</v>
      </c>
      <c r="C620" s="1">
        <v>574085.0</v>
      </c>
      <c r="D620" s="2">
        <v>46051.74270833333</v>
      </c>
      <c r="E620" s="1" t="s">
        <v>2604</v>
      </c>
      <c r="F620" s="1" t="b">
        <v>1</v>
      </c>
    </row>
    <row r="621">
      <c r="A621" s="1" t="s">
        <v>1764</v>
      </c>
      <c r="B621" s="1" t="s">
        <v>2150</v>
      </c>
      <c r="C621" s="1" t="s">
        <v>2151</v>
      </c>
      <c r="D621" s="2">
        <v>46051.74283564815</v>
      </c>
      <c r="E621" s="1" t="s">
        <v>2605</v>
      </c>
      <c r="F621" s="1" t="b">
        <v>1</v>
      </c>
    </row>
    <row r="622">
      <c r="A622" s="1" t="s">
        <v>1764</v>
      </c>
      <c r="B622" s="1" t="s">
        <v>2046</v>
      </c>
      <c r="C622" s="1">
        <v>574085.0</v>
      </c>
      <c r="D622" s="2">
        <v>46051.74329861111</v>
      </c>
      <c r="E622" s="1" t="s">
        <v>2606</v>
      </c>
      <c r="F622" s="1" t="b">
        <v>0</v>
      </c>
    </row>
    <row r="623">
      <c r="A623" s="1" t="s">
        <v>1760</v>
      </c>
      <c r="B623" s="1" t="s">
        <v>2042</v>
      </c>
      <c r="C623" s="1" t="s">
        <v>1761</v>
      </c>
      <c r="D623" s="2">
        <v>46051.74193287037</v>
      </c>
      <c r="E623" s="1" t="s">
        <v>2607</v>
      </c>
      <c r="F623" s="1" t="b">
        <v>0</v>
      </c>
    </row>
    <row r="624">
      <c r="A624" s="1" t="s">
        <v>1760</v>
      </c>
      <c r="B624" s="1" t="s">
        <v>2042</v>
      </c>
      <c r="C624" s="1" t="s">
        <v>1761</v>
      </c>
      <c r="D624" s="2">
        <v>46051.74212962963</v>
      </c>
      <c r="E624" s="1" t="s">
        <v>2608</v>
      </c>
      <c r="F624" s="1" t="b">
        <v>0</v>
      </c>
    </row>
    <row r="625">
      <c r="A625" s="1" t="s">
        <v>1760</v>
      </c>
      <c r="B625" s="1" t="s">
        <v>2046</v>
      </c>
      <c r="C625" s="1">
        <v>594863.0</v>
      </c>
      <c r="D625" s="2">
        <v>46051.76642361111</v>
      </c>
      <c r="E625" s="1" t="s">
        <v>2609</v>
      </c>
      <c r="F625" s="1" t="b">
        <v>0</v>
      </c>
    </row>
    <row r="626">
      <c r="A626" s="1" t="s">
        <v>1760</v>
      </c>
      <c r="B626" s="1" t="s">
        <v>2042</v>
      </c>
      <c r="C626" s="1" t="s">
        <v>1761</v>
      </c>
      <c r="D626" s="2">
        <v>46051.772199074076</v>
      </c>
      <c r="E626" s="1" t="s">
        <v>2610</v>
      </c>
      <c r="F626" s="1" t="b">
        <v>0</v>
      </c>
    </row>
    <row r="627">
      <c r="A627" s="1" t="s">
        <v>1760</v>
      </c>
      <c r="B627" s="1" t="s">
        <v>2042</v>
      </c>
      <c r="C627" s="1" t="s">
        <v>1761</v>
      </c>
      <c r="D627" s="2">
        <v>46052.45484953704</v>
      </c>
      <c r="E627" s="1" t="s">
        <v>2611</v>
      </c>
      <c r="F627" s="1" t="b">
        <v>0</v>
      </c>
    </row>
    <row r="628">
      <c r="A628" s="1" t="s">
        <v>1760</v>
      </c>
      <c r="B628" s="1" t="s">
        <v>2042</v>
      </c>
      <c r="C628" s="1" t="s">
        <v>1761</v>
      </c>
      <c r="D628" s="2">
        <v>46052.454884259256</v>
      </c>
      <c r="E628" s="1" t="s">
        <v>2612</v>
      </c>
      <c r="F628" s="1" t="b">
        <v>0</v>
      </c>
    </row>
    <row r="629">
      <c r="A629" s="1" t="s">
        <v>1760</v>
      </c>
      <c r="B629" s="1" t="s">
        <v>2042</v>
      </c>
      <c r="C629" s="1" t="s">
        <v>1761</v>
      </c>
      <c r="D629" s="2">
        <v>46052.45490740741</v>
      </c>
      <c r="E629" s="1" t="s">
        <v>2613</v>
      </c>
      <c r="F629" s="1" t="b">
        <v>0</v>
      </c>
    </row>
    <row r="630">
      <c r="A630" s="1" t="s">
        <v>1760</v>
      </c>
      <c r="B630" s="1" t="s">
        <v>2042</v>
      </c>
      <c r="C630" s="1" t="s">
        <v>1761</v>
      </c>
      <c r="D630" s="2">
        <v>46052.454976851855</v>
      </c>
      <c r="E630" s="1" t="s">
        <v>2614</v>
      </c>
      <c r="F630" s="1" t="b">
        <v>0</v>
      </c>
    </row>
    <row r="631">
      <c r="A631" s="1" t="s">
        <v>1760</v>
      </c>
      <c r="B631" s="1" t="s">
        <v>2046</v>
      </c>
      <c r="C631" s="1">
        <v>594863.0</v>
      </c>
      <c r="D631" s="2">
        <v>46052.45946759259</v>
      </c>
      <c r="E631" s="1" t="s">
        <v>2615</v>
      </c>
      <c r="F631" s="1" t="b">
        <v>0</v>
      </c>
    </row>
    <row r="632">
      <c r="A632" s="1" t="s">
        <v>1760</v>
      </c>
      <c r="B632" s="1" t="s">
        <v>2042</v>
      </c>
      <c r="C632" s="1" t="s">
        <v>1761</v>
      </c>
      <c r="D632" s="2">
        <v>46052.46021990741</v>
      </c>
      <c r="E632" s="1" t="s">
        <v>2616</v>
      </c>
      <c r="F632" s="1" t="b">
        <v>0</v>
      </c>
    </row>
    <row r="633">
      <c r="A633" s="1" t="s">
        <v>1760</v>
      </c>
      <c r="B633" s="1" t="s">
        <v>2042</v>
      </c>
      <c r="C633" s="1" t="s">
        <v>1761</v>
      </c>
      <c r="D633" s="2">
        <v>46052.46025462963</v>
      </c>
      <c r="E633" s="1" t="s">
        <v>2617</v>
      </c>
      <c r="F633" s="1" t="b">
        <v>0</v>
      </c>
    </row>
    <row r="634">
      <c r="A634" s="1" t="s">
        <v>1760</v>
      </c>
      <c r="B634" s="1" t="s">
        <v>2042</v>
      </c>
      <c r="C634" s="1" t="s">
        <v>1761</v>
      </c>
      <c r="D634" s="2">
        <v>46052.4603125</v>
      </c>
      <c r="E634" s="1" t="s">
        <v>2618</v>
      </c>
      <c r="F634" s="1" t="b">
        <v>0</v>
      </c>
    </row>
    <row r="635">
      <c r="A635" s="1" t="s">
        <v>1760</v>
      </c>
      <c r="B635" s="1" t="s">
        <v>2042</v>
      </c>
      <c r="C635" s="1" t="s">
        <v>1761</v>
      </c>
      <c r="D635" s="2">
        <v>46052.460393518515</v>
      </c>
      <c r="E635" s="1" t="s">
        <v>2619</v>
      </c>
      <c r="F635" s="1" t="b">
        <v>0</v>
      </c>
    </row>
    <row r="636">
      <c r="A636" s="1" t="s">
        <v>1760</v>
      </c>
      <c r="B636" s="1" t="s">
        <v>2046</v>
      </c>
      <c r="C636" s="1">
        <v>594863.0</v>
      </c>
      <c r="D636" s="2">
        <v>46052.48650462963</v>
      </c>
      <c r="E636" s="1" t="s">
        <v>2620</v>
      </c>
      <c r="F636" s="1" t="b">
        <v>0</v>
      </c>
    </row>
    <row r="637">
      <c r="A637" s="1" t="s">
        <v>1760</v>
      </c>
      <c r="B637" s="1" t="s">
        <v>2046</v>
      </c>
      <c r="C637" s="1">
        <v>594863.0</v>
      </c>
      <c r="D637" s="2">
        <v>46052.49775462963</v>
      </c>
      <c r="E637" s="1" t="s">
        <v>2621</v>
      </c>
      <c r="F637" s="1" t="b">
        <v>0</v>
      </c>
    </row>
    <row r="638">
      <c r="A638" s="1" t="s">
        <v>1760</v>
      </c>
      <c r="B638" s="1" t="s">
        <v>2046</v>
      </c>
      <c r="C638" s="1">
        <v>594863.0</v>
      </c>
      <c r="D638" s="2">
        <v>46052.56909722222</v>
      </c>
      <c r="E638" s="1" t="s">
        <v>2622</v>
      </c>
      <c r="F638" s="1" t="b">
        <v>0</v>
      </c>
    </row>
    <row r="639">
      <c r="A639" s="1" t="s">
        <v>1756</v>
      </c>
      <c r="B639" s="1" t="s">
        <v>2042</v>
      </c>
      <c r="C639" s="1" t="s">
        <v>1758</v>
      </c>
      <c r="D639" s="2">
        <v>46051.763020833336</v>
      </c>
      <c r="E639" s="1" t="s">
        <v>2623</v>
      </c>
      <c r="F639" s="1" t="b">
        <v>0</v>
      </c>
    </row>
    <row r="640">
      <c r="A640" s="1" t="s">
        <v>1756</v>
      </c>
      <c r="B640" s="1" t="s">
        <v>2042</v>
      </c>
      <c r="C640" s="1" t="s">
        <v>1758</v>
      </c>
      <c r="D640" s="2">
        <v>46052.64493055556</v>
      </c>
      <c r="E640" s="1" t="s">
        <v>2624</v>
      </c>
      <c r="F640" s="1" t="b">
        <v>0</v>
      </c>
    </row>
    <row r="641">
      <c r="A641" s="1" t="s">
        <v>1754</v>
      </c>
      <c r="B641" s="1" t="s">
        <v>2042</v>
      </c>
      <c r="C641" s="1" t="s">
        <v>1724</v>
      </c>
      <c r="D641" s="2">
        <v>46051.863587962966</v>
      </c>
      <c r="E641" s="1" t="s">
        <v>2625</v>
      </c>
      <c r="F641" s="1" t="b">
        <v>0</v>
      </c>
    </row>
    <row r="642">
      <c r="A642" s="1" t="s">
        <v>1754</v>
      </c>
      <c r="B642" s="1" t="s">
        <v>2042</v>
      </c>
      <c r="C642" s="1" t="s">
        <v>1724</v>
      </c>
      <c r="D642" s="2">
        <v>46051.864328703705</v>
      </c>
      <c r="E642" s="1" t="s">
        <v>2626</v>
      </c>
      <c r="F642" s="1" t="b">
        <v>0</v>
      </c>
    </row>
    <row r="643">
      <c r="A643" s="1" t="s">
        <v>1721</v>
      </c>
      <c r="B643" s="1" t="s">
        <v>2042</v>
      </c>
      <c r="C643" s="1" t="s">
        <v>1724</v>
      </c>
      <c r="D643" s="2">
        <v>46052.585694444446</v>
      </c>
      <c r="E643" s="1" t="s">
        <v>2627</v>
      </c>
      <c r="F643" s="1" t="b">
        <v>0</v>
      </c>
    </row>
    <row r="644">
      <c r="A644" s="1" t="s">
        <v>1721</v>
      </c>
      <c r="B644" s="1" t="s">
        <v>2042</v>
      </c>
      <c r="C644" s="1" t="s">
        <v>1724</v>
      </c>
      <c r="D644" s="2">
        <v>46052.5859837963</v>
      </c>
      <c r="E644" s="1" t="s">
        <v>2293</v>
      </c>
      <c r="F644" s="1" t="b">
        <v>0</v>
      </c>
    </row>
    <row r="645">
      <c r="A645" s="1" t="s">
        <v>1721</v>
      </c>
      <c r="B645" s="1" t="s">
        <v>2042</v>
      </c>
      <c r="C645" s="1" t="s">
        <v>1724</v>
      </c>
      <c r="D645" s="2">
        <v>46052.586018518516</v>
      </c>
      <c r="E645" s="1" t="s">
        <v>2628</v>
      </c>
      <c r="F645" s="1" t="b">
        <v>0</v>
      </c>
    </row>
    <row r="646">
      <c r="A646" s="1" t="s">
        <v>1721</v>
      </c>
      <c r="B646" s="1" t="s">
        <v>2042</v>
      </c>
      <c r="C646" s="1" t="s">
        <v>1724</v>
      </c>
      <c r="D646" s="2">
        <v>46052.58678240741</v>
      </c>
      <c r="E646" s="1" t="s">
        <v>2629</v>
      </c>
      <c r="F646" s="1" t="b">
        <v>0</v>
      </c>
    </row>
    <row r="647">
      <c r="A647" s="1" t="s">
        <v>1721</v>
      </c>
      <c r="B647" s="1" t="s">
        <v>2046</v>
      </c>
      <c r="C647" s="1">
        <v>574085.0</v>
      </c>
      <c r="D647" s="2">
        <v>46052.5874537037</v>
      </c>
      <c r="E647" s="1" t="s">
        <v>2630</v>
      </c>
      <c r="F647" s="1" t="b">
        <v>0</v>
      </c>
    </row>
    <row r="648">
      <c r="A648" s="1" t="s">
        <v>1721</v>
      </c>
      <c r="B648" s="1" t="s">
        <v>2042</v>
      </c>
      <c r="C648" s="1" t="s">
        <v>1724</v>
      </c>
      <c r="D648" s="2">
        <v>46052.588530092595</v>
      </c>
      <c r="E648" s="1" t="s">
        <v>2631</v>
      </c>
      <c r="F648" s="1" t="b">
        <v>0</v>
      </c>
    </row>
    <row r="649">
      <c r="A649" s="1" t="s">
        <v>1721</v>
      </c>
      <c r="B649" s="1" t="s">
        <v>2046</v>
      </c>
      <c r="C649" s="1">
        <v>574085.0</v>
      </c>
      <c r="D649" s="2">
        <v>46052.58888888889</v>
      </c>
      <c r="E649" s="1" t="s">
        <v>2108</v>
      </c>
      <c r="F649" s="1" t="b">
        <v>0</v>
      </c>
    </row>
    <row r="650">
      <c r="A650" s="1" t="s">
        <v>1748</v>
      </c>
      <c r="B650" s="1" t="s">
        <v>2042</v>
      </c>
      <c r="C650" s="1" t="s">
        <v>2632</v>
      </c>
      <c r="D650" s="2">
        <v>46052.36549768518</v>
      </c>
      <c r="E650" s="1" t="s">
        <v>2633</v>
      </c>
      <c r="F650" s="1" t="b">
        <v>0</v>
      </c>
    </row>
    <row r="651">
      <c r="A651" s="1" t="s">
        <v>1748</v>
      </c>
      <c r="B651" s="1" t="s">
        <v>2042</v>
      </c>
      <c r="C651" s="1" t="s">
        <v>2632</v>
      </c>
      <c r="D651" s="2">
        <v>46052.37364583334</v>
      </c>
      <c r="E651" s="1" t="s">
        <v>2634</v>
      </c>
      <c r="F651" s="1" t="b">
        <v>0</v>
      </c>
    </row>
    <row r="652">
      <c r="A652" s="1" t="s">
        <v>1748</v>
      </c>
      <c r="B652" s="1" t="s">
        <v>2046</v>
      </c>
      <c r="C652" s="1">
        <v>607950.0</v>
      </c>
      <c r="D652" s="2">
        <v>46052.456412037034</v>
      </c>
      <c r="E652" s="1" t="s">
        <v>2635</v>
      </c>
      <c r="F652" s="1" t="b">
        <v>1</v>
      </c>
    </row>
    <row r="653">
      <c r="A653" s="1" t="s">
        <v>1748</v>
      </c>
      <c r="B653" s="1" t="s">
        <v>2150</v>
      </c>
      <c r="C653" s="1" t="s">
        <v>2151</v>
      </c>
      <c r="D653" s="2">
        <v>46052.456608796296</v>
      </c>
      <c r="E653" s="1" t="s">
        <v>2636</v>
      </c>
      <c r="F653" s="1" t="b">
        <v>1</v>
      </c>
    </row>
    <row r="654">
      <c r="A654" s="1" t="s">
        <v>1748</v>
      </c>
      <c r="B654" s="1" t="s">
        <v>2046</v>
      </c>
      <c r="C654" s="1">
        <v>607950.0</v>
      </c>
      <c r="D654" s="2">
        <v>46052.46087962963</v>
      </c>
      <c r="E654" s="1" t="s">
        <v>2637</v>
      </c>
      <c r="F654" s="1" t="b">
        <v>0</v>
      </c>
    </row>
    <row r="655">
      <c r="A655" s="1" t="s">
        <v>1748</v>
      </c>
      <c r="B655" s="1" t="s">
        <v>2042</v>
      </c>
      <c r="C655" s="1" t="s">
        <v>1752</v>
      </c>
      <c r="D655" s="2">
        <v>46052.4703125</v>
      </c>
      <c r="E655" s="1" t="s">
        <v>2638</v>
      </c>
      <c r="F655" s="1" t="b">
        <v>0</v>
      </c>
    </row>
    <row r="656">
      <c r="A656" s="1" t="s">
        <v>1748</v>
      </c>
      <c r="B656" s="1" t="s">
        <v>2042</v>
      </c>
      <c r="C656" s="1" t="s">
        <v>1752</v>
      </c>
      <c r="D656" s="2">
        <v>46052.47083333333</v>
      </c>
      <c r="E656" s="1" t="s">
        <v>2639</v>
      </c>
      <c r="F656" s="1" t="b">
        <v>0</v>
      </c>
    </row>
    <row r="657">
      <c r="A657" s="1" t="s">
        <v>1748</v>
      </c>
      <c r="B657" s="1" t="s">
        <v>2042</v>
      </c>
      <c r="C657" s="1" t="s">
        <v>1752</v>
      </c>
      <c r="D657" s="2">
        <v>46052.4790162037</v>
      </c>
      <c r="E657" s="1" t="s">
        <v>2640</v>
      </c>
      <c r="F657" s="1" t="b">
        <v>0</v>
      </c>
    </row>
    <row r="658">
      <c r="A658" s="1" t="s">
        <v>1748</v>
      </c>
      <c r="B658" s="1" t="s">
        <v>2046</v>
      </c>
      <c r="C658" s="1">
        <v>607950.0</v>
      </c>
      <c r="D658" s="2">
        <v>46052.47949074074</v>
      </c>
      <c r="E658" s="1" t="s">
        <v>2641</v>
      </c>
      <c r="F658" s="1" t="b">
        <v>0</v>
      </c>
    </row>
    <row r="659">
      <c r="A659" s="1" t="s">
        <v>1748</v>
      </c>
      <c r="B659" s="1" t="s">
        <v>2042</v>
      </c>
      <c r="C659" s="1" t="s">
        <v>1752</v>
      </c>
      <c r="D659" s="2">
        <v>46052.481886574074</v>
      </c>
      <c r="E659" s="1" t="s">
        <v>2642</v>
      </c>
      <c r="F659" s="1" t="b">
        <v>0</v>
      </c>
    </row>
    <row r="660">
      <c r="A660" s="1" t="s">
        <v>1748</v>
      </c>
      <c r="B660" s="1" t="s">
        <v>2046</v>
      </c>
      <c r="C660" s="1">
        <v>506375.0</v>
      </c>
      <c r="D660" s="2">
        <v>46052.49304398148</v>
      </c>
      <c r="E660" s="1" t="s">
        <v>2643</v>
      </c>
      <c r="F660" s="1" t="b">
        <v>1</v>
      </c>
    </row>
    <row r="661">
      <c r="A661" s="1" t="s">
        <v>1748</v>
      </c>
      <c r="B661" s="1" t="s">
        <v>2046</v>
      </c>
      <c r="C661" s="1">
        <v>607950.0</v>
      </c>
      <c r="D661" s="2">
        <v>46052.57850694445</v>
      </c>
      <c r="E661" s="1" t="s">
        <v>2644</v>
      </c>
      <c r="F661" s="1" t="b">
        <v>0</v>
      </c>
    </row>
    <row r="662">
      <c r="A662" s="1" t="s">
        <v>1748</v>
      </c>
      <c r="B662" s="1" t="s">
        <v>2042</v>
      </c>
      <c r="C662" s="1" t="s">
        <v>1752</v>
      </c>
      <c r="D662" s="2">
        <v>46052.664722222224</v>
      </c>
      <c r="E662" s="1" t="s">
        <v>2645</v>
      </c>
      <c r="F662" s="1" t="b">
        <v>0</v>
      </c>
    </row>
    <row r="663">
      <c r="A663" s="1" t="s">
        <v>1748</v>
      </c>
      <c r="B663" s="1" t="s">
        <v>2046</v>
      </c>
      <c r="C663" s="1">
        <v>607950.0</v>
      </c>
      <c r="D663" s="2">
        <v>46052.66540509259</v>
      </c>
      <c r="E663" s="1" t="s">
        <v>2646</v>
      </c>
      <c r="F663" s="1" t="b">
        <v>0</v>
      </c>
    </row>
    <row r="664">
      <c r="A664" s="1" t="s">
        <v>1748</v>
      </c>
      <c r="B664" s="1" t="s">
        <v>2046</v>
      </c>
      <c r="C664" s="1">
        <v>574085.0</v>
      </c>
      <c r="D664" s="2">
        <v>46052.67690972222</v>
      </c>
      <c r="E664" s="1" t="s">
        <v>2647</v>
      </c>
      <c r="F664" s="1" t="b">
        <v>1</v>
      </c>
    </row>
    <row r="665">
      <c r="A665" s="1" t="s">
        <v>1748</v>
      </c>
      <c r="B665" s="1" t="s">
        <v>2046</v>
      </c>
      <c r="C665" s="1">
        <v>607950.0</v>
      </c>
      <c r="D665" s="2">
        <v>46052.67737268518</v>
      </c>
      <c r="E665" s="1" t="s">
        <v>2648</v>
      </c>
      <c r="F665" s="1" t="b">
        <v>1</v>
      </c>
    </row>
    <row r="666">
      <c r="A666" s="1" t="s">
        <v>1748</v>
      </c>
      <c r="B666" s="1" t="s">
        <v>2046</v>
      </c>
      <c r="C666" s="1">
        <v>574085.0</v>
      </c>
      <c r="D666" s="2">
        <v>46052.678923611114</v>
      </c>
      <c r="E666" s="1" t="s">
        <v>2649</v>
      </c>
      <c r="F666" s="1" t="b">
        <v>1</v>
      </c>
    </row>
    <row r="667">
      <c r="A667" s="1" t="s">
        <v>1748</v>
      </c>
      <c r="B667" s="1" t="s">
        <v>2046</v>
      </c>
      <c r="C667" s="1">
        <v>607950.0</v>
      </c>
      <c r="D667" s="2">
        <v>46052.680810185186</v>
      </c>
      <c r="E667" s="1" t="s">
        <v>2650</v>
      </c>
      <c r="F667" s="1" t="b">
        <v>1</v>
      </c>
    </row>
    <row r="668">
      <c r="A668" s="1" t="s">
        <v>1748</v>
      </c>
      <c r="B668" s="1" t="s">
        <v>2150</v>
      </c>
      <c r="C668" s="1" t="s">
        <v>2151</v>
      </c>
      <c r="D668" s="2">
        <v>46052.68087962963</v>
      </c>
      <c r="E668" s="1" t="s">
        <v>2651</v>
      </c>
      <c r="F668" s="1" t="b">
        <v>1</v>
      </c>
    </row>
    <row r="669">
      <c r="A669" s="1" t="s">
        <v>1748</v>
      </c>
      <c r="B669" s="1" t="s">
        <v>2046</v>
      </c>
      <c r="C669" s="1">
        <v>607950.0</v>
      </c>
      <c r="D669" s="2">
        <v>46052.68226851852</v>
      </c>
      <c r="E669" s="1" t="s">
        <v>2652</v>
      </c>
      <c r="F669" s="1" t="b">
        <v>0</v>
      </c>
    </row>
    <row r="670">
      <c r="A670" s="1" t="s">
        <v>1748</v>
      </c>
      <c r="B670" s="1" t="s">
        <v>2046</v>
      </c>
      <c r="C670" s="1">
        <v>607950.0</v>
      </c>
      <c r="D670" s="2">
        <v>46052.70075231481</v>
      </c>
      <c r="E670" s="1" t="s">
        <v>2653</v>
      </c>
      <c r="F670" s="1" t="b">
        <v>0</v>
      </c>
    </row>
    <row r="671">
      <c r="A671" s="1" t="s">
        <v>1748</v>
      </c>
      <c r="B671" s="1" t="s">
        <v>2042</v>
      </c>
      <c r="C671" s="1" t="s">
        <v>1752</v>
      </c>
      <c r="D671" s="2">
        <v>46052.70646990741</v>
      </c>
      <c r="E671" s="1" t="s">
        <v>2654</v>
      </c>
      <c r="F671" s="1" t="b">
        <v>0</v>
      </c>
    </row>
    <row r="672">
      <c r="A672" s="1" t="s">
        <v>1748</v>
      </c>
      <c r="B672" s="1" t="s">
        <v>2046</v>
      </c>
      <c r="C672" s="1">
        <v>574085.0</v>
      </c>
      <c r="D672" s="2">
        <v>46052.70707175926</v>
      </c>
      <c r="E672" s="1" t="s">
        <v>2655</v>
      </c>
      <c r="F672" s="1" t="b">
        <v>1</v>
      </c>
    </row>
    <row r="673">
      <c r="A673" s="1" t="s">
        <v>1748</v>
      </c>
      <c r="B673" s="1" t="s">
        <v>2046</v>
      </c>
      <c r="C673" s="1">
        <v>506375.0</v>
      </c>
      <c r="D673" s="2">
        <v>46052.710173611114</v>
      </c>
      <c r="E673" s="1" t="s">
        <v>2656</v>
      </c>
      <c r="F673" s="1" t="b">
        <v>1</v>
      </c>
    </row>
    <row r="674">
      <c r="A674" s="1" t="s">
        <v>1748</v>
      </c>
      <c r="B674" s="1" t="s">
        <v>2046</v>
      </c>
      <c r="C674" s="1">
        <v>506375.0</v>
      </c>
      <c r="D674" s="2">
        <v>46052.710648148146</v>
      </c>
      <c r="E674" s="1" t="s">
        <v>2657</v>
      </c>
      <c r="F674" s="1" t="b">
        <v>1</v>
      </c>
    </row>
    <row r="675">
      <c r="A675" s="1" t="s">
        <v>1748</v>
      </c>
      <c r="B675" s="1" t="s">
        <v>2046</v>
      </c>
      <c r="C675" s="1">
        <v>607950.0</v>
      </c>
      <c r="D675" s="2">
        <v>46052.71131944445</v>
      </c>
      <c r="E675" s="1" t="s">
        <v>2658</v>
      </c>
      <c r="F675" s="1" t="b">
        <v>0</v>
      </c>
    </row>
    <row r="676">
      <c r="A676" s="1" t="s">
        <v>1748</v>
      </c>
      <c r="B676" s="1" t="s">
        <v>2042</v>
      </c>
      <c r="C676" s="1" t="s">
        <v>1752</v>
      </c>
      <c r="D676" s="2">
        <v>46052.713530092595</v>
      </c>
      <c r="E676" s="1" t="s">
        <v>2659</v>
      </c>
      <c r="F676" s="1" t="b">
        <v>0</v>
      </c>
    </row>
    <row r="677">
      <c r="A677" s="1" t="s">
        <v>1748</v>
      </c>
      <c r="B677" s="1" t="s">
        <v>2046</v>
      </c>
      <c r="C677" s="1">
        <v>607950.0</v>
      </c>
      <c r="D677" s="2">
        <v>46052.71376157407</v>
      </c>
      <c r="E677" s="1" t="s">
        <v>2660</v>
      </c>
      <c r="F677" s="1" t="b">
        <v>0</v>
      </c>
    </row>
    <row r="678">
      <c r="A678" s="1" t="s">
        <v>1744</v>
      </c>
      <c r="B678" s="1" t="s">
        <v>2042</v>
      </c>
      <c r="C678" s="1" t="s">
        <v>1746</v>
      </c>
      <c r="D678" s="2">
        <v>46052.40956018519</v>
      </c>
      <c r="E678" s="1" t="s">
        <v>2661</v>
      </c>
      <c r="F678" s="1" t="b">
        <v>0</v>
      </c>
    </row>
    <row r="679">
      <c r="A679" s="1" t="s">
        <v>1740</v>
      </c>
      <c r="B679" s="1" t="s">
        <v>2042</v>
      </c>
      <c r="C679" s="1" t="s">
        <v>1742</v>
      </c>
      <c r="D679" s="2">
        <v>46052.47042824074</v>
      </c>
      <c r="E679" s="1" t="s">
        <v>2662</v>
      </c>
      <c r="F679" s="1" t="b">
        <v>0</v>
      </c>
    </row>
    <row r="680">
      <c r="A680" s="1" t="s">
        <v>1740</v>
      </c>
      <c r="B680" s="1" t="s">
        <v>2042</v>
      </c>
      <c r="C680" s="1" t="s">
        <v>1742</v>
      </c>
      <c r="D680" s="2">
        <v>46052.47109953704</v>
      </c>
      <c r="E680" s="1" t="s">
        <v>2663</v>
      </c>
      <c r="F680" s="1" t="b">
        <v>0</v>
      </c>
    </row>
    <row r="681">
      <c r="A681" s="1" t="s">
        <v>1740</v>
      </c>
      <c r="B681" s="1" t="s">
        <v>2042</v>
      </c>
      <c r="C681" s="1" t="s">
        <v>1742</v>
      </c>
      <c r="D681" s="2">
        <v>46052.47211805556</v>
      </c>
      <c r="E681" s="1" t="s">
        <v>2664</v>
      </c>
      <c r="F681" s="1" t="b">
        <v>0</v>
      </c>
    </row>
    <row r="682">
      <c r="A682" s="1" t="s">
        <v>1737</v>
      </c>
      <c r="B682" s="1" t="s">
        <v>2042</v>
      </c>
      <c r="C682" s="1" t="s">
        <v>2665</v>
      </c>
      <c r="D682" s="2">
        <v>46052.538981481484</v>
      </c>
      <c r="E682" s="1" t="s">
        <v>2666</v>
      </c>
      <c r="F682" s="1" t="b">
        <v>0</v>
      </c>
    </row>
    <row r="683">
      <c r="A683" s="1" t="s">
        <v>1737</v>
      </c>
      <c r="B683" s="1" t="s">
        <v>2046</v>
      </c>
      <c r="C683" s="1">
        <v>607950.0</v>
      </c>
      <c r="D683" s="2">
        <v>46052.563738425924</v>
      </c>
      <c r="E683" s="1" t="s">
        <v>2667</v>
      </c>
      <c r="F683" s="1" t="b">
        <v>0</v>
      </c>
    </row>
    <row r="684">
      <c r="A684" s="1" t="s">
        <v>1737</v>
      </c>
      <c r="B684" s="1" t="s">
        <v>2046</v>
      </c>
      <c r="C684" s="1">
        <v>607950.0</v>
      </c>
      <c r="D684" s="2">
        <v>46052.5643287037</v>
      </c>
      <c r="E684" s="1" t="s">
        <v>2668</v>
      </c>
      <c r="F684" s="1" t="b">
        <v>1</v>
      </c>
    </row>
    <row r="685">
      <c r="A685" s="1" t="s">
        <v>1737</v>
      </c>
      <c r="B685" s="1" t="s">
        <v>2150</v>
      </c>
      <c r="C685" s="1" t="s">
        <v>2151</v>
      </c>
      <c r="D685" s="2">
        <v>46052.56450231482</v>
      </c>
      <c r="E685" s="1" t="s">
        <v>2669</v>
      </c>
      <c r="F685" s="1" t="b">
        <v>1</v>
      </c>
    </row>
    <row r="686">
      <c r="A686" s="1" t="s">
        <v>1737</v>
      </c>
      <c r="B686" s="1" t="s">
        <v>2042</v>
      </c>
      <c r="C686" s="1" t="s">
        <v>2665</v>
      </c>
      <c r="D686" s="2">
        <v>46052.56487268519</v>
      </c>
      <c r="E686" s="1" t="s">
        <v>2476</v>
      </c>
      <c r="F686" s="1" t="b">
        <v>0</v>
      </c>
    </row>
    <row r="687">
      <c r="A687" s="1" t="s">
        <v>1737</v>
      </c>
      <c r="B687" s="1" t="s">
        <v>2046</v>
      </c>
      <c r="C687" s="1">
        <v>607950.0</v>
      </c>
      <c r="D687" s="2">
        <v>46052.56554398148</v>
      </c>
      <c r="E687" s="1" t="s">
        <v>2670</v>
      </c>
      <c r="F687" s="1" t="b">
        <v>1</v>
      </c>
    </row>
    <row r="688">
      <c r="A688" s="1" t="s">
        <v>1737</v>
      </c>
      <c r="B688" s="1" t="s">
        <v>2150</v>
      </c>
      <c r="C688" s="1" t="s">
        <v>2151</v>
      </c>
      <c r="D688" s="2">
        <v>46052.565671296295</v>
      </c>
      <c r="E688" s="1" t="s">
        <v>2671</v>
      </c>
      <c r="F688" s="1" t="b">
        <v>1</v>
      </c>
    </row>
    <row r="689">
      <c r="A689" s="1" t="s">
        <v>1737</v>
      </c>
      <c r="B689" s="1" t="s">
        <v>2046</v>
      </c>
      <c r="C689" s="1">
        <v>607950.0</v>
      </c>
      <c r="D689" s="2">
        <v>46052.567719907405</v>
      </c>
      <c r="E689" s="1" t="s">
        <v>2672</v>
      </c>
      <c r="F689" s="1" t="b">
        <v>0</v>
      </c>
    </row>
    <row r="690">
      <c r="A690" s="1" t="s">
        <v>1737</v>
      </c>
      <c r="B690" s="1" t="s">
        <v>2042</v>
      </c>
      <c r="C690" s="1" t="s">
        <v>2665</v>
      </c>
      <c r="D690" s="2">
        <v>46052.604421296295</v>
      </c>
      <c r="E690" s="1" t="s">
        <v>2673</v>
      </c>
      <c r="F690" s="1" t="b">
        <v>0</v>
      </c>
    </row>
    <row r="691">
      <c r="A691" s="1" t="s">
        <v>1737</v>
      </c>
      <c r="B691" s="1" t="s">
        <v>2046</v>
      </c>
      <c r="C691" s="1">
        <v>607950.0</v>
      </c>
      <c r="D691" s="2">
        <v>46052.60481481482</v>
      </c>
      <c r="E691" s="1" t="s">
        <v>2674</v>
      </c>
      <c r="F691" s="1" t="b">
        <v>0</v>
      </c>
    </row>
    <row r="692">
      <c r="A692" s="1" t="s">
        <v>1737</v>
      </c>
      <c r="B692" s="1" t="s">
        <v>2042</v>
      </c>
      <c r="C692" s="1" t="s">
        <v>2665</v>
      </c>
      <c r="D692" s="2">
        <v>46052.60534722222</v>
      </c>
      <c r="E692" s="1" t="s">
        <v>2675</v>
      </c>
      <c r="F692" s="1" t="b">
        <v>0</v>
      </c>
    </row>
    <row r="693">
      <c r="A693" s="1" t="s">
        <v>1737</v>
      </c>
      <c r="B693" s="1" t="s">
        <v>2046</v>
      </c>
      <c r="C693" s="1">
        <v>607950.0</v>
      </c>
      <c r="D693" s="2">
        <v>46052.60934027778</v>
      </c>
      <c r="E693" s="1" t="s">
        <v>2676</v>
      </c>
      <c r="F693" s="1" t="b">
        <v>0</v>
      </c>
    </row>
    <row r="694">
      <c r="A694" s="1" t="s">
        <v>1737</v>
      </c>
      <c r="B694" s="1" t="s">
        <v>2046</v>
      </c>
      <c r="C694" s="1">
        <v>607950.0</v>
      </c>
      <c r="D694" s="2">
        <v>46052.609398148146</v>
      </c>
      <c r="E694" s="1" t="s">
        <v>2677</v>
      </c>
      <c r="F694" s="1" t="b">
        <v>0</v>
      </c>
    </row>
    <row r="695">
      <c r="A695" s="1" t="s">
        <v>1737</v>
      </c>
      <c r="B695" s="1" t="s">
        <v>2046</v>
      </c>
      <c r="C695" s="1">
        <v>607950.0</v>
      </c>
      <c r="D695" s="2">
        <v>46052.61094907407</v>
      </c>
      <c r="E695" s="1" t="s">
        <v>2678</v>
      </c>
      <c r="F695" s="1" t="b">
        <v>0</v>
      </c>
    </row>
    <row r="696">
      <c r="A696" s="1" t="s">
        <v>1737</v>
      </c>
      <c r="B696" s="1" t="s">
        <v>2046</v>
      </c>
      <c r="C696" s="1">
        <v>607950.0</v>
      </c>
      <c r="D696" s="2">
        <v>46052.61918981482</v>
      </c>
      <c r="E696" s="1" t="s">
        <v>2108</v>
      </c>
      <c r="F696" s="1" t="b">
        <v>0</v>
      </c>
    </row>
    <row r="697">
      <c r="A697" s="1" t="s">
        <v>1733</v>
      </c>
      <c r="B697" s="1" t="s">
        <v>2042</v>
      </c>
      <c r="C697" s="1" t="s">
        <v>1735</v>
      </c>
      <c r="D697" s="2">
        <v>46052.547685185185</v>
      </c>
      <c r="E697" s="1" t="s">
        <v>2679</v>
      </c>
      <c r="F697" s="1" t="b">
        <v>0</v>
      </c>
    </row>
    <row r="698">
      <c r="A698" s="1" t="s">
        <v>1731</v>
      </c>
      <c r="B698" s="1" t="s">
        <v>2042</v>
      </c>
      <c r="C698" s="1" t="s">
        <v>335</v>
      </c>
      <c r="D698" s="2">
        <v>46052.56979166667</v>
      </c>
      <c r="F698" s="1" t="b">
        <v>0</v>
      </c>
    </row>
    <row r="699">
      <c r="A699" s="1" t="s">
        <v>1731</v>
      </c>
      <c r="B699" s="1" t="s">
        <v>2042</v>
      </c>
      <c r="C699" s="1" t="s">
        <v>335</v>
      </c>
      <c r="D699" s="2">
        <v>46052.569861111115</v>
      </c>
      <c r="E699" s="1" t="s">
        <v>2680</v>
      </c>
      <c r="F699" s="1" t="b">
        <v>0</v>
      </c>
    </row>
    <row r="700">
      <c r="A700" s="1" t="s">
        <v>1731</v>
      </c>
      <c r="B700" s="1" t="s">
        <v>2046</v>
      </c>
      <c r="C700" s="1">
        <v>574085.0</v>
      </c>
      <c r="D700" s="2">
        <v>46052.577199074076</v>
      </c>
      <c r="E700" s="1" t="s">
        <v>2681</v>
      </c>
      <c r="F700" s="1" t="b">
        <v>0</v>
      </c>
    </row>
    <row r="701">
      <c r="A701" s="1" t="s">
        <v>1731</v>
      </c>
      <c r="B701" s="1" t="s">
        <v>2042</v>
      </c>
      <c r="C701" s="1" t="s">
        <v>335</v>
      </c>
      <c r="D701" s="2">
        <v>46052.579039351855</v>
      </c>
      <c r="E701" s="1" t="s">
        <v>2682</v>
      </c>
      <c r="F701" s="1" t="b">
        <v>0</v>
      </c>
    </row>
    <row r="702">
      <c r="A702" s="1" t="s">
        <v>1731</v>
      </c>
      <c r="B702" s="1" t="s">
        <v>2046</v>
      </c>
      <c r="C702" s="1">
        <v>506375.0</v>
      </c>
      <c r="D702" s="2">
        <v>46052.63474537037</v>
      </c>
      <c r="E702" s="1" t="s">
        <v>2683</v>
      </c>
      <c r="F702" s="1" t="b">
        <v>0</v>
      </c>
    </row>
    <row r="703">
      <c r="A703" s="1" t="s">
        <v>1731</v>
      </c>
      <c r="B703" s="1" t="s">
        <v>2046</v>
      </c>
      <c r="C703" s="1">
        <v>607950.0</v>
      </c>
      <c r="D703" s="2">
        <v>46052.66579861111</v>
      </c>
      <c r="E703" s="1" t="s">
        <v>2684</v>
      </c>
      <c r="F703" s="1" t="b">
        <v>0</v>
      </c>
    </row>
    <row r="704">
      <c r="A704" s="1" t="s">
        <v>1726</v>
      </c>
      <c r="B704" s="1" t="s">
        <v>2042</v>
      </c>
      <c r="C704" s="1" t="s">
        <v>1728</v>
      </c>
      <c r="D704" s="2">
        <v>46052.58453703704</v>
      </c>
      <c r="E704" s="1" t="s">
        <v>2685</v>
      </c>
      <c r="F704" s="1" t="b">
        <v>0</v>
      </c>
    </row>
    <row r="705">
      <c r="A705" s="1" t="s">
        <v>1726</v>
      </c>
      <c r="B705" s="1" t="s">
        <v>2042</v>
      </c>
      <c r="C705" s="1" t="s">
        <v>1728</v>
      </c>
      <c r="D705" s="2">
        <v>46052.58484953704</v>
      </c>
      <c r="E705" s="1" t="s">
        <v>2686</v>
      </c>
      <c r="F705" s="1" t="b">
        <v>0</v>
      </c>
    </row>
    <row r="706">
      <c r="A706" s="1" t="s">
        <v>1726</v>
      </c>
      <c r="B706" s="1" t="s">
        <v>2046</v>
      </c>
      <c r="C706" s="1">
        <v>594863.0</v>
      </c>
      <c r="D706" s="2">
        <v>46052.596134259256</v>
      </c>
      <c r="E706" s="1" t="s">
        <v>2687</v>
      </c>
      <c r="F706" s="1" t="b">
        <v>0</v>
      </c>
    </row>
    <row r="707">
      <c r="A707" s="1" t="s">
        <v>1726</v>
      </c>
      <c r="B707" s="1" t="s">
        <v>2046</v>
      </c>
      <c r="C707" s="1">
        <v>594863.0</v>
      </c>
      <c r="D707" s="2">
        <v>46052.64716435185</v>
      </c>
      <c r="E707" s="1" t="s">
        <v>2688</v>
      </c>
      <c r="F707" s="1" t="b">
        <v>0</v>
      </c>
    </row>
    <row r="708">
      <c r="A708" s="1" t="s">
        <v>1726</v>
      </c>
      <c r="B708" s="1" t="s">
        <v>2046</v>
      </c>
      <c r="C708" s="1">
        <v>594863.0</v>
      </c>
      <c r="D708" s="2">
        <v>46052.6472337963</v>
      </c>
      <c r="E708" s="1" t="s">
        <v>2689</v>
      </c>
      <c r="F708" s="1" t="b">
        <v>0</v>
      </c>
    </row>
    <row r="709">
      <c r="A709" s="1" t="s">
        <v>1716</v>
      </c>
      <c r="B709" s="1" t="s">
        <v>2042</v>
      </c>
      <c r="C709" s="1" t="s">
        <v>1719</v>
      </c>
      <c r="D709" s="2">
        <v>46052.64670138889</v>
      </c>
      <c r="E709" s="1" t="s">
        <v>2690</v>
      </c>
      <c r="F709" s="1" t="b">
        <v>0</v>
      </c>
    </row>
    <row r="710">
      <c r="A710" s="1" t="s">
        <v>1716</v>
      </c>
      <c r="B710" s="1" t="s">
        <v>2042</v>
      </c>
      <c r="C710" s="1" t="s">
        <v>1719</v>
      </c>
      <c r="D710" s="2">
        <v>46052.64711805555</v>
      </c>
      <c r="E710" s="1" t="s">
        <v>2691</v>
      </c>
      <c r="F710" s="1" t="b">
        <v>0</v>
      </c>
    </row>
    <row r="711">
      <c r="A711" s="1" t="s">
        <v>1716</v>
      </c>
      <c r="B711" s="1" t="s">
        <v>2042</v>
      </c>
      <c r="C711" s="1" t="s">
        <v>1719</v>
      </c>
      <c r="D711" s="2">
        <v>46052.657314814816</v>
      </c>
      <c r="E711" s="1" t="s">
        <v>2692</v>
      </c>
      <c r="F711" s="1" t="b">
        <v>0</v>
      </c>
    </row>
    <row r="712">
      <c r="A712" s="1" t="s">
        <v>1716</v>
      </c>
      <c r="B712" s="1" t="s">
        <v>2042</v>
      </c>
      <c r="C712" s="1" t="s">
        <v>1719</v>
      </c>
      <c r="D712" s="2">
        <v>46052.65918981482</v>
      </c>
      <c r="E712" s="1" t="s">
        <v>2693</v>
      </c>
      <c r="F712" s="1" t="b">
        <v>0</v>
      </c>
    </row>
    <row r="713">
      <c r="A713" s="1" t="s">
        <v>1711</v>
      </c>
      <c r="B713" s="1" t="s">
        <v>2042</v>
      </c>
      <c r="C713" s="1" t="s">
        <v>1714</v>
      </c>
      <c r="D713" s="2">
        <v>46052.656909722224</v>
      </c>
      <c r="E713" s="1" t="s">
        <v>2694</v>
      </c>
      <c r="F713" s="1" t="b">
        <v>0</v>
      </c>
    </row>
    <row r="714">
      <c r="A714" s="1" t="s">
        <v>1711</v>
      </c>
      <c r="B714" s="1" t="s">
        <v>2042</v>
      </c>
      <c r="C714" s="1" t="s">
        <v>1714</v>
      </c>
      <c r="D714" s="2">
        <v>46052.65729166667</v>
      </c>
      <c r="E714" s="1" t="s">
        <v>2695</v>
      </c>
      <c r="F714" s="1" t="b">
        <v>0</v>
      </c>
    </row>
    <row r="715">
      <c r="A715" s="1" t="s">
        <v>1711</v>
      </c>
      <c r="B715" s="1" t="s">
        <v>2046</v>
      </c>
      <c r="C715" s="1">
        <v>607950.0</v>
      </c>
      <c r="D715" s="2">
        <v>46052.65738425926</v>
      </c>
      <c r="E715" s="1" t="s">
        <v>2696</v>
      </c>
      <c r="F715" s="1" t="b">
        <v>0</v>
      </c>
    </row>
    <row r="716">
      <c r="A716" s="1" t="s">
        <v>1711</v>
      </c>
      <c r="B716" s="1" t="s">
        <v>2042</v>
      </c>
      <c r="C716" s="1" t="s">
        <v>1714</v>
      </c>
      <c r="D716" s="2">
        <v>46052.665810185186</v>
      </c>
      <c r="E716" s="1" t="s">
        <v>2697</v>
      </c>
      <c r="F716" s="1" t="b">
        <v>0</v>
      </c>
    </row>
    <row r="717">
      <c r="A717" s="1" t="s">
        <v>1711</v>
      </c>
      <c r="B717" s="1" t="s">
        <v>2046</v>
      </c>
      <c r="C717" s="1">
        <v>607950.0</v>
      </c>
      <c r="D717" s="2">
        <v>46052.668217592596</v>
      </c>
      <c r="E717" s="1" t="s">
        <v>2698</v>
      </c>
      <c r="F717" s="1" t="b">
        <v>0</v>
      </c>
    </row>
    <row r="718">
      <c r="A718" s="1" t="s">
        <v>1711</v>
      </c>
      <c r="B718" s="1" t="s">
        <v>2042</v>
      </c>
      <c r="C718" s="1" t="s">
        <v>1714</v>
      </c>
      <c r="D718" s="2">
        <v>46052.67388888889</v>
      </c>
      <c r="F718" s="1" t="b">
        <v>0</v>
      </c>
    </row>
    <row r="719">
      <c r="A719" s="1" t="s">
        <v>1711</v>
      </c>
      <c r="B719" s="1" t="s">
        <v>2046</v>
      </c>
      <c r="C719" s="1">
        <v>574085.0</v>
      </c>
      <c r="D719" s="2">
        <v>46052.67487268519</v>
      </c>
      <c r="E719" s="1" t="s">
        <v>2699</v>
      </c>
      <c r="F719" s="1" t="b">
        <v>1</v>
      </c>
    </row>
    <row r="720">
      <c r="A720" s="1" t="s">
        <v>1711</v>
      </c>
      <c r="B720" s="1" t="s">
        <v>2046</v>
      </c>
      <c r="C720" s="1">
        <v>607950.0</v>
      </c>
      <c r="D720" s="2">
        <v>46052.67496527778</v>
      </c>
      <c r="E720" s="1" t="s">
        <v>2700</v>
      </c>
      <c r="F720" s="1" t="b">
        <v>0</v>
      </c>
    </row>
    <row r="721">
      <c r="A721" s="1" t="s">
        <v>1711</v>
      </c>
      <c r="B721" s="1" t="s">
        <v>2046</v>
      </c>
      <c r="C721" s="1">
        <v>607950.0</v>
      </c>
      <c r="D721" s="2">
        <v>46052.67505787037</v>
      </c>
      <c r="E721" s="1" t="s">
        <v>2701</v>
      </c>
      <c r="F721" s="1" t="b">
        <v>1</v>
      </c>
    </row>
    <row r="722">
      <c r="A722" s="1" t="s">
        <v>1711</v>
      </c>
      <c r="B722" s="1" t="s">
        <v>2046</v>
      </c>
      <c r="C722" s="1">
        <v>574085.0</v>
      </c>
      <c r="D722" s="2">
        <v>46052.67837962963</v>
      </c>
      <c r="E722" s="1" t="s">
        <v>2702</v>
      </c>
      <c r="F722" s="1" t="b">
        <v>1</v>
      </c>
    </row>
    <row r="723">
      <c r="A723" s="1" t="s">
        <v>1711</v>
      </c>
      <c r="B723" s="1" t="s">
        <v>2046</v>
      </c>
      <c r="C723" s="1">
        <v>574085.0</v>
      </c>
      <c r="D723" s="2">
        <v>46052.679664351854</v>
      </c>
      <c r="E723" s="1" t="s">
        <v>2703</v>
      </c>
      <c r="F723" s="1" t="b">
        <v>1</v>
      </c>
    </row>
    <row r="724">
      <c r="A724" s="1" t="s">
        <v>1711</v>
      </c>
      <c r="B724" s="1" t="s">
        <v>2046</v>
      </c>
      <c r="C724" s="1">
        <v>607950.0</v>
      </c>
      <c r="D724" s="2">
        <v>46052.68046296296</v>
      </c>
      <c r="E724" s="1" t="s">
        <v>2704</v>
      </c>
      <c r="F724" s="1" t="b">
        <v>0</v>
      </c>
    </row>
    <row r="725">
      <c r="A725" s="1" t="s">
        <v>1711</v>
      </c>
      <c r="B725" s="1" t="s">
        <v>2046</v>
      </c>
      <c r="C725" s="1">
        <v>607950.0</v>
      </c>
      <c r="D725" s="2">
        <v>46052.701319444444</v>
      </c>
      <c r="E725" s="1" t="s">
        <v>2653</v>
      </c>
      <c r="F725" s="1" t="b">
        <v>0</v>
      </c>
    </row>
    <row r="726">
      <c r="A726" s="1" t="s">
        <v>1709</v>
      </c>
      <c r="B726" s="1" t="s">
        <v>2046</v>
      </c>
      <c r="C726" s="1">
        <v>506375.0</v>
      </c>
      <c r="D726" s="2">
        <v>46052.65967592593</v>
      </c>
      <c r="E726" s="1" t="s">
        <v>2705</v>
      </c>
      <c r="F726" s="1" t="b">
        <v>0</v>
      </c>
    </row>
    <row r="727">
      <c r="A727" s="1" t="s">
        <v>1709</v>
      </c>
      <c r="B727" s="1" t="s">
        <v>2042</v>
      </c>
      <c r="C727" s="1" t="s">
        <v>1690</v>
      </c>
      <c r="D727" s="2">
        <v>46052.66105324074</v>
      </c>
      <c r="F727" s="1" t="b">
        <v>0</v>
      </c>
    </row>
    <row r="728">
      <c r="A728" s="1" t="s">
        <v>1709</v>
      </c>
      <c r="B728" s="1" t="s">
        <v>2042</v>
      </c>
      <c r="C728" s="1" t="s">
        <v>1690</v>
      </c>
      <c r="D728" s="2">
        <v>46052.66106481481</v>
      </c>
      <c r="F728" s="1" t="b">
        <v>0</v>
      </c>
    </row>
    <row r="729">
      <c r="A729" s="1" t="s">
        <v>1709</v>
      </c>
      <c r="B729" s="1" t="s">
        <v>2042</v>
      </c>
      <c r="C729" s="1" t="s">
        <v>1690</v>
      </c>
      <c r="D729" s="2">
        <v>46052.661631944444</v>
      </c>
      <c r="E729" s="1" t="s">
        <v>2706</v>
      </c>
      <c r="F729" s="1" t="b">
        <v>0</v>
      </c>
    </row>
    <row r="730">
      <c r="A730" s="1" t="s">
        <v>1709</v>
      </c>
      <c r="B730" s="1" t="s">
        <v>2046</v>
      </c>
      <c r="C730" s="1">
        <v>506375.0</v>
      </c>
      <c r="D730" s="2">
        <v>46052.663252314815</v>
      </c>
      <c r="E730" s="1" t="s">
        <v>2707</v>
      </c>
      <c r="F730" s="1" t="b">
        <v>0</v>
      </c>
    </row>
    <row r="731">
      <c r="A731" s="1" t="s">
        <v>1709</v>
      </c>
      <c r="B731" s="1" t="s">
        <v>2042</v>
      </c>
      <c r="C731" s="1" t="s">
        <v>1690</v>
      </c>
      <c r="D731" s="2">
        <v>46052.66369212963</v>
      </c>
      <c r="F731" s="1" t="b">
        <v>0</v>
      </c>
    </row>
    <row r="732">
      <c r="A732" s="1" t="s">
        <v>1709</v>
      </c>
      <c r="B732" s="1" t="s">
        <v>2042</v>
      </c>
      <c r="C732" s="1" t="s">
        <v>1690</v>
      </c>
      <c r="D732" s="2">
        <v>46052.66384259259</v>
      </c>
      <c r="E732" s="1" t="s">
        <v>2708</v>
      </c>
      <c r="F732" s="1" t="b">
        <v>0</v>
      </c>
    </row>
    <row r="733">
      <c r="A733" s="1" t="s">
        <v>1709</v>
      </c>
      <c r="B733" s="1" t="s">
        <v>2046</v>
      </c>
      <c r="C733" s="1">
        <v>506375.0</v>
      </c>
      <c r="D733" s="2">
        <v>46052.667905092596</v>
      </c>
      <c r="E733" s="1" t="s">
        <v>2709</v>
      </c>
      <c r="F733" s="1" t="b">
        <v>1</v>
      </c>
    </row>
    <row r="734">
      <c r="A734" s="1" t="s">
        <v>1709</v>
      </c>
      <c r="B734" s="1" t="s">
        <v>2150</v>
      </c>
      <c r="C734" s="1" t="s">
        <v>2151</v>
      </c>
      <c r="D734" s="2">
        <v>46052.668125</v>
      </c>
      <c r="E734" s="1" t="s">
        <v>2710</v>
      </c>
      <c r="F734" s="1" t="b">
        <v>1</v>
      </c>
    </row>
    <row r="735">
      <c r="A735" s="1" t="s">
        <v>1709</v>
      </c>
      <c r="B735" s="1" t="s">
        <v>2046</v>
      </c>
      <c r="C735" s="1">
        <v>506375.0</v>
      </c>
      <c r="D735" s="2">
        <v>46052.66829861111</v>
      </c>
      <c r="E735" s="1" t="s">
        <v>2711</v>
      </c>
      <c r="F735" s="1" t="b">
        <v>0</v>
      </c>
    </row>
    <row r="736">
      <c r="A736" s="1" t="s">
        <v>1709</v>
      </c>
      <c r="B736" s="1" t="s">
        <v>2042</v>
      </c>
      <c r="C736" s="1" t="s">
        <v>1690</v>
      </c>
      <c r="D736" s="2">
        <v>46052.66940972222</v>
      </c>
      <c r="F736" s="1" t="b">
        <v>0</v>
      </c>
    </row>
    <row r="737">
      <c r="A737" s="1" t="s">
        <v>1709</v>
      </c>
      <c r="B737" s="1" t="s">
        <v>2042</v>
      </c>
      <c r="C737" s="1" t="s">
        <v>1690</v>
      </c>
      <c r="D737" s="2">
        <v>46052.66978009259</v>
      </c>
      <c r="E737" s="1" t="s">
        <v>2712</v>
      </c>
      <c r="F737" s="1" t="b">
        <v>0</v>
      </c>
    </row>
    <row r="738">
      <c r="A738" s="1" t="s">
        <v>1709</v>
      </c>
      <c r="B738" s="1" t="s">
        <v>2046</v>
      </c>
      <c r="C738" s="1">
        <v>506375.0</v>
      </c>
      <c r="D738" s="2">
        <v>46052.67045138889</v>
      </c>
      <c r="E738" s="1" t="s">
        <v>2713</v>
      </c>
      <c r="F738" s="1" t="b">
        <v>0</v>
      </c>
    </row>
    <row r="739">
      <c r="A739" s="1" t="s">
        <v>1709</v>
      </c>
      <c r="B739" s="1" t="s">
        <v>2042</v>
      </c>
      <c r="C739" s="1" t="s">
        <v>1690</v>
      </c>
      <c r="D739" s="2">
        <v>46052.67135416667</v>
      </c>
      <c r="F739" s="1" t="b">
        <v>0</v>
      </c>
    </row>
    <row r="740">
      <c r="A740" s="1" t="s">
        <v>1709</v>
      </c>
      <c r="B740" s="1" t="s">
        <v>2042</v>
      </c>
      <c r="C740" s="1" t="s">
        <v>1690</v>
      </c>
      <c r="D740" s="2">
        <v>46052.671423611115</v>
      </c>
      <c r="E740" s="1" t="s">
        <v>2714</v>
      </c>
      <c r="F740" s="1" t="b">
        <v>0</v>
      </c>
    </row>
    <row r="741">
      <c r="A741" s="1" t="s">
        <v>1709</v>
      </c>
      <c r="B741" s="1" t="s">
        <v>2046</v>
      </c>
      <c r="C741" s="1">
        <v>506375.0</v>
      </c>
      <c r="D741" s="2">
        <v>46052.6721875</v>
      </c>
      <c r="E741" s="1" t="s">
        <v>2715</v>
      </c>
      <c r="F741" s="1" t="b">
        <v>0</v>
      </c>
    </row>
    <row r="742">
      <c r="A742" s="1" t="s">
        <v>1709</v>
      </c>
      <c r="B742" s="1" t="s">
        <v>2046</v>
      </c>
      <c r="C742" s="1">
        <v>506375.0</v>
      </c>
      <c r="D742" s="2">
        <v>46052.672418981485</v>
      </c>
      <c r="E742" s="1" t="s">
        <v>2716</v>
      </c>
      <c r="F742" s="1" t="b">
        <v>0</v>
      </c>
    </row>
    <row r="743">
      <c r="A743" s="1" t="s">
        <v>1709</v>
      </c>
      <c r="B743" s="1" t="s">
        <v>2042</v>
      </c>
      <c r="C743" s="1" t="s">
        <v>1690</v>
      </c>
      <c r="D743" s="2">
        <v>46052.673634259256</v>
      </c>
      <c r="F743" s="1" t="b">
        <v>0</v>
      </c>
    </row>
    <row r="744">
      <c r="A744" s="1" t="s">
        <v>1709</v>
      </c>
      <c r="B744" s="1" t="s">
        <v>2042</v>
      </c>
      <c r="C744" s="1" t="s">
        <v>1690</v>
      </c>
      <c r="D744" s="2">
        <v>46052.67375</v>
      </c>
      <c r="E744" s="1" t="s">
        <v>2717</v>
      </c>
      <c r="F744" s="1" t="b">
        <v>0</v>
      </c>
    </row>
    <row r="745">
      <c r="A745" s="1" t="s">
        <v>1709</v>
      </c>
      <c r="B745" s="1" t="s">
        <v>2042</v>
      </c>
      <c r="C745" s="1" t="s">
        <v>1690</v>
      </c>
      <c r="D745" s="2">
        <v>46052.674733796295</v>
      </c>
      <c r="E745" s="1" t="s">
        <v>2718</v>
      </c>
      <c r="F745" s="1" t="b">
        <v>0</v>
      </c>
    </row>
    <row r="746">
      <c r="A746" s="1" t="s">
        <v>1709</v>
      </c>
      <c r="B746" s="1" t="s">
        <v>2046</v>
      </c>
      <c r="C746" s="1">
        <v>506375.0</v>
      </c>
      <c r="D746" s="2">
        <v>46052.675717592596</v>
      </c>
      <c r="E746" s="1" t="s">
        <v>2719</v>
      </c>
      <c r="F746" s="1" t="b">
        <v>0</v>
      </c>
    </row>
    <row r="747">
      <c r="A747" s="1" t="s">
        <v>1709</v>
      </c>
      <c r="B747" s="1" t="s">
        <v>2042</v>
      </c>
      <c r="C747" s="1" t="s">
        <v>1690</v>
      </c>
      <c r="D747" s="2">
        <v>46052.67851851852</v>
      </c>
      <c r="E747" s="1" t="s">
        <v>2720</v>
      </c>
      <c r="F747" s="1" t="b">
        <v>0</v>
      </c>
    </row>
    <row r="748">
      <c r="A748" s="1" t="s">
        <v>1709</v>
      </c>
      <c r="B748" s="1" t="s">
        <v>2042</v>
      </c>
      <c r="C748" s="1" t="s">
        <v>1690</v>
      </c>
      <c r="D748" s="2">
        <v>46052.67895833333</v>
      </c>
      <c r="E748" s="1" t="s">
        <v>2721</v>
      </c>
      <c r="F748" s="1" t="b">
        <v>0</v>
      </c>
    </row>
    <row r="749">
      <c r="A749" s="1" t="s">
        <v>1709</v>
      </c>
      <c r="B749" s="1" t="s">
        <v>2046</v>
      </c>
      <c r="C749" s="1">
        <v>506375.0</v>
      </c>
      <c r="D749" s="2">
        <v>46052.68035879629</v>
      </c>
      <c r="E749" s="1" t="s">
        <v>2722</v>
      </c>
      <c r="F749" s="1" t="b">
        <v>0</v>
      </c>
    </row>
    <row r="750">
      <c r="A750" s="1" t="s">
        <v>1709</v>
      </c>
      <c r="B750" s="1" t="s">
        <v>2046</v>
      </c>
      <c r="C750" s="1">
        <v>506375.0</v>
      </c>
      <c r="D750" s="2">
        <v>46052.68085648148</v>
      </c>
      <c r="E750" s="1" t="s">
        <v>2723</v>
      </c>
      <c r="F750" s="1" t="b">
        <v>0</v>
      </c>
    </row>
    <row r="751">
      <c r="A751" s="1" t="s">
        <v>1709</v>
      </c>
      <c r="B751" s="1" t="s">
        <v>2042</v>
      </c>
      <c r="C751" s="1" t="s">
        <v>1690</v>
      </c>
      <c r="D751" s="2">
        <v>46052.684699074074</v>
      </c>
      <c r="E751" s="1" t="s">
        <v>2724</v>
      </c>
      <c r="F751" s="1" t="b">
        <v>0</v>
      </c>
    </row>
    <row r="752">
      <c r="A752" s="1" t="s">
        <v>1709</v>
      </c>
      <c r="B752" s="1" t="s">
        <v>2042</v>
      </c>
      <c r="C752" s="1" t="s">
        <v>1690</v>
      </c>
      <c r="D752" s="2">
        <v>46052.69027777778</v>
      </c>
      <c r="E752" s="1" t="s">
        <v>2725</v>
      </c>
      <c r="F752" s="1" t="b">
        <v>0</v>
      </c>
    </row>
    <row r="753">
      <c r="A753" s="1" t="s">
        <v>1709</v>
      </c>
      <c r="B753" s="1" t="s">
        <v>2046</v>
      </c>
      <c r="C753" s="1">
        <v>607950.0</v>
      </c>
      <c r="D753" s="2">
        <v>46052.710694444446</v>
      </c>
      <c r="E753" s="1" t="s">
        <v>2726</v>
      </c>
      <c r="F753" s="1" t="b">
        <v>1</v>
      </c>
    </row>
    <row r="754">
      <c r="A754" s="1" t="s">
        <v>1709</v>
      </c>
      <c r="B754" s="1" t="s">
        <v>2046</v>
      </c>
      <c r="C754" s="1">
        <v>506375.0</v>
      </c>
      <c r="D754" s="2">
        <v>46052.71115740741</v>
      </c>
      <c r="E754" s="1" t="s">
        <v>2108</v>
      </c>
      <c r="F754" s="1" t="b">
        <v>0</v>
      </c>
    </row>
    <row r="755">
      <c r="A755" s="1" t="s">
        <v>1705</v>
      </c>
      <c r="B755" s="1" t="s">
        <v>2042</v>
      </c>
      <c r="C755" s="1" t="s">
        <v>1707</v>
      </c>
      <c r="D755" s="2">
        <v>46052.67721064815</v>
      </c>
      <c r="E755" s="1" t="s">
        <v>2727</v>
      </c>
      <c r="F755" s="1" t="b">
        <v>0</v>
      </c>
    </row>
    <row r="756">
      <c r="A756" s="1" t="s">
        <v>1701</v>
      </c>
      <c r="B756" s="1" t="s">
        <v>2042</v>
      </c>
      <c r="C756" s="1" t="s">
        <v>1703</v>
      </c>
      <c r="D756" s="2">
        <v>46052.71275462963</v>
      </c>
      <c r="E756" s="1" t="s">
        <v>2728</v>
      </c>
      <c r="F756" s="1" t="b">
        <v>0</v>
      </c>
    </row>
    <row r="757">
      <c r="A757" s="1" t="s">
        <v>1697</v>
      </c>
      <c r="B757" s="1" t="s">
        <v>2042</v>
      </c>
      <c r="C757" s="1" t="s">
        <v>1699</v>
      </c>
      <c r="D757" s="2">
        <v>46053.562060185184</v>
      </c>
      <c r="F757" s="1" t="b">
        <v>0</v>
      </c>
    </row>
    <row r="758">
      <c r="A758" s="1" t="s">
        <v>1697</v>
      </c>
      <c r="B758" s="1" t="s">
        <v>2042</v>
      </c>
      <c r="C758" s="1" t="s">
        <v>1699</v>
      </c>
      <c r="D758" s="2">
        <v>46053.562372685185</v>
      </c>
      <c r="E758" s="1" t="s">
        <v>2729</v>
      </c>
      <c r="F758" s="1" t="b">
        <v>0</v>
      </c>
    </row>
    <row r="759">
      <c r="A759" s="1" t="s">
        <v>1692</v>
      </c>
      <c r="B759" s="1" t="s">
        <v>2042</v>
      </c>
      <c r="C759" s="1" t="s">
        <v>1694</v>
      </c>
      <c r="D759" s="2">
        <v>46054.014710648145</v>
      </c>
      <c r="E759" s="1" t="s">
        <v>2730</v>
      </c>
      <c r="F759" s="1" t="b">
        <v>0</v>
      </c>
    </row>
    <row r="760">
      <c r="A760" s="1" t="s">
        <v>1019</v>
      </c>
      <c r="B760" s="1" t="s">
        <v>2042</v>
      </c>
      <c r="C760" s="1" t="s">
        <v>1021</v>
      </c>
      <c r="D760" s="2">
        <v>46063.51405092593</v>
      </c>
      <c r="E760" s="1" t="s">
        <v>2731</v>
      </c>
      <c r="F760" s="1" t="b">
        <v>0</v>
      </c>
    </row>
    <row r="761">
      <c r="A761" s="1" t="s">
        <v>1019</v>
      </c>
      <c r="B761" s="1" t="s">
        <v>2046</v>
      </c>
      <c r="C761" s="1">
        <v>594863.0</v>
      </c>
      <c r="D761" s="2">
        <v>46063.51427083334</v>
      </c>
      <c r="E761" s="1" t="s">
        <v>2732</v>
      </c>
      <c r="F761" s="1" t="b">
        <v>0</v>
      </c>
    </row>
    <row r="762">
      <c r="A762" s="1" t="s">
        <v>1019</v>
      </c>
      <c r="B762" s="1" t="s">
        <v>2042</v>
      </c>
      <c r="C762" s="1" t="s">
        <v>1021</v>
      </c>
      <c r="D762" s="2">
        <v>46063.56760416667</v>
      </c>
      <c r="E762" s="1" t="s">
        <v>2733</v>
      </c>
      <c r="F762" s="1" t="b">
        <v>0</v>
      </c>
    </row>
    <row r="763">
      <c r="A763" s="1" t="s">
        <v>1019</v>
      </c>
      <c r="B763" s="1" t="s">
        <v>2046</v>
      </c>
      <c r="C763" s="1">
        <v>594863.0</v>
      </c>
      <c r="D763" s="2">
        <v>46063.57292824074</v>
      </c>
      <c r="E763" s="1" t="s">
        <v>2734</v>
      </c>
      <c r="F763" s="1" t="b">
        <v>0</v>
      </c>
    </row>
    <row r="764">
      <c r="A764" s="1" t="s">
        <v>1019</v>
      </c>
      <c r="B764" s="1" t="s">
        <v>2042</v>
      </c>
      <c r="C764" s="1" t="s">
        <v>1021</v>
      </c>
      <c r="D764" s="2">
        <v>46063.57908564815</v>
      </c>
      <c r="E764" s="1" t="s">
        <v>2735</v>
      </c>
      <c r="F764" s="1" t="b">
        <v>0</v>
      </c>
    </row>
    <row r="765">
      <c r="A765" s="1" t="s">
        <v>1019</v>
      </c>
      <c r="B765" s="1" t="s">
        <v>2046</v>
      </c>
      <c r="C765" s="1">
        <v>594863.0</v>
      </c>
      <c r="D765" s="2">
        <v>46063.579409722224</v>
      </c>
      <c r="E765" s="1" t="s">
        <v>2736</v>
      </c>
      <c r="F765" s="1" t="b">
        <v>0</v>
      </c>
    </row>
    <row r="766">
      <c r="A766" s="1" t="s">
        <v>1019</v>
      </c>
      <c r="B766" s="1" t="s">
        <v>2046</v>
      </c>
      <c r="C766" s="1">
        <v>594863.0</v>
      </c>
      <c r="D766" s="2">
        <v>46063.581979166665</v>
      </c>
      <c r="E766" s="1" t="s">
        <v>2737</v>
      </c>
      <c r="F766" s="1" t="b">
        <v>0</v>
      </c>
    </row>
    <row r="767">
      <c r="A767" s="1" t="s">
        <v>1019</v>
      </c>
      <c r="B767" s="1" t="s">
        <v>2046</v>
      </c>
      <c r="C767" s="1">
        <v>594863.0</v>
      </c>
      <c r="D767" s="2">
        <v>46063.583020833335</v>
      </c>
      <c r="E767" s="1" t="s">
        <v>2738</v>
      </c>
      <c r="F767" s="1" t="b">
        <v>0</v>
      </c>
    </row>
    <row r="768">
      <c r="A768" s="1" t="s">
        <v>1019</v>
      </c>
      <c r="B768" s="1" t="s">
        <v>2046</v>
      </c>
      <c r="C768" s="1">
        <v>594863.0</v>
      </c>
      <c r="D768" s="2">
        <v>46064.44053240741</v>
      </c>
      <c r="E768" s="1" t="s">
        <v>2739</v>
      </c>
      <c r="F768" s="1" t="b">
        <v>0</v>
      </c>
    </row>
    <row r="769">
      <c r="A769" s="1" t="s">
        <v>2008</v>
      </c>
      <c r="B769" s="1" t="s">
        <v>2046</v>
      </c>
      <c r="C769" s="1">
        <v>607950.0</v>
      </c>
      <c r="D769" s="2">
        <v>46057.78396990741</v>
      </c>
      <c r="E769" s="1" t="s">
        <v>2740</v>
      </c>
      <c r="F769" s="1" t="b">
        <v>1</v>
      </c>
    </row>
    <row r="770">
      <c r="A770" s="1" t="s">
        <v>2008</v>
      </c>
      <c r="B770" s="1" t="s">
        <v>2150</v>
      </c>
      <c r="C770" s="1" t="s">
        <v>2151</v>
      </c>
      <c r="D770" s="2">
        <v>46057.78412037037</v>
      </c>
      <c r="E770" s="1" t="s">
        <v>2741</v>
      </c>
      <c r="F770" s="1" t="b">
        <v>1</v>
      </c>
    </row>
    <row r="771">
      <c r="A771" s="1" t="s">
        <v>1502</v>
      </c>
      <c r="B771" s="1" t="s">
        <v>2042</v>
      </c>
      <c r="C771" s="1" t="s">
        <v>1505</v>
      </c>
      <c r="D771" s="2">
        <v>46057.56171296296</v>
      </c>
      <c r="E771" s="1" t="s">
        <v>2742</v>
      </c>
      <c r="F771" s="1" t="b">
        <v>0</v>
      </c>
    </row>
    <row r="772">
      <c r="A772" s="1" t="s">
        <v>1502</v>
      </c>
      <c r="B772" s="1" t="s">
        <v>2046</v>
      </c>
      <c r="C772" s="1">
        <v>574085.0</v>
      </c>
      <c r="D772" s="2">
        <v>46057.57399305556</v>
      </c>
      <c r="E772" s="1" t="s">
        <v>2743</v>
      </c>
      <c r="F772" s="1" t="b">
        <v>0</v>
      </c>
    </row>
    <row r="773">
      <c r="A773" s="1" t="s">
        <v>1502</v>
      </c>
      <c r="B773" s="1" t="s">
        <v>2046</v>
      </c>
      <c r="C773" s="1">
        <v>574085.0</v>
      </c>
      <c r="D773" s="2">
        <v>46057.75519675926</v>
      </c>
      <c r="E773" s="1" t="s">
        <v>2108</v>
      </c>
      <c r="F773" s="1" t="b">
        <v>0</v>
      </c>
    </row>
    <row r="774">
      <c r="A774" s="1" t="s">
        <v>1809</v>
      </c>
      <c r="B774" s="1" t="s">
        <v>2046</v>
      </c>
      <c r="C774" s="1">
        <v>574085.0</v>
      </c>
      <c r="D774" s="2">
        <v>46056.42528935185</v>
      </c>
      <c r="E774" s="1" t="s">
        <v>2744</v>
      </c>
      <c r="F774" s="1" t="b">
        <v>0</v>
      </c>
    </row>
    <row r="775">
      <c r="A775" s="1" t="s">
        <v>1795</v>
      </c>
      <c r="B775" s="1" t="s">
        <v>2046</v>
      </c>
      <c r="C775" s="1">
        <v>574085.0</v>
      </c>
      <c r="D775" s="2">
        <v>46056.422638888886</v>
      </c>
      <c r="E775" s="1" t="s">
        <v>2745</v>
      </c>
      <c r="F775" s="1" t="b">
        <v>0</v>
      </c>
    </row>
    <row r="776">
      <c r="A776" s="1" t="s">
        <v>1795</v>
      </c>
      <c r="B776" s="1" t="s">
        <v>2046</v>
      </c>
      <c r="C776" s="1">
        <v>574085.0</v>
      </c>
      <c r="D776" s="2">
        <v>46056.58967592593</v>
      </c>
      <c r="E776" s="1" t="s">
        <v>2108</v>
      </c>
      <c r="F776" s="1" t="b">
        <v>0</v>
      </c>
    </row>
    <row r="777">
      <c r="A777" s="1" t="s">
        <v>1760</v>
      </c>
      <c r="B777" s="1" t="s">
        <v>2046</v>
      </c>
      <c r="C777" s="1">
        <v>594863.0</v>
      </c>
      <c r="D777" s="2">
        <v>46055.42219907408</v>
      </c>
      <c r="E777" s="1" t="s">
        <v>2746</v>
      </c>
      <c r="F777" s="1" t="b">
        <v>0</v>
      </c>
    </row>
    <row r="778">
      <c r="A778" s="1" t="s">
        <v>1711</v>
      </c>
      <c r="B778" s="1" t="s">
        <v>2046</v>
      </c>
      <c r="C778" s="1">
        <v>607950.0</v>
      </c>
      <c r="D778" s="2">
        <v>46055.420069444444</v>
      </c>
      <c r="E778" s="1" t="s">
        <v>2747</v>
      </c>
      <c r="F778" s="1" t="b">
        <v>0</v>
      </c>
    </row>
    <row r="779">
      <c r="A779" s="1" t="s">
        <v>1701</v>
      </c>
      <c r="B779" s="1" t="s">
        <v>2046</v>
      </c>
      <c r="C779" s="1">
        <v>574085.0</v>
      </c>
      <c r="D779" s="2">
        <v>46055.41594907407</v>
      </c>
      <c r="E779" s="1" t="s">
        <v>2748</v>
      </c>
      <c r="F779" s="1" t="b">
        <v>0</v>
      </c>
    </row>
    <row r="780">
      <c r="A780" s="1" t="s">
        <v>1701</v>
      </c>
      <c r="B780" s="1" t="s">
        <v>2046</v>
      </c>
      <c r="C780" s="1">
        <v>574085.0</v>
      </c>
      <c r="D780" s="2">
        <v>46056.422418981485</v>
      </c>
      <c r="E780" s="1" t="s">
        <v>2749</v>
      </c>
      <c r="F780" s="1" t="b">
        <v>0</v>
      </c>
    </row>
    <row r="781">
      <c r="A781" s="1" t="s">
        <v>1701</v>
      </c>
      <c r="B781" s="1" t="s">
        <v>2046</v>
      </c>
      <c r="C781" s="1">
        <v>574085.0</v>
      </c>
      <c r="D781" s="2">
        <v>46056.589791666665</v>
      </c>
      <c r="E781" s="1" t="s">
        <v>2108</v>
      </c>
      <c r="F781" s="1" t="b">
        <v>0</v>
      </c>
    </row>
    <row r="782">
      <c r="A782" s="1" t="s">
        <v>140</v>
      </c>
      <c r="B782" s="1" t="s">
        <v>2042</v>
      </c>
      <c r="C782" s="1" t="s">
        <v>144</v>
      </c>
      <c r="D782" s="2">
        <v>46072.7328587963</v>
      </c>
      <c r="E782" s="1" t="s">
        <v>2750</v>
      </c>
      <c r="F782" s="1" t="b">
        <v>0</v>
      </c>
    </row>
    <row r="783">
      <c r="A783" s="1" t="s">
        <v>140</v>
      </c>
      <c r="B783" s="1" t="s">
        <v>2042</v>
      </c>
      <c r="C783" s="1" t="s">
        <v>144</v>
      </c>
      <c r="D783" s="2">
        <v>46072.734143518515</v>
      </c>
      <c r="E783" s="1" t="s">
        <v>2751</v>
      </c>
      <c r="F783" s="1" t="b">
        <v>0</v>
      </c>
    </row>
    <row r="784">
      <c r="A784" s="1" t="s">
        <v>140</v>
      </c>
      <c r="B784" s="1" t="s">
        <v>2042</v>
      </c>
      <c r="C784" s="1" t="s">
        <v>144</v>
      </c>
      <c r="D784" s="2">
        <v>46072.73436342592</v>
      </c>
      <c r="E784" s="1" t="s">
        <v>2750</v>
      </c>
      <c r="F784" s="1" t="b">
        <v>0</v>
      </c>
    </row>
    <row r="785">
      <c r="A785" s="1" t="s">
        <v>140</v>
      </c>
      <c r="B785" s="1" t="s">
        <v>2046</v>
      </c>
      <c r="C785" s="1">
        <v>607950.0</v>
      </c>
      <c r="D785" s="2">
        <v>46073.421122685184</v>
      </c>
      <c r="E785" s="1" t="s">
        <v>2752</v>
      </c>
      <c r="F785" s="1" t="b">
        <v>0</v>
      </c>
    </row>
    <row r="786">
      <c r="A786" s="1" t="s">
        <v>140</v>
      </c>
      <c r="B786" s="1" t="s">
        <v>2046</v>
      </c>
      <c r="C786" s="1">
        <v>607950.0</v>
      </c>
      <c r="D786" s="2">
        <v>46073.43006944445</v>
      </c>
      <c r="E786" s="1" t="s">
        <v>2753</v>
      </c>
      <c r="F786" s="1" t="b">
        <v>0</v>
      </c>
    </row>
    <row r="787">
      <c r="A787" s="1" t="s">
        <v>140</v>
      </c>
      <c r="B787" s="1" t="s">
        <v>2046</v>
      </c>
      <c r="C787" s="1">
        <v>607950.0</v>
      </c>
      <c r="D787" s="2">
        <v>46073.44998842593</v>
      </c>
      <c r="E787" s="1" t="s">
        <v>2754</v>
      </c>
      <c r="F787" s="1" t="b">
        <v>0</v>
      </c>
    </row>
    <row r="788">
      <c r="A788" s="1" t="s">
        <v>140</v>
      </c>
      <c r="B788" s="1" t="s">
        <v>2046</v>
      </c>
      <c r="C788" s="1">
        <v>607950.0</v>
      </c>
      <c r="D788" s="2">
        <v>46073.45737268519</v>
      </c>
      <c r="E788" s="1" t="s">
        <v>2108</v>
      </c>
      <c r="F788" s="1" t="b">
        <v>0</v>
      </c>
    </row>
    <row r="789">
      <c r="A789" s="1" t="s">
        <v>1692</v>
      </c>
      <c r="B789" s="1" t="s">
        <v>2046</v>
      </c>
      <c r="C789" s="1">
        <v>506375.0</v>
      </c>
      <c r="D789" s="2">
        <v>46055.39525462963</v>
      </c>
      <c r="E789" s="1" t="s">
        <v>2755</v>
      </c>
      <c r="F789" s="1" t="b">
        <v>1</v>
      </c>
    </row>
    <row r="790">
      <c r="A790" s="1" t="s">
        <v>1692</v>
      </c>
      <c r="B790" s="1" t="s">
        <v>2046</v>
      </c>
      <c r="C790" s="1">
        <v>574085.0</v>
      </c>
      <c r="D790" s="2">
        <v>46055.41721064815</v>
      </c>
      <c r="E790" s="1" t="s">
        <v>2756</v>
      </c>
      <c r="F790" s="1" t="b">
        <v>1</v>
      </c>
    </row>
    <row r="791">
      <c r="A791" s="1" t="s">
        <v>1692</v>
      </c>
      <c r="B791" s="1" t="s">
        <v>2046</v>
      </c>
      <c r="C791" s="1">
        <v>607950.0</v>
      </c>
      <c r="D791" s="2">
        <v>46055.42061342593</v>
      </c>
      <c r="E791" s="1" t="s">
        <v>2757</v>
      </c>
      <c r="F791" s="1" t="b">
        <v>0</v>
      </c>
    </row>
    <row r="792">
      <c r="A792" s="1" t="s">
        <v>1692</v>
      </c>
      <c r="B792" s="1" t="s">
        <v>2046</v>
      </c>
      <c r="C792" s="1">
        <v>607950.0</v>
      </c>
      <c r="D792" s="2">
        <v>46055.43059027778</v>
      </c>
      <c r="E792" s="1" t="s">
        <v>2758</v>
      </c>
      <c r="F792" s="1" t="b">
        <v>0</v>
      </c>
    </row>
    <row r="793">
      <c r="A793" s="1" t="s">
        <v>1692</v>
      </c>
      <c r="B793" s="1" t="s">
        <v>2046</v>
      </c>
      <c r="C793" s="1">
        <v>607950.0</v>
      </c>
      <c r="D793" s="2">
        <v>46056.421956018516</v>
      </c>
      <c r="E793" s="1" t="s">
        <v>2759</v>
      </c>
      <c r="F793" s="1" t="b">
        <v>0</v>
      </c>
    </row>
    <row r="794">
      <c r="A794" s="1" t="s">
        <v>1692</v>
      </c>
      <c r="B794" s="1" t="s">
        <v>2046</v>
      </c>
      <c r="C794" s="1">
        <v>607950.0</v>
      </c>
      <c r="D794" s="2">
        <v>46056.43011574074</v>
      </c>
      <c r="E794" s="1" t="s">
        <v>2108</v>
      </c>
      <c r="F794" s="1" t="b">
        <v>0</v>
      </c>
    </row>
    <row r="795">
      <c r="A795" s="1" t="s">
        <v>1688</v>
      </c>
      <c r="B795" s="1" t="s">
        <v>2042</v>
      </c>
      <c r="C795" s="1" t="s">
        <v>1690</v>
      </c>
      <c r="D795" s="2">
        <v>46055.41961805556</v>
      </c>
      <c r="E795" s="1" t="s">
        <v>2292</v>
      </c>
      <c r="F795" s="1" t="b">
        <v>0</v>
      </c>
    </row>
    <row r="796">
      <c r="A796" s="1" t="s">
        <v>1688</v>
      </c>
      <c r="B796" s="1" t="s">
        <v>2042</v>
      </c>
      <c r="C796" s="1" t="s">
        <v>1690</v>
      </c>
      <c r="D796" s="2">
        <v>46055.41976851852</v>
      </c>
      <c r="E796" s="1" t="s">
        <v>2760</v>
      </c>
      <c r="F796" s="1" t="b">
        <v>0</v>
      </c>
    </row>
    <row r="797">
      <c r="A797" s="1" t="s">
        <v>1688</v>
      </c>
      <c r="B797" s="1" t="s">
        <v>2042</v>
      </c>
      <c r="C797" s="1" t="s">
        <v>1690</v>
      </c>
      <c r="D797" s="2">
        <v>46055.42015046296</v>
      </c>
      <c r="E797" s="1" t="s">
        <v>2761</v>
      </c>
      <c r="F797" s="1" t="b">
        <v>0</v>
      </c>
    </row>
    <row r="798">
      <c r="A798" s="1" t="s">
        <v>1688</v>
      </c>
      <c r="B798" s="1" t="s">
        <v>2042</v>
      </c>
      <c r="C798" s="1" t="s">
        <v>1690</v>
      </c>
      <c r="D798" s="2">
        <v>46055.42040509259</v>
      </c>
      <c r="E798" s="1" t="s">
        <v>2762</v>
      </c>
      <c r="F798" s="1" t="b">
        <v>0</v>
      </c>
    </row>
    <row r="799">
      <c r="A799" s="1" t="s">
        <v>1688</v>
      </c>
      <c r="B799" s="1" t="s">
        <v>2042</v>
      </c>
      <c r="C799" s="1" t="s">
        <v>1690</v>
      </c>
      <c r="D799" s="2">
        <v>46055.42052083334</v>
      </c>
      <c r="E799" s="1" t="s">
        <v>2763</v>
      </c>
      <c r="F799" s="1" t="b">
        <v>0</v>
      </c>
    </row>
    <row r="800">
      <c r="A800" s="1" t="s">
        <v>1688</v>
      </c>
      <c r="B800" s="1" t="s">
        <v>2042</v>
      </c>
      <c r="C800" s="1" t="s">
        <v>1690</v>
      </c>
      <c r="D800" s="2">
        <v>46055.420648148145</v>
      </c>
      <c r="E800" s="1" t="s">
        <v>2764</v>
      </c>
      <c r="F800" s="1" t="b">
        <v>0</v>
      </c>
    </row>
    <row r="801">
      <c r="A801" s="1" t="s">
        <v>1688</v>
      </c>
      <c r="B801" s="1" t="s">
        <v>2042</v>
      </c>
      <c r="C801" s="1" t="s">
        <v>1690</v>
      </c>
      <c r="D801" s="2">
        <v>46055.42077546296</v>
      </c>
      <c r="E801" s="1" t="s">
        <v>2628</v>
      </c>
      <c r="F801" s="1" t="b">
        <v>0</v>
      </c>
    </row>
    <row r="802">
      <c r="A802" s="1" t="s">
        <v>1688</v>
      </c>
      <c r="B802" s="1" t="s">
        <v>2046</v>
      </c>
      <c r="C802" s="1">
        <v>607950.0</v>
      </c>
      <c r="D802" s="2">
        <v>46055.42108796296</v>
      </c>
      <c r="E802" s="1" t="s">
        <v>2765</v>
      </c>
      <c r="F802" s="1" t="b">
        <v>0</v>
      </c>
    </row>
    <row r="803">
      <c r="A803" s="1" t="s">
        <v>1688</v>
      </c>
      <c r="B803" s="1" t="s">
        <v>2042</v>
      </c>
      <c r="C803" s="1" t="s">
        <v>1690</v>
      </c>
      <c r="D803" s="2">
        <v>46055.421944444446</v>
      </c>
      <c r="E803" s="1" t="s">
        <v>2766</v>
      </c>
      <c r="F803" s="1" t="b">
        <v>0</v>
      </c>
    </row>
    <row r="804">
      <c r="A804" s="1" t="s">
        <v>1688</v>
      </c>
      <c r="B804" s="1" t="s">
        <v>2046</v>
      </c>
      <c r="C804" s="1">
        <v>607950.0</v>
      </c>
      <c r="D804" s="2">
        <v>46055.42451388889</v>
      </c>
      <c r="E804" s="1" t="s">
        <v>2767</v>
      </c>
      <c r="F804" s="1" t="b">
        <v>0</v>
      </c>
    </row>
    <row r="805">
      <c r="A805" s="1" t="s">
        <v>1688</v>
      </c>
      <c r="B805" s="1" t="s">
        <v>2042</v>
      </c>
      <c r="C805" s="1" t="s">
        <v>1690</v>
      </c>
      <c r="D805" s="2">
        <v>46055.425</v>
      </c>
      <c r="E805" s="1" t="s">
        <v>2768</v>
      </c>
      <c r="F805" s="1" t="b">
        <v>0</v>
      </c>
    </row>
    <row r="806">
      <c r="A806" s="1" t="s">
        <v>1688</v>
      </c>
      <c r="B806" s="1" t="s">
        <v>2046</v>
      </c>
      <c r="C806" s="1">
        <v>607950.0</v>
      </c>
      <c r="D806" s="2">
        <v>46055.42528935185</v>
      </c>
      <c r="E806" s="1" t="s">
        <v>2769</v>
      </c>
      <c r="F806" s="1" t="b">
        <v>0</v>
      </c>
    </row>
    <row r="807">
      <c r="A807" s="1" t="s">
        <v>1688</v>
      </c>
      <c r="B807" s="1" t="s">
        <v>2046</v>
      </c>
      <c r="C807" s="1">
        <v>574085.0</v>
      </c>
      <c r="D807" s="2">
        <v>46055.42701388889</v>
      </c>
      <c r="E807" s="1" t="s">
        <v>2770</v>
      </c>
      <c r="F807" s="1" t="b">
        <v>1</v>
      </c>
    </row>
    <row r="808">
      <c r="A808" s="1" t="s">
        <v>1688</v>
      </c>
      <c r="B808" s="1" t="s">
        <v>2150</v>
      </c>
      <c r="C808" s="1" t="s">
        <v>2151</v>
      </c>
      <c r="D808" s="2">
        <v>46055.42711805556</v>
      </c>
      <c r="E808" s="1" t="s">
        <v>2771</v>
      </c>
      <c r="F808" s="1" t="b">
        <v>1</v>
      </c>
    </row>
    <row r="809">
      <c r="A809" s="1" t="s">
        <v>1688</v>
      </c>
      <c r="B809" s="1" t="s">
        <v>2046</v>
      </c>
      <c r="C809" s="1">
        <v>574085.0</v>
      </c>
      <c r="D809" s="2">
        <v>46055.42983796296</v>
      </c>
      <c r="E809" s="1" t="s">
        <v>2772</v>
      </c>
      <c r="F809" s="1" t="b">
        <v>0</v>
      </c>
    </row>
    <row r="810">
      <c r="A810" s="1" t="s">
        <v>1688</v>
      </c>
      <c r="B810" s="1" t="s">
        <v>2042</v>
      </c>
      <c r="C810" s="1" t="s">
        <v>1690</v>
      </c>
      <c r="D810" s="2">
        <v>46055.43113425926</v>
      </c>
      <c r="E810" s="1" t="s">
        <v>2773</v>
      </c>
      <c r="F810" s="1" t="b">
        <v>0</v>
      </c>
    </row>
    <row r="811">
      <c r="A811" s="1" t="s">
        <v>1688</v>
      </c>
      <c r="B811" s="1" t="s">
        <v>2042</v>
      </c>
      <c r="C811" s="1" t="s">
        <v>1690</v>
      </c>
      <c r="D811" s="2">
        <v>46055.43212962963</v>
      </c>
      <c r="E811" s="1" t="s">
        <v>2774</v>
      </c>
      <c r="F811" s="1" t="b">
        <v>0</v>
      </c>
    </row>
    <row r="812">
      <c r="A812" s="1" t="s">
        <v>1688</v>
      </c>
      <c r="B812" s="1" t="s">
        <v>2042</v>
      </c>
      <c r="C812" s="1" t="s">
        <v>1690</v>
      </c>
      <c r="D812" s="2">
        <v>46055.433217592596</v>
      </c>
      <c r="E812" s="1" t="s">
        <v>2775</v>
      </c>
      <c r="F812" s="1" t="b">
        <v>0</v>
      </c>
    </row>
    <row r="813">
      <c r="A813" s="1" t="s">
        <v>1688</v>
      </c>
      <c r="B813" s="1" t="s">
        <v>2046</v>
      </c>
      <c r="C813" s="1">
        <v>574085.0</v>
      </c>
      <c r="D813" s="2">
        <v>46055.43680555555</v>
      </c>
      <c r="E813" s="1" t="s">
        <v>2776</v>
      </c>
      <c r="F813" s="1" t="b">
        <v>0</v>
      </c>
    </row>
    <row r="814">
      <c r="A814" s="1" t="s">
        <v>1688</v>
      </c>
      <c r="B814" s="1" t="s">
        <v>2042</v>
      </c>
      <c r="C814" s="1" t="s">
        <v>1690</v>
      </c>
      <c r="D814" s="2">
        <v>46055.437060185184</v>
      </c>
      <c r="E814" s="1" t="s">
        <v>2777</v>
      </c>
      <c r="F814" s="1" t="b">
        <v>0</v>
      </c>
    </row>
    <row r="815">
      <c r="A815" s="1" t="s">
        <v>1688</v>
      </c>
      <c r="B815" s="1" t="s">
        <v>2042</v>
      </c>
      <c r="C815" s="1" t="s">
        <v>1690</v>
      </c>
      <c r="D815" s="2">
        <v>46055.438159722224</v>
      </c>
      <c r="E815" s="1" t="s">
        <v>2778</v>
      </c>
      <c r="F815" s="1" t="b">
        <v>0</v>
      </c>
    </row>
    <row r="816">
      <c r="A816" s="1" t="s">
        <v>1688</v>
      </c>
      <c r="B816" s="1" t="s">
        <v>2046</v>
      </c>
      <c r="C816" s="1">
        <v>574085.0</v>
      </c>
      <c r="D816" s="2">
        <v>46055.441030092596</v>
      </c>
      <c r="E816" s="1" t="s">
        <v>2779</v>
      </c>
      <c r="F816" s="1" t="b">
        <v>0</v>
      </c>
    </row>
    <row r="817">
      <c r="A817" s="1" t="s">
        <v>1688</v>
      </c>
      <c r="B817" s="1" t="s">
        <v>2042</v>
      </c>
      <c r="C817" s="1" t="s">
        <v>1690</v>
      </c>
      <c r="D817" s="2">
        <v>46055.441666666666</v>
      </c>
      <c r="E817" s="1" t="s">
        <v>2780</v>
      </c>
      <c r="F817" s="1" t="b">
        <v>0</v>
      </c>
    </row>
    <row r="818">
      <c r="A818" s="1" t="s">
        <v>1688</v>
      </c>
      <c r="B818" s="1" t="s">
        <v>2042</v>
      </c>
      <c r="C818" s="1" t="s">
        <v>1690</v>
      </c>
      <c r="D818" s="2">
        <v>46055.44179398148</v>
      </c>
      <c r="E818" s="1" t="s">
        <v>2762</v>
      </c>
      <c r="F818" s="1" t="b">
        <v>0</v>
      </c>
    </row>
    <row r="819">
      <c r="A819" s="1" t="s">
        <v>1688</v>
      </c>
      <c r="B819" s="1" t="s">
        <v>2046</v>
      </c>
      <c r="C819" s="1">
        <v>574085.0</v>
      </c>
      <c r="D819" s="2">
        <v>46055.44305555556</v>
      </c>
      <c r="E819" s="1" t="s">
        <v>2781</v>
      </c>
      <c r="F819" s="1" t="b">
        <v>0</v>
      </c>
    </row>
    <row r="820">
      <c r="A820" s="1" t="s">
        <v>1688</v>
      </c>
      <c r="B820" s="1" t="s">
        <v>2042</v>
      </c>
      <c r="C820" s="1" t="s">
        <v>1690</v>
      </c>
      <c r="D820" s="2">
        <v>46055.44373842593</v>
      </c>
      <c r="E820" s="1" t="s">
        <v>2063</v>
      </c>
      <c r="F820" s="1" t="b">
        <v>0</v>
      </c>
    </row>
    <row r="821">
      <c r="A821" s="1" t="s">
        <v>1688</v>
      </c>
      <c r="B821" s="1" t="s">
        <v>2046</v>
      </c>
      <c r="C821" s="1">
        <v>574085.0</v>
      </c>
      <c r="D821" s="2">
        <v>46055.46978009259</v>
      </c>
      <c r="E821" s="1" t="s">
        <v>2782</v>
      </c>
      <c r="F821" s="1" t="b">
        <v>1</v>
      </c>
    </row>
    <row r="822">
      <c r="A822" s="1" t="s">
        <v>1688</v>
      </c>
      <c r="B822" s="1" t="s">
        <v>2150</v>
      </c>
      <c r="C822" s="1" t="s">
        <v>2151</v>
      </c>
      <c r="D822" s="2">
        <v>46055.469930555555</v>
      </c>
      <c r="E822" s="1" t="s">
        <v>2783</v>
      </c>
      <c r="F822" s="1" t="b">
        <v>1</v>
      </c>
    </row>
    <row r="823">
      <c r="A823" s="1" t="s">
        <v>1688</v>
      </c>
      <c r="B823" s="1" t="s">
        <v>2046</v>
      </c>
      <c r="C823" s="1">
        <v>574085.0</v>
      </c>
      <c r="D823" s="2">
        <v>46055.47310185185</v>
      </c>
      <c r="E823" s="1" t="s">
        <v>2783</v>
      </c>
      <c r="F823" s="1" t="b">
        <v>0</v>
      </c>
    </row>
    <row r="824">
      <c r="A824" s="1" t="s">
        <v>1688</v>
      </c>
      <c r="B824" s="1" t="s">
        <v>2046</v>
      </c>
      <c r="C824" s="1">
        <v>607950.0</v>
      </c>
      <c r="D824" s="2">
        <v>46055.4934375</v>
      </c>
      <c r="E824" s="1" t="s">
        <v>2739</v>
      </c>
      <c r="F824" s="1" t="b">
        <v>0</v>
      </c>
    </row>
    <row r="825">
      <c r="A825" s="1" t="s">
        <v>1688</v>
      </c>
      <c r="B825" s="1" t="s">
        <v>2042</v>
      </c>
      <c r="C825" s="1" t="s">
        <v>1690</v>
      </c>
      <c r="D825" s="2">
        <v>46055.51497685185</v>
      </c>
      <c r="E825" s="1" t="s">
        <v>2784</v>
      </c>
      <c r="F825" s="1" t="b">
        <v>0</v>
      </c>
    </row>
    <row r="826">
      <c r="A826" s="1" t="s">
        <v>1688</v>
      </c>
      <c r="B826" s="1" t="s">
        <v>2042</v>
      </c>
      <c r="C826" s="1" t="s">
        <v>1690</v>
      </c>
      <c r="D826" s="2">
        <v>46055.515127314815</v>
      </c>
      <c r="E826" s="1" t="s">
        <v>2785</v>
      </c>
      <c r="F826" s="1" t="b">
        <v>0</v>
      </c>
    </row>
    <row r="827">
      <c r="A827" s="1" t="s">
        <v>1688</v>
      </c>
      <c r="B827" s="1" t="s">
        <v>2046</v>
      </c>
      <c r="C827" s="1">
        <v>607950.0</v>
      </c>
      <c r="D827" s="2">
        <v>46055.51520833333</v>
      </c>
      <c r="E827" s="1" t="s">
        <v>2786</v>
      </c>
      <c r="F827" s="1" t="b">
        <v>0</v>
      </c>
    </row>
    <row r="828">
      <c r="A828" s="1" t="s">
        <v>1688</v>
      </c>
      <c r="B828" s="1" t="s">
        <v>2046</v>
      </c>
      <c r="C828" s="1">
        <v>574085.0</v>
      </c>
      <c r="D828" s="2">
        <v>46055.52190972222</v>
      </c>
      <c r="E828" s="1" t="s">
        <v>2787</v>
      </c>
      <c r="F828" s="1" t="b">
        <v>0</v>
      </c>
    </row>
    <row r="829">
      <c r="A829" s="1" t="s">
        <v>1688</v>
      </c>
      <c r="B829" s="1" t="s">
        <v>2046</v>
      </c>
      <c r="C829" s="1">
        <v>607950.0</v>
      </c>
      <c r="D829" s="2">
        <v>46055.596921296295</v>
      </c>
      <c r="E829" s="1" t="s">
        <v>2739</v>
      </c>
      <c r="F829" s="1" t="b">
        <v>0</v>
      </c>
    </row>
    <row r="830">
      <c r="A830" s="1" t="s">
        <v>1688</v>
      </c>
      <c r="B830" s="1" t="s">
        <v>2046</v>
      </c>
      <c r="C830" s="1">
        <v>574085.0</v>
      </c>
      <c r="D830" s="2">
        <v>46055.607881944445</v>
      </c>
      <c r="E830" s="1" t="s">
        <v>2788</v>
      </c>
      <c r="F830" s="1" t="b">
        <v>1</v>
      </c>
    </row>
    <row r="831">
      <c r="A831" s="1" t="s">
        <v>1688</v>
      </c>
      <c r="B831" s="1" t="s">
        <v>2150</v>
      </c>
      <c r="C831" s="1" t="s">
        <v>2151</v>
      </c>
      <c r="D831" s="2">
        <v>46055.60795138889</v>
      </c>
      <c r="E831" s="1" t="s">
        <v>2789</v>
      </c>
      <c r="F831" s="1" t="b">
        <v>1</v>
      </c>
    </row>
    <row r="832">
      <c r="A832" s="1" t="s">
        <v>1688</v>
      </c>
      <c r="B832" s="1" t="s">
        <v>2046</v>
      </c>
      <c r="C832" s="1">
        <v>574085.0</v>
      </c>
      <c r="D832" s="2">
        <v>46055.608981481484</v>
      </c>
      <c r="E832" s="1" t="s">
        <v>2790</v>
      </c>
      <c r="F832" s="1" t="b">
        <v>0</v>
      </c>
    </row>
    <row r="833">
      <c r="A833" s="1" t="s">
        <v>1688</v>
      </c>
      <c r="B833" s="1" t="s">
        <v>2042</v>
      </c>
      <c r="C833" s="1" t="s">
        <v>1690</v>
      </c>
      <c r="D833" s="2">
        <v>46055.61046296296</v>
      </c>
      <c r="E833" s="1" t="s">
        <v>2791</v>
      </c>
      <c r="F833" s="1" t="b">
        <v>0</v>
      </c>
    </row>
    <row r="834">
      <c r="A834" s="1" t="s">
        <v>1688</v>
      </c>
      <c r="B834" s="1" t="s">
        <v>2046</v>
      </c>
      <c r="C834" s="1">
        <v>574085.0</v>
      </c>
      <c r="D834" s="2">
        <v>46055.61078703704</v>
      </c>
      <c r="E834" s="1" t="s">
        <v>2792</v>
      </c>
      <c r="F834" s="1" t="b">
        <v>0</v>
      </c>
    </row>
    <row r="835">
      <c r="A835" s="1" t="s">
        <v>1688</v>
      </c>
      <c r="B835" s="1" t="s">
        <v>2042</v>
      </c>
      <c r="C835" s="1" t="s">
        <v>1690</v>
      </c>
      <c r="D835" s="2">
        <v>46055.617476851854</v>
      </c>
      <c r="E835" s="1" t="s">
        <v>2793</v>
      </c>
      <c r="F835" s="1" t="b">
        <v>0</v>
      </c>
    </row>
    <row r="836">
      <c r="A836" s="1" t="s">
        <v>1688</v>
      </c>
      <c r="B836" s="1" t="s">
        <v>2046</v>
      </c>
      <c r="C836" s="1">
        <v>574085.0</v>
      </c>
      <c r="D836" s="2">
        <v>46055.618842592594</v>
      </c>
      <c r="E836" s="1" t="s">
        <v>2794</v>
      </c>
      <c r="F836" s="1" t="b">
        <v>0</v>
      </c>
    </row>
    <row r="837">
      <c r="A837" s="1" t="s">
        <v>1688</v>
      </c>
      <c r="B837" s="1" t="s">
        <v>2042</v>
      </c>
      <c r="C837" s="1" t="s">
        <v>1690</v>
      </c>
      <c r="D837" s="2">
        <v>46055.6425</v>
      </c>
      <c r="E837" s="1" t="s">
        <v>2795</v>
      </c>
      <c r="F837" s="1" t="b">
        <v>0</v>
      </c>
    </row>
    <row r="838">
      <c r="A838" s="1" t="s">
        <v>1688</v>
      </c>
      <c r="B838" s="1" t="s">
        <v>2042</v>
      </c>
      <c r="C838" s="1" t="s">
        <v>1690</v>
      </c>
      <c r="D838" s="2">
        <v>46055.64292824074</v>
      </c>
      <c r="E838" s="1" t="s">
        <v>2796</v>
      </c>
      <c r="F838" s="1" t="b">
        <v>0</v>
      </c>
    </row>
    <row r="839">
      <c r="A839" s="1" t="s">
        <v>1688</v>
      </c>
      <c r="B839" s="1" t="s">
        <v>2046</v>
      </c>
      <c r="C839" s="1">
        <v>574085.0</v>
      </c>
      <c r="D839" s="2">
        <v>46055.648125</v>
      </c>
      <c r="E839" s="1" t="s">
        <v>2797</v>
      </c>
      <c r="F839" s="1" t="b">
        <v>0</v>
      </c>
    </row>
    <row r="840">
      <c r="A840" s="1" t="s">
        <v>1688</v>
      </c>
      <c r="B840" s="1" t="s">
        <v>2042</v>
      </c>
      <c r="C840" s="1" t="s">
        <v>1690</v>
      </c>
      <c r="D840" s="2">
        <v>46055.655069444445</v>
      </c>
      <c r="E840" s="1" t="s">
        <v>2798</v>
      </c>
      <c r="F840" s="1" t="b">
        <v>0</v>
      </c>
    </row>
    <row r="841">
      <c r="A841" s="1" t="s">
        <v>1688</v>
      </c>
      <c r="B841" s="1" t="s">
        <v>2042</v>
      </c>
      <c r="C841" s="1" t="s">
        <v>1690</v>
      </c>
      <c r="D841" s="2">
        <v>46055.65552083333</v>
      </c>
      <c r="E841" s="1" t="s">
        <v>2799</v>
      </c>
      <c r="F841" s="1" t="b">
        <v>0</v>
      </c>
    </row>
    <row r="842">
      <c r="A842" s="1" t="s">
        <v>1688</v>
      </c>
      <c r="B842" s="1" t="s">
        <v>2046</v>
      </c>
      <c r="C842" s="1">
        <v>574085.0</v>
      </c>
      <c r="D842" s="2">
        <v>46055.6571412037</v>
      </c>
      <c r="E842" s="1" t="s">
        <v>2800</v>
      </c>
      <c r="F842" s="1" t="b">
        <v>0</v>
      </c>
    </row>
    <row r="843">
      <c r="A843" s="1" t="s">
        <v>1688</v>
      </c>
      <c r="B843" s="1" t="s">
        <v>2042</v>
      </c>
      <c r="C843" s="1" t="s">
        <v>1690</v>
      </c>
      <c r="D843" s="2">
        <v>46055.65739583333</v>
      </c>
      <c r="E843" s="1" t="s">
        <v>2801</v>
      </c>
      <c r="F843" s="1" t="b">
        <v>0</v>
      </c>
    </row>
    <row r="844">
      <c r="A844" s="1" t="s">
        <v>1688</v>
      </c>
      <c r="B844" s="1" t="s">
        <v>2042</v>
      </c>
      <c r="C844" s="1" t="s">
        <v>1690</v>
      </c>
      <c r="D844" s="2">
        <v>46055.65759259259</v>
      </c>
      <c r="E844" s="1" t="s">
        <v>2795</v>
      </c>
      <c r="F844" s="1" t="b">
        <v>0</v>
      </c>
    </row>
    <row r="845">
      <c r="A845" s="1" t="s">
        <v>1688</v>
      </c>
      <c r="B845" s="1" t="s">
        <v>2042</v>
      </c>
      <c r="C845" s="1" t="s">
        <v>1690</v>
      </c>
      <c r="D845" s="2">
        <v>46055.65766203704</v>
      </c>
      <c r="E845" s="1" t="s">
        <v>2802</v>
      </c>
      <c r="F845" s="1" t="b">
        <v>0</v>
      </c>
    </row>
    <row r="846">
      <c r="A846" s="1" t="s">
        <v>1688</v>
      </c>
      <c r="B846" s="1" t="s">
        <v>2042</v>
      </c>
      <c r="C846" s="1" t="s">
        <v>1690</v>
      </c>
      <c r="D846" s="2">
        <v>46055.657800925925</v>
      </c>
      <c r="E846" s="1" t="s">
        <v>2803</v>
      </c>
      <c r="F846" s="1" t="b">
        <v>0</v>
      </c>
    </row>
    <row r="847">
      <c r="A847" s="1" t="s">
        <v>1688</v>
      </c>
      <c r="B847" s="1" t="s">
        <v>2042</v>
      </c>
      <c r="C847" s="1" t="s">
        <v>1690</v>
      </c>
      <c r="D847" s="2">
        <v>46055.658425925925</v>
      </c>
      <c r="E847" s="1" t="s">
        <v>2804</v>
      </c>
      <c r="F847" s="1" t="b">
        <v>0</v>
      </c>
    </row>
    <row r="848">
      <c r="A848" s="1" t="s">
        <v>1688</v>
      </c>
      <c r="B848" s="1" t="s">
        <v>2046</v>
      </c>
      <c r="C848" s="1">
        <v>574085.0</v>
      </c>
      <c r="D848" s="2">
        <v>46055.6590162037</v>
      </c>
      <c r="E848" s="1" t="s">
        <v>2805</v>
      </c>
      <c r="F848" s="1" t="b">
        <v>0</v>
      </c>
    </row>
    <row r="849">
      <c r="A849" s="1" t="s">
        <v>1688</v>
      </c>
      <c r="B849" s="1" t="s">
        <v>2042</v>
      </c>
      <c r="C849" s="1" t="s">
        <v>1690</v>
      </c>
      <c r="D849" s="2">
        <v>46055.65908564815</v>
      </c>
      <c r="E849" s="1" t="s">
        <v>2293</v>
      </c>
      <c r="F849" s="1" t="b">
        <v>0</v>
      </c>
    </row>
    <row r="850">
      <c r="A850" s="1" t="s">
        <v>1688</v>
      </c>
      <c r="B850" s="1" t="s">
        <v>2046</v>
      </c>
      <c r="C850" s="1">
        <v>574085.0</v>
      </c>
      <c r="D850" s="2">
        <v>46055.6659375</v>
      </c>
      <c r="E850" s="1" t="s">
        <v>2806</v>
      </c>
      <c r="F850" s="1" t="b">
        <v>0</v>
      </c>
    </row>
    <row r="851">
      <c r="A851" s="1" t="s">
        <v>1688</v>
      </c>
      <c r="B851" s="1" t="s">
        <v>2046</v>
      </c>
      <c r="C851" s="1">
        <v>607950.0</v>
      </c>
      <c r="D851" s="2">
        <v>46055.691469907404</v>
      </c>
      <c r="E851" s="1" t="s">
        <v>2807</v>
      </c>
      <c r="F851" s="1" t="b">
        <v>1</v>
      </c>
    </row>
    <row r="852">
      <c r="A852" s="1" t="s">
        <v>1688</v>
      </c>
      <c r="B852" s="1" t="s">
        <v>2150</v>
      </c>
      <c r="C852" s="1" t="s">
        <v>2151</v>
      </c>
      <c r="D852" s="2">
        <v>46055.69157407407</v>
      </c>
      <c r="E852" s="1" t="s">
        <v>2808</v>
      </c>
      <c r="F852" s="1" t="b">
        <v>1</v>
      </c>
    </row>
    <row r="853">
      <c r="A853" s="1" t="s">
        <v>1685</v>
      </c>
      <c r="B853" s="1" t="s">
        <v>2046</v>
      </c>
      <c r="C853" s="1">
        <v>506375.0</v>
      </c>
      <c r="D853" s="2">
        <v>46055.42388888889</v>
      </c>
      <c r="E853" s="1" t="s">
        <v>2809</v>
      </c>
      <c r="F853" s="1" t="b">
        <v>0</v>
      </c>
    </row>
    <row r="854">
      <c r="A854" s="1" t="s">
        <v>1671</v>
      </c>
      <c r="B854" s="1" t="s">
        <v>2150</v>
      </c>
      <c r="C854" s="1">
        <v>81559.0</v>
      </c>
      <c r="D854" s="2">
        <v>46055.42423611111</v>
      </c>
      <c r="E854" s="1" t="s">
        <v>2810</v>
      </c>
      <c r="F854" s="1" t="b">
        <v>1</v>
      </c>
    </row>
    <row r="855">
      <c r="A855" s="1" t="s">
        <v>1671</v>
      </c>
      <c r="B855" s="1" t="s">
        <v>2042</v>
      </c>
      <c r="C855" s="1" t="s">
        <v>1673</v>
      </c>
      <c r="D855" s="2">
        <v>46055.46702546296</v>
      </c>
      <c r="E855" s="1" t="s">
        <v>2811</v>
      </c>
      <c r="F855" s="1" t="b">
        <v>0</v>
      </c>
    </row>
    <row r="856">
      <c r="A856" s="1" t="s">
        <v>1671</v>
      </c>
      <c r="B856" s="1" t="s">
        <v>2046</v>
      </c>
      <c r="C856" s="1">
        <v>506375.0</v>
      </c>
      <c r="D856" s="2">
        <v>46055.47289351852</v>
      </c>
      <c r="E856" s="1" t="s">
        <v>2812</v>
      </c>
      <c r="F856" s="1" t="b">
        <v>0</v>
      </c>
    </row>
    <row r="857">
      <c r="A857" s="1" t="s">
        <v>1671</v>
      </c>
      <c r="B857" s="1" t="s">
        <v>2046</v>
      </c>
      <c r="C857" s="1">
        <v>574085.0</v>
      </c>
      <c r="D857" s="2">
        <v>46056.42319444445</v>
      </c>
      <c r="E857" s="1" t="s">
        <v>2813</v>
      </c>
      <c r="F857" s="1" t="b">
        <v>1</v>
      </c>
    </row>
    <row r="858">
      <c r="A858" s="1" t="s">
        <v>1681</v>
      </c>
      <c r="B858" s="1" t="s">
        <v>2042</v>
      </c>
      <c r="C858" s="1" t="s">
        <v>1683</v>
      </c>
      <c r="D858" s="2">
        <v>46055.43278935185</v>
      </c>
      <c r="E858" s="1" t="s">
        <v>2814</v>
      </c>
      <c r="F858" s="1" t="b">
        <v>0</v>
      </c>
    </row>
    <row r="859">
      <c r="A859" s="1" t="s">
        <v>1681</v>
      </c>
      <c r="B859" s="1" t="s">
        <v>2042</v>
      </c>
      <c r="C859" s="1" t="s">
        <v>1683</v>
      </c>
      <c r="D859" s="2">
        <v>46055.43295138889</v>
      </c>
      <c r="E859" s="1" t="s">
        <v>2815</v>
      </c>
      <c r="F859" s="1" t="b">
        <v>0</v>
      </c>
    </row>
    <row r="860">
      <c r="A860" s="1" t="s">
        <v>1681</v>
      </c>
      <c r="B860" s="1" t="s">
        <v>2046</v>
      </c>
      <c r="C860" s="1">
        <v>607950.0</v>
      </c>
      <c r="D860" s="2">
        <v>46055.43310185185</v>
      </c>
      <c r="E860" s="1" t="s">
        <v>2816</v>
      </c>
      <c r="F860" s="1" t="b">
        <v>0</v>
      </c>
    </row>
    <row r="861">
      <c r="A861" s="1" t="s">
        <v>1681</v>
      </c>
      <c r="B861" s="1" t="s">
        <v>2042</v>
      </c>
      <c r="C861" s="1" t="s">
        <v>1683</v>
      </c>
      <c r="D861" s="2">
        <v>46055.433287037034</v>
      </c>
      <c r="E861" s="1" t="s">
        <v>2049</v>
      </c>
      <c r="F861" s="1" t="b">
        <v>0</v>
      </c>
    </row>
    <row r="862">
      <c r="A862" s="1" t="s">
        <v>1681</v>
      </c>
      <c r="B862" s="1" t="s">
        <v>2046</v>
      </c>
      <c r="C862" s="1">
        <v>607950.0</v>
      </c>
      <c r="D862" s="2">
        <v>46055.43362268519</v>
      </c>
      <c r="E862" s="1" t="s">
        <v>2817</v>
      </c>
      <c r="F862" s="1" t="b">
        <v>0</v>
      </c>
    </row>
    <row r="863">
      <c r="A863" s="1" t="s">
        <v>1681</v>
      </c>
      <c r="B863" s="1" t="s">
        <v>2042</v>
      </c>
      <c r="C863" s="1" t="s">
        <v>1683</v>
      </c>
      <c r="D863" s="2">
        <v>46055.43399305556</v>
      </c>
      <c r="E863" s="1" t="s">
        <v>2818</v>
      </c>
      <c r="F863" s="1" t="b">
        <v>0</v>
      </c>
    </row>
    <row r="864">
      <c r="A864" s="1" t="s">
        <v>1681</v>
      </c>
      <c r="B864" s="1" t="s">
        <v>2042</v>
      </c>
      <c r="C864" s="1" t="s">
        <v>1683</v>
      </c>
      <c r="D864" s="2">
        <v>46055.43436342593</v>
      </c>
      <c r="E864" s="1" t="s">
        <v>2819</v>
      </c>
      <c r="F864" s="1" t="b">
        <v>0</v>
      </c>
    </row>
    <row r="865">
      <c r="A865" s="1" t="s">
        <v>1681</v>
      </c>
      <c r="B865" s="1" t="s">
        <v>2042</v>
      </c>
      <c r="C865" s="1" t="s">
        <v>1683</v>
      </c>
      <c r="D865" s="2">
        <v>46055.434479166666</v>
      </c>
      <c r="E865" s="1" t="s">
        <v>2820</v>
      </c>
      <c r="F865" s="1" t="b">
        <v>0</v>
      </c>
    </row>
    <row r="866">
      <c r="A866" s="1" t="s">
        <v>1681</v>
      </c>
      <c r="B866" s="1" t="s">
        <v>2046</v>
      </c>
      <c r="C866" s="1">
        <v>574085.0</v>
      </c>
      <c r="D866" s="2">
        <v>46055.44150462963</v>
      </c>
      <c r="E866" s="1" t="s">
        <v>2821</v>
      </c>
      <c r="F866" s="1" t="b">
        <v>1</v>
      </c>
    </row>
    <row r="867">
      <c r="A867" s="1" t="s">
        <v>1681</v>
      </c>
      <c r="B867" s="1" t="s">
        <v>2046</v>
      </c>
      <c r="C867" s="1">
        <v>607950.0</v>
      </c>
      <c r="D867" s="2">
        <v>46055.44167824074</v>
      </c>
      <c r="E867" s="1" t="s">
        <v>2124</v>
      </c>
      <c r="F867" s="1" t="b">
        <v>1</v>
      </c>
    </row>
    <row r="868">
      <c r="A868" s="1" t="s">
        <v>1681</v>
      </c>
      <c r="B868" s="1" t="s">
        <v>2042</v>
      </c>
      <c r="C868" s="1" t="s">
        <v>1683</v>
      </c>
      <c r="D868" s="2">
        <v>46055.45324074074</v>
      </c>
      <c r="E868" s="1" t="s">
        <v>2822</v>
      </c>
      <c r="F868" s="1" t="b">
        <v>0</v>
      </c>
    </row>
    <row r="869">
      <c r="A869" s="1" t="s">
        <v>1681</v>
      </c>
      <c r="B869" s="1" t="s">
        <v>2046</v>
      </c>
      <c r="C869" s="1">
        <v>607950.0</v>
      </c>
      <c r="D869" s="2">
        <v>46055.45579861111</v>
      </c>
      <c r="E869" s="1" t="s">
        <v>2823</v>
      </c>
      <c r="F869" s="1" t="b">
        <v>0</v>
      </c>
    </row>
    <row r="870">
      <c r="A870" s="1" t="s">
        <v>1681</v>
      </c>
      <c r="B870" s="1" t="s">
        <v>2046</v>
      </c>
      <c r="C870" s="1">
        <v>574085.0</v>
      </c>
      <c r="D870" s="2">
        <v>46055.491377314815</v>
      </c>
      <c r="E870" s="1" t="s">
        <v>2824</v>
      </c>
      <c r="F870" s="1" t="b">
        <v>0</v>
      </c>
    </row>
    <row r="871">
      <c r="A871" s="1" t="s">
        <v>1681</v>
      </c>
      <c r="B871" s="1" t="s">
        <v>2042</v>
      </c>
      <c r="C871" s="1" t="s">
        <v>1683</v>
      </c>
      <c r="D871" s="2">
        <v>46055.49261574074</v>
      </c>
      <c r="E871" s="1" t="s">
        <v>2825</v>
      </c>
      <c r="F871" s="1" t="b">
        <v>0</v>
      </c>
    </row>
    <row r="872">
      <c r="A872" s="1" t="s">
        <v>1681</v>
      </c>
      <c r="B872" s="1" t="s">
        <v>2042</v>
      </c>
      <c r="C872" s="1" t="s">
        <v>1683</v>
      </c>
      <c r="D872" s="2">
        <v>46055.496354166666</v>
      </c>
      <c r="E872" s="1" t="s">
        <v>2826</v>
      </c>
      <c r="F872" s="1" t="b">
        <v>0</v>
      </c>
    </row>
    <row r="873">
      <c r="A873" s="1" t="s">
        <v>1681</v>
      </c>
      <c r="B873" s="1" t="s">
        <v>2042</v>
      </c>
      <c r="C873" s="1" t="s">
        <v>1683</v>
      </c>
      <c r="D873" s="2">
        <v>46055.49658564815</v>
      </c>
      <c r="E873" s="1" t="s">
        <v>2827</v>
      </c>
      <c r="F873" s="1" t="b">
        <v>0</v>
      </c>
    </row>
    <row r="874">
      <c r="A874" s="1" t="s">
        <v>1681</v>
      </c>
      <c r="B874" s="1" t="s">
        <v>2042</v>
      </c>
      <c r="C874" s="1" t="s">
        <v>1683</v>
      </c>
      <c r="D874" s="2">
        <v>46055.49670138889</v>
      </c>
      <c r="E874" s="1" t="s">
        <v>2828</v>
      </c>
      <c r="F874" s="1" t="b">
        <v>0</v>
      </c>
    </row>
    <row r="875">
      <c r="A875" s="1" t="s">
        <v>1681</v>
      </c>
      <c r="B875" s="1" t="s">
        <v>2046</v>
      </c>
      <c r="C875" s="1">
        <v>574085.0</v>
      </c>
      <c r="D875" s="2">
        <v>46055.49701388889</v>
      </c>
      <c r="E875" s="1" t="s">
        <v>2829</v>
      </c>
      <c r="F875" s="1" t="b">
        <v>1</v>
      </c>
    </row>
    <row r="876">
      <c r="A876" s="1" t="s">
        <v>1681</v>
      </c>
      <c r="B876" s="1" t="s">
        <v>2046</v>
      </c>
      <c r="C876" s="1">
        <v>574085.0</v>
      </c>
      <c r="D876" s="2">
        <v>46055.49728009259</v>
      </c>
      <c r="E876" s="1" t="s">
        <v>2830</v>
      </c>
      <c r="F876" s="1" t="b">
        <v>0</v>
      </c>
    </row>
    <row r="877">
      <c r="A877" s="1" t="s">
        <v>1681</v>
      </c>
      <c r="B877" s="1" t="s">
        <v>2042</v>
      </c>
      <c r="C877" s="1" t="s">
        <v>1683</v>
      </c>
      <c r="D877" s="2">
        <v>46055.4975</v>
      </c>
      <c r="E877" s="1" t="s">
        <v>2831</v>
      </c>
      <c r="F877" s="1" t="b">
        <v>0</v>
      </c>
    </row>
    <row r="878">
      <c r="A878" s="1" t="s">
        <v>1681</v>
      </c>
      <c r="B878" s="1" t="s">
        <v>2046</v>
      </c>
      <c r="C878" s="1">
        <v>574085.0</v>
      </c>
      <c r="D878" s="2">
        <v>46055.50344907407</v>
      </c>
      <c r="E878" s="1" t="s">
        <v>2254</v>
      </c>
      <c r="F878" s="1" t="b">
        <v>1</v>
      </c>
    </row>
    <row r="879">
      <c r="A879" s="1" t="s">
        <v>1681</v>
      </c>
      <c r="B879" s="1" t="s">
        <v>2150</v>
      </c>
      <c r="C879" s="1" t="s">
        <v>2151</v>
      </c>
      <c r="D879" s="2">
        <v>46055.50355324074</v>
      </c>
      <c r="E879" s="1" t="s">
        <v>2832</v>
      </c>
      <c r="F879" s="1" t="b">
        <v>1</v>
      </c>
    </row>
    <row r="880">
      <c r="A880" s="1" t="s">
        <v>1681</v>
      </c>
      <c r="B880" s="1" t="s">
        <v>2046</v>
      </c>
      <c r="C880" s="1">
        <v>574085.0</v>
      </c>
      <c r="D880" s="2">
        <v>46055.62042824074</v>
      </c>
      <c r="E880" s="1" t="s">
        <v>2833</v>
      </c>
      <c r="F880" s="1" t="b">
        <v>0</v>
      </c>
    </row>
    <row r="881">
      <c r="A881" s="1" t="s">
        <v>1681</v>
      </c>
      <c r="B881" s="1" t="s">
        <v>2042</v>
      </c>
      <c r="C881" s="1" t="s">
        <v>1683</v>
      </c>
      <c r="D881" s="2">
        <v>46055.68871527778</v>
      </c>
      <c r="E881" s="1" t="s">
        <v>2834</v>
      </c>
      <c r="F881" s="1" t="b">
        <v>0</v>
      </c>
    </row>
    <row r="882">
      <c r="A882" s="1" t="s">
        <v>1681</v>
      </c>
      <c r="B882" s="1" t="s">
        <v>2046</v>
      </c>
      <c r="C882" s="1">
        <v>607950.0</v>
      </c>
      <c r="D882" s="2">
        <v>46055.69770833333</v>
      </c>
      <c r="E882" s="1" t="s">
        <v>2835</v>
      </c>
      <c r="F882" s="1" t="b">
        <v>0</v>
      </c>
    </row>
    <row r="883">
      <c r="A883" s="1" t="s">
        <v>1681</v>
      </c>
      <c r="B883" s="1" t="s">
        <v>2046</v>
      </c>
      <c r="C883" s="1">
        <v>607950.0</v>
      </c>
      <c r="D883" s="2">
        <v>46055.70431712963</v>
      </c>
      <c r="E883" s="1" t="s">
        <v>2108</v>
      </c>
      <c r="F883" s="1" t="b">
        <v>0</v>
      </c>
    </row>
    <row r="884">
      <c r="A884" s="1" t="s">
        <v>1681</v>
      </c>
      <c r="B884" s="1" t="s">
        <v>2042</v>
      </c>
      <c r="C884" s="1" t="s">
        <v>1683</v>
      </c>
      <c r="D884" s="2">
        <v>46056.532534722224</v>
      </c>
      <c r="E884" s="1" t="s">
        <v>2836</v>
      </c>
      <c r="F884" s="1" t="b">
        <v>0</v>
      </c>
    </row>
    <row r="885">
      <c r="A885" s="1" t="s">
        <v>1681</v>
      </c>
      <c r="B885" s="1" t="s">
        <v>2046</v>
      </c>
      <c r="C885" s="1">
        <v>607950.0</v>
      </c>
      <c r="D885" s="2">
        <v>46056.56560185185</v>
      </c>
      <c r="E885" s="1" t="s">
        <v>2752</v>
      </c>
      <c r="F885" s="1" t="b">
        <v>0</v>
      </c>
    </row>
    <row r="886">
      <c r="A886" s="1" t="s">
        <v>1681</v>
      </c>
      <c r="B886" s="1" t="s">
        <v>2046</v>
      </c>
      <c r="C886" s="1">
        <v>574085.0</v>
      </c>
      <c r="D886" s="2">
        <v>46056.56643518519</v>
      </c>
      <c r="E886" s="1" t="s">
        <v>2837</v>
      </c>
      <c r="F886" s="1" t="b">
        <v>0</v>
      </c>
    </row>
    <row r="887">
      <c r="A887" s="1" t="s">
        <v>1681</v>
      </c>
      <c r="B887" s="1" t="s">
        <v>2046</v>
      </c>
      <c r="C887" s="1">
        <v>574085.0</v>
      </c>
      <c r="D887" s="2">
        <v>46056.69137731481</v>
      </c>
      <c r="E887" s="1" t="s">
        <v>2838</v>
      </c>
      <c r="F887" s="1" t="b">
        <v>1</v>
      </c>
    </row>
    <row r="888">
      <c r="A888" s="1" t="s">
        <v>1681</v>
      </c>
      <c r="B888" s="1" t="s">
        <v>2150</v>
      </c>
      <c r="C888" s="1" t="s">
        <v>2151</v>
      </c>
      <c r="D888" s="2">
        <v>46056.69152777778</v>
      </c>
      <c r="E888" s="1" t="s">
        <v>2839</v>
      </c>
      <c r="F888" s="1" t="b">
        <v>1</v>
      </c>
    </row>
    <row r="889">
      <c r="A889" s="1" t="s">
        <v>1681</v>
      </c>
      <c r="B889" s="1" t="s">
        <v>2046</v>
      </c>
      <c r="C889" s="1">
        <v>574085.0</v>
      </c>
      <c r="D889" s="2">
        <v>46056.69231481481</v>
      </c>
      <c r="E889" s="1" t="s">
        <v>2840</v>
      </c>
      <c r="F889" s="1" t="b">
        <v>0</v>
      </c>
    </row>
    <row r="890">
      <c r="A890" s="1" t="s">
        <v>1681</v>
      </c>
      <c r="B890" s="1" t="s">
        <v>2046</v>
      </c>
      <c r="C890" s="1">
        <v>574085.0</v>
      </c>
      <c r="D890" s="2">
        <v>46062.409479166665</v>
      </c>
      <c r="E890" s="1" t="s">
        <v>2108</v>
      </c>
      <c r="F890" s="1" t="b">
        <v>0</v>
      </c>
    </row>
    <row r="891">
      <c r="A891" s="1" t="s">
        <v>1676</v>
      </c>
      <c r="B891" s="1" t="s">
        <v>2042</v>
      </c>
      <c r="C891" s="1" t="s">
        <v>1678</v>
      </c>
      <c r="D891" s="2">
        <v>46055.440729166665</v>
      </c>
      <c r="E891" s="1" t="s">
        <v>2841</v>
      </c>
      <c r="F891" s="1" t="b">
        <v>0</v>
      </c>
    </row>
    <row r="892">
      <c r="A892" s="1" t="s">
        <v>1676</v>
      </c>
      <c r="B892" s="1" t="s">
        <v>2042</v>
      </c>
      <c r="C892" s="1" t="s">
        <v>1678</v>
      </c>
      <c r="D892" s="2">
        <v>46055.44119212963</v>
      </c>
      <c r="E892" s="1" t="s">
        <v>2842</v>
      </c>
      <c r="F892" s="1" t="b">
        <v>0</v>
      </c>
    </row>
    <row r="893">
      <c r="A893" s="1" t="s">
        <v>1676</v>
      </c>
      <c r="B893" s="1" t="s">
        <v>2046</v>
      </c>
      <c r="C893" s="1">
        <v>574085.0</v>
      </c>
      <c r="D893" s="2">
        <v>46055.44228009259</v>
      </c>
      <c r="E893" s="1" t="s">
        <v>2843</v>
      </c>
      <c r="F893" s="1" t="b">
        <v>1</v>
      </c>
    </row>
    <row r="894">
      <c r="A894" s="1" t="s">
        <v>1676</v>
      </c>
      <c r="B894" s="1" t="s">
        <v>2046</v>
      </c>
      <c r="C894" s="1">
        <v>607950.0</v>
      </c>
      <c r="D894" s="2">
        <v>46055.44609953704</v>
      </c>
      <c r="E894" s="1" t="s">
        <v>2844</v>
      </c>
      <c r="F894" s="1" t="b">
        <v>0</v>
      </c>
    </row>
    <row r="895">
      <c r="A895" s="1" t="s">
        <v>1676</v>
      </c>
      <c r="B895" s="1" t="s">
        <v>2046</v>
      </c>
      <c r="C895" s="1">
        <v>607950.0</v>
      </c>
      <c r="D895" s="2">
        <v>46055.44664351852</v>
      </c>
      <c r="E895" s="1" t="s">
        <v>2845</v>
      </c>
      <c r="F895" s="1" t="b">
        <v>0</v>
      </c>
    </row>
    <row r="896">
      <c r="A896" s="1" t="s">
        <v>1676</v>
      </c>
      <c r="B896" s="1" t="s">
        <v>2042</v>
      </c>
      <c r="C896" s="1" t="s">
        <v>1678</v>
      </c>
      <c r="D896" s="2">
        <v>46055.44730324074</v>
      </c>
      <c r="E896" s="1" t="s">
        <v>2846</v>
      </c>
      <c r="F896" s="1" t="b">
        <v>0</v>
      </c>
    </row>
    <row r="897">
      <c r="A897" s="1" t="s">
        <v>1676</v>
      </c>
      <c r="B897" s="1" t="s">
        <v>2042</v>
      </c>
      <c r="C897" s="1" t="s">
        <v>1678</v>
      </c>
      <c r="D897" s="2">
        <v>46055.44740740741</v>
      </c>
      <c r="E897" s="1" t="s">
        <v>2847</v>
      </c>
      <c r="F897" s="1" t="b">
        <v>0</v>
      </c>
    </row>
    <row r="898">
      <c r="A898" s="1" t="s">
        <v>1676</v>
      </c>
      <c r="B898" s="1" t="s">
        <v>2046</v>
      </c>
      <c r="C898" s="1">
        <v>607950.0</v>
      </c>
      <c r="D898" s="2">
        <v>46055.447546296295</v>
      </c>
      <c r="E898" s="1" t="s">
        <v>2848</v>
      </c>
      <c r="F898" s="1" t="b">
        <v>0</v>
      </c>
    </row>
    <row r="899">
      <c r="A899" s="1" t="s">
        <v>1676</v>
      </c>
      <c r="B899" s="1" t="s">
        <v>2042</v>
      </c>
      <c r="C899" s="1" t="s">
        <v>1678</v>
      </c>
      <c r="D899" s="2">
        <v>46055.44793981482</v>
      </c>
      <c r="E899" s="1" t="s">
        <v>2849</v>
      </c>
      <c r="F899" s="1" t="b">
        <v>0</v>
      </c>
    </row>
    <row r="900">
      <c r="A900" s="1" t="s">
        <v>1676</v>
      </c>
      <c r="B900" s="1" t="s">
        <v>2042</v>
      </c>
      <c r="C900" s="1" t="s">
        <v>1678</v>
      </c>
      <c r="D900" s="2">
        <v>46055.448275462964</v>
      </c>
      <c r="E900" s="1" t="s">
        <v>2850</v>
      </c>
      <c r="F900" s="1" t="b">
        <v>0</v>
      </c>
    </row>
    <row r="901">
      <c r="A901" s="1" t="s">
        <v>1676</v>
      </c>
      <c r="B901" s="1" t="s">
        <v>2042</v>
      </c>
      <c r="C901" s="1" t="s">
        <v>1678</v>
      </c>
      <c r="D901" s="2">
        <v>46055.44832175926</v>
      </c>
      <c r="E901" s="1" t="s">
        <v>2851</v>
      </c>
      <c r="F901" s="1" t="b">
        <v>0</v>
      </c>
    </row>
    <row r="902">
      <c r="A902" s="1" t="s">
        <v>1676</v>
      </c>
      <c r="B902" s="1" t="s">
        <v>2042</v>
      </c>
      <c r="C902" s="1" t="s">
        <v>1678</v>
      </c>
      <c r="D902" s="2">
        <v>46055.44912037037</v>
      </c>
      <c r="F902" s="1" t="b">
        <v>0</v>
      </c>
    </row>
    <row r="903">
      <c r="A903" s="1" t="s">
        <v>1676</v>
      </c>
      <c r="B903" s="1" t="s">
        <v>2042</v>
      </c>
      <c r="C903" s="1" t="s">
        <v>1678</v>
      </c>
      <c r="D903" s="2">
        <v>46055.44945601852</v>
      </c>
      <c r="E903" s="1" t="s">
        <v>2852</v>
      </c>
      <c r="F903" s="1" t="b">
        <v>0</v>
      </c>
    </row>
    <row r="904">
      <c r="A904" s="1" t="s">
        <v>1676</v>
      </c>
      <c r="B904" s="1" t="s">
        <v>2046</v>
      </c>
      <c r="C904" s="1">
        <v>607950.0</v>
      </c>
      <c r="D904" s="2">
        <v>46055.45003472222</v>
      </c>
      <c r="E904" s="1" t="s">
        <v>2853</v>
      </c>
      <c r="F904" s="1" t="b">
        <v>0</v>
      </c>
    </row>
    <row r="905">
      <c r="A905" s="1" t="s">
        <v>1676</v>
      </c>
      <c r="B905" s="1" t="s">
        <v>2042</v>
      </c>
      <c r="C905" s="1" t="s">
        <v>1678</v>
      </c>
      <c r="D905" s="2">
        <v>46055.45049768518</v>
      </c>
      <c r="E905" s="1" t="s">
        <v>2854</v>
      </c>
      <c r="F905" s="1" t="b">
        <v>0</v>
      </c>
    </row>
    <row r="906">
      <c r="A906" s="1" t="s">
        <v>1676</v>
      </c>
      <c r="B906" s="1" t="s">
        <v>2046</v>
      </c>
      <c r="C906" s="1">
        <v>574085.0</v>
      </c>
      <c r="D906" s="2">
        <v>46055.451319444444</v>
      </c>
      <c r="E906" s="1" t="s">
        <v>2855</v>
      </c>
      <c r="F906" s="1" t="b">
        <v>1</v>
      </c>
    </row>
    <row r="907">
      <c r="A907" s="1" t="s">
        <v>1676</v>
      </c>
      <c r="B907" s="1" t="s">
        <v>2046</v>
      </c>
      <c r="C907" s="1">
        <v>607950.0</v>
      </c>
      <c r="D907" s="2">
        <v>46055.45278935185</v>
      </c>
      <c r="E907" s="1" t="s">
        <v>2856</v>
      </c>
      <c r="F907" s="1" t="b">
        <v>0</v>
      </c>
    </row>
    <row r="908">
      <c r="A908" s="1" t="s">
        <v>1676</v>
      </c>
      <c r="B908" s="1" t="s">
        <v>2042</v>
      </c>
      <c r="C908" s="1" t="s">
        <v>1678</v>
      </c>
      <c r="D908" s="2">
        <v>46055.45365740741</v>
      </c>
      <c r="E908" s="1" t="s">
        <v>2857</v>
      </c>
      <c r="F908" s="1" t="b">
        <v>0</v>
      </c>
    </row>
    <row r="909">
      <c r="A909" s="1" t="s">
        <v>1676</v>
      </c>
      <c r="B909" s="1" t="s">
        <v>2042</v>
      </c>
      <c r="C909" s="1" t="s">
        <v>1678</v>
      </c>
      <c r="D909" s="2">
        <v>46055.45371527778</v>
      </c>
      <c r="E909" s="1" t="s">
        <v>2858</v>
      </c>
      <c r="F909" s="1" t="b">
        <v>0</v>
      </c>
    </row>
    <row r="910">
      <c r="A910" s="1" t="s">
        <v>1676</v>
      </c>
      <c r="B910" s="1" t="s">
        <v>2042</v>
      </c>
      <c r="C910" s="1" t="s">
        <v>1678</v>
      </c>
      <c r="D910" s="2">
        <v>46055.45380787037</v>
      </c>
      <c r="E910" s="1" t="s">
        <v>2859</v>
      </c>
      <c r="F910" s="1" t="b">
        <v>0</v>
      </c>
    </row>
    <row r="911">
      <c r="A911" s="1" t="s">
        <v>1676</v>
      </c>
      <c r="B911" s="1" t="s">
        <v>2046</v>
      </c>
      <c r="C911" s="1">
        <v>607950.0</v>
      </c>
      <c r="D911" s="2">
        <v>46055.455509259256</v>
      </c>
      <c r="E911" s="1" t="s">
        <v>2860</v>
      </c>
      <c r="F911" s="1" t="b">
        <v>0</v>
      </c>
    </row>
    <row r="912">
      <c r="A912" s="1" t="s">
        <v>1676</v>
      </c>
      <c r="B912" s="1" t="s">
        <v>2046</v>
      </c>
      <c r="C912" s="1">
        <v>574085.0</v>
      </c>
      <c r="D912" s="2">
        <v>46055.455671296295</v>
      </c>
      <c r="E912" s="1" t="s">
        <v>2861</v>
      </c>
      <c r="F912" s="1" t="b">
        <v>1</v>
      </c>
    </row>
    <row r="913">
      <c r="A913" s="1" t="s">
        <v>1676</v>
      </c>
      <c r="B913" s="1" t="s">
        <v>2042</v>
      </c>
      <c r="C913" s="1" t="s">
        <v>1678</v>
      </c>
      <c r="D913" s="2">
        <v>46055.456145833334</v>
      </c>
      <c r="E913" s="1" t="s">
        <v>2862</v>
      </c>
      <c r="F913" s="1" t="b">
        <v>0</v>
      </c>
    </row>
    <row r="914">
      <c r="A914" s="1" t="s">
        <v>1676</v>
      </c>
      <c r="B914" s="1" t="s">
        <v>2046</v>
      </c>
      <c r="C914" s="1">
        <v>607950.0</v>
      </c>
      <c r="D914" s="2">
        <v>46055.45684027778</v>
      </c>
      <c r="E914" s="1" t="s">
        <v>2863</v>
      </c>
      <c r="F914" s="1" t="b">
        <v>1</v>
      </c>
    </row>
    <row r="915">
      <c r="A915" s="1" t="s">
        <v>1676</v>
      </c>
      <c r="B915" s="1" t="s">
        <v>2046</v>
      </c>
      <c r="C915" s="1">
        <v>370963.0</v>
      </c>
      <c r="D915" s="2">
        <v>46055.469201388885</v>
      </c>
      <c r="E915" s="1" t="s">
        <v>2864</v>
      </c>
      <c r="F915" s="1" t="b">
        <v>1</v>
      </c>
    </row>
    <row r="916">
      <c r="A916" s="1" t="s">
        <v>1676</v>
      </c>
      <c r="B916" s="1" t="s">
        <v>2046</v>
      </c>
      <c r="C916" s="1">
        <v>574085.0</v>
      </c>
      <c r="D916" s="2">
        <v>46055.471238425926</v>
      </c>
      <c r="E916" s="1" t="s">
        <v>2865</v>
      </c>
      <c r="F916" s="1" t="b">
        <v>1</v>
      </c>
    </row>
    <row r="917">
      <c r="A917" s="1" t="s">
        <v>1676</v>
      </c>
      <c r="B917" s="1" t="s">
        <v>2046</v>
      </c>
      <c r="C917" s="1">
        <v>370963.0</v>
      </c>
      <c r="D917" s="2">
        <v>46055.47133101852</v>
      </c>
      <c r="E917" s="1" t="s">
        <v>2866</v>
      </c>
      <c r="F917" s="1" t="b">
        <v>1</v>
      </c>
    </row>
    <row r="918">
      <c r="A918" s="1" t="s">
        <v>1676</v>
      </c>
      <c r="B918" s="1" t="s">
        <v>2046</v>
      </c>
      <c r="C918" s="1">
        <v>370963.0</v>
      </c>
      <c r="D918" s="2">
        <v>46055.47143518519</v>
      </c>
      <c r="E918" s="1" t="s">
        <v>2867</v>
      </c>
      <c r="F918" s="1" t="b">
        <v>1</v>
      </c>
    </row>
    <row r="919">
      <c r="A919" s="1" t="s">
        <v>1676</v>
      </c>
      <c r="B919" s="1" t="s">
        <v>2046</v>
      </c>
      <c r="C919" s="1">
        <v>370963.0</v>
      </c>
      <c r="D919" s="2">
        <v>46055.47153935185</v>
      </c>
      <c r="E919" s="1" t="s">
        <v>2868</v>
      </c>
      <c r="F919" s="1" t="b">
        <v>1</v>
      </c>
    </row>
    <row r="920">
      <c r="A920" s="1" t="s">
        <v>1676</v>
      </c>
      <c r="B920" s="1" t="s">
        <v>2046</v>
      </c>
      <c r="C920" s="1">
        <v>574085.0</v>
      </c>
      <c r="D920" s="2">
        <v>46055.472962962966</v>
      </c>
      <c r="E920" s="1" t="s">
        <v>2869</v>
      </c>
      <c r="F920" s="1" t="b">
        <v>1</v>
      </c>
    </row>
    <row r="921">
      <c r="A921" s="1" t="s">
        <v>1676</v>
      </c>
      <c r="B921" s="1" t="s">
        <v>2046</v>
      </c>
      <c r="C921" s="1">
        <v>370963.0</v>
      </c>
      <c r="D921" s="2">
        <v>46055.47313657407</v>
      </c>
      <c r="E921" s="1" t="s">
        <v>2870</v>
      </c>
      <c r="F921" s="1" t="b">
        <v>1</v>
      </c>
    </row>
    <row r="922">
      <c r="A922" s="1" t="s">
        <v>1676</v>
      </c>
      <c r="B922" s="1" t="s">
        <v>2046</v>
      </c>
      <c r="C922" s="1">
        <v>370963.0</v>
      </c>
      <c r="D922" s="2">
        <v>46055.47791666666</v>
      </c>
      <c r="E922" s="1" t="s">
        <v>2871</v>
      </c>
      <c r="F922" s="1" t="b">
        <v>1</v>
      </c>
    </row>
    <row r="923">
      <c r="A923" s="1" t="s">
        <v>1676</v>
      </c>
      <c r="B923" s="1" t="s">
        <v>2046</v>
      </c>
      <c r="C923" s="1">
        <v>370963.0</v>
      </c>
      <c r="D923" s="2">
        <v>46055.47974537037</v>
      </c>
      <c r="E923" s="1" t="s">
        <v>2872</v>
      </c>
      <c r="F923" s="1" t="b">
        <v>1</v>
      </c>
    </row>
    <row r="924">
      <c r="A924" s="1" t="s">
        <v>1676</v>
      </c>
      <c r="B924" s="1" t="s">
        <v>2046</v>
      </c>
      <c r="C924" s="1">
        <v>607950.0</v>
      </c>
      <c r="D924" s="2">
        <v>46055.48006944444</v>
      </c>
      <c r="E924" s="1" t="s">
        <v>2873</v>
      </c>
      <c r="F924" s="1" t="b">
        <v>1</v>
      </c>
    </row>
    <row r="925">
      <c r="A925" s="1" t="s">
        <v>1676</v>
      </c>
      <c r="B925" s="1" t="s">
        <v>2046</v>
      </c>
      <c r="C925" s="1">
        <v>370963.0</v>
      </c>
      <c r="D925" s="2">
        <v>46055.48079861111</v>
      </c>
      <c r="E925" s="1" t="s">
        <v>2874</v>
      </c>
      <c r="F925" s="1" t="b">
        <v>1</v>
      </c>
    </row>
    <row r="926">
      <c r="A926" s="1" t="s">
        <v>1676</v>
      </c>
      <c r="B926" s="1" t="s">
        <v>2046</v>
      </c>
      <c r="C926" s="1">
        <v>574085.0</v>
      </c>
      <c r="D926" s="2">
        <v>46055.487592592595</v>
      </c>
      <c r="E926" s="1" t="s">
        <v>2875</v>
      </c>
      <c r="F926" s="1" t="b">
        <v>1</v>
      </c>
    </row>
    <row r="927">
      <c r="A927" s="1" t="s">
        <v>1676</v>
      </c>
      <c r="B927" s="1" t="s">
        <v>2046</v>
      </c>
      <c r="C927" s="1">
        <v>370963.0</v>
      </c>
      <c r="D927" s="2">
        <v>46055.48824074074</v>
      </c>
      <c r="E927" s="1" t="s">
        <v>2876</v>
      </c>
      <c r="F927" s="1" t="b">
        <v>1</v>
      </c>
    </row>
    <row r="928">
      <c r="A928" s="1" t="s">
        <v>1676</v>
      </c>
      <c r="B928" s="1" t="s">
        <v>2150</v>
      </c>
      <c r="C928" s="1" t="s">
        <v>2151</v>
      </c>
      <c r="D928" s="2">
        <v>46055.48836805556</v>
      </c>
      <c r="E928" s="1" t="s">
        <v>2877</v>
      </c>
      <c r="F928" s="1" t="b">
        <v>1</v>
      </c>
    </row>
    <row r="929">
      <c r="A929" s="1" t="s">
        <v>1676</v>
      </c>
      <c r="B929" s="1" t="s">
        <v>2046</v>
      </c>
      <c r="C929" s="1">
        <v>574085.0</v>
      </c>
      <c r="D929" s="2">
        <v>46055.50113425926</v>
      </c>
      <c r="E929" s="1" t="s">
        <v>2878</v>
      </c>
      <c r="F929" s="1" t="b">
        <v>0</v>
      </c>
    </row>
    <row r="930">
      <c r="A930" s="1" t="s">
        <v>1676</v>
      </c>
      <c r="B930" s="1" t="s">
        <v>2042</v>
      </c>
      <c r="C930" s="1" t="s">
        <v>1678</v>
      </c>
      <c r="D930" s="2">
        <v>46055.52701388889</v>
      </c>
      <c r="E930" s="1" t="s">
        <v>2879</v>
      </c>
      <c r="F930" s="1" t="b">
        <v>0</v>
      </c>
    </row>
    <row r="931">
      <c r="A931" s="1" t="s">
        <v>1676</v>
      </c>
      <c r="B931" s="1" t="s">
        <v>2046</v>
      </c>
      <c r="C931" s="1">
        <v>574085.0</v>
      </c>
      <c r="D931" s="2">
        <v>46055.55359953704</v>
      </c>
      <c r="E931" s="1" t="s">
        <v>2880</v>
      </c>
      <c r="F931" s="1" t="b">
        <v>0</v>
      </c>
    </row>
    <row r="932">
      <c r="A932" s="1" t="s">
        <v>1676</v>
      </c>
      <c r="B932" s="1" t="s">
        <v>2046</v>
      </c>
      <c r="C932" s="1">
        <v>607950.0</v>
      </c>
      <c r="D932" s="2">
        <v>46055.597037037034</v>
      </c>
      <c r="E932" s="1" t="s">
        <v>2739</v>
      </c>
      <c r="F932" s="1" t="b">
        <v>0</v>
      </c>
    </row>
    <row r="933">
      <c r="A933" s="1" t="s">
        <v>1676</v>
      </c>
      <c r="B933" s="1" t="s">
        <v>2046</v>
      </c>
      <c r="C933" s="1">
        <v>607950.0</v>
      </c>
      <c r="D933" s="2">
        <v>46056.59019675926</v>
      </c>
      <c r="E933" s="1" t="s">
        <v>2108</v>
      </c>
      <c r="F933" s="1" t="b">
        <v>0</v>
      </c>
    </row>
    <row r="934">
      <c r="A934" s="1" t="s">
        <v>1667</v>
      </c>
      <c r="B934" s="1" t="s">
        <v>2042</v>
      </c>
      <c r="C934" s="1" t="s">
        <v>1669</v>
      </c>
      <c r="D934" s="2">
        <v>46055.47105324074</v>
      </c>
      <c r="E934" s="1" t="s">
        <v>2881</v>
      </c>
      <c r="F934" s="1" t="b">
        <v>0</v>
      </c>
    </row>
    <row r="935">
      <c r="A935" s="1" t="s">
        <v>1661</v>
      </c>
      <c r="B935" s="1" t="s">
        <v>2042</v>
      </c>
      <c r="C935" s="1" t="s">
        <v>1665</v>
      </c>
      <c r="D935" s="2">
        <v>46055.48024305556</v>
      </c>
      <c r="E935" s="1" t="s">
        <v>2882</v>
      </c>
      <c r="F935" s="1" t="b">
        <v>0</v>
      </c>
    </row>
    <row r="936">
      <c r="A936" s="1" t="s">
        <v>1661</v>
      </c>
      <c r="B936" s="1" t="s">
        <v>2046</v>
      </c>
      <c r="C936" s="1">
        <v>607950.0</v>
      </c>
      <c r="D936" s="2">
        <v>46055.480462962965</v>
      </c>
      <c r="E936" s="1" t="s">
        <v>2883</v>
      </c>
      <c r="F936" s="1" t="b">
        <v>0</v>
      </c>
    </row>
    <row r="937">
      <c r="A937" s="1" t="s">
        <v>1661</v>
      </c>
      <c r="B937" s="1" t="s">
        <v>2046</v>
      </c>
      <c r="C937" s="1">
        <v>574085.0</v>
      </c>
      <c r="D937" s="2">
        <v>46055.48451388889</v>
      </c>
      <c r="E937" s="1" t="s">
        <v>2884</v>
      </c>
      <c r="F937" s="1" t="b">
        <v>1</v>
      </c>
    </row>
    <row r="938">
      <c r="A938" s="1" t="s">
        <v>1661</v>
      </c>
      <c r="B938" s="1" t="s">
        <v>2046</v>
      </c>
      <c r="C938" s="1">
        <v>574085.0</v>
      </c>
      <c r="D938" s="2">
        <v>46055.48506944445</v>
      </c>
      <c r="E938" s="1" t="s">
        <v>2885</v>
      </c>
      <c r="F938" s="1" t="b">
        <v>1</v>
      </c>
    </row>
    <row r="939">
      <c r="A939" s="1" t="s">
        <v>1661</v>
      </c>
      <c r="B939" s="1" t="s">
        <v>2046</v>
      </c>
      <c r="C939" s="1">
        <v>607950.0</v>
      </c>
      <c r="D939" s="2">
        <v>46055.48579861111</v>
      </c>
      <c r="E939" s="1" t="s">
        <v>2886</v>
      </c>
      <c r="F939" s="1" t="b">
        <v>1</v>
      </c>
    </row>
    <row r="940">
      <c r="A940" s="1" t="s">
        <v>1661</v>
      </c>
      <c r="B940" s="1" t="s">
        <v>2046</v>
      </c>
      <c r="C940" s="1">
        <v>607950.0</v>
      </c>
      <c r="D940" s="2">
        <v>46055.487604166665</v>
      </c>
      <c r="E940" s="1" t="s">
        <v>2887</v>
      </c>
      <c r="F940" s="1" t="b">
        <v>0</v>
      </c>
    </row>
    <row r="941">
      <c r="A941" s="1" t="s">
        <v>1661</v>
      </c>
      <c r="B941" s="1" t="s">
        <v>2046</v>
      </c>
      <c r="C941" s="1">
        <v>607950.0</v>
      </c>
      <c r="D941" s="2">
        <v>46055.492256944446</v>
      </c>
      <c r="E941" s="1" t="s">
        <v>2739</v>
      </c>
      <c r="F941" s="1" t="b">
        <v>0</v>
      </c>
    </row>
    <row r="942">
      <c r="A942" s="1" t="s">
        <v>1661</v>
      </c>
      <c r="B942" s="1" t="s">
        <v>2046</v>
      </c>
      <c r="C942" s="1">
        <v>607950.0</v>
      </c>
      <c r="D942" s="2">
        <v>46056.422939814816</v>
      </c>
      <c r="E942" s="1" t="s">
        <v>2108</v>
      </c>
      <c r="F942" s="1" t="b">
        <v>0</v>
      </c>
    </row>
    <row r="943">
      <c r="A943" s="1" t="s">
        <v>1659</v>
      </c>
      <c r="B943" s="1" t="s">
        <v>2042</v>
      </c>
      <c r="C943" s="1" t="s">
        <v>1164</v>
      </c>
      <c r="D943" s="2">
        <v>46055.49940972222</v>
      </c>
      <c r="E943" s="1" t="s">
        <v>2888</v>
      </c>
      <c r="F943" s="1" t="b">
        <v>0</v>
      </c>
    </row>
    <row r="944">
      <c r="A944" s="1" t="s">
        <v>1659</v>
      </c>
      <c r="B944" s="1" t="s">
        <v>2042</v>
      </c>
      <c r="C944" s="1" t="s">
        <v>1164</v>
      </c>
      <c r="D944" s="2">
        <v>46055.53021990741</v>
      </c>
      <c r="E944" s="1" t="s">
        <v>2889</v>
      </c>
      <c r="F944" s="1" t="b">
        <v>0</v>
      </c>
    </row>
    <row r="945">
      <c r="A945" s="1" t="s">
        <v>1657</v>
      </c>
      <c r="B945" s="1" t="s">
        <v>2042</v>
      </c>
      <c r="C945" s="1" t="s">
        <v>335</v>
      </c>
      <c r="D945" s="2">
        <v>46055.51540509259</v>
      </c>
      <c r="E945" s="1" t="s">
        <v>2890</v>
      </c>
      <c r="F945" s="1" t="b">
        <v>0</v>
      </c>
    </row>
    <row r="946">
      <c r="A946" s="1" t="s">
        <v>1657</v>
      </c>
      <c r="B946" s="1" t="s">
        <v>2042</v>
      </c>
      <c r="C946" s="1" t="s">
        <v>335</v>
      </c>
      <c r="D946" s="2">
        <v>46055.51578703704</v>
      </c>
      <c r="E946" s="1" t="s">
        <v>2891</v>
      </c>
      <c r="F946" s="1" t="b">
        <v>0</v>
      </c>
    </row>
    <row r="947">
      <c r="A947" s="1" t="s">
        <v>1657</v>
      </c>
      <c r="B947" s="1" t="s">
        <v>2042</v>
      </c>
      <c r="C947" s="1" t="s">
        <v>335</v>
      </c>
      <c r="D947" s="2">
        <v>46055.51635416667</v>
      </c>
      <c r="E947" s="1" t="s">
        <v>2892</v>
      </c>
      <c r="F947" s="1" t="b">
        <v>0</v>
      </c>
    </row>
    <row r="948">
      <c r="A948" s="1" t="s">
        <v>1657</v>
      </c>
      <c r="B948" s="1" t="s">
        <v>2042</v>
      </c>
      <c r="C948" s="1" t="s">
        <v>335</v>
      </c>
      <c r="D948" s="2">
        <v>46055.84376157408</v>
      </c>
      <c r="E948" s="1" t="s">
        <v>2893</v>
      </c>
      <c r="F948" s="1" t="b">
        <v>0</v>
      </c>
    </row>
    <row r="949">
      <c r="A949" s="1" t="s">
        <v>1413</v>
      </c>
      <c r="B949" s="1" t="s">
        <v>2042</v>
      </c>
      <c r="C949" s="1" t="s">
        <v>1416</v>
      </c>
      <c r="D949" s="2">
        <v>46058.628703703704</v>
      </c>
      <c r="E949" s="1" t="s">
        <v>2894</v>
      </c>
      <c r="F949" s="1" t="b">
        <v>0</v>
      </c>
    </row>
    <row r="950">
      <c r="A950" s="1" t="s">
        <v>1413</v>
      </c>
      <c r="B950" s="1" t="s">
        <v>2046</v>
      </c>
      <c r="C950" s="1">
        <v>607950.0</v>
      </c>
      <c r="D950" s="2">
        <v>46058.63045138889</v>
      </c>
      <c r="E950" s="1" t="s">
        <v>2752</v>
      </c>
      <c r="F950" s="1" t="b">
        <v>0</v>
      </c>
    </row>
    <row r="951">
      <c r="A951" s="1" t="s">
        <v>1413</v>
      </c>
      <c r="B951" s="1" t="s">
        <v>2046</v>
      </c>
      <c r="C951" s="1">
        <v>607950.0</v>
      </c>
      <c r="D951" s="2">
        <v>46058.63143518518</v>
      </c>
      <c r="E951" s="1" t="s">
        <v>2895</v>
      </c>
      <c r="F951" s="1" t="b">
        <v>0</v>
      </c>
    </row>
    <row r="952">
      <c r="A952" s="1" t="s">
        <v>1413</v>
      </c>
      <c r="B952" s="1" t="s">
        <v>2046</v>
      </c>
      <c r="C952" s="1">
        <v>574085.0</v>
      </c>
      <c r="D952" s="2">
        <v>46058.63190972222</v>
      </c>
      <c r="E952" s="1" t="s">
        <v>2896</v>
      </c>
      <c r="F952" s="1" t="b">
        <v>1</v>
      </c>
    </row>
    <row r="953">
      <c r="A953" s="1" t="s">
        <v>1413</v>
      </c>
      <c r="B953" s="1" t="s">
        <v>2042</v>
      </c>
      <c r="C953" s="1" t="s">
        <v>1416</v>
      </c>
      <c r="D953" s="2">
        <v>46058.63650462963</v>
      </c>
      <c r="E953" s="1" t="s">
        <v>2897</v>
      </c>
      <c r="F953" s="1" t="b">
        <v>0</v>
      </c>
    </row>
    <row r="954">
      <c r="A954" s="1" t="s">
        <v>1413</v>
      </c>
      <c r="B954" s="1" t="s">
        <v>2042</v>
      </c>
      <c r="C954" s="1" t="s">
        <v>1416</v>
      </c>
      <c r="D954" s="2">
        <v>46058.636875</v>
      </c>
      <c r="E954" s="1" t="s">
        <v>2898</v>
      </c>
      <c r="F954" s="1" t="b">
        <v>0</v>
      </c>
    </row>
    <row r="955">
      <c r="A955" s="1" t="s">
        <v>1413</v>
      </c>
      <c r="B955" s="1" t="s">
        <v>2042</v>
      </c>
      <c r="C955" s="1" t="s">
        <v>1416</v>
      </c>
      <c r="D955" s="2">
        <v>46058.63815972222</v>
      </c>
      <c r="E955" s="1" t="s">
        <v>2899</v>
      </c>
      <c r="F955" s="1" t="b">
        <v>0</v>
      </c>
    </row>
    <row r="956">
      <c r="A956" s="1" t="s">
        <v>1413</v>
      </c>
      <c r="B956" s="1" t="s">
        <v>2046</v>
      </c>
      <c r="C956" s="1">
        <v>607950.0</v>
      </c>
      <c r="D956" s="2">
        <v>46058.6381712963</v>
      </c>
      <c r="E956" s="1" t="s">
        <v>2900</v>
      </c>
      <c r="F956" s="1" t="b">
        <v>0</v>
      </c>
    </row>
    <row r="957">
      <c r="A957" s="1" t="s">
        <v>1413</v>
      </c>
      <c r="B957" s="1" t="s">
        <v>2042</v>
      </c>
      <c r="C957" s="1" t="s">
        <v>1416</v>
      </c>
      <c r="D957" s="2">
        <v>46058.63821759259</v>
      </c>
      <c r="E957" s="1" t="s">
        <v>2901</v>
      </c>
      <c r="F957" s="1" t="b">
        <v>0</v>
      </c>
    </row>
    <row r="958">
      <c r="A958" s="1" t="s">
        <v>1413</v>
      </c>
      <c r="B958" s="1" t="s">
        <v>2046</v>
      </c>
      <c r="C958" s="1">
        <v>607950.0</v>
      </c>
      <c r="D958" s="2">
        <v>46058.63856481481</v>
      </c>
      <c r="E958" s="1" t="s">
        <v>2902</v>
      </c>
      <c r="F958" s="1" t="b">
        <v>0</v>
      </c>
    </row>
    <row r="959">
      <c r="A959" s="1" t="s">
        <v>1413</v>
      </c>
      <c r="B959" s="1" t="s">
        <v>2042</v>
      </c>
      <c r="C959" s="1" t="s">
        <v>1416</v>
      </c>
      <c r="D959" s="2">
        <v>46058.63872685185</v>
      </c>
      <c r="E959" s="1" t="s">
        <v>2903</v>
      </c>
      <c r="F959" s="1" t="b">
        <v>0</v>
      </c>
    </row>
    <row r="960">
      <c r="A960" s="1" t="s">
        <v>1413</v>
      </c>
      <c r="B960" s="1" t="s">
        <v>2046</v>
      </c>
      <c r="C960" s="1">
        <v>607950.0</v>
      </c>
      <c r="D960" s="2">
        <v>46058.63895833334</v>
      </c>
      <c r="E960" s="1" t="s">
        <v>2904</v>
      </c>
      <c r="F960" s="1" t="b">
        <v>0</v>
      </c>
    </row>
    <row r="961">
      <c r="A961" s="1" t="s">
        <v>1413</v>
      </c>
      <c r="B961" s="1" t="s">
        <v>2042</v>
      </c>
      <c r="C961" s="1" t="s">
        <v>1416</v>
      </c>
      <c r="D961" s="2">
        <v>46058.63957175926</v>
      </c>
      <c r="E961" s="1" t="s">
        <v>2905</v>
      </c>
      <c r="F961" s="1" t="b">
        <v>0</v>
      </c>
    </row>
    <row r="962">
      <c r="A962" s="1" t="s">
        <v>1413</v>
      </c>
      <c r="B962" s="1" t="s">
        <v>2042</v>
      </c>
      <c r="C962" s="1" t="s">
        <v>1416</v>
      </c>
      <c r="D962" s="2">
        <v>46058.64103009259</v>
      </c>
      <c r="E962" s="1" t="s">
        <v>2906</v>
      </c>
      <c r="F962" s="1" t="b">
        <v>0</v>
      </c>
    </row>
    <row r="963">
      <c r="A963" s="1" t="s">
        <v>1413</v>
      </c>
      <c r="B963" s="1" t="s">
        <v>2042</v>
      </c>
      <c r="C963" s="1" t="s">
        <v>1416</v>
      </c>
      <c r="D963" s="2">
        <v>46058.641122685185</v>
      </c>
      <c r="E963" s="1" t="s">
        <v>2907</v>
      </c>
      <c r="F963" s="1" t="b">
        <v>0</v>
      </c>
    </row>
    <row r="964">
      <c r="A964" s="1" t="s">
        <v>1413</v>
      </c>
      <c r="B964" s="1" t="s">
        <v>2042</v>
      </c>
      <c r="C964" s="1" t="s">
        <v>1416</v>
      </c>
      <c r="D964" s="2">
        <v>46058.641284722224</v>
      </c>
      <c r="E964" s="1" t="s">
        <v>2908</v>
      </c>
      <c r="F964" s="1" t="b">
        <v>0</v>
      </c>
    </row>
    <row r="965">
      <c r="A965" s="1" t="s">
        <v>1413</v>
      </c>
      <c r="B965" s="1" t="s">
        <v>2046</v>
      </c>
      <c r="C965" s="1">
        <v>607950.0</v>
      </c>
      <c r="D965" s="2">
        <v>46058.641863425924</v>
      </c>
      <c r="E965" s="1" t="s">
        <v>2909</v>
      </c>
      <c r="F965" s="1" t="b">
        <v>0</v>
      </c>
    </row>
    <row r="966">
      <c r="A966" s="1" t="s">
        <v>1413</v>
      </c>
      <c r="B966" s="1" t="s">
        <v>2042</v>
      </c>
      <c r="C966" s="1" t="s">
        <v>1416</v>
      </c>
      <c r="D966" s="2">
        <v>46058.64202546296</v>
      </c>
      <c r="E966" s="1" t="s">
        <v>2910</v>
      </c>
      <c r="F966" s="1" t="b">
        <v>0</v>
      </c>
    </row>
    <row r="967">
      <c r="A967" s="1" t="s">
        <v>1413</v>
      </c>
      <c r="B967" s="1" t="s">
        <v>2042</v>
      </c>
      <c r="C967" s="1" t="s">
        <v>1416</v>
      </c>
      <c r="D967" s="2">
        <v>46058.642962962964</v>
      </c>
      <c r="E967" s="1" t="s">
        <v>2911</v>
      </c>
      <c r="F967" s="1" t="b">
        <v>0</v>
      </c>
    </row>
    <row r="968">
      <c r="A968" s="1" t="s">
        <v>1413</v>
      </c>
      <c r="B968" s="1" t="s">
        <v>2046</v>
      </c>
      <c r="C968" s="1">
        <v>607950.0</v>
      </c>
      <c r="D968" s="2">
        <v>46058.64399305556</v>
      </c>
      <c r="E968" s="1" t="s">
        <v>2254</v>
      </c>
      <c r="F968" s="1" t="b">
        <v>1</v>
      </c>
    </row>
    <row r="969">
      <c r="A969" s="1" t="s">
        <v>1413</v>
      </c>
      <c r="B969" s="1" t="s">
        <v>2150</v>
      </c>
      <c r="C969" s="1" t="s">
        <v>2151</v>
      </c>
      <c r="D969" s="2">
        <v>46058.64417824074</v>
      </c>
      <c r="E969" s="1" t="s">
        <v>2912</v>
      </c>
      <c r="F969" s="1" t="b">
        <v>1</v>
      </c>
    </row>
    <row r="970">
      <c r="A970" s="1" t="s">
        <v>1413</v>
      </c>
      <c r="B970" s="1" t="s">
        <v>2042</v>
      </c>
      <c r="C970" s="1" t="s">
        <v>1416</v>
      </c>
      <c r="D970" s="2">
        <v>46058.64665509259</v>
      </c>
      <c r="E970" s="1" t="s">
        <v>2913</v>
      </c>
      <c r="F970" s="1" t="b">
        <v>0</v>
      </c>
    </row>
    <row r="971">
      <c r="A971" s="1" t="s">
        <v>1413</v>
      </c>
      <c r="B971" s="1" t="s">
        <v>2046</v>
      </c>
      <c r="C971" s="1">
        <v>607950.0</v>
      </c>
      <c r="D971" s="2">
        <v>46058.64741898148</v>
      </c>
      <c r="E971" s="1" t="s">
        <v>2914</v>
      </c>
      <c r="F971" s="1" t="b">
        <v>0</v>
      </c>
    </row>
    <row r="972">
      <c r="A972" s="1" t="s">
        <v>1413</v>
      </c>
      <c r="B972" s="1" t="s">
        <v>2042</v>
      </c>
      <c r="C972" s="1" t="s">
        <v>1416</v>
      </c>
      <c r="D972" s="2">
        <v>46058.65210648148</v>
      </c>
      <c r="E972" s="1" t="s">
        <v>2915</v>
      </c>
      <c r="F972" s="1" t="b">
        <v>0</v>
      </c>
    </row>
    <row r="973">
      <c r="A973" s="1" t="s">
        <v>1413</v>
      </c>
      <c r="B973" s="1" t="s">
        <v>2046</v>
      </c>
      <c r="C973" s="1">
        <v>607950.0</v>
      </c>
      <c r="D973" s="2">
        <v>46058.673634259256</v>
      </c>
      <c r="E973" s="1" t="s">
        <v>2916</v>
      </c>
      <c r="F973" s="1" t="b">
        <v>0</v>
      </c>
    </row>
    <row r="974">
      <c r="A974" s="1" t="s">
        <v>1413</v>
      </c>
      <c r="B974" s="1" t="s">
        <v>2046</v>
      </c>
      <c r="C974" s="1">
        <v>607950.0</v>
      </c>
      <c r="D974" s="2">
        <v>46058.6790625</v>
      </c>
      <c r="E974" s="1" t="s">
        <v>2917</v>
      </c>
      <c r="F974" s="1" t="b">
        <v>0</v>
      </c>
    </row>
    <row r="975">
      <c r="A975" s="1" t="s">
        <v>1413</v>
      </c>
      <c r="B975" s="1" t="s">
        <v>2046</v>
      </c>
      <c r="C975" s="1">
        <v>607950.0</v>
      </c>
      <c r="D975" s="2">
        <v>46058.68047453704</v>
      </c>
      <c r="E975" s="1" t="s">
        <v>2918</v>
      </c>
      <c r="F975" s="1" t="b">
        <v>1</v>
      </c>
    </row>
    <row r="976">
      <c r="A976" s="1" t="s">
        <v>1413</v>
      </c>
      <c r="B976" s="1" t="s">
        <v>2150</v>
      </c>
      <c r="C976" s="1" t="s">
        <v>2151</v>
      </c>
      <c r="D976" s="2">
        <v>46058.68063657408</v>
      </c>
      <c r="E976" s="1" t="s">
        <v>2919</v>
      </c>
      <c r="F976" s="1" t="b">
        <v>1</v>
      </c>
    </row>
    <row r="977">
      <c r="A977" s="1" t="s">
        <v>1413</v>
      </c>
      <c r="B977" s="1" t="s">
        <v>2046</v>
      </c>
      <c r="C977" s="1">
        <v>607950.0</v>
      </c>
      <c r="D977" s="2">
        <v>46058.69181712963</v>
      </c>
      <c r="E977" s="1" t="s">
        <v>2108</v>
      </c>
      <c r="F977" s="1" t="b">
        <v>0</v>
      </c>
    </row>
    <row r="978">
      <c r="A978" s="1" t="s">
        <v>1648</v>
      </c>
      <c r="B978" s="1" t="s">
        <v>2042</v>
      </c>
      <c r="C978" s="1" t="s">
        <v>1649</v>
      </c>
      <c r="D978" s="2">
        <v>46055.60949074074</v>
      </c>
      <c r="E978" s="1" t="s">
        <v>2920</v>
      </c>
      <c r="F978" s="1" t="b">
        <v>0</v>
      </c>
    </row>
    <row r="979">
      <c r="A979" s="1" t="s">
        <v>1648</v>
      </c>
      <c r="B979" s="1" t="s">
        <v>2042</v>
      </c>
      <c r="C979" s="1" t="s">
        <v>1649</v>
      </c>
      <c r="D979" s="2">
        <v>46055.60971064815</v>
      </c>
      <c r="E979" s="1" t="s">
        <v>2921</v>
      </c>
      <c r="F979" s="1" t="b">
        <v>0</v>
      </c>
    </row>
    <row r="980">
      <c r="A980" s="1" t="s">
        <v>1648</v>
      </c>
      <c r="B980" s="1" t="s">
        <v>2046</v>
      </c>
      <c r="C980" s="1">
        <v>607950.0</v>
      </c>
      <c r="D980" s="2">
        <v>46055.60978009259</v>
      </c>
      <c r="E980" s="1" t="s">
        <v>2922</v>
      </c>
      <c r="F980" s="1" t="b">
        <v>0</v>
      </c>
    </row>
    <row r="981">
      <c r="A981" s="1" t="s">
        <v>1648</v>
      </c>
      <c r="B981" s="1" t="s">
        <v>2046</v>
      </c>
      <c r="C981" s="1">
        <v>607950.0</v>
      </c>
      <c r="D981" s="2">
        <v>46055.61056712963</v>
      </c>
      <c r="E981" s="1" t="s">
        <v>2923</v>
      </c>
      <c r="F981" s="1" t="b">
        <v>0</v>
      </c>
    </row>
    <row r="982">
      <c r="A982" s="1" t="s">
        <v>1648</v>
      </c>
      <c r="B982" s="1" t="s">
        <v>2042</v>
      </c>
      <c r="C982" s="1" t="s">
        <v>1649</v>
      </c>
      <c r="D982" s="2">
        <v>46055.61070601852</v>
      </c>
      <c r="E982" s="1" t="s">
        <v>2924</v>
      </c>
      <c r="F982" s="1" t="b">
        <v>0</v>
      </c>
    </row>
    <row r="983">
      <c r="A983" s="1" t="s">
        <v>1648</v>
      </c>
      <c r="B983" s="1" t="s">
        <v>2046</v>
      </c>
      <c r="C983" s="1">
        <v>607950.0</v>
      </c>
      <c r="D983" s="2">
        <v>46055.610914351855</v>
      </c>
      <c r="E983" s="1" t="s">
        <v>2925</v>
      </c>
      <c r="F983" s="1" t="b">
        <v>0</v>
      </c>
    </row>
    <row r="984">
      <c r="A984" s="1" t="s">
        <v>1648</v>
      </c>
      <c r="B984" s="1" t="s">
        <v>2046</v>
      </c>
      <c r="C984" s="1">
        <v>574085.0</v>
      </c>
      <c r="D984" s="2">
        <v>46055.61415509259</v>
      </c>
      <c r="E984" s="1" t="s">
        <v>2926</v>
      </c>
      <c r="F984" s="1" t="b">
        <v>0</v>
      </c>
    </row>
    <row r="985">
      <c r="A985" s="1" t="s">
        <v>1648</v>
      </c>
      <c r="B985" s="1" t="s">
        <v>2042</v>
      </c>
      <c r="C985" s="1" t="s">
        <v>1649</v>
      </c>
      <c r="D985" s="2">
        <v>46055.61645833333</v>
      </c>
      <c r="E985" s="1" t="s">
        <v>2927</v>
      </c>
      <c r="F985" s="1" t="b">
        <v>0</v>
      </c>
    </row>
    <row r="986">
      <c r="A986" s="1" t="s">
        <v>1648</v>
      </c>
      <c r="B986" s="1" t="s">
        <v>2042</v>
      </c>
      <c r="C986" s="1" t="s">
        <v>1649</v>
      </c>
      <c r="D986" s="2">
        <v>46055.61675925926</v>
      </c>
      <c r="E986" s="1" t="s">
        <v>2928</v>
      </c>
      <c r="F986" s="1" t="b">
        <v>0</v>
      </c>
    </row>
    <row r="987">
      <c r="A987" s="1" t="s">
        <v>1648</v>
      </c>
      <c r="B987" s="1" t="s">
        <v>2046</v>
      </c>
      <c r="C987" s="1">
        <v>574085.0</v>
      </c>
      <c r="D987" s="2">
        <v>46055.61748842592</v>
      </c>
      <c r="E987" s="1" t="s">
        <v>2929</v>
      </c>
      <c r="F987" s="1" t="b">
        <v>0</v>
      </c>
    </row>
    <row r="988">
      <c r="A988" s="1" t="s">
        <v>1648</v>
      </c>
      <c r="B988" s="1" t="s">
        <v>2046</v>
      </c>
      <c r="C988" s="1">
        <v>574085.0</v>
      </c>
      <c r="D988" s="2">
        <v>46055.61777777778</v>
      </c>
      <c r="E988" s="1" t="s">
        <v>2930</v>
      </c>
      <c r="F988" s="1" t="b">
        <v>1</v>
      </c>
    </row>
    <row r="989">
      <c r="A989" s="1" t="s">
        <v>1648</v>
      </c>
      <c r="B989" s="1" t="s">
        <v>2042</v>
      </c>
      <c r="C989" s="1" t="s">
        <v>1649</v>
      </c>
      <c r="D989" s="2">
        <v>46055.61803240741</v>
      </c>
      <c r="E989" s="1" t="s">
        <v>2334</v>
      </c>
      <c r="F989" s="1" t="b">
        <v>0</v>
      </c>
    </row>
    <row r="990">
      <c r="A990" s="1" t="s">
        <v>1648</v>
      </c>
      <c r="B990" s="1" t="s">
        <v>2046</v>
      </c>
      <c r="C990" s="1">
        <v>594863.0</v>
      </c>
      <c r="D990" s="2">
        <v>46055.624293981484</v>
      </c>
      <c r="E990" s="1" t="s">
        <v>2931</v>
      </c>
      <c r="F990" s="1" t="b">
        <v>1</v>
      </c>
    </row>
    <row r="991">
      <c r="A991" s="1" t="s">
        <v>1648</v>
      </c>
      <c r="B991" s="1" t="s">
        <v>2046</v>
      </c>
      <c r="C991" s="1">
        <v>526753.0</v>
      </c>
      <c r="D991" s="2">
        <v>46055.645474537036</v>
      </c>
      <c r="E991" s="1" t="s">
        <v>2932</v>
      </c>
      <c r="F991" s="1" t="b">
        <v>0</v>
      </c>
    </row>
    <row r="992">
      <c r="A992" s="1" t="s">
        <v>1648</v>
      </c>
      <c r="B992" s="1" t="s">
        <v>2042</v>
      </c>
      <c r="C992" s="1" t="s">
        <v>1649</v>
      </c>
      <c r="D992" s="2">
        <v>46058.56171296296</v>
      </c>
      <c r="E992" s="1" t="s">
        <v>2933</v>
      </c>
      <c r="F992" s="1" t="b">
        <v>0</v>
      </c>
    </row>
    <row r="993">
      <c r="A993" s="1" t="s">
        <v>1648</v>
      </c>
      <c r="B993" s="1" t="s">
        <v>2042</v>
      </c>
      <c r="C993" s="1" t="s">
        <v>1649</v>
      </c>
      <c r="D993" s="2">
        <v>46058.56181712963</v>
      </c>
      <c r="E993" s="1" t="s">
        <v>2934</v>
      </c>
      <c r="F993" s="1" t="b">
        <v>0</v>
      </c>
    </row>
    <row r="994">
      <c r="A994" s="1" t="s">
        <v>1648</v>
      </c>
      <c r="B994" s="1" t="s">
        <v>2042</v>
      </c>
      <c r="C994" s="1" t="s">
        <v>1649</v>
      </c>
      <c r="D994" s="2">
        <v>46058.56208333333</v>
      </c>
      <c r="E994" s="1" t="s">
        <v>2935</v>
      </c>
      <c r="F994" s="1" t="b">
        <v>0</v>
      </c>
    </row>
    <row r="995">
      <c r="A995" s="1" t="s">
        <v>1648</v>
      </c>
      <c r="B995" s="1" t="s">
        <v>2042</v>
      </c>
      <c r="C995" s="1" t="s">
        <v>1649</v>
      </c>
      <c r="D995" s="2">
        <v>46058.56238425926</v>
      </c>
      <c r="E995" s="1" t="s">
        <v>2936</v>
      </c>
      <c r="F995" s="1" t="b">
        <v>0</v>
      </c>
    </row>
    <row r="996">
      <c r="A996" s="1" t="s">
        <v>1648</v>
      </c>
      <c r="B996" s="1" t="s">
        <v>2046</v>
      </c>
      <c r="C996" s="1">
        <v>607950.0</v>
      </c>
      <c r="D996" s="2">
        <v>46058.56590277778</v>
      </c>
      <c r="E996" s="1" t="s">
        <v>2937</v>
      </c>
      <c r="F996" s="1" t="b">
        <v>0</v>
      </c>
    </row>
    <row r="997">
      <c r="A997" s="1" t="s">
        <v>1648</v>
      </c>
      <c r="B997" s="1" t="s">
        <v>2042</v>
      </c>
      <c r="C997" s="1" t="s">
        <v>1649</v>
      </c>
      <c r="D997" s="2">
        <v>46058.57197916666</v>
      </c>
      <c r="E997" s="1" t="s">
        <v>2083</v>
      </c>
      <c r="F997" s="1" t="b">
        <v>0</v>
      </c>
    </row>
    <row r="998">
      <c r="A998" s="1" t="s">
        <v>1648</v>
      </c>
      <c r="B998" s="1" t="s">
        <v>2046</v>
      </c>
      <c r="C998" s="1">
        <v>574085.0</v>
      </c>
      <c r="D998" s="2">
        <v>46058.57408564815</v>
      </c>
      <c r="E998" s="1" t="s">
        <v>2938</v>
      </c>
      <c r="F998" s="1" t="b">
        <v>1</v>
      </c>
    </row>
    <row r="999">
      <c r="A999" s="1" t="s">
        <v>1648</v>
      </c>
      <c r="B999" s="1" t="s">
        <v>2046</v>
      </c>
      <c r="C999" s="1">
        <v>607950.0</v>
      </c>
      <c r="D999" s="2">
        <v>46058.57497685185</v>
      </c>
      <c r="E999" s="1" t="s">
        <v>2939</v>
      </c>
      <c r="F999" s="1" t="b">
        <v>0</v>
      </c>
    </row>
    <row r="1000">
      <c r="A1000" s="1" t="s">
        <v>1648</v>
      </c>
      <c r="B1000" s="1" t="s">
        <v>2046</v>
      </c>
      <c r="C1000" s="1">
        <v>607950.0</v>
      </c>
      <c r="D1000" s="2">
        <v>46058.575208333335</v>
      </c>
      <c r="E1000" s="1" t="s">
        <v>2940</v>
      </c>
      <c r="F1000" s="1" t="b">
        <v>0</v>
      </c>
    </row>
    <row r="1001">
      <c r="A1001" s="1" t="s">
        <v>1648</v>
      </c>
      <c r="B1001" s="1" t="s">
        <v>2046</v>
      </c>
      <c r="C1001" s="1">
        <v>607950.0</v>
      </c>
      <c r="D1001" s="2">
        <v>46058.58015046296</v>
      </c>
      <c r="E1001" s="1" t="s">
        <v>2941</v>
      </c>
      <c r="F1001" s="1" t="b">
        <v>0</v>
      </c>
    </row>
    <row r="1002">
      <c r="A1002" s="1" t="s">
        <v>1648</v>
      </c>
      <c r="B1002" s="1" t="s">
        <v>2046</v>
      </c>
      <c r="C1002" s="1">
        <v>574085.0</v>
      </c>
      <c r="D1002" s="2">
        <v>46059.42521990741</v>
      </c>
      <c r="E1002" s="1" t="s">
        <v>2108</v>
      </c>
      <c r="F1002" s="1" t="b">
        <v>0</v>
      </c>
    </row>
    <row r="1003">
      <c r="A1003" s="1" t="s">
        <v>1655</v>
      </c>
      <c r="B1003" s="1" t="s">
        <v>2042</v>
      </c>
      <c r="C1003" s="1" t="s">
        <v>731</v>
      </c>
      <c r="D1003" s="2">
        <v>46055.59638888889</v>
      </c>
      <c r="E1003" s="1" t="s">
        <v>2942</v>
      </c>
      <c r="F1003" s="1" t="b">
        <v>0</v>
      </c>
    </row>
    <row r="1004">
      <c r="A1004" s="1" t="s">
        <v>1655</v>
      </c>
      <c r="B1004" s="1" t="s">
        <v>2042</v>
      </c>
      <c r="C1004" s="1" t="s">
        <v>731</v>
      </c>
      <c r="D1004" s="2">
        <v>46055.596724537034</v>
      </c>
      <c r="E1004" s="1" t="s">
        <v>2943</v>
      </c>
      <c r="F1004" s="1" t="b">
        <v>0</v>
      </c>
    </row>
    <row r="1005">
      <c r="A1005" s="1" t="s">
        <v>1655</v>
      </c>
      <c r="B1005" s="1" t="s">
        <v>2042</v>
      </c>
      <c r="C1005" s="1" t="s">
        <v>731</v>
      </c>
      <c r="D1005" s="2">
        <v>46055.59700231482</v>
      </c>
      <c r="E1005" s="1" t="s">
        <v>2944</v>
      </c>
      <c r="F1005" s="1" t="b">
        <v>0</v>
      </c>
    </row>
    <row r="1006">
      <c r="A1006" s="1" t="s">
        <v>1651</v>
      </c>
      <c r="B1006" s="1" t="s">
        <v>2042</v>
      </c>
      <c r="C1006" s="1" t="s">
        <v>1653</v>
      </c>
      <c r="D1006" s="2">
        <v>46055.60122685185</v>
      </c>
      <c r="F1006" s="1" t="b">
        <v>0</v>
      </c>
    </row>
    <row r="1007">
      <c r="A1007" s="1" t="s">
        <v>1651</v>
      </c>
      <c r="B1007" s="1" t="s">
        <v>2042</v>
      </c>
      <c r="C1007" s="1" t="s">
        <v>1653</v>
      </c>
      <c r="D1007" s="2">
        <v>46055.60123842592</v>
      </c>
      <c r="E1007" s="1" t="s">
        <v>2945</v>
      </c>
      <c r="F1007" s="1" t="b">
        <v>0</v>
      </c>
    </row>
    <row r="1008">
      <c r="A1008" s="1" t="s">
        <v>1651</v>
      </c>
      <c r="B1008" s="1" t="s">
        <v>2046</v>
      </c>
      <c r="C1008" s="1">
        <v>607950.0</v>
      </c>
      <c r="D1008" s="2">
        <v>46055.60184027778</v>
      </c>
      <c r="E1008" s="1" t="s">
        <v>2946</v>
      </c>
      <c r="F1008" s="1" t="b">
        <v>0</v>
      </c>
    </row>
    <row r="1009">
      <c r="A1009" s="1" t="s">
        <v>1651</v>
      </c>
      <c r="B1009" s="1" t="s">
        <v>2046</v>
      </c>
      <c r="C1009" s="1">
        <v>574085.0</v>
      </c>
      <c r="D1009" s="2">
        <v>46055.606041666666</v>
      </c>
      <c r="E1009" s="1" t="s">
        <v>2947</v>
      </c>
      <c r="F1009" s="1" t="b">
        <v>1</v>
      </c>
    </row>
    <row r="1010">
      <c r="A1010" s="1" t="s">
        <v>1651</v>
      </c>
      <c r="B1010" s="1" t="s">
        <v>2046</v>
      </c>
      <c r="C1010" s="1">
        <v>607950.0</v>
      </c>
      <c r="D1010" s="2">
        <v>46055.607094907406</v>
      </c>
      <c r="E1010" s="1" t="s">
        <v>2948</v>
      </c>
      <c r="F1010" s="1" t="b">
        <v>0</v>
      </c>
    </row>
    <row r="1011">
      <c r="A1011" s="1" t="s">
        <v>1651</v>
      </c>
      <c r="B1011" s="1" t="s">
        <v>2046</v>
      </c>
      <c r="C1011" s="1">
        <v>607950.0</v>
      </c>
      <c r="D1011" s="2">
        <v>46055.62946759259</v>
      </c>
      <c r="E1011" s="1" t="s">
        <v>2739</v>
      </c>
      <c r="F1011" s="1" t="b">
        <v>0</v>
      </c>
    </row>
    <row r="1012">
      <c r="A1012" s="1" t="s">
        <v>1651</v>
      </c>
      <c r="B1012" s="1" t="s">
        <v>2046</v>
      </c>
      <c r="C1012" s="1">
        <v>607950.0</v>
      </c>
      <c r="D1012" s="2">
        <v>46056.69181712963</v>
      </c>
      <c r="E1012" s="1" t="s">
        <v>2108</v>
      </c>
      <c r="F1012" s="1" t="b">
        <v>0</v>
      </c>
    </row>
    <row r="1013">
      <c r="A1013" s="1" t="s">
        <v>1032</v>
      </c>
      <c r="B1013" s="1" t="s">
        <v>2042</v>
      </c>
      <c r="C1013" s="1" t="s">
        <v>537</v>
      </c>
      <c r="D1013" s="2">
        <v>46063.486493055556</v>
      </c>
      <c r="E1013" s="1" t="s">
        <v>2073</v>
      </c>
      <c r="F1013" s="1" t="b">
        <v>0</v>
      </c>
    </row>
    <row r="1014">
      <c r="A1014" s="1" t="s">
        <v>1032</v>
      </c>
      <c r="B1014" s="1" t="s">
        <v>2042</v>
      </c>
      <c r="C1014" s="1" t="s">
        <v>537</v>
      </c>
      <c r="D1014" s="2">
        <v>46063.48677083333</v>
      </c>
      <c r="E1014" s="1" t="s">
        <v>2949</v>
      </c>
      <c r="F1014" s="1" t="b">
        <v>0</v>
      </c>
    </row>
    <row r="1015">
      <c r="A1015" s="1" t="s">
        <v>1032</v>
      </c>
      <c r="B1015" s="1" t="s">
        <v>2042</v>
      </c>
      <c r="C1015" s="1" t="s">
        <v>537</v>
      </c>
      <c r="D1015" s="2">
        <v>46063.48730324074</v>
      </c>
      <c r="E1015" s="1" t="s">
        <v>2950</v>
      </c>
      <c r="F1015" s="1" t="b">
        <v>0</v>
      </c>
    </row>
    <row r="1016">
      <c r="A1016" s="1" t="s">
        <v>1032</v>
      </c>
      <c r="B1016" s="1" t="s">
        <v>2046</v>
      </c>
      <c r="C1016" s="1">
        <v>607950.0</v>
      </c>
      <c r="D1016" s="2">
        <v>46063.48947916667</v>
      </c>
      <c r="E1016" s="1" t="s">
        <v>2752</v>
      </c>
      <c r="F1016" s="1" t="b">
        <v>0</v>
      </c>
    </row>
    <row r="1017">
      <c r="A1017" s="1" t="s">
        <v>1032</v>
      </c>
      <c r="B1017" s="1" t="s">
        <v>2046</v>
      </c>
      <c r="C1017" s="1">
        <v>607950.0</v>
      </c>
      <c r="D1017" s="2">
        <v>46063.490648148145</v>
      </c>
      <c r="E1017" s="1" t="s">
        <v>2951</v>
      </c>
      <c r="F1017" s="1" t="b">
        <v>0</v>
      </c>
    </row>
    <row r="1018">
      <c r="A1018" s="1" t="s">
        <v>1032</v>
      </c>
      <c r="B1018" s="1" t="s">
        <v>2046</v>
      </c>
      <c r="C1018" s="1">
        <v>574085.0</v>
      </c>
      <c r="D1018" s="2">
        <v>46063.49261574074</v>
      </c>
      <c r="E1018" s="1" t="s">
        <v>2952</v>
      </c>
      <c r="F1018" s="1" t="b">
        <v>1</v>
      </c>
    </row>
    <row r="1019">
      <c r="A1019" s="1" t="s">
        <v>1032</v>
      </c>
      <c r="B1019" s="1" t="s">
        <v>2042</v>
      </c>
      <c r="C1019" s="1" t="s">
        <v>537</v>
      </c>
      <c r="D1019" s="2">
        <v>46063.492800925924</v>
      </c>
      <c r="E1019" s="1" t="s">
        <v>2953</v>
      </c>
      <c r="F1019" s="1" t="b">
        <v>0</v>
      </c>
    </row>
    <row r="1020">
      <c r="A1020" s="1" t="s">
        <v>1032</v>
      </c>
      <c r="B1020" s="1" t="s">
        <v>2046</v>
      </c>
      <c r="C1020" s="1">
        <v>574085.0</v>
      </c>
      <c r="D1020" s="2">
        <v>46063.49282407408</v>
      </c>
      <c r="E1020" s="1" t="s">
        <v>2954</v>
      </c>
      <c r="F1020" s="1" t="b">
        <v>1</v>
      </c>
    </row>
    <row r="1021">
      <c r="A1021" s="1" t="s">
        <v>1032</v>
      </c>
      <c r="B1021" s="1" t="s">
        <v>2150</v>
      </c>
      <c r="C1021" s="1" t="s">
        <v>2151</v>
      </c>
      <c r="D1021" s="2">
        <v>46063.492951388886</v>
      </c>
      <c r="E1021" s="1" t="s">
        <v>2955</v>
      </c>
      <c r="F1021" s="1" t="b">
        <v>1</v>
      </c>
    </row>
    <row r="1022">
      <c r="A1022" s="1" t="s">
        <v>1032</v>
      </c>
      <c r="B1022" s="1" t="s">
        <v>2046</v>
      </c>
      <c r="C1022" s="1">
        <v>574085.0</v>
      </c>
      <c r="D1022" s="2">
        <v>46063.49333333333</v>
      </c>
      <c r="E1022" s="1" t="s">
        <v>2956</v>
      </c>
      <c r="F1022" s="1" t="b">
        <v>1</v>
      </c>
    </row>
    <row r="1023">
      <c r="A1023" s="1" t="s">
        <v>1032</v>
      </c>
      <c r="B1023" s="1" t="s">
        <v>2046</v>
      </c>
      <c r="C1023" s="1">
        <v>607950.0</v>
      </c>
      <c r="D1023" s="2">
        <v>46063.49359953704</v>
      </c>
      <c r="E1023" s="1" t="s">
        <v>2957</v>
      </c>
      <c r="F1023" s="1" t="b">
        <v>0</v>
      </c>
    </row>
    <row r="1024">
      <c r="A1024" s="1" t="s">
        <v>1032</v>
      </c>
      <c r="B1024" s="1" t="s">
        <v>2046</v>
      </c>
      <c r="C1024" s="1">
        <v>607950.0</v>
      </c>
      <c r="D1024" s="2">
        <v>46063.493680555555</v>
      </c>
      <c r="E1024" s="1" t="s">
        <v>2958</v>
      </c>
      <c r="F1024" s="1" t="b">
        <v>0</v>
      </c>
    </row>
    <row r="1025">
      <c r="A1025" s="1" t="s">
        <v>1032</v>
      </c>
      <c r="B1025" s="1" t="s">
        <v>2042</v>
      </c>
      <c r="C1025" s="1" t="s">
        <v>537</v>
      </c>
      <c r="D1025" s="2">
        <v>46063.49601851852</v>
      </c>
      <c r="E1025" s="1" t="s">
        <v>2959</v>
      </c>
      <c r="F1025" s="1" t="b">
        <v>0</v>
      </c>
    </row>
    <row r="1026">
      <c r="A1026" s="1" t="s">
        <v>1032</v>
      </c>
      <c r="B1026" s="1" t="s">
        <v>2046</v>
      </c>
      <c r="C1026" s="1">
        <v>607950.0</v>
      </c>
      <c r="D1026" s="2">
        <v>46063.496979166666</v>
      </c>
      <c r="E1026" s="1" t="s">
        <v>2108</v>
      </c>
      <c r="F1026" s="1" t="b">
        <v>0</v>
      </c>
    </row>
    <row r="1027">
      <c r="A1027" s="1" t="s">
        <v>1643</v>
      </c>
      <c r="B1027" s="1" t="s">
        <v>2042</v>
      </c>
      <c r="C1027" s="1" t="s">
        <v>1646</v>
      </c>
      <c r="D1027" s="2">
        <v>46055.60986111111</v>
      </c>
      <c r="E1027" s="1" t="s">
        <v>2960</v>
      </c>
      <c r="F1027" s="1" t="b">
        <v>0</v>
      </c>
    </row>
    <row r="1028">
      <c r="A1028" s="1" t="s">
        <v>1643</v>
      </c>
      <c r="B1028" s="1" t="s">
        <v>2042</v>
      </c>
      <c r="C1028" s="1" t="s">
        <v>1646</v>
      </c>
      <c r="D1028" s="2">
        <v>46055.61230324074</v>
      </c>
      <c r="E1028" s="1" t="s">
        <v>2961</v>
      </c>
      <c r="F1028" s="1" t="b">
        <v>0</v>
      </c>
    </row>
    <row r="1029">
      <c r="A1029" s="1" t="s">
        <v>1643</v>
      </c>
      <c r="B1029" s="1" t="s">
        <v>2042</v>
      </c>
      <c r="C1029" s="1" t="s">
        <v>1646</v>
      </c>
      <c r="D1029" s="2">
        <v>46055.612546296295</v>
      </c>
      <c r="E1029" s="1" t="s">
        <v>2962</v>
      </c>
      <c r="F1029" s="1" t="b">
        <v>0</v>
      </c>
    </row>
    <row r="1030">
      <c r="A1030" s="1" t="s">
        <v>1639</v>
      </c>
      <c r="B1030" s="1" t="s">
        <v>2042</v>
      </c>
      <c r="C1030" s="1" t="s">
        <v>1641</v>
      </c>
      <c r="D1030" s="2">
        <v>46055.62652777778</v>
      </c>
      <c r="E1030" s="1" t="s">
        <v>2963</v>
      </c>
      <c r="F1030" s="1" t="b">
        <v>0</v>
      </c>
    </row>
    <row r="1031">
      <c r="A1031" s="1" t="s">
        <v>1632</v>
      </c>
      <c r="B1031" s="1" t="s">
        <v>2042</v>
      </c>
      <c r="C1031" s="1" t="s">
        <v>1636</v>
      </c>
      <c r="D1031" s="2">
        <v>46055.64444444444</v>
      </c>
      <c r="E1031" s="1" t="s">
        <v>2964</v>
      </c>
      <c r="F1031" s="1" t="b">
        <v>0</v>
      </c>
    </row>
    <row r="1032">
      <c r="A1032" s="1" t="s">
        <v>1632</v>
      </c>
      <c r="B1032" s="1" t="s">
        <v>2046</v>
      </c>
      <c r="C1032" s="1">
        <v>607950.0</v>
      </c>
      <c r="D1032" s="2">
        <v>46055.64491898148</v>
      </c>
      <c r="E1032" s="1" t="s">
        <v>2752</v>
      </c>
      <c r="F1032" s="1" t="b">
        <v>0</v>
      </c>
    </row>
    <row r="1033">
      <c r="A1033" s="1" t="s">
        <v>1632</v>
      </c>
      <c r="B1033" s="1" t="s">
        <v>2046</v>
      </c>
      <c r="C1033" s="1">
        <v>607950.0</v>
      </c>
      <c r="D1033" s="2">
        <v>46055.64564814815</v>
      </c>
      <c r="E1033" s="1" t="s">
        <v>2965</v>
      </c>
      <c r="F1033" s="1" t="b">
        <v>0</v>
      </c>
    </row>
    <row r="1034">
      <c r="A1034" s="1" t="s">
        <v>1632</v>
      </c>
      <c r="B1034" s="1" t="s">
        <v>2042</v>
      </c>
      <c r="C1034" s="1" t="s">
        <v>1636</v>
      </c>
      <c r="D1034" s="2">
        <v>46055.64612268518</v>
      </c>
      <c r="E1034" s="1" t="s">
        <v>2966</v>
      </c>
      <c r="F1034" s="1" t="b">
        <v>0</v>
      </c>
    </row>
    <row r="1035">
      <c r="A1035" s="1" t="s">
        <v>1632</v>
      </c>
      <c r="B1035" s="1" t="s">
        <v>2046</v>
      </c>
      <c r="C1035" s="1">
        <v>607950.0</v>
      </c>
      <c r="D1035" s="2">
        <v>46055.646458333336</v>
      </c>
      <c r="E1035" s="1" t="s">
        <v>2967</v>
      </c>
      <c r="F1035" s="1" t="b">
        <v>0</v>
      </c>
    </row>
    <row r="1036">
      <c r="A1036" s="1" t="s">
        <v>1632</v>
      </c>
      <c r="B1036" s="1" t="s">
        <v>2042</v>
      </c>
      <c r="C1036" s="1" t="s">
        <v>1636</v>
      </c>
      <c r="D1036" s="2">
        <v>46055.64664351852</v>
      </c>
      <c r="E1036" s="1" t="s">
        <v>2968</v>
      </c>
      <c r="F1036" s="1" t="b">
        <v>0</v>
      </c>
    </row>
    <row r="1037">
      <c r="A1037" s="1" t="s">
        <v>1632</v>
      </c>
      <c r="B1037" s="1" t="s">
        <v>2046</v>
      </c>
      <c r="C1037" s="1">
        <v>574085.0</v>
      </c>
      <c r="D1037" s="2">
        <v>46055.64822916667</v>
      </c>
      <c r="E1037" s="1" t="s">
        <v>2969</v>
      </c>
      <c r="F1037" s="1" t="b">
        <v>1</v>
      </c>
    </row>
    <row r="1038">
      <c r="A1038" s="1" t="s">
        <v>1632</v>
      </c>
      <c r="B1038" s="1" t="s">
        <v>2046</v>
      </c>
      <c r="C1038" s="1">
        <v>607950.0</v>
      </c>
      <c r="D1038" s="2">
        <v>46055.64844907408</v>
      </c>
      <c r="E1038" s="1" t="s">
        <v>2970</v>
      </c>
      <c r="F1038" s="1" t="b">
        <v>1</v>
      </c>
    </row>
    <row r="1039">
      <c r="A1039" s="1" t="s">
        <v>1632</v>
      </c>
      <c r="B1039" s="1" t="s">
        <v>2046</v>
      </c>
      <c r="C1039" s="1">
        <v>607950.0</v>
      </c>
      <c r="D1039" s="2">
        <v>46055.64855324074</v>
      </c>
      <c r="E1039" s="1" t="s">
        <v>2971</v>
      </c>
      <c r="F1039" s="1" t="b">
        <v>1</v>
      </c>
    </row>
    <row r="1040">
      <c r="A1040" s="1" t="s">
        <v>1632</v>
      </c>
      <c r="B1040" s="1" t="s">
        <v>2046</v>
      </c>
      <c r="C1040" s="1">
        <v>574085.0</v>
      </c>
      <c r="D1040" s="2">
        <v>46055.64913194445</v>
      </c>
      <c r="E1040" s="1" t="s">
        <v>2972</v>
      </c>
      <c r="F1040" s="1" t="b">
        <v>1</v>
      </c>
    </row>
    <row r="1041">
      <c r="A1041" s="1" t="s">
        <v>1632</v>
      </c>
      <c r="B1041" s="1" t="s">
        <v>2046</v>
      </c>
      <c r="C1041" s="1">
        <v>574085.0</v>
      </c>
      <c r="D1041" s="2">
        <v>46055.64928240741</v>
      </c>
      <c r="E1041" s="1" t="s">
        <v>2973</v>
      </c>
      <c r="F1041" s="1" t="b">
        <v>1</v>
      </c>
    </row>
    <row r="1042">
      <c r="A1042" s="1" t="s">
        <v>1632</v>
      </c>
      <c r="B1042" s="1" t="s">
        <v>2046</v>
      </c>
      <c r="C1042" s="1">
        <v>607950.0</v>
      </c>
      <c r="D1042" s="2">
        <v>46055.65012731482</v>
      </c>
      <c r="E1042" s="1" t="s">
        <v>2974</v>
      </c>
      <c r="F1042" s="1" t="b">
        <v>0</v>
      </c>
    </row>
    <row r="1043">
      <c r="A1043" s="1" t="s">
        <v>1632</v>
      </c>
      <c r="B1043" s="1" t="s">
        <v>2046</v>
      </c>
      <c r="C1043" s="1">
        <v>607950.0</v>
      </c>
      <c r="D1043" s="2">
        <v>46055.6503125</v>
      </c>
      <c r="E1043" s="1" t="s">
        <v>2975</v>
      </c>
      <c r="F1043" s="1" t="b">
        <v>1</v>
      </c>
    </row>
    <row r="1044">
      <c r="A1044" s="1" t="s">
        <v>1632</v>
      </c>
      <c r="B1044" s="1" t="s">
        <v>2042</v>
      </c>
      <c r="C1044" s="1" t="s">
        <v>1636</v>
      </c>
      <c r="D1044" s="2">
        <v>46055.650509259256</v>
      </c>
      <c r="E1044" s="1" t="s">
        <v>2976</v>
      </c>
      <c r="F1044" s="1" t="b">
        <v>0</v>
      </c>
    </row>
    <row r="1045">
      <c r="A1045" s="1" t="s">
        <v>1632</v>
      </c>
      <c r="B1045" s="1" t="s">
        <v>2046</v>
      </c>
      <c r="C1045" s="1">
        <v>607950.0</v>
      </c>
      <c r="D1045" s="2">
        <v>46055.651504629626</v>
      </c>
      <c r="E1045" s="1" t="s">
        <v>2977</v>
      </c>
      <c r="F1045" s="1" t="b">
        <v>1</v>
      </c>
    </row>
    <row r="1046">
      <c r="A1046" s="1" t="s">
        <v>1632</v>
      </c>
      <c r="B1046" s="1" t="s">
        <v>2046</v>
      </c>
      <c r="C1046" s="1">
        <v>607950.0</v>
      </c>
      <c r="D1046" s="2">
        <v>46055.653333333335</v>
      </c>
      <c r="E1046" s="1" t="s">
        <v>2978</v>
      </c>
      <c r="F1046" s="1" t="b">
        <v>1</v>
      </c>
    </row>
    <row r="1047">
      <c r="A1047" s="1" t="s">
        <v>1632</v>
      </c>
      <c r="B1047" s="1" t="s">
        <v>2150</v>
      </c>
      <c r="C1047" s="1" t="s">
        <v>2151</v>
      </c>
      <c r="D1047" s="2">
        <v>46055.653449074074</v>
      </c>
      <c r="E1047" s="1" t="s">
        <v>2979</v>
      </c>
      <c r="F1047" s="1" t="b">
        <v>1</v>
      </c>
    </row>
    <row r="1048">
      <c r="A1048" s="1" t="s">
        <v>1632</v>
      </c>
      <c r="B1048" s="1" t="s">
        <v>2046</v>
      </c>
      <c r="C1048" s="1">
        <v>607950.0</v>
      </c>
      <c r="D1048" s="2">
        <v>46055.654375</v>
      </c>
      <c r="E1048" s="1" t="s">
        <v>2980</v>
      </c>
      <c r="F1048" s="1" t="b">
        <v>0</v>
      </c>
    </row>
    <row r="1049">
      <c r="A1049" s="1" t="s">
        <v>1632</v>
      </c>
      <c r="B1049" s="1" t="s">
        <v>2046</v>
      </c>
      <c r="C1049" s="1">
        <v>607950.0</v>
      </c>
      <c r="D1049" s="2">
        <v>46055.66442129629</v>
      </c>
      <c r="E1049" s="1" t="s">
        <v>2981</v>
      </c>
      <c r="F1049" s="1" t="b">
        <v>0</v>
      </c>
    </row>
    <row r="1050">
      <c r="A1050" s="1" t="s">
        <v>1632</v>
      </c>
      <c r="B1050" s="1" t="s">
        <v>2042</v>
      </c>
      <c r="C1050" s="1" t="s">
        <v>1636</v>
      </c>
      <c r="D1050" s="2">
        <v>46055.66540509259</v>
      </c>
      <c r="E1050" s="1" t="s">
        <v>2982</v>
      </c>
      <c r="F1050" s="1" t="b">
        <v>0</v>
      </c>
    </row>
    <row r="1051">
      <c r="A1051" s="1" t="s">
        <v>1632</v>
      </c>
      <c r="B1051" s="1" t="s">
        <v>2046</v>
      </c>
      <c r="C1051" s="1">
        <v>607950.0</v>
      </c>
      <c r="D1051" s="2">
        <v>46055.665659722225</v>
      </c>
      <c r="E1051" s="1" t="s">
        <v>2108</v>
      </c>
      <c r="F1051" s="1" t="b">
        <v>0</v>
      </c>
    </row>
    <row r="1052">
      <c r="A1052" s="1" t="s">
        <v>1627</v>
      </c>
      <c r="B1052" s="1" t="s">
        <v>2042</v>
      </c>
      <c r="C1052" s="1" t="s">
        <v>1629</v>
      </c>
      <c r="D1052" s="2">
        <v>46055.65644675926</v>
      </c>
      <c r="E1052" s="1" t="s">
        <v>2983</v>
      </c>
      <c r="F1052" s="1" t="b">
        <v>0</v>
      </c>
    </row>
    <row r="1053">
      <c r="A1053" s="1" t="s">
        <v>1627</v>
      </c>
      <c r="B1053" s="1" t="s">
        <v>2046</v>
      </c>
      <c r="C1053" s="1">
        <v>607950.0</v>
      </c>
      <c r="D1053" s="2">
        <v>46055.6621875</v>
      </c>
      <c r="E1053" s="1" t="s">
        <v>2752</v>
      </c>
      <c r="F1053" s="1" t="b">
        <v>0</v>
      </c>
    </row>
    <row r="1054">
      <c r="A1054" s="1" t="s">
        <v>1627</v>
      </c>
      <c r="B1054" s="1" t="s">
        <v>2046</v>
      </c>
      <c r="C1054" s="1">
        <v>607950.0</v>
      </c>
      <c r="D1054" s="2">
        <v>46055.662569444445</v>
      </c>
      <c r="E1054" s="1" t="s">
        <v>2984</v>
      </c>
      <c r="F1054" s="1" t="b">
        <v>1</v>
      </c>
    </row>
    <row r="1055">
      <c r="A1055" s="1" t="s">
        <v>1627</v>
      </c>
      <c r="B1055" s="1" t="s">
        <v>2046</v>
      </c>
      <c r="C1055" s="1">
        <v>594863.0</v>
      </c>
      <c r="D1055" s="2">
        <v>46055.66650462963</v>
      </c>
      <c r="E1055" s="1" t="s">
        <v>2049</v>
      </c>
      <c r="F1055" s="1" t="b">
        <v>1</v>
      </c>
    </row>
    <row r="1056">
      <c r="A1056" s="1" t="s">
        <v>1627</v>
      </c>
      <c r="B1056" s="1" t="s">
        <v>2046</v>
      </c>
      <c r="C1056" s="1">
        <v>594863.0</v>
      </c>
      <c r="D1056" s="2">
        <v>46055.66853009259</v>
      </c>
      <c r="E1056" s="1" t="s">
        <v>2985</v>
      </c>
      <c r="F1056" s="1" t="b">
        <v>0</v>
      </c>
    </row>
    <row r="1057">
      <c r="A1057" s="1" t="s">
        <v>1627</v>
      </c>
      <c r="B1057" s="1" t="s">
        <v>2046</v>
      </c>
      <c r="C1057" s="1">
        <v>594863.0</v>
      </c>
      <c r="D1057" s="2">
        <v>46055.67443287037</v>
      </c>
      <c r="E1057" s="1" t="s">
        <v>2986</v>
      </c>
      <c r="F1057" s="1" t="b">
        <v>0</v>
      </c>
    </row>
    <row r="1058">
      <c r="A1058" s="1" t="s">
        <v>1627</v>
      </c>
      <c r="B1058" s="1" t="s">
        <v>2042</v>
      </c>
      <c r="C1058" s="1" t="s">
        <v>1629</v>
      </c>
      <c r="D1058" s="2">
        <v>46055.71061342592</v>
      </c>
      <c r="F1058" s="1" t="b">
        <v>0</v>
      </c>
    </row>
    <row r="1059">
      <c r="A1059" s="1" t="s">
        <v>1627</v>
      </c>
      <c r="B1059" s="1" t="s">
        <v>2042</v>
      </c>
      <c r="C1059" s="1" t="s">
        <v>1629</v>
      </c>
      <c r="D1059" s="2">
        <v>46055.710960648146</v>
      </c>
      <c r="E1059" s="1" t="s">
        <v>2987</v>
      </c>
      <c r="F1059" s="1" t="b">
        <v>0</v>
      </c>
    </row>
    <row r="1060">
      <c r="A1060" s="1" t="s">
        <v>1627</v>
      </c>
      <c r="B1060" s="1" t="s">
        <v>2046</v>
      </c>
      <c r="C1060" s="1">
        <v>594863.0</v>
      </c>
      <c r="D1060" s="2">
        <v>46055.71228009259</v>
      </c>
      <c r="E1060" s="1" t="s">
        <v>2988</v>
      </c>
      <c r="F1060" s="1" t="b">
        <v>0</v>
      </c>
    </row>
    <row r="1061">
      <c r="A1061" s="1" t="s">
        <v>1627</v>
      </c>
      <c r="B1061" s="1" t="s">
        <v>2042</v>
      </c>
      <c r="C1061" s="1" t="s">
        <v>1629</v>
      </c>
      <c r="D1061" s="2">
        <v>46055.71238425926</v>
      </c>
      <c r="E1061" s="1" t="s">
        <v>2560</v>
      </c>
      <c r="F1061" s="1" t="b">
        <v>0</v>
      </c>
    </row>
    <row r="1062">
      <c r="A1062" s="1" t="s">
        <v>1627</v>
      </c>
      <c r="B1062" s="1" t="s">
        <v>2046</v>
      </c>
      <c r="C1062" s="1">
        <v>594863.0</v>
      </c>
      <c r="D1062" s="2">
        <v>46055.714895833335</v>
      </c>
      <c r="E1062" s="1" t="s">
        <v>2989</v>
      </c>
      <c r="F1062" s="1" t="b">
        <v>1</v>
      </c>
    </row>
    <row r="1063">
      <c r="A1063" s="1" t="s">
        <v>1627</v>
      </c>
      <c r="B1063" s="1" t="s">
        <v>2046</v>
      </c>
      <c r="C1063" s="1">
        <v>594863.0</v>
      </c>
      <c r="D1063" s="2">
        <v>46058.42946759259</v>
      </c>
      <c r="E1063" s="1" t="s">
        <v>2990</v>
      </c>
      <c r="F1063" s="1" t="b">
        <v>1</v>
      </c>
    </row>
    <row r="1064">
      <c r="A1064" s="1" t="s">
        <v>1622</v>
      </c>
      <c r="B1064" s="1" t="s">
        <v>2042</v>
      </c>
      <c r="C1064" s="1" t="s">
        <v>1625</v>
      </c>
      <c r="D1064" s="2">
        <v>46055.65820601852</v>
      </c>
      <c r="E1064" s="1" t="s">
        <v>2991</v>
      </c>
      <c r="F1064" s="1" t="b">
        <v>0</v>
      </c>
    </row>
    <row r="1065">
      <c r="A1065" s="1" t="s">
        <v>1622</v>
      </c>
      <c r="B1065" s="1" t="s">
        <v>2042</v>
      </c>
      <c r="C1065" s="1" t="s">
        <v>1625</v>
      </c>
      <c r="D1065" s="2">
        <v>46055.65944444444</v>
      </c>
      <c r="E1065" s="1" t="s">
        <v>2992</v>
      </c>
      <c r="F1065" s="1" t="b">
        <v>0</v>
      </c>
    </row>
    <row r="1066">
      <c r="A1066" s="1" t="s">
        <v>1622</v>
      </c>
      <c r="B1066" s="1" t="s">
        <v>2042</v>
      </c>
      <c r="C1066" s="1" t="s">
        <v>1625</v>
      </c>
      <c r="D1066" s="2">
        <v>46055.660150462965</v>
      </c>
      <c r="E1066" s="1" t="s">
        <v>2993</v>
      </c>
      <c r="F1066" s="1" t="b">
        <v>0</v>
      </c>
    </row>
    <row r="1067">
      <c r="A1067" s="1" t="s">
        <v>1622</v>
      </c>
      <c r="B1067" s="1" t="s">
        <v>2042</v>
      </c>
      <c r="C1067" s="1" t="s">
        <v>1625</v>
      </c>
      <c r="D1067" s="2">
        <v>46055.660405092596</v>
      </c>
      <c r="E1067" s="1" t="s">
        <v>2764</v>
      </c>
      <c r="F1067" s="1" t="b">
        <v>0</v>
      </c>
    </row>
    <row r="1068">
      <c r="A1068" s="1" t="s">
        <v>1622</v>
      </c>
      <c r="B1068" s="1" t="s">
        <v>2042</v>
      </c>
      <c r="C1068" s="1" t="s">
        <v>1625</v>
      </c>
      <c r="D1068" s="2">
        <v>46055.66055555556</v>
      </c>
      <c r="E1068" s="1" t="s">
        <v>2293</v>
      </c>
      <c r="F1068" s="1" t="b">
        <v>0</v>
      </c>
    </row>
    <row r="1069">
      <c r="A1069" s="1" t="s">
        <v>1622</v>
      </c>
      <c r="B1069" s="1" t="s">
        <v>2046</v>
      </c>
      <c r="C1069" s="1">
        <v>607950.0</v>
      </c>
      <c r="D1069" s="2">
        <v>46055.66181712963</v>
      </c>
      <c r="E1069" s="1" t="s">
        <v>2752</v>
      </c>
      <c r="F1069" s="1" t="b">
        <v>0</v>
      </c>
    </row>
    <row r="1070">
      <c r="A1070" s="1" t="s">
        <v>1622</v>
      </c>
      <c r="B1070" s="1" t="s">
        <v>2046</v>
      </c>
      <c r="C1070" s="1">
        <v>607950.0</v>
      </c>
      <c r="D1070" s="2">
        <v>46055.663877314815</v>
      </c>
      <c r="E1070" s="1" t="s">
        <v>2994</v>
      </c>
      <c r="F1070" s="1" t="b">
        <v>0</v>
      </c>
    </row>
    <row r="1071">
      <c r="A1071" s="1" t="s">
        <v>1622</v>
      </c>
      <c r="B1071" s="1" t="s">
        <v>2042</v>
      </c>
      <c r="C1071" s="1" t="s">
        <v>1625</v>
      </c>
      <c r="D1071" s="2">
        <v>46055.6659375</v>
      </c>
      <c r="E1071" s="1" t="s">
        <v>2995</v>
      </c>
      <c r="F1071" s="1" t="b">
        <v>0</v>
      </c>
    </row>
    <row r="1072">
      <c r="A1072" s="1" t="s">
        <v>1622</v>
      </c>
      <c r="B1072" s="1" t="s">
        <v>2042</v>
      </c>
      <c r="C1072" s="1" t="s">
        <v>1625</v>
      </c>
      <c r="D1072" s="2">
        <v>46055.66657407407</v>
      </c>
      <c r="E1072" s="1" t="s">
        <v>2996</v>
      </c>
      <c r="F1072" s="1" t="b">
        <v>0</v>
      </c>
    </row>
    <row r="1073">
      <c r="A1073" s="1" t="s">
        <v>1622</v>
      </c>
      <c r="B1073" s="1" t="s">
        <v>2046</v>
      </c>
      <c r="C1073" s="1">
        <v>607950.0</v>
      </c>
      <c r="D1073" s="2">
        <v>46055.66751157407</v>
      </c>
      <c r="E1073" s="1" t="s">
        <v>2997</v>
      </c>
      <c r="F1073" s="1" t="b">
        <v>1</v>
      </c>
    </row>
    <row r="1074">
      <c r="A1074" s="1" t="s">
        <v>1622</v>
      </c>
      <c r="B1074" s="1" t="s">
        <v>2046</v>
      </c>
      <c r="C1074" s="1">
        <v>607950.0</v>
      </c>
      <c r="D1074" s="2">
        <v>46055.667650462965</v>
      </c>
      <c r="E1074" s="1" t="s">
        <v>2998</v>
      </c>
      <c r="F1074" s="1" t="b">
        <v>1</v>
      </c>
    </row>
    <row r="1075">
      <c r="A1075" s="1" t="s">
        <v>1622</v>
      </c>
      <c r="B1075" s="1" t="s">
        <v>2046</v>
      </c>
      <c r="C1075" s="1">
        <v>574085.0</v>
      </c>
      <c r="D1075" s="2">
        <v>46055.668217592596</v>
      </c>
      <c r="E1075" s="1" t="s">
        <v>2999</v>
      </c>
      <c r="F1075" s="1" t="b">
        <v>1</v>
      </c>
    </row>
    <row r="1076">
      <c r="A1076" s="1" t="s">
        <v>1622</v>
      </c>
      <c r="B1076" s="1" t="s">
        <v>2046</v>
      </c>
      <c r="C1076" s="1">
        <v>607950.0</v>
      </c>
      <c r="D1076" s="2">
        <v>46055.66837962963</v>
      </c>
      <c r="E1076" s="1" t="s">
        <v>3000</v>
      </c>
      <c r="F1076" s="1" t="b">
        <v>1</v>
      </c>
    </row>
    <row r="1077">
      <c r="A1077" s="1" t="s">
        <v>1622</v>
      </c>
      <c r="B1077" s="1" t="s">
        <v>2046</v>
      </c>
      <c r="C1077" s="1">
        <v>607950.0</v>
      </c>
      <c r="D1077" s="2">
        <v>46055.668958333335</v>
      </c>
      <c r="E1077" s="1" t="s">
        <v>3001</v>
      </c>
      <c r="F1077" s="1" t="b">
        <v>0</v>
      </c>
    </row>
    <row r="1078">
      <c r="A1078" s="1" t="s">
        <v>1622</v>
      </c>
      <c r="B1078" s="1" t="s">
        <v>2046</v>
      </c>
      <c r="C1078" s="1">
        <v>574085.0</v>
      </c>
      <c r="D1078" s="2">
        <v>46055.67150462963</v>
      </c>
      <c r="E1078" s="1" t="s">
        <v>3002</v>
      </c>
      <c r="F1078" s="1" t="b">
        <v>1</v>
      </c>
    </row>
    <row r="1079">
      <c r="A1079" s="1" t="s">
        <v>1622</v>
      </c>
      <c r="B1079" s="1" t="s">
        <v>2042</v>
      </c>
      <c r="C1079" s="1" t="s">
        <v>1625</v>
      </c>
      <c r="D1079" s="2">
        <v>46055.697916666664</v>
      </c>
      <c r="E1079" s="1" t="s">
        <v>3003</v>
      </c>
      <c r="F1079" s="1" t="b">
        <v>0</v>
      </c>
    </row>
    <row r="1080">
      <c r="A1080" s="1" t="s">
        <v>1622</v>
      </c>
      <c r="B1080" s="1" t="s">
        <v>2046</v>
      </c>
      <c r="C1080" s="1">
        <v>574085.0</v>
      </c>
      <c r="D1080" s="2">
        <v>46055.70849537037</v>
      </c>
      <c r="E1080" s="1" t="s">
        <v>3004</v>
      </c>
      <c r="F1080" s="1" t="b">
        <v>0</v>
      </c>
    </row>
    <row r="1081">
      <c r="A1081" s="1" t="s">
        <v>1622</v>
      </c>
      <c r="B1081" s="1" t="s">
        <v>2042</v>
      </c>
      <c r="C1081" s="1" t="s">
        <v>1625</v>
      </c>
      <c r="D1081" s="2">
        <v>46055.71171296296</v>
      </c>
      <c r="E1081" s="1" t="s">
        <v>3005</v>
      </c>
      <c r="F1081" s="1" t="b">
        <v>0</v>
      </c>
    </row>
    <row r="1082">
      <c r="A1082" s="1" t="s">
        <v>1622</v>
      </c>
      <c r="B1082" s="1" t="s">
        <v>2046</v>
      </c>
      <c r="C1082" s="1">
        <v>574085.0</v>
      </c>
      <c r="D1082" s="2">
        <v>46055.73368055555</v>
      </c>
      <c r="E1082" s="1" t="s">
        <v>3006</v>
      </c>
      <c r="F1082" s="1" t="b">
        <v>0</v>
      </c>
    </row>
    <row r="1083">
      <c r="A1083" s="1" t="s">
        <v>1622</v>
      </c>
      <c r="B1083" s="1" t="s">
        <v>2042</v>
      </c>
      <c r="C1083" s="1" t="s">
        <v>1625</v>
      </c>
      <c r="D1083" s="2">
        <v>46055.73804398148</v>
      </c>
      <c r="E1083" s="1" t="s">
        <v>3007</v>
      </c>
      <c r="F1083" s="1" t="b">
        <v>0</v>
      </c>
    </row>
    <row r="1084">
      <c r="A1084" s="1" t="s">
        <v>1622</v>
      </c>
      <c r="B1084" s="1" t="s">
        <v>2042</v>
      </c>
      <c r="C1084" s="1" t="s">
        <v>1625</v>
      </c>
      <c r="D1084" s="2">
        <v>46055.73840277778</v>
      </c>
      <c r="E1084" s="1" t="s">
        <v>3008</v>
      </c>
      <c r="F1084" s="1" t="b">
        <v>0</v>
      </c>
    </row>
    <row r="1085">
      <c r="A1085" s="1" t="s">
        <v>1622</v>
      </c>
      <c r="B1085" s="1" t="s">
        <v>2046</v>
      </c>
      <c r="C1085" s="1">
        <v>574085.0</v>
      </c>
      <c r="D1085" s="2">
        <v>46055.739386574074</v>
      </c>
      <c r="E1085" s="1" t="s">
        <v>3009</v>
      </c>
      <c r="F1085" s="1" t="b">
        <v>0</v>
      </c>
    </row>
    <row r="1086">
      <c r="A1086" s="1" t="s">
        <v>1622</v>
      </c>
      <c r="B1086" s="1" t="s">
        <v>2042</v>
      </c>
      <c r="C1086" s="1" t="s">
        <v>1625</v>
      </c>
      <c r="D1086" s="2">
        <v>46055.7403125</v>
      </c>
      <c r="F1086" s="1" t="b">
        <v>0</v>
      </c>
    </row>
    <row r="1087">
      <c r="A1087" s="1" t="s">
        <v>1622</v>
      </c>
      <c r="B1087" s="1" t="s">
        <v>2046</v>
      </c>
      <c r="C1087" s="1">
        <v>574085.0</v>
      </c>
      <c r="D1087" s="2">
        <v>46055.743576388886</v>
      </c>
      <c r="E1087" s="1" t="s">
        <v>3010</v>
      </c>
      <c r="F1087" s="1" t="b">
        <v>0</v>
      </c>
    </row>
    <row r="1088">
      <c r="A1088" s="1" t="s">
        <v>1622</v>
      </c>
      <c r="B1088" s="1" t="s">
        <v>2046</v>
      </c>
      <c r="C1088" s="1">
        <v>574085.0</v>
      </c>
      <c r="D1088" s="2">
        <v>46056.42215277778</v>
      </c>
      <c r="E1088" s="1" t="s">
        <v>2108</v>
      </c>
      <c r="F1088" s="1" t="b">
        <v>0</v>
      </c>
    </row>
    <row r="1089">
      <c r="A1089" s="1" t="s">
        <v>1617</v>
      </c>
      <c r="B1089" s="1" t="s">
        <v>2042</v>
      </c>
      <c r="C1089" s="1" t="s">
        <v>1620</v>
      </c>
      <c r="D1089" s="2">
        <v>46055.68548611111</v>
      </c>
      <c r="E1089" s="1" t="s">
        <v>3011</v>
      </c>
      <c r="F1089" s="1" t="b">
        <v>0</v>
      </c>
    </row>
    <row r="1090">
      <c r="A1090" s="1" t="s">
        <v>1613</v>
      </c>
      <c r="B1090" s="1" t="s">
        <v>2042</v>
      </c>
      <c r="C1090" s="1" t="s">
        <v>1615</v>
      </c>
      <c r="D1090" s="2">
        <v>46055.69375</v>
      </c>
      <c r="E1090" s="1" t="s">
        <v>3012</v>
      </c>
      <c r="F1090" s="1" t="b">
        <v>0</v>
      </c>
    </row>
    <row r="1091">
      <c r="A1091" s="1" t="s">
        <v>1613</v>
      </c>
      <c r="B1091" s="1" t="s">
        <v>2046</v>
      </c>
      <c r="C1091" s="1">
        <v>574085.0</v>
      </c>
      <c r="D1091" s="2">
        <v>46055.69626157408</v>
      </c>
      <c r="E1091" s="1" t="s">
        <v>3013</v>
      </c>
      <c r="F1091" s="1" t="b">
        <v>0</v>
      </c>
    </row>
    <row r="1092">
      <c r="A1092" s="1" t="s">
        <v>1613</v>
      </c>
      <c r="B1092" s="1" t="s">
        <v>2042</v>
      </c>
      <c r="C1092" s="1" t="s">
        <v>1615</v>
      </c>
      <c r="D1092" s="2">
        <v>46055.70611111111</v>
      </c>
      <c r="E1092" s="1" t="s">
        <v>3014</v>
      </c>
      <c r="F1092" s="1" t="b">
        <v>0</v>
      </c>
    </row>
    <row r="1093">
      <c r="A1093" s="1" t="s">
        <v>1613</v>
      </c>
      <c r="B1093" s="1" t="s">
        <v>2046</v>
      </c>
      <c r="C1093" s="1">
        <v>574085.0</v>
      </c>
      <c r="D1093" s="2">
        <v>46055.72077546296</v>
      </c>
      <c r="E1093" s="1" t="s">
        <v>3015</v>
      </c>
      <c r="F1093" s="1" t="b">
        <v>0</v>
      </c>
    </row>
    <row r="1094">
      <c r="A1094" s="1" t="s">
        <v>1613</v>
      </c>
      <c r="B1094" s="1" t="s">
        <v>2046</v>
      </c>
      <c r="C1094" s="1">
        <v>574085.0</v>
      </c>
      <c r="D1094" s="2">
        <v>46055.72554398148</v>
      </c>
      <c r="E1094" s="1" t="s">
        <v>3016</v>
      </c>
      <c r="F1094" s="1" t="b">
        <v>1</v>
      </c>
    </row>
    <row r="1095">
      <c r="A1095" s="1" t="s">
        <v>1613</v>
      </c>
      <c r="B1095" s="1" t="s">
        <v>2042</v>
      </c>
      <c r="C1095" s="1" t="s">
        <v>1615</v>
      </c>
      <c r="D1095" s="2">
        <v>46055.726273148146</v>
      </c>
      <c r="E1095" s="1" t="s">
        <v>2560</v>
      </c>
      <c r="F1095" s="1" t="b">
        <v>0</v>
      </c>
    </row>
    <row r="1096">
      <c r="A1096" s="1" t="s">
        <v>1613</v>
      </c>
      <c r="B1096" s="1" t="s">
        <v>2046</v>
      </c>
      <c r="C1096" s="1">
        <v>574085.0</v>
      </c>
      <c r="D1096" s="2">
        <v>46055.72709490741</v>
      </c>
      <c r="E1096" s="1" t="s">
        <v>3017</v>
      </c>
      <c r="F1096" s="1" t="b">
        <v>0</v>
      </c>
    </row>
    <row r="1097">
      <c r="A1097" s="1" t="s">
        <v>1613</v>
      </c>
      <c r="B1097" s="1" t="s">
        <v>2042</v>
      </c>
      <c r="C1097" s="1" t="s">
        <v>1615</v>
      </c>
      <c r="D1097" s="2">
        <v>46056.37494212963</v>
      </c>
      <c r="E1097" s="1" t="s">
        <v>3018</v>
      </c>
      <c r="F1097" s="1" t="b">
        <v>0</v>
      </c>
    </row>
    <row r="1098">
      <c r="A1098" s="1" t="s">
        <v>1613</v>
      </c>
      <c r="B1098" s="1" t="s">
        <v>2046</v>
      </c>
      <c r="C1098" s="1">
        <v>607950.0</v>
      </c>
      <c r="D1098" s="2">
        <v>46056.42086805555</v>
      </c>
      <c r="E1098" s="1" t="s">
        <v>2108</v>
      </c>
      <c r="F1098" s="1" t="b">
        <v>0</v>
      </c>
    </row>
    <row r="1099">
      <c r="A1099" s="1" t="s">
        <v>1609</v>
      </c>
      <c r="B1099" s="1" t="s">
        <v>2042</v>
      </c>
      <c r="C1099" s="1" t="s">
        <v>1611</v>
      </c>
      <c r="D1099" s="2">
        <v>46055.694085648145</v>
      </c>
      <c r="E1099" s="1" t="s">
        <v>3019</v>
      </c>
      <c r="F1099" s="1" t="b">
        <v>0</v>
      </c>
    </row>
    <row r="1100">
      <c r="A1100" s="1" t="s">
        <v>1609</v>
      </c>
      <c r="B1100" s="1" t="s">
        <v>2042</v>
      </c>
      <c r="C1100" s="1" t="s">
        <v>1611</v>
      </c>
      <c r="D1100" s="2">
        <v>46055.69446759259</v>
      </c>
      <c r="E1100" s="1" t="s">
        <v>3020</v>
      </c>
      <c r="F1100" s="1" t="b">
        <v>0</v>
      </c>
    </row>
    <row r="1101">
      <c r="A1101" s="1" t="s">
        <v>1609</v>
      </c>
      <c r="B1101" s="1" t="s">
        <v>2042</v>
      </c>
      <c r="C1101" s="1" t="s">
        <v>1611</v>
      </c>
      <c r="D1101" s="2">
        <v>46055.69495370371</v>
      </c>
      <c r="F1101" s="1" t="b">
        <v>0</v>
      </c>
    </row>
    <row r="1102">
      <c r="A1102" s="1" t="s">
        <v>1609</v>
      </c>
      <c r="B1102" s="1" t="s">
        <v>2042</v>
      </c>
      <c r="C1102" s="1" t="s">
        <v>1611</v>
      </c>
      <c r="D1102" s="2">
        <v>46055.695439814815</v>
      </c>
      <c r="E1102" s="1" t="s">
        <v>3021</v>
      </c>
      <c r="F1102" s="1" t="b">
        <v>0</v>
      </c>
    </row>
    <row r="1103">
      <c r="A1103" s="1" t="s">
        <v>1609</v>
      </c>
      <c r="B1103" s="1" t="s">
        <v>2046</v>
      </c>
      <c r="C1103" s="1">
        <v>607950.0</v>
      </c>
      <c r="D1103" s="2">
        <v>46055.69792824074</v>
      </c>
      <c r="E1103" s="1" t="s">
        <v>2752</v>
      </c>
      <c r="F1103" s="1" t="b">
        <v>0</v>
      </c>
    </row>
    <row r="1104">
      <c r="A1104" s="1" t="s">
        <v>1609</v>
      </c>
      <c r="B1104" s="1" t="s">
        <v>2046</v>
      </c>
      <c r="C1104" s="1">
        <v>607950.0</v>
      </c>
      <c r="D1104" s="2">
        <v>46055.703784722224</v>
      </c>
      <c r="E1104" s="1" t="s">
        <v>3022</v>
      </c>
      <c r="F1104" s="1" t="b">
        <v>0</v>
      </c>
    </row>
    <row r="1105">
      <c r="A1105" s="1" t="s">
        <v>1609</v>
      </c>
      <c r="B1105" s="1" t="s">
        <v>2046</v>
      </c>
      <c r="C1105" s="1">
        <v>574085.0</v>
      </c>
      <c r="D1105" s="2">
        <v>46055.705983796295</v>
      </c>
      <c r="E1105" s="1" t="s">
        <v>3023</v>
      </c>
      <c r="F1105" s="1" t="b">
        <v>1</v>
      </c>
    </row>
    <row r="1106">
      <c r="A1106" s="1" t="s">
        <v>1609</v>
      </c>
      <c r="B1106" s="1" t="s">
        <v>2042</v>
      </c>
      <c r="C1106" s="1" t="s">
        <v>1611</v>
      </c>
      <c r="D1106" s="2">
        <v>46055.87362268518</v>
      </c>
      <c r="E1106" s="1" t="s">
        <v>3024</v>
      </c>
      <c r="F1106" s="1" t="b">
        <v>0</v>
      </c>
    </row>
    <row r="1107">
      <c r="A1107" s="1" t="s">
        <v>1609</v>
      </c>
      <c r="B1107" s="1" t="s">
        <v>2046</v>
      </c>
      <c r="C1107" s="1">
        <v>607950.0</v>
      </c>
      <c r="D1107" s="2">
        <v>46056.41847222222</v>
      </c>
      <c r="E1107" s="1" t="s">
        <v>3025</v>
      </c>
      <c r="F1107" s="1" t="b">
        <v>0</v>
      </c>
    </row>
    <row r="1108">
      <c r="A1108" s="1" t="s">
        <v>1609</v>
      </c>
      <c r="B1108" s="1" t="s">
        <v>2046</v>
      </c>
      <c r="C1108" s="1">
        <v>607950.0</v>
      </c>
      <c r="D1108" s="2">
        <v>46056.4675462963</v>
      </c>
      <c r="E1108" s="1" t="s">
        <v>3026</v>
      </c>
      <c r="F1108" s="1" t="b">
        <v>0</v>
      </c>
    </row>
    <row r="1109">
      <c r="A1109" s="1" t="s">
        <v>1609</v>
      </c>
      <c r="B1109" s="1" t="s">
        <v>2046</v>
      </c>
      <c r="C1109" s="1">
        <v>607950.0</v>
      </c>
      <c r="D1109" s="2">
        <v>46056.50512731481</v>
      </c>
      <c r="E1109" s="1" t="s">
        <v>2108</v>
      </c>
      <c r="F1109" s="1" t="b">
        <v>0</v>
      </c>
    </row>
    <row r="1110">
      <c r="A1110" s="1" t="s">
        <v>1605</v>
      </c>
      <c r="B1110" s="1" t="s">
        <v>2042</v>
      </c>
      <c r="C1110" s="1" t="s">
        <v>1607</v>
      </c>
      <c r="D1110" s="2">
        <v>46055.75171296296</v>
      </c>
      <c r="E1110" s="1" t="s">
        <v>3027</v>
      </c>
      <c r="F1110" s="1" t="b">
        <v>0</v>
      </c>
    </row>
    <row r="1111">
      <c r="A1111" s="1" t="s">
        <v>1605</v>
      </c>
      <c r="B1111" s="1" t="s">
        <v>2042</v>
      </c>
      <c r="C1111" s="1" t="s">
        <v>1607</v>
      </c>
      <c r="D1111" s="2">
        <v>46055.75300925926</v>
      </c>
      <c r="E1111" s="1" t="s">
        <v>3028</v>
      </c>
      <c r="F1111" s="1" t="b">
        <v>0</v>
      </c>
    </row>
    <row r="1112">
      <c r="A1112" s="1" t="s">
        <v>1603</v>
      </c>
      <c r="B1112" s="1" t="s">
        <v>2042</v>
      </c>
      <c r="C1112" s="1" t="s">
        <v>782</v>
      </c>
      <c r="D1112" s="2">
        <v>46055.75962962963</v>
      </c>
      <c r="E1112" s="1" t="s">
        <v>3029</v>
      </c>
      <c r="F1112" s="1" t="b">
        <v>0</v>
      </c>
    </row>
    <row r="1113">
      <c r="A1113" s="1" t="s">
        <v>1599</v>
      </c>
      <c r="B1113" s="1" t="s">
        <v>2042</v>
      </c>
      <c r="C1113" s="1" t="s">
        <v>1601</v>
      </c>
      <c r="D1113" s="2">
        <v>46055.76237268518</v>
      </c>
      <c r="E1113" s="1" t="s">
        <v>3030</v>
      </c>
      <c r="F1113" s="1" t="b">
        <v>0</v>
      </c>
    </row>
    <row r="1114">
      <c r="A1114" s="1" t="s">
        <v>1597</v>
      </c>
      <c r="B1114" s="1" t="s">
        <v>2042</v>
      </c>
      <c r="C1114" s="1" t="s">
        <v>335</v>
      </c>
      <c r="D1114" s="2">
        <v>46055.850011574075</v>
      </c>
      <c r="E1114" s="1" t="s">
        <v>3031</v>
      </c>
      <c r="F1114" s="1" t="b">
        <v>0</v>
      </c>
    </row>
    <row r="1115">
      <c r="A1115" s="1" t="s">
        <v>1597</v>
      </c>
      <c r="B1115" s="1" t="s">
        <v>2042</v>
      </c>
      <c r="C1115" s="1" t="s">
        <v>335</v>
      </c>
      <c r="D1115" s="2">
        <v>46055.85028935185</v>
      </c>
      <c r="E1115" s="1" t="s">
        <v>3031</v>
      </c>
      <c r="F1115" s="1" t="b">
        <v>0</v>
      </c>
    </row>
    <row r="1116">
      <c r="A1116" s="1" t="s">
        <v>1597</v>
      </c>
      <c r="B1116" s="1" t="s">
        <v>2042</v>
      </c>
      <c r="C1116" s="1" t="s">
        <v>335</v>
      </c>
      <c r="D1116" s="2">
        <v>46056.409317129626</v>
      </c>
      <c r="E1116" s="1" t="s">
        <v>3032</v>
      </c>
      <c r="F1116" s="1" t="b">
        <v>0</v>
      </c>
    </row>
    <row r="1117">
      <c r="A1117" s="1" t="s">
        <v>1597</v>
      </c>
      <c r="B1117" s="1" t="s">
        <v>2046</v>
      </c>
      <c r="C1117" s="1">
        <v>607950.0</v>
      </c>
      <c r="D1117" s="2">
        <v>46056.42025462963</v>
      </c>
      <c r="E1117" s="1" t="s">
        <v>2752</v>
      </c>
      <c r="F1117" s="1" t="b">
        <v>0</v>
      </c>
    </row>
    <row r="1118">
      <c r="A1118" s="1" t="s">
        <v>1597</v>
      </c>
      <c r="B1118" s="1" t="s">
        <v>2046</v>
      </c>
      <c r="C1118" s="1">
        <v>574085.0</v>
      </c>
      <c r="D1118" s="2">
        <v>46056.421875</v>
      </c>
      <c r="E1118" s="1" t="s">
        <v>3033</v>
      </c>
      <c r="F1118" s="1" t="b">
        <v>1</v>
      </c>
    </row>
    <row r="1119">
      <c r="A1119" s="1" t="s">
        <v>1597</v>
      </c>
      <c r="B1119" s="1" t="s">
        <v>2046</v>
      </c>
      <c r="C1119" s="1">
        <v>607950.0</v>
      </c>
      <c r="D1119" s="2">
        <v>46056.42271990741</v>
      </c>
      <c r="E1119" s="1" t="s">
        <v>3034</v>
      </c>
      <c r="F1119" s="1" t="b">
        <v>0</v>
      </c>
    </row>
    <row r="1120">
      <c r="A1120" s="1" t="s">
        <v>1597</v>
      </c>
      <c r="B1120" s="1" t="s">
        <v>2046</v>
      </c>
      <c r="C1120" s="1">
        <v>607950.0</v>
      </c>
      <c r="D1120" s="2">
        <v>46056.46797453704</v>
      </c>
      <c r="E1120" s="1" t="s">
        <v>3035</v>
      </c>
      <c r="F1120" s="1" t="b">
        <v>0</v>
      </c>
    </row>
    <row r="1121">
      <c r="A1121" s="1" t="s">
        <v>1597</v>
      </c>
      <c r="B1121" s="1" t="s">
        <v>2046</v>
      </c>
      <c r="C1121" s="1">
        <v>607950.0</v>
      </c>
      <c r="D1121" s="2">
        <v>46056.507372685184</v>
      </c>
      <c r="E1121" s="1" t="s">
        <v>2108</v>
      </c>
      <c r="F1121" s="1" t="b">
        <v>0</v>
      </c>
    </row>
    <row r="1122">
      <c r="A1122" s="1" t="s">
        <v>1595</v>
      </c>
      <c r="B1122" s="1" t="s">
        <v>2042</v>
      </c>
      <c r="C1122" s="1" t="s">
        <v>1593</v>
      </c>
      <c r="D1122" s="2">
        <v>46055.88071759259</v>
      </c>
      <c r="E1122" s="1" t="s">
        <v>3036</v>
      </c>
      <c r="F1122" s="1" t="b">
        <v>0</v>
      </c>
    </row>
    <row r="1123">
      <c r="A1123" s="1" t="s">
        <v>1595</v>
      </c>
      <c r="B1123" s="1" t="s">
        <v>2042</v>
      </c>
      <c r="C1123" s="1" t="s">
        <v>1593</v>
      </c>
      <c r="D1123" s="2">
        <v>46055.8809375</v>
      </c>
      <c r="E1123" s="1">
        <v>4.0</v>
      </c>
      <c r="F1123" s="1" t="b">
        <v>0</v>
      </c>
    </row>
    <row r="1124">
      <c r="A1124" s="1" t="s">
        <v>1595</v>
      </c>
      <c r="B1124" s="1" t="s">
        <v>2042</v>
      </c>
      <c r="C1124" s="1" t="s">
        <v>1593</v>
      </c>
      <c r="D1124" s="2">
        <v>46055.88103009259</v>
      </c>
      <c r="E1124" s="1">
        <v>4.0</v>
      </c>
      <c r="F1124" s="1" t="b">
        <v>0</v>
      </c>
    </row>
    <row r="1125">
      <c r="A1125" s="1" t="s">
        <v>1590</v>
      </c>
      <c r="B1125" s="1" t="s">
        <v>2042</v>
      </c>
      <c r="C1125" s="1" t="s">
        <v>1593</v>
      </c>
      <c r="D1125" s="2">
        <v>46055.887349537035</v>
      </c>
      <c r="E1125" s="1">
        <v>1.0</v>
      </c>
      <c r="F1125" s="1" t="b">
        <v>0</v>
      </c>
    </row>
    <row r="1126">
      <c r="A1126" s="1" t="s">
        <v>1590</v>
      </c>
      <c r="B1126" s="1" t="s">
        <v>2042</v>
      </c>
      <c r="C1126" s="1" t="s">
        <v>1593</v>
      </c>
      <c r="D1126" s="2">
        <v>46055.89517361111</v>
      </c>
      <c r="E1126" s="1" t="s">
        <v>3036</v>
      </c>
      <c r="F1126" s="1" t="b">
        <v>0</v>
      </c>
    </row>
    <row r="1127">
      <c r="A1127" s="1" t="s">
        <v>1590</v>
      </c>
      <c r="B1127" s="1" t="s">
        <v>2046</v>
      </c>
      <c r="C1127" s="1">
        <v>607950.0</v>
      </c>
      <c r="D1127" s="2">
        <v>46057.78355324074</v>
      </c>
      <c r="E1127" s="1" t="s">
        <v>2740</v>
      </c>
      <c r="F1127" s="1" t="b">
        <v>0</v>
      </c>
    </row>
    <row r="1128">
      <c r="A1128" s="1" t="s">
        <v>1590</v>
      </c>
      <c r="B1128" s="1" t="s">
        <v>2150</v>
      </c>
      <c r="C1128" s="1">
        <v>81576.0</v>
      </c>
      <c r="D1128" s="2">
        <v>46057.78356481482</v>
      </c>
      <c r="E1128" s="1" t="s">
        <v>3037</v>
      </c>
      <c r="F1128" s="1" t="b">
        <v>1</v>
      </c>
    </row>
    <row r="1129">
      <c r="A1129" s="1" t="s">
        <v>1590</v>
      </c>
      <c r="B1129" s="1" t="s">
        <v>2046</v>
      </c>
      <c r="C1129" s="1">
        <v>607950.0</v>
      </c>
      <c r="D1129" s="2">
        <v>46057.783680555556</v>
      </c>
      <c r="E1129" s="1" t="s">
        <v>2740</v>
      </c>
      <c r="F1129" s="1" t="b">
        <v>1</v>
      </c>
    </row>
    <row r="1130">
      <c r="A1130" s="1" t="s">
        <v>1590</v>
      </c>
      <c r="B1130" s="1" t="s">
        <v>2150</v>
      </c>
      <c r="C1130" s="1" t="s">
        <v>2151</v>
      </c>
      <c r="D1130" s="2">
        <v>46057.783796296295</v>
      </c>
      <c r="E1130" s="1" t="s">
        <v>3038</v>
      </c>
      <c r="F1130" s="1" t="b">
        <v>1</v>
      </c>
    </row>
    <row r="1131">
      <c r="A1131" s="1" t="s">
        <v>1580</v>
      </c>
      <c r="B1131" s="1" t="s">
        <v>2042</v>
      </c>
      <c r="C1131" s="1" t="s">
        <v>801</v>
      </c>
      <c r="D1131" s="2">
        <v>46056.42818287037</v>
      </c>
      <c r="E1131" s="1" t="s">
        <v>3039</v>
      </c>
      <c r="F1131" s="1" t="b">
        <v>0</v>
      </c>
    </row>
    <row r="1132">
      <c r="A1132" s="1" t="s">
        <v>1580</v>
      </c>
      <c r="B1132" s="1" t="s">
        <v>2046</v>
      </c>
      <c r="C1132" s="1">
        <v>607950.0</v>
      </c>
      <c r="D1132" s="2">
        <v>46056.42875</v>
      </c>
      <c r="E1132" s="1" t="s">
        <v>2752</v>
      </c>
      <c r="F1132" s="1" t="b">
        <v>0</v>
      </c>
    </row>
    <row r="1133">
      <c r="A1133" s="1" t="s">
        <v>1580</v>
      </c>
      <c r="B1133" s="1" t="s">
        <v>2046</v>
      </c>
      <c r="C1133" s="1">
        <v>607950.0</v>
      </c>
      <c r="D1133" s="2">
        <v>46056.42905092592</v>
      </c>
      <c r="E1133" s="1" t="s">
        <v>3040</v>
      </c>
      <c r="F1133" s="1" t="b">
        <v>1</v>
      </c>
    </row>
    <row r="1134">
      <c r="A1134" s="1" t="s">
        <v>1580</v>
      </c>
      <c r="B1134" s="1" t="s">
        <v>2150</v>
      </c>
      <c r="C1134" s="1" t="s">
        <v>2151</v>
      </c>
      <c r="D1134" s="2">
        <v>46056.42917824074</v>
      </c>
      <c r="E1134" s="1" t="s">
        <v>3041</v>
      </c>
      <c r="F1134" s="1" t="b">
        <v>1</v>
      </c>
    </row>
    <row r="1135">
      <c r="A1135" s="1" t="s">
        <v>1580</v>
      </c>
      <c r="B1135" s="1" t="s">
        <v>2046</v>
      </c>
      <c r="C1135" s="1">
        <v>607950.0</v>
      </c>
      <c r="D1135" s="2">
        <v>46056.4299537037</v>
      </c>
      <c r="E1135" s="1" t="s">
        <v>3042</v>
      </c>
      <c r="F1135" s="1" t="b">
        <v>0</v>
      </c>
    </row>
    <row r="1136">
      <c r="A1136" s="1" t="s">
        <v>1580</v>
      </c>
      <c r="B1136" s="1" t="s">
        <v>2046</v>
      </c>
      <c r="C1136" s="1">
        <v>607950.0</v>
      </c>
      <c r="D1136" s="2">
        <v>46056.43376157407</v>
      </c>
      <c r="E1136" s="1" t="s">
        <v>3043</v>
      </c>
      <c r="F1136" s="1" t="b">
        <v>0</v>
      </c>
    </row>
    <row r="1137">
      <c r="A1137" s="1" t="s">
        <v>1580</v>
      </c>
      <c r="B1137" s="1" t="s">
        <v>2042</v>
      </c>
      <c r="C1137" s="1" t="s">
        <v>801</v>
      </c>
      <c r="D1137" s="2">
        <v>46056.44023148148</v>
      </c>
      <c r="E1137" s="1" t="s">
        <v>3044</v>
      </c>
      <c r="F1137" s="1" t="b">
        <v>0</v>
      </c>
    </row>
    <row r="1138">
      <c r="A1138" s="1" t="s">
        <v>1580</v>
      </c>
      <c r="B1138" s="1" t="s">
        <v>2046</v>
      </c>
      <c r="C1138" s="1">
        <v>574085.0</v>
      </c>
      <c r="D1138" s="2">
        <v>46056.44199074074</v>
      </c>
      <c r="E1138" s="1" t="s">
        <v>3045</v>
      </c>
      <c r="F1138" s="1" t="b">
        <v>0</v>
      </c>
    </row>
    <row r="1139">
      <c r="A1139" s="1" t="s">
        <v>1580</v>
      </c>
      <c r="B1139" s="1" t="s">
        <v>2042</v>
      </c>
      <c r="C1139" s="1" t="s">
        <v>801</v>
      </c>
      <c r="D1139" s="2">
        <v>46056.45024305556</v>
      </c>
      <c r="E1139" s="1" t="s">
        <v>3046</v>
      </c>
      <c r="F1139" s="1" t="b">
        <v>0</v>
      </c>
    </row>
    <row r="1140">
      <c r="A1140" s="1" t="s">
        <v>1580</v>
      </c>
      <c r="B1140" s="1" t="s">
        <v>2046</v>
      </c>
      <c r="C1140" s="1">
        <v>607950.0</v>
      </c>
      <c r="D1140" s="2">
        <v>46056.465</v>
      </c>
      <c r="E1140" s="1" t="s">
        <v>3047</v>
      </c>
      <c r="F1140" s="1" t="b">
        <v>0</v>
      </c>
    </row>
    <row r="1141">
      <c r="A1141" s="1" t="s">
        <v>1580</v>
      </c>
      <c r="B1141" s="1" t="s">
        <v>2042</v>
      </c>
      <c r="C1141" s="1" t="s">
        <v>801</v>
      </c>
      <c r="D1141" s="2">
        <v>46056.46555555556</v>
      </c>
      <c r="E1141" s="1" t="s">
        <v>2560</v>
      </c>
      <c r="F1141" s="1" t="b">
        <v>0</v>
      </c>
    </row>
    <row r="1142">
      <c r="A1142" s="1" t="s">
        <v>1580</v>
      </c>
      <c r="B1142" s="1" t="s">
        <v>2046</v>
      </c>
      <c r="C1142" s="1">
        <v>607950.0</v>
      </c>
      <c r="D1142" s="2">
        <v>46056.465891203705</v>
      </c>
      <c r="E1142" s="1" t="s">
        <v>3048</v>
      </c>
      <c r="F1142" s="1" t="b">
        <v>0</v>
      </c>
    </row>
    <row r="1143">
      <c r="A1143" s="1" t="s">
        <v>1580</v>
      </c>
      <c r="B1143" s="1" t="s">
        <v>2046</v>
      </c>
      <c r="C1143" s="1">
        <v>607950.0</v>
      </c>
      <c r="D1143" s="2">
        <v>46056.46789351852</v>
      </c>
      <c r="E1143" s="1" t="s">
        <v>2108</v>
      </c>
      <c r="F1143" s="1" t="b">
        <v>0</v>
      </c>
    </row>
    <row r="1144">
      <c r="A1144" s="1" t="s">
        <v>1586</v>
      </c>
      <c r="B1144" s="1" t="s">
        <v>2042</v>
      </c>
      <c r="C1144" s="1" t="s">
        <v>1588</v>
      </c>
      <c r="D1144" s="2">
        <v>46056.421435185184</v>
      </c>
      <c r="E1144" s="1" t="s">
        <v>3049</v>
      </c>
      <c r="F1144" s="1" t="b">
        <v>0</v>
      </c>
    </row>
    <row r="1145">
      <c r="A1145" s="1" t="s">
        <v>1582</v>
      </c>
      <c r="B1145" s="1" t="s">
        <v>2042</v>
      </c>
      <c r="C1145" s="1" t="s">
        <v>1584</v>
      </c>
      <c r="D1145" s="2">
        <v>46056.4262962963</v>
      </c>
      <c r="E1145" s="1" t="s">
        <v>3050</v>
      </c>
      <c r="F1145" s="1" t="b">
        <v>0</v>
      </c>
    </row>
    <row r="1146">
      <c r="A1146" s="1" t="s">
        <v>1582</v>
      </c>
      <c r="B1146" s="1" t="s">
        <v>2046</v>
      </c>
      <c r="C1146" s="1">
        <v>607950.0</v>
      </c>
      <c r="D1146" s="2">
        <v>46056.42695601852</v>
      </c>
      <c r="E1146" s="1" t="s">
        <v>2752</v>
      </c>
      <c r="F1146" s="1" t="b">
        <v>0</v>
      </c>
    </row>
    <row r="1147">
      <c r="A1147" s="1" t="s">
        <v>1582</v>
      </c>
      <c r="B1147" s="1" t="s">
        <v>2046</v>
      </c>
      <c r="C1147" s="1">
        <v>607950.0</v>
      </c>
      <c r="D1147" s="2">
        <v>46056.42863425926</v>
      </c>
      <c r="E1147" s="1" t="s">
        <v>3051</v>
      </c>
      <c r="F1147" s="1" t="b">
        <v>0</v>
      </c>
    </row>
    <row r="1148">
      <c r="A1148" s="1" t="s">
        <v>1582</v>
      </c>
      <c r="B1148" s="1" t="s">
        <v>2046</v>
      </c>
      <c r="C1148" s="1">
        <v>574085.0</v>
      </c>
      <c r="D1148" s="2">
        <v>46056.443402777775</v>
      </c>
      <c r="E1148" s="1" t="s">
        <v>3052</v>
      </c>
      <c r="F1148" s="1" t="b">
        <v>1</v>
      </c>
    </row>
    <row r="1149">
      <c r="A1149" s="1" t="s">
        <v>1582</v>
      </c>
      <c r="B1149" s="1" t="s">
        <v>2046</v>
      </c>
      <c r="C1149" s="1">
        <v>574085.0</v>
      </c>
      <c r="D1149" s="2">
        <v>46056.446284722224</v>
      </c>
      <c r="E1149" s="1" t="s">
        <v>3053</v>
      </c>
      <c r="F1149" s="1" t="b">
        <v>0</v>
      </c>
    </row>
    <row r="1150">
      <c r="A1150" s="1" t="s">
        <v>1582</v>
      </c>
      <c r="B1150" s="1" t="s">
        <v>2042</v>
      </c>
      <c r="C1150" s="1" t="s">
        <v>1584</v>
      </c>
      <c r="D1150" s="2">
        <v>46056.49260416667</v>
      </c>
      <c r="E1150" s="1" t="s">
        <v>3054</v>
      </c>
      <c r="F1150" s="1" t="b">
        <v>0</v>
      </c>
    </row>
    <row r="1151">
      <c r="A1151" s="1" t="s">
        <v>1582</v>
      </c>
      <c r="B1151" s="1" t="s">
        <v>2046</v>
      </c>
      <c r="C1151" s="1">
        <v>607950.0</v>
      </c>
      <c r="D1151" s="2">
        <v>46056.50481481481</v>
      </c>
      <c r="E1151" s="1" t="s">
        <v>3055</v>
      </c>
      <c r="F1151" s="1" t="b">
        <v>0</v>
      </c>
    </row>
    <row r="1152">
      <c r="A1152" s="1" t="s">
        <v>1582</v>
      </c>
      <c r="B1152" s="1" t="s">
        <v>2046</v>
      </c>
      <c r="C1152" s="1">
        <v>607950.0</v>
      </c>
      <c r="D1152" s="2">
        <v>46056.57255787037</v>
      </c>
      <c r="E1152" s="1" t="s">
        <v>2108</v>
      </c>
      <c r="F1152" s="1" t="b">
        <v>0</v>
      </c>
    </row>
    <row r="1153">
      <c r="A1153" s="1" t="s">
        <v>1574</v>
      </c>
      <c r="B1153" s="1" t="s">
        <v>2046</v>
      </c>
      <c r="C1153" s="1">
        <v>607950.0</v>
      </c>
      <c r="D1153" s="2">
        <v>46056.458032407405</v>
      </c>
      <c r="E1153" s="1" t="s">
        <v>3056</v>
      </c>
      <c r="F1153" s="1" t="b">
        <v>0</v>
      </c>
    </row>
    <row r="1154">
      <c r="A1154" s="1" t="s">
        <v>1574</v>
      </c>
      <c r="B1154" s="1" t="s">
        <v>2042</v>
      </c>
      <c r="C1154" s="1" t="s">
        <v>1577</v>
      </c>
      <c r="D1154" s="2">
        <v>46056.45947916667</v>
      </c>
      <c r="F1154" s="1" t="b">
        <v>0</v>
      </c>
    </row>
    <row r="1155">
      <c r="A1155" s="1" t="s">
        <v>1574</v>
      </c>
      <c r="B1155" s="1" t="s">
        <v>2046</v>
      </c>
      <c r="C1155" s="1">
        <v>607950.0</v>
      </c>
      <c r="D1155" s="2">
        <v>46056.467002314814</v>
      </c>
      <c r="E1155" s="1" t="s">
        <v>3057</v>
      </c>
      <c r="F1155" s="1" t="b">
        <v>0</v>
      </c>
    </row>
    <row r="1156">
      <c r="A1156" s="1" t="s">
        <v>1574</v>
      </c>
      <c r="B1156" s="1" t="s">
        <v>2046</v>
      </c>
      <c r="C1156" s="1">
        <v>506375.0</v>
      </c>
      <c r="D1156" s="2">
        <v>46056.47918981482</v>
      </c>
      <c r="E1156" s="1" t="s">
        <v>3058</v>
      </c>
      <c r="F1156" s="1" t="b">
        <v>1</v>
      </c>
    </row>
    <row r="1157">
      <c r="A1157" s="1" t="s">
        <v>1574</v>
      </c>
      <c r="B1157" s="1" t="s">
        <v>2046</v>
      </c>
      <c r="C1157" s="1">
        <v>607950.0</v>
      </c>
      <c r="D1157" s="2">
        <v>46056.59855324074</v>
      </c>
      <c r="E1157" s="1" t="s">
        <v>3059</v>
      </c>
      <c r="F1157" s="1" t="b">
        <v>0</v>
      </c>
    </row>
    <row r="1158">
      <c r="A1158" s="1" t="s">
        <v>1574</v>
      </c>
      <c r="B1158" s="1" t="s">
        <v>2042</v>
      </c>
      <c r="C1158" s="1" t="s">
        <v>1577</v>
      </c>
      <c r="D1158" s="2">
        <v>46056.62326388889</v>
      </c>
      <c r="E1158" s="1" t="s">
        <v>3060</v>
      </c>
      <c r="F1158" s="1" t="b">
        <v>0</v>
      </c>
    </row>
    <row r="1159">
      <c r="A1159" s="1" t="s">
        <v>1574</v>
      </c>
      <c r="B1159" s="1" t="s">
        <v>2046</v>
      </c>
      <c r="C1159" s="1">
        <v>607950.0</v>
      </c>
      <c r="D1159" s="2">
        <v>46056.63143518518</v>
      </c>
      <c r="E1159" s="1" t="s">
        <v>3061</v>
      </c>
      <c r="F1159" s="1" t="b">
        <v>0</v>
      </c>
    </row>
    <row r="1160">
      <c r="A1160" s="1" t="s">
        <v>1574</v>
      </c>
      <c r="B1160" s="1" t="s">
        <v>2042</v>
      </c>
      <c r="C1160" s="1" t="s">
        <v>1577</v>
      </c>
      <c r="D1160" s="2">
        <v>46056.63628472222</v>
      </c>
      <c r="E1160" s="1" t="s">
        <v>3062</v>
      </c>
      <c r="F1160" s="1" t="b">
        <v>0</v>
      </c>
    </row>
    <row r="1161">
      <c r="A1161" s="1" t="s">
        <v>1570</v>
      </c>
      <c r="B1161" s="1" t="s">
        <v>2042</v>
      </c>
      <c r="C1161" s="1" t="s">
        <v>1572</v>
      </c>
      <c r="D1161" s="2">
        <v>46056.46834490741</v>
      </c>
      <c r="E1161" s="1" t="s">
        <v>3063</v>
      </c>
      <c r="F1161" s="1" t="b">
        <v>0</v>
      </c>
    </row>
    <row r="1162">
      <c r="A1162" s="1" t="s">
        <v>1566</v>
      </c>
      <c r="B1162" s="1" t="s">
        <v>2042</v>
      </c>
      <c r="C1162" s="1" t="s">
        <v>1568</v>
      </c>
      <c r="D1162" s="2">
        <v>46056.48321759259</v>
      </c>
      <c r="E1162" s="1" t="s">
        <v>3064</v>
      </c>
      <c r="F1162" s="1" t="b">
        <v>0</v>
      </c>
    </row>
    <row r="1163">
      <c r="A1163" s="1" t="s">
        <v>1566</v>
      </c>
      <c r="B1163" s="1" t="s">
        <v>2042</v>
      </c>
      <c r="C1163" s="1" t="s">
        <v>1568</v>
      </c>
      <c r="D1163" s="2">
        <v>46056.483506944445</v>
      </c>
      <c r="E1163" s="1" t="s">
        <v>3065</v>
      </c>
      <c r="F1163" s="1" t="b">
        <v>0</v>
      </c>
    </row>
    <row r="1164">
      <c r="A1164" s="1" t="s">
        <v>1522</v>
      </c>
      <c r="B1164" s="1" t="s">
        <v>2042</v>
      </c>
      <c r="C1164" s="1" t="s">
        <v>249</v>
      </c>
      <c r="D1164" s="2">
        <v>46057.436203703706</v>
      </c>
      <c r="E1164" s="1" t="s">
        <v>3066</v>
      </c>
      <c r="F1164" s="1" t="b">
        <v>0</v>
      </c>
    </row>
    <row r="1165">
      <c r="A1165" s="1" t="s">
        <v>1522</v>
      </c>
      <c r="B1165" s="1" t="s">
        <v>2042</v>
      </c>
      <c r="C1165" s="1" t="s">
        <v>249</v>
      </c>
      <c r="D1165" s="2">
        <v>46057.43640046296</v>
      </c>
      <c r="E1165" s="1" t="s">
        <v>3067</v>
      </c>
      <c r="F1165" s="1" t="b">
        <v>0</v>
      </c>
    </row>
    <row r="1166">
      <c r="A1166" s="1" t="s">
        <v>1522</v>
      </c>
      <c r="B1166" s="1" t="s">
        <v>2046</v>
      </c>
      <c r="C1166" s="1">
        <v>607950.0</v>
      </c>
      <c r="D1166" s="2">
        <v>46057.43734953704</v>
      </c>
      <c r="E1166" s="1" t="s">
        <v>2752</v>
      </c>
      <c r="F1166" s="1" t="b">
        <v>0</v>
      </c>
    </row>
    <row r="1167">
      <c r="A1167" s="1" t="s">
        <v>1522</v>
      </c>
      <c r="B1167" s="1" t="s">
        <v>2042</v>
      </c>
      <c r="C1167" s="1" t="s">
        <v>249</v>
      </c>
      <c r="D1167" s="2">
        <v>46057.43740740741</v>
      </c>
      <c r="E1167" s="1" t="s">
        <v>2049</v>
      </c>
      <c r="F1167" s="1" t="b">
        <v>0</v>
      </c>
    </row>
    <row r="1168">
      <c r="A1168" s="1" t="s">
        <v>1522</v>
      </c>
      <c r="B1168" s="1" t="s">
        <v>2046</v>
      </c>
      <c r="C1168" s="1">
        <v>607950.0</v>
      </c>
      <c r="D1168" s="2">
        <v>46057.43792824074</v>
      </c>
      <c r="E1168" s="1" t="s">
        <v>2254</v>
      </c>
      <c r="F1168" s="1" t="b">
        <v>1</v>
      </c>
    </row>
    <row r="1169">
      <c r="A1169" s="1" t="s">
        <v>1522</v>
      </c>
      <c r="B1169" s="1" t="s">
        <v>2150</v>
      </c>
      <c r="C1169" s="1" t="s">
        <v>2151</v>
      </c>
      <c r="D1169" s="2">
        <v>46057.43803240741</v>
      </c>
      <c r="E1169" s="1" t="s">
        <v>3068</v>
      </c>
      <c r="F1169" s="1" t="b">
        <v>1</v>
      </c>
    </row>
    <row r="1170">
      <c r="A1170" s="1" t="s">
        <v>1522</v>
      </c>
      <c r="B1170" s="1" t="s">
        <v>2046</v>
      </c>
      <c r="C1170" s="1">
        <v>607950.0</v>
      </c>
      <c r="D1170" s="2">
        <v>46057.43885416666</v>
      </c>
      <c r="E1170" s="1" t="s">
        <v>3069</v>
      </c>
      <c r="F1170" s="1" t="b">
        <v>0</v>
      </c>
    </row>
    <row r="1171">
      <c r="A1171" s="1" t="s">
        <v>1522</v>
      </c>
      <c r="B1171" s="1" t="s">
        <v>2042</v>
      </c>
      <c r="C1171" s="1" t="s">
        <v>249</v>
      </c>
      <c r="D1171" s="2">
        <v>46057.43959490741</v>
      </c>
      <c r="E1171" s="1" t="s">
        <v>3070</v>
      </c>
      <c r="F1171" s="1" t="b">
        <v>0</v>
      </c>
    </row>
    <row r="1172">
      <c r="A1172" s="1" t="s">
        <v>1522</v>
      </c>
      <c r="B1172" s="1" t="s">
        <v>2042</v>
      </c>
      <c r="C1172" s="1" t="s">
        <v>249</v>
      </c>
      <c r="D1172" s="2">
        <v>46057.439733796295</v>
      </c>
      <c r="E1172" s="1" t="s">
        <v>3071</v>
      </c>
      <c r="F1172" s="1" t="b">
        <v>0</v>
      </c>
    </row>
    <row r="1173">
      <c r="A1173" s="1" t="s">
        <v>1522</v>
      </c>
      <c r="B1173" s="1" t="s">
        <v>2046</v>
      </c>
      <c r="C1173" s="1">
        <v>607950.0</v>
      </c>
      <c r="D1173" s="2">
        <v>46057.44037037037</v>
      </c>
      <c r="E1173" s="1" t="s">
        <v>3072</v>
      </c>
      <c r="F1173" s="1" t="b">
        <v>0</v>
      </c>
    </row>
    <row r="1174">
      <c r="A1174" s="1" t="s">
        <v>1522</v>
      </c>
      <c r="B1174" s="1" t="s">
        <v>2042</v>
      </c>
      <c r="C1174" s="1" t="s">
        <v>249</v>
      </c>
      <c r="D1174" s="2">
        <v>46057.44045138889</v>
      </c>
      <c r="E1174" s="1" t="s">
        <v>2560</v>
      </c>
      <c r="F1174" s="1" t="b">
        <v>0</v>
      </c>
    </row>
    <row r="1175">
      <c r="A1175" s="1" t="s">
        <v>1522</v>
      </c>
      <c r="B1175" s="1" t="s">
        <v>2046</v>
      </c>
      <c r="C1175" s="1">
        <v>607950.0</v>
      </c>
      <c r="D1175" s="2">
        <v>46057.440474537034</v>
      </c>
      <c r="E1175" s="1" t="s">
        <v>2254</v>
      </c>
      <c r="F1175" s="1" t="b">
        <v>1</v>
      </c>
    </row>
    <row r="1176">
      <c r="A1176" s="1" t="s">
        <v>1522</v>
      </c>
      <c r="B1176" s="1" t="s">
        <v>2150</v>
      </c>
      <c r="C1176" s="1" t="s">
        <v>2151</v>
      </c>
      <c r="D1176" s="2">
        <v>46057.44059027778</v>
      </c>
      <c r="E1176" s="1" t="s">
        <v>3073</v>
      </c>
      <c r="F1176" s="1" t="b">
        <v>1</v>
      </c>
    </row>
    <row r="1177">
      <c r="A1177" s="1" t="s">
        <v>1522</v>
      </c>
      <c r="B1177" s="1" t="s">
        <v>2046</v>
      </c>
      <c r="C1177" s="1">
        <v>607950.0</v>
      </c>
      <c r="D1177" s="2">
        <v>46057.452673611115</v>
      </c>
      <c r="E1177" s="1" t="s">
        <v>3074</v>
      </c>
      <c r="F1177" s="1" t="b">
        <v>0</v>
      </c>
    </row>
    <row r="1178">
      <c r="A1178" s="1" t="s">
        <v>1522</v>
      </c>
      <c r="B1178" s="1" t="s">
        <v>2042</v>
      </c>
      <c r="C1178" s="1" t="s">
        <v>249</v>
      </c>
      <c r="D1178" s="2">
        <v>46057.4530787037</v>
      </c>
      <c r="E1178" s="1" t="s">
        <v>3075</v>
      </c>
      <c r="F1178" s="1" t="b">
        <v>0</v>
      </c>
    </row>
    <row r="1179">
      <c r="A1179" s="1" t="s">
        <v>1522</v>
      </c>
      <c r="B1179" s="1" t="s">
        <v>2042</v>
      </c>
      <c r="C1179" s="1" t="s">
        <v>249</v>
      </c>
      <c r="D1179" s="2">
        <v>46057.45361111111</v>
      </c>
      <c r="E1179" s="1" t="s">
        <v>3076</v>
      </c>
      <c r="F1179" s="1" t="b">
        <v>0</v>
      </c>
    </row>
    <row r="1180">
      <c r="A1180" s="1" t="s">
        <v>1522</v>
      </c>
      <c r="B1180" s="1" t="s">
        <v>2046</v>
      </c>
      <c r="C1180" s="1">
        <v>574085.0</v>
      </c>
      <c r="D1180" s="2">
        <v>46057.471342592595</v>
      </c>
      <c r="E1180" s="1" t="s">
        <v>3077</v>
      </c>
      <c r="F1180" s="1" t="b">
        <v>0</v>
      </c>
    </row>
    <row r="1181">
      <c r="A1181" s="1" t="s">
        <v>1522</v>
      </c>
      <c r="B1181" s="1" t="s">
        <v>2042</v>
      </c>
      <c r="C1181" s="1" t="s">
        <v>249</v>
      </c>
      <c r="D1181" s="2">
        <v>46057.47351851852</v>
      </c>
      <c r="E1181" s="1" t="s">
        <v>3078</v>
      </c>
      <c r="F1181" s="1" t="b">
        <v>0</v>
      </c>
    </row>
    <row r="1182">
      <c r="A1182" s="1" t="s">
        <v>1522</v>
      </c>
      <c r="B1182" s="1" t="s">
        <v>2042</v>
      </c>
      <c r="C1182" s="1" t="s">
        <v>249</v>
      </c>
      <c r="D1182" s="2">
        <v>46057.48059027778</v>
      </c>
      <c r="E1182" s="1" t="s">
        <v>3079</v>
      </c>
      <c r="F1182" s="1" t="b">
        <v>0</v>
      </c>
    </row>
    <row r="1183">
      <c r="A1183" s="1" t="s">
        <v>1522</v>
      </c>
      <c r="B1183" s="1" t="s">
        <v>2042</v>
      </c>
      <c r="C1183" s="1" t="s">
        <v>249</v>
      </c>
      <c r="D1183" s="2">
        <v>46057.480717592596</v>
      </c>
      <c r="F1183" s="1" t="b">
        <v>0</v>
      </c>
    </row>
    <row r="1184">
      <c r="A1184" s="1" t="s">
        <v>1522</v>
      </c>
      <c r="B1184" s="1" t="s">
        <v>2046</v>
      </c>
      <c r="C1184" s="1">
        <v>574085.0</v>
      </c>
      <c r="D1184" s="2">
        <v>46057.483819444446</v>
      </c>
      <c r="E1184" s="1" t="s">
        <v>3080</v>
      </c>
      <c r="F1184" s="1" t="b">
        <v>0</v>
      </c>
    </row>
    <row r="1185">
      <c r="A1185" s="1" t="s">
        <v>1522</v>
      </c>
      <c r="B1185" s="1" t="s">
        <v>2046</v>
      </c>
      <c r="C1185" s="1">
        <v>574085.0</v>
      </c>
      <c r="D1185" s="2">
        <v>46057.48471064815</v>
      </c>
      <c r="E1185" s="1" t="s">
        <v>3081</v>
      </c>
      <c r="F1185" s="1" t="b">
        <v>0</v>
      </c>
    </row>
    <row r="1186">
      <c r="A1186" s="1" t="s">
        <v>1522</v>
      </c>
      <c r="B1186" s="1" t="s">
        <v>2042</v>
      </c>
      <c r="C1186" s="1" t="s">
        <v>249</v>
      </c>
      <c r="D1186" s="2">
        <v>46057.485034722224</v>
      </c>
      <c r="E1186" s="1" t="s">
        <v>3082</v>
      </c>
      <c r="F1186" s="1" t="b">
        <v>0</v>
      </c>
    </row>
    <row r="1187">
      <c r="A1187" s="1" t="s">
        <v>1522</v>
      </c>
      <c r="B1187" s="1" t="s">
        <v>2046</v>
      </c>
      <c r="C1187" s="1">
        <v>574085.0</v>
      </c>
      <c r="D1187" s="2">
        <v>46057.48768518519</v>
      </c>
      <c r="E1187" s="1" t="s">
        <v>3083</v>
      </c>
      <c r="F1187" s="1" t="b">
        <v>0</v>
      </c>
    </row>
    <row r="1188">
      <c r="A1188" s="1" t="s">
        <v>1522</v>
      </c>
      <c r="B1188" s="1" t="s">
        <v>2046</v>
      </c>
      <c r="C1188" s="1">
        <v>574085.0</v>
      </c>
      <c r="D1188" s="2">
        <v>46057.49366898148</v>
      </c>
      <c r="E1188" s="1" t="s">
        <v>3084</v>
      </c>
      <c r="F1188" s="1" t="b">
        <v>0</v>
      </c>
    </row>
    <row r="1189">
      <c r="A1189" s="1" t="s">
        <v>1522</v>
      </c>
      <c r="B1189" s="1" t="s">
        <v>2042</v>
      </c>
      <c r="C1189" s="1" t="s">
        <v>249</v>
      </c>
      <c r="D1189" s="2">
        <v>46057.497395833336</v>
      </c>
      <c r="E1189" s="1" t="s">
        <v>3085</v>
      </c>
      <c r="F1189" s="1" t="b">
        <v>0</v>
      </c>
    </row>
    <row r="1190">
      <c r="A1190" s="1" t="s">
        <v>1522</v>
      </c>
      <c r="B1190" s="1" t="s">
        <v>2042</v>
      </c>
      <c r="C1190" s="1" t="s">
        <v>249</v>
      </c>
      <c r="D1190" s="2">
        <v>46057.49854166667</v>
      </c>
      <c r="F1190" s="1" t="b">
        <v>0</v>
      </c>
    </row>
    <row r="1191">
      <c r="A1191" s="1" t="s">
        <v>1522</v>
      </c>
      <c r="B1191" s="1" t="s">
        <v>2042</v>
      </c>
      <c r="C1191" s="1" t="s">
        <v>249</v>
      </c>
      <c r="D1191" s="2">
        <v>46057.49858796296</v>
      </c>
      <c r="E1191" s="1" t="s">
        <v>3086</v>
      </c>
      <c r="F1191" s="1" t="b">
        <v>0</v>
      </c>
    </row>
    <row r="1192">
      <c r="A1192" s="1" t="s">
        <v>1522</v>
      </c>
      <c r="B1192" s="1" t="s">
        <v>2046</v>
      </c>
      <c r="C1192" s="1">
        <v>574085.0</v>
      </c>
      <c r="D1192" s="2">
        <v>46057.49959490741</v>
      </c>
      <c r="E1192" s="1" t="s">
        <v>3087</v>
      </c>
      <c r="F1192" s="1" t="b">
        <v>0</v>
      </c>
    </row>
    <row r="1193">
      <c r="A1193" s="1" t="s">
        <v>1522</v>
      </c>
      <c r="B1193" s="1" t="s">
        <v>2042</v>
      </c>
      <c r="C1193" s="1" t="s">
        <v>249</v>
      </c>
      <c r="D1193" s="2">
        <v>46057.49996527778</v>
      </c>
      <c r="E1193" s="1" t="s">
        <v>3088</v>
      </c>
      <c r="F1193" s="1" t="b">
        <v>0</v>
      </c>
    </row>
    <row r="1194">
      <c r="A1194" s="1" t="s">
        <v>1522</v>
      </c>
      <c r="B1194" s="1" t="s">
        <v>2046</v>
      </c>
      <c r="C1194" s="1">
        <v>574085.0</v>
      </c>
      <c r="D1194" s="2">
        <v>46057.501076388886</v>
      </c>
      <c r="E1194" s="6" t="s">
        <v>3089</v>
      </c>
      <c r="F1194" s="1" t="b">
        <v>0</v>
      </c>
    </row>
    <row r="1195">
      <c r="A1195" s="1" t="s">
        <v>1522</v>
      </c>
      <c r="B1195" s="1" t="s">
        <v>2046</v>
      </c>
      <c r="C1195" s="1">
        <v>574085.0</v>
      </c>
      <c r="D1195" s="2">
        <v>46057.50142361111</v>
      </c>
      <c r="E1195" s="1" t="s">
        <v>3090</v>
      </c>
      <c r="F1195" s="1" t="b">
        <v>0</v>
      </c>
    </row>
    <row r="1196">
      <c r="A1196" s="1" t="s">
        <v>1522</v>
      </c>
      <c r="B1196" s="1" t="s">
        <v>2042</v>
      </c>
      <c r="C1196" s="1" t="s">
        <v>249</v>
      </c>
      <c r="D1196" s="2">
        <v>46057.50146990741</v>
      </c>
      <c r="E1196" s="1" t="s">
        <v>3091</v>
      </c>
      <c r="F1196" s="1" t="b">
        <v>0</v>
      </c>
    </row>
    <row r="1197">
      <c r="A1197" s="1" t="s">
        <v>1522</v>
      </c>
      <c r="B1197" s="1" t="s">
        <v>2046</v>
      </c>
      <c r="C1197" s="1">
        <v>574085.0</v>
      </c>
      <c r="D1197" s="2">
        <v>46057.50203703704</v>
      </c>
      <c r="E1197" s="1" t="s">
        <v>3092</v>
      </c>
      <c r="F1197" s="1" t="b">
        <v>0</v>
      </c>
    </row>
    <row r="1198">
      <c r="A1198" s="1" t="s">
        <v>1522</v>
      </c>
      <c r="B1198" s="1" t="s">
        <v>2046</v>
      </c>
      <c r="C1198" s="1">
        <v>574085.0</v>
      </c>
      <c r="D1198" s="2">
        <v>46057.5134837963</v>
      </c>
      <c r="E1198" s="1" t="s">
        <v>3093</v>
      </c>
      <c r="F1198" s="1" t="b">
        <v>0</v>
      </c>
    </row>
    <row r="1199">
      <c r="A1199" s="1" t="s">
        <v>1522</v>
      </c>
      <c r="B1199" s="1" t="s">
        <v>2042</v>
      </c>
      <c r="C1199" s="1" t="s">
        <v>249</v>
      </c>
      <c r="D1199" s="2">
        <v>46057.52005787037</v>
      </c>
      <c r="E1199" s="1" t="s">
        <v>3094</v>
      </c>
      <c r="F1199" s="1" t="b">
        <v>0</v>
      </c>
    </row>
    <row r="1200">
      <c r="A1200" s="1" t="s">
        <v>1522</v>
      </c>
      <c r="B1200" s="1" t="s">
        <v>2046</v>
      </c>
      <c r="C1200" s="1">
        <v>607950.0</v>
      </c>
      <c r="D1200" s="2">
        <v>46057.58474537037</v>
      </c>
      <c r="E1200" s="1" t="s">
        <v>3095</v>
      </c>
      <c r="F1200" s="1" t="b">
        <v>0</v>
      </c>
    </row>
    <row r="1201">
      <c r="A1201" s="1" t="s">
        <v>1522</v>
      </c>
      <c r="B1201" s="1" t="s">
        <v>2046</v>
      </c>
      <c r="C1201" s="1">
        <v>607950.0</v>
      </c>
      <c r="D1201" s="2">
        <v>46057.602800925924</v>
      </c>
      <c r="E1201" s="1" t="s">
        <v>2739</v>
      </c>
      <c r="F1201" s="1" t="b">
        <v>0</v>
      </c>
    </row>
    <row r="1202">
      <c r="A1202" s="1" t="s">
        <v>1522</v>
      </c>
      <c r="B1202" s="1" t="s">
        <v>2042</v>
      </c>
      <c r="C1202" s="1" t="s">
        <v>249</v>
      </c>
      <c r="D1202" s="2">
        <v>46057.640185185184</v>
      </c>
      <c r="E1202" s="1" t="s">
        <v>3096</v>
      </c>
      <c r="F1202" s="1" t="b">
        <v>0</v>
      </c>
    </row>
    <row r="1203">
      <c r="A1203" s="1" t="s">
        <v>1522</v>
      </c>
      <c r="B1203" s="1" t="s">
        <v>2046</v>
      </c>
      <c r="C1203" s="1">
        <v>607950.0</v>
      </c>
      <c r="D1203" s="2">
        <v>46057.64056712963</v>
      </c>
      <c r="E1203" s="1" t="s">
        <v>3097</v>
      </c>
      <c r="F1203" s="1" t="b">
        <v>0</v>
      </c>
    </row>
    <row r="1204">
      <c r="A1204" s="1" t="s">
        <v>1522</v>
      </c>
      <c r="B1204" s="1" t="s">
        <v>2046</v>
      </c>
      <c r="C1204" s="1">
        <v>607950.0</v>
      </c>
      <c r="D1204" s="2">
        <v>46057.64392361111</v>
      </c>
      <c r="E1204" s="1" t="s">
        <v>2108</v>
      </c>
      <c r="F1204" s="1" t="b">
        <v>0</v>
      </c>
    </row>
    <row r="1205">
      <c r="A1205" s="1" t="s">
        <v>1562</v>
      </c>
      <c r="B1205" s="1" t="s">
        <v>2042</v>
      </c>
      <c r="C1205" s="1" t="s">
        <v>249</v>
      </c>
      <c r="D1205" s="2">
        <v>46056.507361111115</v>
      </c>
      <c r="E1205" s="1" t="s">
        <v>3098</v>
      </c>
      <c r="F1205" s="1" t="b">
        <v>0</v>
      </c>
    </row>
    <row r="1206">
      <c r="A1206" s="1" t="s">
        <v>1562</v>
      </c>
      <c r="B1206" s="1" t="s">
        <v>2046</v>
      </c>
      <c r="C1206" s="1">
        <v>607950.0</v>
      </c>
      <c r="D1206" s="2">
        <v>46056.50747685185</v>
      </c>
      <c r="E1206" s="1" t="s">
        <v>2752</v>
      </c>
      <c r="F1206" s="1" t="b">
        <v>0</v>
      </c>
    </row>
    <row r="1207">
      <c r="A1207" s="1" t="s">
        <v>1562</v>
      </c>
      <c r="B1207" s="1" t="s">
        <v>2046</v>
      </c>
      <c r="C1207" s="1">
        <v>607950.0</v>
      </c>
      <c r="D1207" s="2">
        <v>46056.51068287037</v>
      </c>
      <c r="E1207" s="1" t="s">
        <v>3099</v>
      </c>
      <c r="F1207" s="1" t="b">
        <v>0</v>
      </c>
    </row>
    <row r="1208">
      <c r="A1208" s="1" t="s">
        <v>1562</v>
      </c>
      <c r="B1208" s="1" t="s">
        <v>2042</v>
      </c>
      <c r="C1208" s="1" t="s">
        <v>249</v>
      </c>
      <c r="D1208" s="2">
        <v>46056.51076388889</v>
      </c>
      <c r="E1208" s="1" t="s">
        <v>2049</v>
      </c>
      <c r="F1208" s="1" t="b">
        <v>0</v>
      </c>
    </row>
    <row r="1209">
      <c r="A1209" s="1" t="s">
        <v>1562</v>
      </c>
      <c r="B1209" s="1" t="s">
        <v>2046</v>
      </c>
      <c r="C1209" s="1">
        <v>607950.0</v>
      </c>
      <c r="D1209" s="2">
        <v>46056.51090277778</v>
      </c>
      <c r="E1209" s="1" t="s">
        <v>3100</v>
      </c>
      <c r="F1209" s="1" t="b">
        <v>1</v>
      </c>
    </row>
    <row r="1210">
      <c r="A1210" s="1" t="s">
        <v>1562</v>
      </c>
      <c r="B1210" s="1" t="s">
        <v>2150</v>
      </c>
      <c r="C1210" s="1" t="s">
        <v>2151</v>
      </c>
      <c r="D1210" s="2">
        <v>46056.51100694444</v>
      </c>
      <c r="E1210" s="1" t="s">
        <v>3101</v>
      </c>
      <c r="F1210" s="1" t="b">
        <v>1</v>
      </c>
    </row>
    <row r="1211">
      <c r="A1211" s="1" t="s">
        <v>1562</v>
      </c>
      <c r="B1211" s="1" t="s">
        <v>2046</v>
      </c>
      <c r="C1211" s="1">
        <v>607950.0</v>
      </c>
      <c r="D1211" s="2">
        <v>46056.5165162037</v>
      </c>
      <c r="E1211" s="1" t="s">
        <v>3102</v>
      </c>
      <c r="F1211" s="1" t="b">
        <v>1</v>
      </c>
    </row>
    <row r="1212">
      <c r="A1212" s="1" t="s">
        <v>1562</v>
      </c>
      <c r="B1212" s="1" t="s">
        <v>2150</v>
      </c>
      <c r="C1212" s="1" t="s">
        <v>2151</v>
      </c>
      <c r="D1212" s="2">
        <v>46056.516689814816</v>
      </c>
      <c r="E1212" s="1" t="s">
        <v>3103</v>
      </c>
      <c r="F1212" s="1" t="b">
        <v>1</v>
      </c>
    </row>
    <row r="1213">
      <c r="A1213" s="1" t="s">
        <v>1562</v>
      </c>
      <c r="B1213" s="1" t="s">
        <v>2042</v>
      </c>
      <c r="C1213" s="1" t="s">
        <v>249</v>
      </c>
      <c r="D1213" s="2">
        <v>46056.523043981484</v>
      </c>
      <c r="E1213" s="1" t="s">
        <v>3104</v>
      </c>
      <c r="F1213" s="1" t="b">
        <v>0</v>
      </c>
    </row>
    <row r="1214">
      <c r="A1214" s="1" t="s">
        <v>1562</v>
      </c>
      <c r="B1214" s="1" t="s">
        <v>2046</v>
      </c>
      <c r="C1214" s="1">
        <v>607950.0</v>
      </c>
      <c r="D1214" s="2">
        <v>46056.526458333334</v>
      </c>
      <c r="E1214" s="1" t="s">
        <v>3105</v>
      </c>
      <c r="F1214" s="1" t="b">
        <v>0</v>
      </c>
    </row>
    <row r="1215">
      <c r="A1215" s="1" t="s">
        <v>1562</v>
      </c>
      <c r="B1215" s="1" t="s">
        <v>2042</v>
      </c>
      <c r="C1215" s="1" t="s">
        <v>249</v>
      </c>
      <c r="D1215" s="2">
        <v>46056.52667824074</v>
      </c>
      <c r="E1215" s="1" t="s">
        <v>3106</v>
      </c>
      <c r="F1215" s="1" t="b">
        <v>0</v>
      </c>
    </row>
    <row r="1216">
      <c r="A1216" s="1" t="s">
        <v>1562</v>
      </c>
      <c r="B1216" s="1" t="s">
        <v>2046</v>
      </c>
      <c r="C1216" s="1">
        <v>607950.0</v>
      </c>
      <c r="D1216" s="2">
        <v>46056.56613425926</v>
      </c>
      <c r="E1216" s="1" t="s">
        <v>3107</v>
      </c>
      <c r="F1216" s="1" t="b">
        <v>0</v>
      </c>
    </row>
    <row r="1217">
      <c r="A1217" s="1" t="s">
        <v>1562</v>
      </c>
      <c r="B1217" s="1" t="s">
        <v>2042</v>
      </c>
      <c r="C1217" s="1" t="s">
        <v>249</v>
      </c>
      <c r="D1217" s="2">
        <v>46056.59025462963</v>
      </c>
      <c r="E1217" s="1" t="s">
        <v>2560</v>
      </c>
      <c r="F1217" s="1" t="b">
        <v>0</v>
      </c>
    </row>
    <row r="1218">
      <c r="A1218" s="1" t="s">
        <v>1562</v>
      </c>
      <c r="B1218" s="1" t="s">
        <v>2046</v>
      </c>
      <c r="C1218" s="1">
        <v>607950.0</v>
      </c>
      <c r="D1218" s="2">
        <v>46056.59050925926</v>
      </c>
      <c r="E1218" s="1" t="s">
        <v>3108</v>
      </c>
      <c r="F1218" s="1" t="b">
        <v>0</v>
      </c>
    </row>
    <row r="1219">
      <c r="A1219" s="1" t="s">
        <v>1562</v>
      </c>
      <c r="B1219" s="1" t="s">
        <v>2042</v>
      </c>
      <c r="C1219" s="1" t="s">
        <v>249</v>
      </c>
      <c r="D1219" s="2">
        <v>46056.59226851852</v>
      </c>
      <c r="E1219" s="1" t="s">
        <v>3109</v>
      </c>
      <c r="F1219" s="1" t="b">
        <v>0</v>
      </c>
    </row>
    <row r="1220">
      <c r="A1220" s="1" t="s">
        <v>1562</v>
      </c>
      <c r="B1220" s="1" t="s">
        <v>2046</v>
      </c>
      <c r="C1220" s="1">
        <v>607950.0</v>
      </c>
      <c r="D1220" s="2">
        <v>46056.592511574076</v>
      </c>
      <c r="E1220" s="1" t="s">
        <v>3110</v>
      </c>
      <c r="F1220" s="1" t="b">
        <v>0</v>
      </c>
    </row>
    <row r="1221">
      <c r="A1221" s="1" t="s">
        <v>1562</v>
      </c>
      <c r="B1221" s="1" t="s">
        <v>2046</v>
      </c>
      <c r="C1221" s="1">
        <v>607950.0</v>
      </c>
      <c r="D1221" s="2">
        <v>46056.597916666666</v>
      </c>
      <c r="E1221" s="1" t="s">
        <v>3111</v>
      </c>
      <c r="F1221" s="1" t="b">
        <v>0</v>
      </c>
    </row>
    <row r="1222">
      <c r="A1222" s="1" t="s">
        <v>1558</v>
      </c>
      <c r="B1222" s="1" t="s">
        <v>2042</v>
      </c>
      <c r="C1222" s="1" t="s">
        <v>1560</v>
      </c>
      <c r="D1222" s="2">
        <v>46056.517743055556</v>
      </c>
      <c r="E1222" s="1" t="s">
        <v>3112</v>
      </c>
      <c r="F1222" s="1" t="b">
        <v>0</v>
      </c>
    </row>
    <row r="1223">
      <c r="A1223" s="1" t="s">
        <v>1558</v>
      </c>
      <c r="B1223" s="1" t="s">
        <v>2046</v>
      </c>
      <c r="C1223" s="1">
        <v>607950.0</v>
      </c>
      <c r="D1223" s="2">
        <v>46056.51789351852</v>
      </c>
      <c r="E1223" s="1" t="s">
        <v>2752</v>
      </c>
      <c r="F1223" s="1" t="b">
        <v>0</v>
      </c>
    </row>
    <row r="1224">
      <c r="A1224" s="1" t="s">
        <v>1558</v>
      </c>
      <c r="B1224" s="1" t="s">
        <v>2042</v>
      </c>
      <c r="C1224" s="1" t="s">
        <v>1560</v>
      </c>
      <c r="D1224" s="2">
        <v>46056.51803240741</v>
      </c>
      <c r="F1224" s="1" t="b">
        <v>0</v>
      </c>
    </row>
    <row r="1225">
      <c r="A1225" s="1" t="s">
        <v>1558</v>
      </c>
      <c r="B1225" s="1" t="s">
        <v>2042</v>
      </c>
      <c r="C1225" s="1" t="s">
        <v>1560</v>
      </c>
      <c r="D1225" s="2">
        <v>46056.518159722225</v>
      </c>
      <c r="F1225" s="1" t="b">
        <v>0</v>
      </c>
    </row>
    <row r="1226">
      <c r="A1226" s="1" t="s">
        <v>1558</v>
      </c>
      <c r="B1226" s="1" t="s">
        <v>2042</v>
      </c>
      <c r="C1226" s="1" t="s">
        <v>1560</v>
      </c>
      <c r="D1226" s="2">
        <v>46056.51832175926</v>
      </c>
      <c r="E1226" s="1" t="s">
        <v>3113</v>
      </c>
      <c r="F1226" s="1" t="b">
        <v>0</v>
      </c>
    </row>
    <row r="1227">
      <c r="A1227" s="1" t="s">
        <v>1558</v>
      </c>
      <c r="B1227" s="1" t="s">
        <v>2046</v>
      </c>
      <c r="C1227" s="1">
        <v>574085.0</v>
      </c>
      <c r="D1227" s="2">
        <v>46056.572905092595</v>
      </c>
      <c r="E1227" s="1" t="s">
        <v>3114</v>
      </c>
      <c r="F1227" s="1" t="b">
        <v>1</v>
      </c>
    </row>
    <row r="1228">
      <c r="A1228" s="1" t="s">
        <v>1558</v>
      </c>
      <c r="B1228" s="1" t="s">
        <v>2046</v>
      </c>
      <c r="C1228" s="1">
        <v>574085.0</v>
      </c>
      <c r="D1228" s="2">
        <v>46056.57539351852</v>
      </c>
      <c r="E1228" s="1" t="s">
        <v>3115</v>
      </c>
      <c r="F1228" s="1" t="b">
        <v>1</v>
      </c>
    </row>
    <row r="1229">
      <c r="A1229" s="1" t="s">
        <v>1558</v>
      </c>
      <c r="B1229" s="1" t="s">
        <v>2046</v>
      </c>
      <c r="C1229" s="1">
        <v>574085.0</v>
      </c>
      <c r="D1229" s="2">
        <v>46056.57597222222</v>
      </c>
      <c r="E1229" s="1" t="s">
        <v>3116</v>
      </c>
      <c r="F1229" s="1" t="b">
        <v>1</v>
      </c>
    </row>
    <row r="1230">
      <c r="A1230" s="1" t="s">
        <v>1558</v>
      </c>
      <c r="B1230" s="1" t="s">
        <v>2046</v>
      </c>
      <c r="C1230" s="1">
        <v>574085.0</v>
      </c>
      <c r="D1230" s="2">
        <v>46056.58047453704</v>
      </c>
      <c r="E1230" s="1" t="s">
        <v>3117</v>
      </c>
      <c r="F1230" s="1" t="b">
        <v>1</v>
      </c>
    </row>
    <row r="1231">
      <c r="A1231" s="1" t="s">
        <v>1558</v>
      </c>
      <c r="B1231" s="1" t="s">
        <v>2046</v>
      </c>
      <c r="C1231" s="1">
        <v>607950.0</v>
      </c>
      <c r="D1231" s="2">
        <v>46056.58232638889</v>
      </c>
      <c r="E1231" s="1" t="s">
        <v>3118</v>
      </c>
      <c r="F1231" s="1" t="b">
        <v>1</v>
      </c>
    </row>
    <row r="1232">
      <c r="A1232" s="1" t="s">
        <v>1558</v>
      </c>
      <c r="B1232" s="1" t="s">
        <v>2046</v>
      </c>
      <c r="C1232" s="1">
        <v>607950.0</v>
      </c>
      <c r="D1232" s="2">
        <v>46056.58472222222</v>
      </c>
      <c r="E1232" s="1" t="s">
        <v>3119</v>
      </c>
      <c r="F1232" s="1" t="b">
        <v>0</v>
      </c>
    </row>
    <row r="1233">
      <c r="A1233" s="1" t="s">
        <v>1558</v>
      </c>
      <c r="B1233" s="1" t="s">
        <v>2042</v>
      </c>
      <c r="C1233" s="1" t="s">
        <v>1560</v>
      </c>
      <c r="D1233" s="2">
        <v>46056.586493055554</v>
      </c>
      <c r="F1233" s="1" t="b">
        <v>0</v>
      </c>
    </row>
    <row r="1234">
      <c r="A1234" s="1" t="s">
        <v>1558</v>
      </c>
      <c r="B1234" s="1" t="s">
        <v>2042</v>
      </c>
      <c r="C1234" s="1" t="s">
        <v>1560</v>
      </c>
      <c r="D1234" s="2">
        <v>46056.58658564815</v>
      </c>
      <c r="E1234" s="1" t="s">
        <v>3120</v>
      </c>
      <c r="F1234" s="1" t="b">
        <v>0</v>
      </c>
    </row>
    <row r="1235">
      <c r="A1235" s="1" t="s">
        <v>1558</v>
      </c>
      <c r="B1235" s="1" t="s">
        <v>2046</v>
      </c>
      <c r="C1235" s="1">
        <v>574085.0</v>
      </c>
      <c r="D1235" s="2">
        <v>46056.58721064815</v>
      </c>
      <c r="E1235" s="1" t="s">
        <v>3121</v>
      </c>
      <c r="F1235" s="1" t="b">
        <v>1</v>
      </c>
    </row>
    <row r="1236">
      <c r="A1236" s="1" t="s">
        <v>1558</v>
      </c>
      <c r="B1236" s="1" t="s">
        <v>2046</v>
      </c>
      <c r="C1236" s="1">
        <v>607950.0</v>
      </c>
      <c r="D1236" s="2">
        <v>46056.587476851855</v>
      </c>
      <c r="E1236" s="1" t="s">
        <v>3122</v>
      </c>
      <c r="F1236" s="1" t="b">
        <v>0</v>
      </c>
    </row>
    <row r="1237">
      <c r="A1237" s="1" t="s">
        <v>1558</v>
      </c>
      <c r="B1237" s="1" t="s">
        <v>2042</v>
      </c>
      <c r="C1237" s="1" t="s">
        <v>1560</v>
      </c>
      <c r="D1237" s="2">
        <v>46056.587696759256</v>
      </c>
      <c r="E1237" s="1" t="s">
        <v>3123</v>
      </c>
      <c r="F1237" s="1" t="b">
        <v>0</v>
      </c>
    </row>
    <row r="1238">
      <c r="A1238" s="1" t="s">
        <v>1558</v>
      </c>
      <c r="B1238" s="1" t="s">
        <v>2046</v>
      </c>
      <c r="C1238" s="1">
        <v>607950.0</v>
      </c>
      <c r="D1238" s="2">
        <v>46056.58796296296</v>
      </c>
      <c r="E1238" s="1" t="s">
        <v>2254</v>
      </c>
      <c r="F1238" s="1" t="b">
        <v>1</v>
      </c>
    </row>
    <row r="1239">
      <c r="A1239" s="1" t="s">
        <v>1558</v>
      </c>
      <c r="B1239" s="1" t="s">
        <v>2150</v>
      </c>
      <c r="C1239" s="1" t="s">
        <v>2151</v>
      </c>
      <c r="D1239" s="2">
        <v>46056.588159722225</v>
      </c>
      <c r="E1239" s="1" t="s">
        <v>3124</v>
      </c>
      <c r="F1239" s="1" t="b">
        <v>1</v>
      </c>
    </row>
    <row r="1240">
      <c r="A1240" s="1" t="s">
        <v>1558</v>
      </c>
      <c r="B1240" s="1" t="s">
        <v>2046</v>
      </c>
      <c r="C1240" s="1">
        <v>607950.0</v>
      </c>
      <c r="D1240" s="2">
        <v>46056.66318287037</v>
      </c>
      <c r="E1240" s="1" t="s">
        <v>3125</v>
      </c>
      <c r="F1240" s="1" t="b">
        <v>0</v>
      </c>
    </row>
    <row r="1241">
      <c r="A1241" s="1" t="s">
        <v>1558</v>
      </c>
      <c r="B1241" s="1" t="s">
        <v>2042</v>
      </c>
      <c r="C1241" s="1" t="s">
        <v>1560</v>
      </c>
      <c r="D1241" s="2">
        <v>46056.66506944445</v>
      </c>
      <c r="E1241" s="1" t="s">
        <v>3126</v>
      </c>
      <c r="F1241" s="1" t="b">
        <v>0</v>
      </c>
    </row>
    <row r="1242">
      <c r="A1242" s="1" t="s">
        <v>1558</v>
      </c>
      <c r="B1242" s="1" t="s">
        <v>2046</v>
      </c>
      <c r="C1242" s="1">
        <v>607950.0</v>
      </c>
      <c r="D1242" s="2">
        <v>46056.6691087963</v>
      </c>
      <c r="E1242" s="1" t="s">
        <v>3127</v>
      </c>
      <c r="F1242" s="1" t="b">
        <v>0</v>
      </c>
    </row>
    <row r="1243">
      <c r="A1243" s="1" t="s">
        <v>1558</v>
      </c>
      <c r="B1243" s="1" t="s">
        <v>2042</v>
      </c>
      <c r="C1243" s="1" t="s">
        <v>1560</v>
      </c>
      <c r="D1243" s="2">
        <v>46056.671643518515</v>
      </c>
      <c r="E1243" s="1" t="s">
        <v>3128</v>
      </c>
      <c r="F1243" s="1" t="b">
        <v>0</v>
      </c>
    </row>
    <row r="1244">
      <c r="A1244" s="1" t="s">
        <v>1558</v>
      </c>
      <c r="B1244" s="1" t="s">
        <v>2046</v>
      </c>
      <c r="C1244" s="1">
        <v>607950.0</v>
      </c>
      <c r="D1244" s="2">
        <v>46056.67177083333</v>
      </c>
      <c r="E1244" s="1" t="s">
        <v>2108</v>
      </c>
      <c r="F1244" s="1" t="b">
        <v>0</v>
      </c>
    </row>
    <row r="1245">
      <c r="A1245" s="1" t="s">
        <v>1554</v>
      </c>
      <c r="B1245" s="1" t="s">
        <v>2042</v>
      </c>
      <c r="C1245" s="1" t="s">
        <v>1556</v>
      </c>
      <c r="D1245" s="2">
        <v>46056.53040509259</v>
      </c>
      <c r="E1245" s="1" t="s">
        <v>3129</v>
      </c>
      <c r="F1245" s="1" t="b">
        <v>0</v>
      </c>
    </row>
    <row r="1246">
      <c r="A1246" s="1" t="s">
        <v>1554</v>
      </c>
      <c r="B1246" s="1" t="s">
        <v>2042</v>
      </c>
      <c r="C1246" s="1" t="s">
        <v>1556</v>
      </c>
      <c r="D1246" s="2">
        <v>46056.53141203704</v>
      </c>
      <c r="E1246" s="1" t="s">
        <v>3130</v>
      </c>
      <c r="F1246" s="1" t="b">
        <v>0</v>
      </c>
    </row>
    <row r="1247">
      <c r="A1247" s="1" t="s">
        <v>1554</v>
      </c>
      <c r="B1247" s="1" t="s">
        <v>2042</v>
      </c>
      <c r="C1247" s="1" t="s">
        <v>1556</v>
      </c>
      <c r="D1247" s="2">
        <v>46056.53320601852</v>
      </c>
      <c r="E1247" s="6" t="s">
        <v>3131</v>
      </c>
      <c r="F1247" s="1" t="b">
        <v>0</v>
      </c>
    </row>
    <row r="1248">
      <c r="A1248" s="1" t="s">
        <v>1554</v>
      </c>
      <c r="B1248" s="1" t="s">
        <v>2042</v>
      </c>
      <c r="C1248" s="1" t="s">
        <v>1556</v>
      </c>
      <c r="D1248" s="2">
        <v>46056.53425925926</v>
      </c>
      <c r="E1248" s="1" t="s">
        <v>3132</v>
      </c>
      <c r="F1248" s="1" t="b">
        <v>0</v>
      </c>
    </row>
    <row r="1249">
      <c r="A1249" s="1" t="s">
        <v>1554</v>
      </c>
      <c r="B1249" s="1" t="s">
        <v>2042</v>
      </c>
      <c r="C1249" s="1" t="s">
        <v>1556</v>
      </c>
      <c r="D1249" s="2">
        <v>46056.53466435185</v>
      </c>
      <c r="E1249" s="1" t="s">
        <v>2292</v>
      </c>
      <c r="F1249" s="1" t="b">
        <v>0</v>
      </c>
    </row>
    <row r="1250">
      <c r="A1250" s="1" t="s">
        <v>1554</v>
      </c>
      <c r="B1250" s="1" t="s">
        <v>2042</v>
      </c>
      <c r="C1250" s="1" t="s">
        <v>1556</v>
      </c>
      <c r="D1250" s="2">
        <v>46056.53532407407</v>
      </c>
      <c r="E1250" s="1" t="s">
        <v>3133</v>
      </c>
      <c r="F1250" s="1" t="b">
        <v>0</v>
      </c>
    </row>
    <row r="1251">
      <c r="A1251" s="1" t="s">
        <v>1554</v>
      </c>
      <c r="B1251" s="1" t="s">
        <v>2046</v>
      </c>
      <c r="C1251" s="1">
        <v>607950.0</v>
      </c>
      <c r="D1251" s="2">
        <v>46056.56744212963</v>
      </c>
      <c r="E1251" s="1" t="s">
        <v>2752</v>
      </c>
      <c r="F1251" s="1" t="b">
        <v>0</v>
      </c>
    </row>
    <row r="1252">
      <c r="A1252" s="1" t="s">
        <v>1554</v>
      </c>
      <c r="B1252" s="1" t="s">
        <v>2046</v>
      </c>
      <c r="C1252" s="1">
        <v>607950.0</v>
      </c>
      <c r="D1252" s="2">
        <v>46056.568564814814</v>
      </c>
      <c r="E1252" s="1" t="s">
        <v>3134</v>
      </c>
      <c r="F1252" s="1" t="b">
        <v>1</v>
      </c>
    </row>
    <row r="1253">
      <c r="A1253" s="1" t="s">
        <v>1554</v>
      </c>
      <c r="B1253" s="1" t="s">
        <v>2150</v>
      </c>
      <c r="C1253" s="1" t="s">
        <v>2151</v>
      </c>
      <c r="D1253" s="2">
        <v>46056.56872685185</v>
      </c>
      <c r="E1253" s="1" t="s">
        <v>3135</v>
      </c>
      <c r="F1253" s="1" t="b">
        <v>1</v>
      </c>
    </row>
    <row r="1254">
      <c r="A1254" s="1" t="s">
        <v>1554</v>
      </c>
      <c r="B1254" s="1" t="s">
        <v>2046</v>
      </c>
      <c r="C1254" s="1">
        <v>607950.0</v>
      </c>
      <c r="D1254" s="2">
        <v>46056.59758101852</v>
      </c>
      <c r="E1254" s="1" t="s">
        <v>3136</v>
      </c>
      <c r="F1254" s="1" t="b">
        <v>0</v>
      </c>
    </row>
    <row r="1255">
      <c r="A1255" s="1" t="s">
        <v>1554</v>
      </c>
      <c r="B1255" s="1" t="s">
        <v>2046</v>
      </c>
      <c r="C1255" s="1">
        <v>607950.0</v>
      </c>
      <c r="D1255" s="2">
        <v>46056.59984953704</v>
      </c>
      <c r="E1255" s="1" t="s">
        <v>3137</v>
      </c>
      <c r="F1255" s="1" t="b">
        <v>0</v>
      </c>
    </row>
    <row r="1256">
      <c r="A1256" s="1" t="s">
        <v>1554</v>
      </c>
      <c r="B1256" s="1" t="s">
        <v>2042</v>
      </c>
      <c r="C1256" s="1" t="s">
        <v>1556</v>
      </c>
      <c r="D1256" s="2">
        <v>46056.603310185186</v>
      </c>
      <c r="E1256" s="1" t="s">
        <v>3138</v>
      </c>
      <c r="F1256" s="1" t="b">
        <v>0</v>
      </c>
    </row>
    <row r="1257">
      <c r="A1257" s="1" t="s">
        <v>1554</v>
      </c>
      <c r="B1257" s="1" t="s">
        <v>2046</v>
      </c>
      <c r="C1257" s="1">
        <v>607950.0</v>
      </c>
      <c r="D1257" s="2">
        <v>46056.60364583333</v>
      </c>
      <c r="E1257" s="1" t="s">
        <v>3139</v>
      </c>
      <c r="F1257" s="1" t="b">
        <v>0</v>
      </c>
    </row>
    <row r="1258">
      <c r="A1258" s="1" t="s">
        <v>1554</v>
      </c>
      <c r="B1258" s="1" t="s">
        <v>2046</v>
      </c>
      <c r="C1258" s="1">
        <v>607950.0</v>
      </c>
      <c r="D1258" s="2">
        <v>46056.60375</v>
      </c>
      <c r="E1258" s="1" t="s">
        <v>3140</v>
      </c>
      <c r="F1258" s="1" t="b">
        <v>0</v>
      </c>
    </row>
    <row r="1259">
      <c r="A1259" s="1" t="s">
        <v>1554</v>
      </c>
      <c r="B1259" s="1" t="s">
        <v>2042</v>
      </c>
      <c r="C1259" s="1" t="s">
        <v>1556</v>
      </c>
      <c r="D1259" s="2">
        <v>46056.604733796295</v>
      </c>
      <c r="E1259" s="1" t="s">
        <v>3141</v>
      </c>
      <c r="F1259" s="1" t="b">
        <v>0</v>
      </c>
    </row>
    <row r="1260">
      <c r="A1260" s="1" t="s">
        <v>1554</v>
      </c>
      <c r="B1260" s="1" t="s">
        <v>2046</v>
      </c>
      <c r="C1260" s="1">
        <v>607950.0</v>
      </c>
      <c r="D1260" s="2">
        <v>46056.60650462963</v>
      </c>
      <c r="E1260" s="1" t="s">
        <v>3142</v>
      </c>
      <c r="F1260" s="1" t="b">
        <v>0</v>
      </c>
    </row>
    <row r="1261">
      <c r="A1261" s="1" t="s">
        <v>1554</v>
      </c>
      <c r="B1261" s="1" t="s">
        <v>2042</v>
      </c>
      <c r="C1261" s="1" t="s">
        <v>1556</v>
      </c>
      <c r="D1261" s="2">
        <v>46056.607615740744</v>
      </c>
      <c r="E1261" s="1" t="s">
        <v>3143</v>
      </c>
      <c r="F1261" s="1" t="b">
        <v>0</v>
      </c>
    </row>
    <row r="1262">
      <c r="A1262" s="1" t="s">
        <v>1554</v>
      </c>
      <c r="B1262" s="1" t="s">
        <v>2046</v>
      </c>
      <c r="C1262" s="1">
        <v>607950.0</v>
      </c>
      <c r="D1262" s="2">
        <v>46056.60802083334</v>
      </c>
      <c r="E1262" s="1" t="s">
        <v>3144</v>
      </c>
      <c r="F1262" s="1" t="b">
        <v>0</v>
      </c>
    </row>
    <row r="1263">
      <c r="A1263" s="1" t="s">
        <v>1554</v>
      </c>
      <c r="B1263" s="1" t="s">
        <v>2046</v>
      </c>
      <c r="C1263" s="1">
        <v>607950.0</v>
      </c>
      <c r="D1263" s="2">
        <v>46056.610983796294</v>
      </c>
      <c r="E1263" s="1" t="s">
        <v>3145</v>
      </c>
      <c r="F1263" s="1" t="b">
        <v>0</v>
      </c>
    </row>
    <row r="1264">
      <c r="A1264" s="1" t="s">
        <v>1549</v>
      </c>
      <c r="B1264" s="1" t="s">
        <v>2042</v>
      </c>
      <c r="C1264" s="1" t="s">
        <v>1552</v>
      </c>
      <c r="D1264" s="2">
        <v>46056.55131944444</v>
      </c>
      <c r="E1264" s="1" t="s">
        <v>3146</v>
      </c>
      <c r="F1264" s="1" t="b">
        <v>0</v>
      </c>
    </row>
    <row r="1265">
      <c r="A1265" s="1" t="s">
        <v>1549</v>
      </c>
      <c r="B1265" s="1" t="s">
        <v>2042</v>
      </c>
      <c r="C1265" s="1" t="s">
        <v>1552</v>
      </c>
      <c r="D1265" s="2">
        <v>46056.551666666666</v>
      </c>
      <c r="F1265" s="1" t="b">
        <v>0</v>
      </c>
    </row>
    <row r="1266">
      <c r="A1266" s="1" t="s">
        <v>1549</v>
      </c>
      <c r="B1266" s="1" t="s">
        <v>2046</v>
      </c>
      <c r="C1266" s="1">
        <v>607950.0</v>
      </c>
      <c r="D1266" s="2">
        <v>46056.56564814815</v>
      </c>
      <c r="E1266" s="1" t="s">
        <v>2752</v>
      </c>
      <c r="F1266" s="1" t="b">
        <v>0</v>
      </c>
    </row>
    <row r="1267">
      <c r="A1267" s="1" t="s">
        <v>1549</v>
      </c>
      <c r="B1267" s="1" t="s">
        <v>2046</v>
      </c>
      <c r="C1267" s="1">
        <v>607950.0</v>
      </c>
      <c r="D1267" s="2">
        <v>46056.5671875</v>
      </c>
      <c r="E1267" s="1" t="s">
        <v>3147</v>
      </c>
      <c r="F1267" s="1" t="b">
        <v>0</v>
      </c>
    </row>
    <row r="1268">
      <c r="A1268" s="1" t="s">
        <v>1549</v>
      </c>
      <c r="B1268" s="1" t="s">
        <v>2042</v>
      </c>
      <c r="C1268" s="1" t="s">
        <v>1552</v>
      </c>
      <c r="D1268" s="2">
        <v>46056.56790509259</v>
      </c>
      <c r="E1268" s="1" t="s">
        <v>3148</v>
      </c>
      <c r="F1268" s="1" t="b">
        <v>0</v>
      </c>
    </row>
    <row r="1269">
      <c r="A1269" s="1" t="s">
        <v>1549</v>
      </c>
      <c r="B1269" s="1" t="s">
        <v>2046</v>
      </c>
      <c r="C1269" s="1">
        <v>574085.0</v>
      </c>
      <c r="D1269" s="2">
        <v>46056.56972222222</v>
      </c>
      <c r="E1269" s="1" t="s">
        <v>3149</v>
      </c>
      <c r="F1269" s="1" t="b">
        <v>1</v>
      </c>
    </row>
    <row r="1270">
      <c r="A1270" s="1" t="s">
        <v>1549</v>
      </c>
      <c r="B1270" s="1" t="s">
        <v>2046</v>
      </c>
      <c r="C1270" s="1">
        <v>607950.0</v>
      </c>
      <c r="D1270" s="2">
        <v>46056.57063657408</v>
      </c>
      <c r="E1270" s="1" t="s">
        <v>3150</v>
      </c>
      <c r="F1270" s="1" t="b">
        <v>0</v>
      </c>
    </row>
    <row r="1271">
      <c r="A1271" s="1" t="s">
        <v>1549</v>
      </c>
      <c r="B1271" s="1" t="s">
        <v>2042</v>
      </c>
      <c r="C1271" s="1" t="s">
        <v>1552</v>
      </c>
      <c r="D1271" s="2">
        <v>46056.57119212963</v>
      </c>
      <c r="E1271" s="1" t="s">
        <v>3151</v>
      </c>
      <c r="F1271" s="1" t="b">
        <v>0</v>
      </c>
    </row>
    <row r="1272">
      <c r="A1272" s="1" t="s">
        <v>1549</v>
      </c>
      <c r="B1272" s="1" t="s">
        <v>2046</v>
      </c>
      <c r="C1272" s="1">
        <v>607950.0</v>
      </c>
      <c r="D1272" s="2">
        <v>46056.574108796296</v>
      </c>
      <c r="E1272" s="1" t="s">
        <v>2254</v>
      </c>
      <c r="F1272" s="1" t="b">
        <v>1</v>
      </c>
    </row>
    <row r="1273">
      <c r="A1273" s="1" t="s">
        <v>1549</v>
      </c>
      <c r="B1273" s="1" t="s">
        <v>2150</v>
      </c>
      <c r="C1273" s="1" t="s">
        <v>2151</v>
      </c>
      <c r="D1273" s="2">
        <v>46056.57425925926</v>
      </c>
      <c r="E1273" s="1" t="s">
        <v>3152</v>
      </c>
      <c r="F1273" s="1" t="b">
        <v>1</v>
      </c>
    </row>
    <row r="1274">
      <c r="A1274" s="1" t="s">
        <v>1549</v>
      </c>
      <c r="B1274" s="1" t="s">
        <v>2046</v>
      </c>
      <c r="C1274" s="1">
        <v>607950.0</v>
      </c>
      <c r="D1274" s="2">
        <v>46056.57496527778</v>
      </c>
      <c r="E1274" s="1" t="s">
        <v>3153</v>
      </c>
      <c r="F1274" s="1" t="b">
        <v>0</v>
      </c>
    </row>
    <row r="1275">
      <c r="A1275" s="1" t="s">
        <v>1549</v>
      </c>
      <c r="B1275" s="1" t="s">
        <v>2042</v>
      </c>
      <c r="C1275" s="1" t="s">
        <v>1552</v>
      </c>
      <c r="D1275" s="2">
        <v>46056.61962962963</v>
      </c>
      <c r="E1275" s="1" t="s">
        <v>2114</v>
      </c>
      <c r="F1275" s="1" t="b">
        <v>0</v>
      </c>
    </row>
    <row r="1276">
      <c r="A1276" s="1" t="s">
        <v>1549</v>
      </c>
      <c r="B1276" s="1" t="s">
        <v>2046</v>
      </c>
      <c r="C1276" s="1">
        <v>607950.0</v>
      </c>
      <c r="D1276" s="2">
        <v>46056.630891203706</v>
      </c>
      <c r="E1276" s="1" t="s">
        <v>3154</v>
      </c>
      <c r="F1276" s="1" t="b">
        <v>0</v>
      </c>
    </row>
    <row r="1277">
      <c r="A1277" s="1" t="s">
        <v>1549</v>
      </c>
      <c r="B1277" s="1" t="s">
        <v>2046</v>
      </c>
      <c r="C1277" s="1">
        <v>607950.0</v>
      </c>
      <c r="D1277" s="2">
        <v>46056.6728125</v>
      </c>
      <c r="E1277" s="1" t="s">
        <v>3155</v>
      </c>
      <c r="F1277" s="1" t="b">
        <v>0</v>
      </c>
    </row>
    <row r="1278">
      <c r="A1278" s="1" t="s">
        <v>1549</v>
      </c>
      <c r="B1278" s="1" t="s">
        <v>2042</v>
      </c>
      <c r="C1278" s="1" t="s">
        <v>1552</v>
      </c>
      <c r="D1278" s="2">
        <v>46056.68400462963</v>
      </c>
      <c r="E1278" s="1" t="s">
        <v>3156</v>
      </c>
      <c r="F1278" s="1" t="b">
        <v>0</v>
      </c>
    </row>
    <row r="1279">
      <c r="A1279" s="1" t="s">
        <v>1549</v>
      </c>
      <c r="B1279" s="1" t="s">
        <v>2046</v>
      </c>
      <c r="C1279" s="1">
        <v>607950.0</v>
      </c>
      <c r="D1279" s="2">
        <v>46056.68415509259</v>
      </c>
      <c r="E1279" s="1" t="s">
        <v>3157</v>
      </c>
      <c r="F1279" s="1" t="b">
        <v>0</v>
      </c>
    </row>
    <row r="1280">
      <c r="A1280" s="1" t="s">
        <v>1549</v>
      </c>
      <c r="B1280" s="1" t="s">
        <v>2046</v>
      </c>
      <c r="C1280" s="1">
        <v>607950.0</v>
      </c>
      <c r="D1280" s="2">
        <v>46056.70302083333</v>
      </c>
      <c r="E1280" s="1" t="s">
        <v>3158</v>
      </c>
      <c r="F1280" s="1" t="b">
        <v>0</v>
      </c>
    </row>
    <row r="1281">
      <c r="A1281" s="1" t="s">
        <v>1549</v>
      </c>
      <c r="B1281" s="1" t="s">
        <v>2046</v>
      </c>
      <c r="C1281" s="1">
        <v>574085.0</v>
      </c>
      <c r="D1281" s="2">
        <v>46056.70581018519</v>
      </c>
      <c r="E1281" s="1" t="s">
        <v>3159</v>
      </c>
      <c r="F1281" s="1" t="b">
        <v>1</v>
      </c>
    </row>
    <row r="1282">
      <c r="A1282" s="1" t="s">
        <v>1549</v>
      </c>
      <c r="B1282" s="1" t="s">
        <v>2046</v>
      </c>
      <c r="C1282" s="1">
        <v>607950.0</v>
      </c>
      <c r="D1282" s="2">
        <v>46056.70737268519</v>
      </c>
      <c r="E1282" s="1" t="s">
        <v>3160</v>
      </c>
      <c r="F1282" s="1" t="b">
        <v>0</v>
      </c>
    </row>
    <row r="1283">
      <c r="A1283" s="1" t="s">
        <v>1549</v>
      </c>
      <c r="B1283" s="1" t="s">
        <v>2046</v>
      </c>
      <c r="C1283" s="1">
        <v>607950.0</v>
      </c>
      <c r="D1283" s="2">
        <v>46057.41626157407</v>
      </c>
      <c r="E1283" s="1" t="s">
        <v>3161</v>
      </c>
      <c r="F1283" s="1" t="b">
        <v>0</v>
      </c>
    </row>
    <row r="1284">
      <c r="A1284" s="1" t="s">
        <v>1549</v>
      </c>
      <c r="B1284" s="1" t="s">
        <v>2046</v>
      </c>
      <c r="C1284" s="1">
        <v>607950.0</v>
      </c>
      <c r="D1284" s="2">
        <v>46057.42188657408</v>
      </c>
      <c r="E1284" s="1" t="s">
        <v>2108</v>
      </c>
      <c r="F1284" s="1" t="b">
        <v>0</v>
      </c>
    </row>
    <row r="1285">
      <c r="A1285" s="1" t="s">
        <v>1549</v>
      </c>
      <c r="B1285" s="1" t="s">
        <v>2046</v>
      </c>
      <c r="C1285" s="1">
        <v>574085.0</v>
      </c>
      <c r="D1285" s="2">
        <v>46057.47561342592</v>
      </c>
      <c r="E1285" s="1" t="s">
        <v>3162</v>
      </c>
      <c r="F1285" s="1" t="b">
        <v>0</v>
      </c>
    </row>
    <row r="1286">
      <c r="A1286" s="1" t="s">
        <v>1549</v>
      </c>
      <c r="B1286" s="1" t="s">
        <v>2042</v>
      </c>
      <c r="C1286" s="1" t="s">
        <v>1552</v>
      </c>
      <c r="D1286" s="2">
        <v>46057.48268518518</v>
      </c>
      <c r="E1286" s="1" t="s">
        <v>3163</v>
      </c>
      <c r="F1286" s="1" t="b">
        <v>0</v>
      </c>
    </row>
    <row r="1287">
      <c r="A1287" s="1" t="s">
        <v>1549</v>
      </c>
      <c r="B1287" s="1" t="s">
        <v>2046</v>
      </c>
      <c r="C1287" s="1">
        <v>607950.0</v>
      </c>
      <c r="D1287" s="2">
        <v>46057.482777777775</v>
      </c>
      <c r="E1287" s="1" t="s">
        <v>2752</v>
      </c>
      <c r="F1287" s="1" t="b">
        <v>0</v>
      </c>
    </row>
    <row r="1288">
      <c r="A1288" s="1" t="s">
        <v>1549</v>
      </c>
      <c r="B1288" s="1" t="s">
        <v>2046</v>
      </c>
      <c r="C1288" s="1">
        <v>607950.0</v>
      </c>
      <c r="D1288" s="2">
        <v>46057.48394675926</v>
      </c>
      <c r="E1288" s="1" t="s">
        <v>3164</v>
      </c>
      <c r="F1288" s="1" t="b">
        <v>0</v>
      </c>
    </row>
    <row r="1289">
      <c r="A1289" s="1" t="s">
        <v>1549</v>
      </c>
      <c r="B1289" s="1" t="s">
        <v>2046</v>
      </c>
      <c r="C1289" s="1">
        <v>607950.0</v>
      </c>
      <c r="D1289" s="2">
        <v>46057.48506944445</v>
      </c>
      <c r="E1289" s="1" t="s">
        <v>3165</v>
      </c>
      <c r="F1289" s="1" t="b">
        <v>0</v>
      </c>
    </row>
    <row r="1290">
      <c r="A1290" s="1" t="s">
        <v>1544</v>
      </c>
      <c r="B1290" s="1" t="s">
        <v>2042</v>
      </c>
      <c r="C1290" s="1" t="s">
        <v>1546</v>
      </c>
      <c r="D1290" s="2">
        <v>46056.59510416666</v>
      </c>
      <c r="E1290" s="1" t="s">
        <v>3166</v>
      </c>
      <c r="F1290" s="1" t="b">
        <v>0</v>
      </c>
    </row>
    <row r="1291">
      <c r="A1291" s="1" t="s">
        <v>1544</v>
      </c>
      <c r="B1291" s="1" t="s">
        <v>2046</v>
      </c>
      <c r="C1291" s="1">
        <v>607950.0</v>
      </c>
      <c r="D1291" s="2">
        <v>46056.59663194444</v>
      </c>
      <c r="E1291" s="1" t="s">
        <v>2752</v>
      </c>
      <c r="F1291" s="1" t="b">
        <v>0</v>
      </c>
    </row>
    <row r="1292">
      <c r="A1292" s="1" t="s">
        <v>1544</v>
      </c>
      <c r="B1292" s="1" t="s">
        <v>2046</v>
      </c>
      <c r="C1292" s="1">
        <v>594863.0</v>
      </c>
      <c r="D1292" s="2">
        <v>46056.610983796294</v>
      </c>
      <c r="E1292" s="1" t="s">
        <v>3167</v>
      </c>
      <c r="F1292" s="1" t="b">
        <v>1</v>
      </c>
    </row>
    <row r="1293">
      <c r="A1293" s="1" t="s">
        <v>1544</v>
      </c>
      <c r="B1293" s="1" t="s">
        <v>2046</v>
      </c>
      <c r="C1293" s="1">
        <v>594863.0</v>
      </c>
      <c r="D1293" s="2">
        <v>46056.61417824074</v>
      </c>
      <c r="E1293" s="1" t="s">
        <v>3168</v>
      </c>
      <c r="F1293" s="1" t="b">
        <v>0</v>
      </c>
    </row>
    <row r="1294">
      <c r="A1294" s="1" t="s">
        <v>1544</v>
      </c>
      <c r="B1294" s="1" t="s">
        <v>2042</v>
      </c>
      <c r="C1294" s="1" t="s">
        <v>1546</v>
      </c>
      <c r="D1294" s="2">
        <v>46056.61471064815</v>
      </c>
      <c r="E1294" s="1" t="s">
        <v>3169</v>
      </c>
      <c r="F1294" s="1" t="b">
        <v>0</v>
      </c>
    </row>
    <row r="1295">
      <c r="A1295" s="1" t="s">
        <v>1544</v>
      </c>
      <c r="B1295" s="1" t="s">
        <v>2046</v>
      </c>
      <c r="C1295" s="1">
        <v>594863.0</v>
      </c>
      <c r="D1295" s="2">
        <v>46056.61518518518</v>
      </c>
      <c r="E1295" s="1" t="s">
        <v>3170</v>
      </c>
      <c r="F1295" s="1" t="b">
        <v>0</v>
      </c>
    </row>
    <row r="1296">
      <c r="A1296" s="1" t="s">
        <v>1544</v>
      </c>
      <c r="B1296" s="1" t="s">
        <v>2046</v>
      </c>
      <c r="C1296" s="1">
        <v>594863.0</v>
      </c>
      <c r="D1296" s="2">
        <v>46056.615625</v>
      </c>
      <c r="E1296" s="1" t="s">
        <v>3171</v>
      </c>
      <c r="F1296" s="1" t="b">
        <v>0</v>
      </c>
    </row>
    <row r="1297">
      <c r="A1297" s="1" t="s">
        <v>1544</v>
      </c>
      <c r="B1297" s="1" t="s">
        <v>2046</v>
      </c>
      <c r="C1297" s="1">
        <v>594863.0</v>
      </c>
      <c r="D1297" s="2">
        <v>46056.69497685185</v>
      </c>
      <c r="E1297" s="1" t="s">
        <v>3172</v>
      </c>
      <c r="F1297" s="1" t="b">
        <v>0</v>
      </c>
    </row>
    <row r="1298">
      <c r="A1298" s="1" t="s">
        <v>1544</v>
      </c>
      <c r="B1298" s="1" t="s">
        <v>2046</v>
      </c>
      <c r="C1298" s="1">
        <v>594863.0</v>
      </c>
      <c r="D1298" s="2">
        <v>46056.755381944444</v>
      </c>
      <c r="E1298" s="1" t="s">
        <v>2108</v>
      </c>
      <c r="F1298" s="1" t="b">
        <v>0</v>
      </c>
    </row>
    <row r="1299">
      <c r="A1299" s="1" t="s">
        <v>1540</v>
      </c>
      <c r="B1299" s="1" t="s">
        <v>2042</v>
      </c>
      <c r="C1299" s="1" t="s">
        <v>1542</v>
      </c>
      <c r="D1299" s="2">
        <v>46056.69049768519</v>
      </c>
      <c r="E1299" s="1" t="s">
        <v>3173</v>
      </c>
      <c r="F1299" s="1" t="b">
        <v>0</v>
      </c>
    </row>
    <row r="1300">
      <c r="A1300" s="1" t="s">
        <v>1540</v>
      </c>
      <c r="B1300" s="1" t="s">
        <v>2042</v>
      </c>
      <c r="C1300" s="1" t="s">
        <v>1542</v>
      </c>
      <c r="D1300" s="2">
        <v>46056.69107638889</v>
      </c>
      <c r="E1300" s="1" t="s">
        <v>3174</v>
      </c>
      <c r="F1300" s="1" t="b">
        <v>0</v>
      </c>
    </row>
    <row r="1301">
      <c r="A1301" s="1" t="s">
        <v>1540</v>
      </c>
      <c r="B1301" s="1" t="s">
        <v>2042</v>
      </c>
      <c r="C1301" s="1" t="s">
        <v>1542</v>
      </c>
      <c r="D1301" s="2">
        <v>46056.69152777778</v>
      </c>
      <c r="E1301" s="1" t="s">
        <v>3020</v>
      </c>
      <c r="F1301" s="1" t="b">
        <v>0</v>
      </c>
    </row>
    <row r="1302">
      <c r="A1302" s="1" t="s">
        <v>1540</v>
      </c>
      <c r="B1302" s="1" t="s">
        <v>2042</v>
      </c>
      <c r="C1302" s="1" t="s">
        <v>1542</v>
      </c>
      <c r="D1302" s="2">
        <v>46056.69181712963</v>
      </c>
      <c r="E1302" s="1" t="s">
        <v>3173</v>
      </c>
      <c r="F1302" s="1" t="b">
        <v>0</v>
      </c>
    </row>
    <row r="1303">
      <c r="A1303" s="1" t="s">
        <v>1540</v>
      </c>
      <c r="B1303" s="1" t="s">
        <v>2046</v>
      </c>
      <c r="C1303" s="1">
        <v>607950.0</v>
      </c>
      <c r="D1303" s="2">
        <v>46056.69196759259</v>
      </c>
      <c r="E1303" s="1" t="s">
        <v>2752</v>
      </c>
      <c r="F1303" s="1" t="b">
        <v>0</v>
      </c>
    </row>
    <row r="1304">
      <c r="A1304" s="1" t="s">
        <v>1540</v>
      </c>
      <c r="B1304" s="1" t="s">
        <v>2042</v>
      </c>
      <c r="C1304" s="1" t="s">
        <v>1542</v>
      </c>
      <c r="D1304" s="2">
        <v>46056.69231481481</v>
      </c>
      <c r="E1304" s="1" t="s">
        <v>2846</v>
      </c>
      <c r="F1304" s="1" t="b">
        <v>0</v>
      </c>
    </row>
    <row r="1305">
      <c r="A1305" s="1" t="s">
        <v>1540</v>
      </c>
      <c r="B1305" s="1" t="s">
        <v>2046</v>
      </c>
      <c r="C1305" s="1">
        <v>607950.0</v>
      </c>
      <c r="D1305" s="2">
        <v>46056.6940625</v>
      </c>
      <c r="E1305" s="1" t="s">
        <v>3175</v>
      </c>
      <c r="F1305" s="1" t="b">
        <v>0</v>
      </c>
    </row>
    <row r="1306">
      <c r="A1306" s="1" t="s">
        <v>1540</v>
      </c>
      <c r="B1306" s="1" t="s">
        <v>2042</v>
      </c>
      <c r="C1306" s="1" t="s">
        <v>1542</v>
      </c>
      <c r="D1306" s="2">
        <v>46056.69432870371</v>
      </c>
      <c r="E1306" s="1" t="s">
        <v>3176</v>
      </c>
      <c r="F1306" s="1" t="b">
        <v>0</v>
      </c>
    </row>
    <row r="1307">
      <c r="A1307" s="1" t="s">
        <v>1540</v>
      </c>
      <c r="B1307" s="1" t="s">
        <v>2046</v>
      </c>
      <c r="C1307" s="1">
        <v>607950.0</v>
      </c>
      <c r="D1307" s="2">
        <v>46056.69615740741</v>
      </c>
      <c r="E1307" s="1" t="s">
        <v>3177</v>
      </c>
      <c r="F1307" s="1" t="b">
        <v>0</v>
      </c>
    </row>
    <row r="1308">
      <c r="A1308" s="1" t="s">
        <v>1540</v>
      </c>
      <c r="B1308" s="1" t="s">
        <v>2042</v>
      </c>
      <c r="C1308" s="1" t="s">
        <v>1542</v>
      </c>
      <c r="D1308" s="2">
        <v>46056.69627314815</v>
      </c>
      <c r="E1308" s="1" t="s">
        <v>3178</v>
      </c>
      <c r="F1308" s="1" t="b">
        <v>0</v>
      </c>
    </row>
    <row r="1309">
      <c r="A1309" s="1" t="s">
        <v>1540</v>
      </c>
      <c r="B1309" s="1" t="s">
        <v>2046</v>
      </c>
      <c r="C1309" s="1">
        <v>607950.0</v>
      </c>
      <c r="D1309" s="2">
        <v>46056.697696759256</v>
      </c>
      <c r="E1309" s="1" t="s">
        <v>3179</v>
      </c>
      <c r="F1309" s="1" t="b">
        <v>0</v>
      </c>
    </row>
    <row r="1310">
      <c r="A1310" s="1" t="s">
        <v>1540</v>
      </c>
      <c r="B1310" s="1" t="s">
        <v>2042</v>
      </c>
      <c r="C1310" s="1" t="s">
        <v>1542</v>
      </c>
      <c r="D1310" s="2">
        <v>46056.69869212963</v>
      </c>
      <c r="E1310" s="1" t="s">
        <v>3180</v>
      </c>
      <c r="F1310" s="1" t="b">
        <v>0</v>
      </c>
    </row>
    <row r="1311">
      <c r="A1311" s="1" t="s">
        <v>1540</v>
      </c>
      <c r="B1311" s="1" t="s">
        <v>2046</v>
      </c>
      <c r="C1311" s="1">
        <v>607950.0</v>
      </c>
      <c r="D1311" s="2">
        <v>46056.69908564815</v>
      </c>
      <c r="E1311" s="1" t="s">
        <v>3181</v>
      </c>
      <c r="F1311" s="1" t="b">
        <v>0</v>
      </c>
    </row>
    <row r="1312">
      <c r="A1312" s="1" t="s">
        <v>1540</v>
      </c>
      <c r="B1312" s="1" t="s">
        <v>2042</v>
      </c>
      <c r="C1312" s="1" t="s">
        <v>1542</v>
      </c>
      <c r="D1312" s="2">
        <v>46056.69923611111</v>
      </c>
      <c r="E1312" s="1" t="s">
        <v>3182</v>
      </c>
      <c r="F1312" s="1" t="b">
        <v>0</v>
      </c>
    </row>
    <row r="1313">
      <c r="A1313" s="1" t="s">
        <v>1540</v>
      </c>
      <c r="B1313" s="1" t="s">
        <v>2046</v>
      </c>
      <c r="C1313" s="1">
        <v>607950.0</v>
      </c>
      <c r="D1313" s="2">
        <v>46056.69940972222</v>
      </c>
      <c r="E1313" s="1" t="s">
        <v>2108</v>
      </c>
      <c r="F1313" s="1" t="b">
        <v>0</v>
      </c>
    </row>
    <row r="1314">
      <c r="A1314" s="1" t="s">
        <v>1535</v>
      </c>
      <c r="B1314" s="1" t="s">
        <v>2042</v>
      </c>
      <c r="C1314" s="1" t="s">
        <v>1538</v>
      </c>
      <c r="D1314" s="2">
        <v>46056.75403935185</v>
      </c>
      <c r="E1314" s="1" t="s">
        <v>3183</v>
      </c>
      <c r="F1314" s="1" t="b">
        <v>0</v>
      </c>
    </row>
    <row r="1315">
      <c r="A1315" s="1" t="s">
        <v>1535</v>
      </c>
      <c r="B1315" s="1" t="s">
        <v>2046</v>
      </c>
      <c r="C1315" s="1">
        <v>607950.0</v>
      </c>
      <c r="D1315" s="2">
        <v>46057.41700231482</v>
      </c>
      <c r="E1315" s="1" t="s">
        <v>2752</v>
      </c>
      <c r="F1315" s="1" t="b">
        <v>0</v>
      </c>
    </row>
    <row r="1316">
      <c r="A1316" s="1" t="s">
        <v>1535</v>
      </c>
      <c r="B1316" s="1" t="s">
        <v>2046</v>
      </c>
      <c r="C1316" s="1">
        <v>607950.0</v>
      </c>
      <c r="D1316" s="2">
        <v>46057.41737268519</v>
      </c>
      <c r="E1316" s="1" t="s">
        <v>3184</v>
      </c>
      <c r="F1316" s="1" t="b">
        <v>0</v>
      </c>
    </row>
    <row r="1317">
      <c r="A1317" s="1" t="s">
        <v>1535</v>
      </c>
      <c r="B1317" s="1" t="s">
        <v>2046</v>
      </c>
      <c r="C1317" s="1">
        <v>607950.0</v>
      </c>
      <c r="D1317" s="2">
        <v>46057.42563657407</v>
      </c>
      <c r="E1317" s="1" t="s">
        <v>3185</v>
      </c>
      <c r="F1317" s="1" t="b">
        <v>1</v>
      </c>
    </row>
    <row r="1318">
      <c r="A1318" s="1" t="s">
        <v>1535</v>
      </c>
      <c r="B1318" s="1" t="s">
        <v>2150</v>
      </c>
      <c r="C1318" s="1" t="s">
        <v>2151</v>
      </c>
      <c r="D1318" s="2">
        <v>46057.425833333335</v>
      </c>
      <c r="E1318" s="1" t="s">
        <v>3186</v>
      </c>
      <c r="F1318" s="1" t="b">
        <v>1</v>
      </c>
    </row>
    <row r="1319">
      <c r="A1319" s="1" t="s">
        <v>1535</v>
      </c>
      <c r="B1319" s="1" t="s">
        <v>2046</v>
      </c>
      <c r="C1319" s="1">
        <v>607950.0</v>
      </c>
      <c r="D1319" s="2">
        <v>46057.428923611114</v>
      </c>
      <c r="E1319" s="1" t="s">
        <v>3187</v>
      </c>
      <c r="F1319" s="1" t="b">
        <v>0</v>
      </c>
    </row>
    <row r="1320">
      <c r="A1320" s="1" t="s">
        <v>1535</v>
      </c>
      <c r="B1320" s="1" t="s">
        <v>2046</v>
      </c>
      <c r="C1320" s="1">
        <v>607950.0</v>
      </c>
      <c r="D1320" s="2">
        <v>46057.442094907405</v>
      </c>
      <c r="E1320" s="1" t="s">
        <v>3188</v>
      </c>
      <c r="F1320" s="1" t="b">
        <v>0</v>
      </c>
    </row>
    <row r="1321">
      <c r="A1321" s="1" t="s">
        <v>1535</v>
      </c>
      <c r="B1321" s="1" t="s">
        <v>2042</v>
      </c>
      <c r="C1321" s="1" t="s">
        <v>1538</v>
      </c>
      <c r="D1321" s="2">
        <v>46057.44337962963</v>
      </c>
      <c r="E1321" s="1" t="s">
        <v>3189</v>
      </c>
      <c r="F1321" s="1" t="b">
        <v>0</v>
      </c>
    </row>
    <row r="1322">
      <c r="A1322" s="1" t="s">
        <v>1535</v>
      </c>
      <c r="B1322" s="1" t="s">
        <v>2046</v>
      </c>
      <c r="C1322" s="1">
        <v>574085.0</v>
      </c>
      <c r="D1322" s="2">
        <v>46057.44394675926</v>
      </c>
      <c r="E1322" s="1" t="s">
        <v>3190</v>
      </c>
      <c r="F1322" s="1" t="b">
        <v>1</v>
      </c>
    </row>
    <row r="1323">
      <c r="A1323" s="1" t="s">
        <v>1535</v>
      </c>
      <c r="B1323" s="1" t="s">
        <v>2042</v>
      </c>
      <c r="C1323" s="1" t="s">
        <v>1538</v>
      </c>
      <c r="D1323" s="2">
        <v>46057.4441087963</v>
      </c>
      <c r="E1323" s="1" t="s">
        <v>3191</v>
      </c>
      <c r="F1323" s="1" t="b">
        <v>0</v>
      </c>
    </row>
    <row r="1324">
      <c r="A1324" s="1" t="s">
        <v>1535</v>
      </c>
      <c r="B1324" s="1" t="s">
        <v>2042</v>
      </c>
      <c r="C1324" s="1" t="s">
        <v>1538</v>
      </c>
      <c r="D1324" s="2">
        <v>46057.444398148145</v>
      </c>
      <c r="F1324" s="1" t="b">
        <v>0</v>
      </c>
    </row>
    <row r="1325">
      <c r="A1325" s="1" t="s">
        <v>1535</v>
      </c>
      <c r="B1325" s="1" t="s">
        <v>2046</v>
      </c>
      <c r="C1325" s="1">
        <v>607950.0</v>
      </c>
      <c r="D1325" s="2">
        <v>46057.44440972222</v>
      </c>
      <c r="E1325" s="1" t="s">
        <v>3192</v>
      </c>
      <c r="F1325" s="1" t="b">
        <v>0</v>
      </c>
    </row>
    <row r="1326">
      <c r="A1326" s="1" t="s">
        <v>1535</v>
      </c>
      <c r="B1326" s="1" t="s">
        <v>2042</v>
      </c>
      <c r="C1326" s="1" t="s">
        <v>1538</v>
      </c>
      <c r="D1326" s="2">
        <v>46057.444606481484</v>
      </c>
      <c r="F1326" s="1" t="b">
        <v>0</v>
      </c>
    </row>
    <row r="1327">
      <c r="A1327" s="1" t="s">
        <v>1535</v>
      </c>
      <c r="B1327" s="1" t="s">
        <v>2046</v>
      </c>
      <c r="C1327" s="1">
        <v>607950.0</v>
      </c>
      <c r="D1327" s="2">
        <v>46057.44604166667</v>
      </c>
      <c r="E1327" s="1" t="s">
        <v>3193</v>
      </c>
      <c r="F1327" s="1" t="b">
        <v>0</v>
      </c>
    </row>
    <row r="1328">
      <c r="A1328" s="1" t="s">
        <v>1535</v>
      </c>
      <c r="B1328" s="1" t="s">
        <v>2042</v>
      </c>
      <c r="C1328" s="1" t="s">
        <v>1538</v>
      </c>
      <c r="D1328" s="2">
        <v>46057.446539351855</v>
      </c>
      <c r="E1328" s="1" t="s">
        <v>3194</v>
      </c>
      <c r="F1328" s="1" t="b">
        <v>0</v>
      </c>
    </row>
    <row r="1329">
      <c r="A1329" s="1" t="s">
        <v>1535</v>
      </c>
      <c r="B1329" s="1" t="s">
        <v>2046</v>
      </c>
      <c r="C1329" s="1">
        <v>607950.0</v>
      </c>
      <c r="D1329" s="2">
        <v>46057.446539351855</v>
      </c>
      <c r="E1329" s="1" t="s">
        <v>3195</v>
      </c>
      <c r="F1329" s="1" t="b">
        <v>0</v>
      </c>
    </row>
    <row r="1330">
      <c r="A1330" s="1" t="s">
        <v>1535</v>
      </c>
      <c r="B1330" s="1" t="s">
        <v>2046</v>
      </c>
      <c r="C1330" s="1">
        <v>607950.0</v>
      </c>
      <c r="D1330" s="2">
        <v>46057.44695601852</v>
      </c>
      <c r="E1330" s="1" t="s">
        <v>3196</v>
      </c>
      <c r="F1330" s="1" t="b">
        <v>0</v>
      </c>
    </row>
    <row r="1331">
      <c r="A1331" s="1" t="s">
        <v>1535</v>
      </c>
      <c r="B1331" s="1" t="s">
        <v>2042</v>
      </c>
      <c r="C1331" s="1" t="s">
        <v>1538</v>
      </c>
      <c r="D1331" s="2">
        <v>46057.44850694444</v>
      </c>
      <c r="E1331" s="1" t="s">
        <v>3197</v>
      </c>
      <c r="F1331" s="1" t="b">
        <v>0</v>
      </c>
    </row>
    <row r="1332">
      <c r="A1332" s="1" t="s">
        <v>1535</v>
      </c>
      <c r="B1332" s="1" t="s">
        <v>2046</v>
      </c>
      <c r="C1332" s="1">
        <v>607950.0</v>
      </c>
      <c r="D1332" s="2">
        <v>46057.452256944445</v>
      </c>
      <c r="E1332" s="1" t="s">
        <v>3198</v>
      </c>
      <c r="F1332" s="1" t="b">
        <v>0</v>
      </c>
    </row>
    <row r="1333">
      <c r="A1333" s="1" t="s">
        <v>1535</v>
      </c>
      <c r="B1333" s="1" t="s">
        <v>2042</v>
      </c>
      <c r="C1333" s="1" t="s">
        <v>1538</v>
      </c>
      <c r="D1333" s="2">
        <v>46057.4540625</v>
      </c>
      <c r="E1333" s="1" t="s">
        <v>3199</v>
      </c>
      <c r="F1333" s="1" t="b">
        <v>0</v>
      </c>
    </row>
    <row r="1334">
      <c r="A1334" s="1" t="s">
        <v>1535</v>
      </c>
      <c r="B1334" s="1" t="s">
        <v>2046</v>
      </c>
      <c r="C1334" s="1">
        <v>607950.0</v>
      </c>
      <c r="D1334" s="2">
        <v>46057.454305555555</v>
      </c>
      <c r="E1334" s="1" t="s">
        <v>3200</v>
      </c>
      <c r="F1334" s="1" t="b">
        <v>0</v>
      </c>
    </row>
    <row r="1335">
      <c r="A1335" s="1" t="s">
        <v>1535</v>
      </c>
      <c r="B1335" s="1" t="s">
        <v>2046</v>
      </c>
      <c r="C1335" s="1">
        <v>607950.0</v>
      </c>
      <c r="D1335" s="2">
        <v>46057.45686342593</v>
      </c>
      <c r="E1335" s="1" t="s">
        <v>2108</v>
      </c>
      <c r="F1335" s="1" t="b">
        <v>0</v>
      </c>
    </row>
    <row r="1336">
      <c r="A1336" s="1" t="s">
        <v>1533</v>
      </c>
      <c r="B1336" s="1" t="s">
        <v>2042</v>
      </c>
      <c r="C1336" s="1" t="s">
        <v>1515</v>
      </c>
      <c r="D1336" s="2">
        <v>46056.78304398148</v>
      </c>
      <c r="E1336" s="1" t="s">
        <v>3201</v>
      </c>
      <c r="F1336" s="1" t="b">
        <v>0</v>
      </c>
    </row>
    <row r="1337">
      <c r="A1337" s="1" t="s">
        <v>1533</v>
      </c>
      <c r="B1337" s="1" t="s">
        <v>2046</v>
      </c>
      <c r="C1337" s="1">
        <v>594863.0</v>
      </c>
      <c r="D1337" s="2">
        <v>46056.83212962963</v>
      </c>
      <c r="E1337" s="1" t="s">
        <v>3202</v>
      </c>
      <c r="F1337" s="1" t="b">
        <v>1</v>
      </c>
    </row>
    <row r="1338">
      <c r="A1338" s="1" t="s">
        <v>1533</v>
      </c>
      <c r="B1338" s="1" t="s">
        <v>2046</v>
      </c>
      <c r="C1338" s="1">
        <v>594863.0</v>
      </c>
      <c r="D1338" s="2">
        <v>46057.416597222225</v>
      </c>
      <c r="E1338" s="1" t="s">
        <v>3203</v>
      </c>
      <c r="F1338" s="1" t="b">
        <v>0</v>
      </c>
    </row>
    <row r="1339">
      <c r="A1339" s="1" t="s">
        <v>1531</v>
      </c>
      <c r="B1339" s="1" t="s">
        <v>2042</v>
      </c>
      <c r="C1339" s="1" t="s">
        <v>335</v>
      </c>
      <c r="D1339" s="2">
        <v>46056.8396875</v>
      </c>
      <c r="F1339" s="1" t="b">
        <v>0</v>
      </c>
    </row>
    <row r="1340">
      <c r="A1340" s="1" t="s">
        <v>1531</v>
      </c>
      <c r="B1340" s="1" t="s">
        <v>2042</v>
      </c>
      <c r="C1340" s="1" t="s">
        <v>335</v>
      </c>
      <c r="D1340" s="2">
        <v>46056.83994212963</v>
      </c>
      <c r="E1340" s="1" t="s">
        <v>3204</v>
      </c>
      <c r="F1340" s="1" t="b">
        <v>0</v>
      </c>
    </row>
    <row r="1341">
      <c r="A1341" s="1" t="s">
        <v>1527</v>
      </c>
      <c r="B1341" s="1" t="s">
        <v>2042</v>
      </c>
      <c r="C1341" s="1" t="s">
        <v>3205</v>
      </c>
      <c r="D1341" s="2">
        <v>46057.404375</v>
      </c>
      <c r="E1341" s="1" t="s">
        <v>3206</v>
      </c>
      <c r="F1341" s="1" t="b">
        <v>0</v>
      </c>
    </row>
    <row r="1342">
      <c r="A1342" s="1" t="s">
        <v>1525</v>
      </c>
      <c r="B1342" s="1" t="s">
        <v>2042</v>
      </c>
      <c r="C1342" s="1" t="s">
        <v>1125</v>
      </c>
      <c r="D1342" s="2">
        <v>46057.41003472222</v>
      </c>
      <c r="E1342" s="1" t="s">
        <v>3207</v>
      </c>
      <c r="F1342" s="1" t="b">
        <v>0</v>
      </c>
    </row>
    <row r="1343">
      <c r="A1343" s="1" t="s">
        <v>1513</v>
      </c>
      <c r="B1343" s="1" t="s">
        <v>2150</v>
      </c>
      <c r="C1343" s="1">
        <v>81559.0</v>
      </c>
      <c r="D1343" s="2">
        <v>46057.41694444444</v>
      </c>
      <c r="E1343" s="1" t="s">
        <v>3208</v>
      </c>
      <c r="F1343" s="1" t="b">
        <v>1</v>
      </c>
    </row>
    <row r="1344">
      <c r="A1344" s="1" t="s">
        <v>1513</v>
      </c>
      <c r="B1344" s="1" t="s">
        <v>2042</v>
      </c>
      <c r="C1344" s="1" t="s">
        <v>1515</v>
      </c>
      <c r="D1344" s="2">
        <v>46057.52694444444</v>
      </c>
      <c r="E1344" s="1" t="s">
        <v>3209</v>
      </c>
      <c r="F1344" s="1" t="b">
        <v>0</v>
      </c>
    </row>
    <row r="1345">
      <c r="A1345" s="1" t="s">
        <v>1513</v>
      </c>
      <c r="B1345" s="1" t="s">
        <v>2046</v>
      </c>
      <c r="C1345" s="1">
        <v>574085.0</v>
      </c>
      <c r="D1345" s="2">
        <v>46057.574953703705</v>
      </c>
      <c r="E1345" s="1" t="s">
        <v>3210</v>
      </c>
      <c r="F1345" s="1" t="b">
        <v>1</v>
      </c>
    </row>
    <row r="1346">
      <c r="A1346" s="1" t="s">
        <v>1513</v>
      </c>
      <c r="B1346" s="1" t="s">
        <v>2046</v>
      </c>
      <c r="C1346" s="1">
        <v>594863.0</v>
      </c>
      <c r="D1346" s="2">
        <v>46057.57755787037</v>
      </c>
      <c r="E1346" s="1" t="s">
        <v>3211</v>
      </c>
      <c r="F1346" s="1" t="b">
        <v>1</v>
      </c>
    </row>
    <row r="1347">
      <c r="A1347" s="1" t="s">
        <v>1513</v>
      </c>
      <c r="B1347" s="1" t="s">
        <v>2046</v>
      </c>
      <c r="C1347" s="1">
        <v>574085.0</v>
      </c>
      <c r="D1347" s="2">
        <v>46057.57778935185</v>
      </c>
      <c r="E1347" s="1" t="s">
        <v>3212</v>
      </c>
      <c r="F1347" s="1" t="b">
        <v>1</v>
      </c>
    </row>
    <row r="1348">
      <c r="A1348" s="1" t="s">
        <v>1513</v>
      </c>
      <c r="B1348" s="1" t="s">
        <v>2046</v>
      </c>
      <c r="C1348" s="1">
        <v>594863.0</v>
      </c>
      <c r="D1348" s="2">
        <v>46057.585381944446</v>
      </c>
      <c r="E1348" s="1" t="s">
        <v>3213</v>
      </c>
      <c r="F1348" s="1" t="b">
        <v>1</v>
      </c>
    </row>
    <row r="1349">
      <c r="A1349" s="1" t="s">
        <v>1513</v>
      </c>
      <c r="B1349" s="1" t="s">
        <v>2046</v>
      </c>
      <c r="C1349" s="1">
        <v>594863.0</v>
      </c>
      <c r="D1349" s="2">
        <v>46057.585439814815</v>
      </c>
      <c r="E1349" s="1" t="s">
        <v>3214</v>
      </c>
      <c r="F1349" s="1" t="b">
        <v>1</v>
      </c>
    </row>
    <row r="1350">
      <c r="A1350" s="1" t="s">
        <v>1513</v>
      </c>
      <c r="B1350" s="1" t="s">
        <v>2046</v>
      </c>
      <c r="C1350" s="1">
        <v>574085.0</v>
      </c>
      <c r="D1350" s="2">
        <v>46057.597858796296</v>
      </c>
      <c r="E1350" s="1" t="s">
        <v>3215</v>
      </c>
      <c r="F1350" s="1" t="b">
        <v>0</v>
      </c>
    </row>
    <row r="1351">
      <c r="A1351" s="1" t="s">
        <v>1513</v>
      </c>
      <c r="B1351" s="1" t="s">
        <v>2046</v>
      </c>
      <c r="C1351" s="1">
        <v>574085.0</v>
      </c>
      <c r="D1351" s="2">
        <v>46058.417962962965</v>
      </c>
      <c r="E1351" s="1" t="s">
        <v>3216</v>
      </c>
      <c r="F1351" s="1" t="b">
        <v>1</v>
      </c>
    </row>
    <row r="1352">
      <c r="A1352" s="1" t="s">
        <v>1513</v>
      </c>
      <c r="B1352" s="1" t="s">
        <v>2046</v>
      </c>
      <c r="C1352" s="1">
        <v>607950.0</v>
      </c>
      <c r="D1352" s="2">
        <v>46058.42078703704</v>
      </c>
      <c r="E1352" s="1" t="s">
        <v>3217</v>
      </c>
      <c r="F1352" s="1" t="b">
        <v>0</v>
      </c>
    </row>
    <row r="1353">
      <c r="A1353" s="1" t="s">
        <v>1517</v>
      </c>
      <c r="B1353" s="1" t="s">
        <v>2042</v>
      </c>
      <c r="C1353" s="1" t="s">
        <v>1519</v>
      </c>
      <c r="D1353" s="2">
        <v>46057.45349537037</v>
      </c>
      <c r="E1353" s="1" t="s">
        <v>3218</v>
      </c>
      <c r="F1353" s="1" t="b">
        <v>0</v>
      </c>
    </row>
    <row r="1354">
      <c r="A1354" s="1" t="s">
        <v>1517</v>
      </c>
      <c r="B1354" s="1" t="s">
        <v>2046</v>
      </c>
      <c r="C1354" s="1">
        <v>607950.0</v>
      </c>
      <c r="D1354" s="2">
        <v>46057.45398148148</v>
      </c>
      <c r="E1354" s="1" t="s">
        <v>2752</v>
      </c>
      <c r="F1354" s="1" t="b">
        <v>0</v>
      </c>
    </row>
    <row r="1355">
      <c r="A1355" s="1" t="s">
        <v>1517</v>
      </c>
      <c r="B1355" s="1" t="s">
        <v>2046</v>
      </c>
      <c r="C1355" s="1">
        <v>574085.0</v>
      </c>
      <c r="D1355" s="2">
        <v>46057.45553240741</v>
      </c>
      <c r="E1355" s="1" t="s">
        <v>3219</v>
      </c>
      <c r="F1355" s="1" t="b">
        <v>1</v>
      </c>
    </row>
    <row r="1356">
      <c r="A1356" s="1" t="s">
        <v>1517</v>
      </c>
      <c r="B1356" s="1" t="s">
        <v>2046</v>
      </c>
      <c r="C1356" s="1">
        <v>574085.0</v>
      </c>
      <c r="D1356" s="2">
        <v>46057.45943287037</v>
      </c>
      <c r="E1356" s="1" t="s">
        <v>3220</v>
      </c>
      <c r="F1356" s="1" t="b">
        <v>1</v>
      </c>
    </row>
    <row r="1357">
      <c r="A1357" s="1" t="s">
        <v>1517</v>
      </c>
      <c r="B1357" s="1" t="s">
        <v>2046</v>
      </c>
      <c r="C1357" s="1">
        <v>574085.0</v>
      </c>
      <c r="D1357" s="2">
        <v>46057.46328703704</v>
      </c>
      <c r="E1357" s="1" t="s">
        <v>3221</v>
      </c>
      <c r="F1357" s="1" t="b">
        <v>0</v>
      </c>
    </row>
    <row r="1358">
      <c r="A1358" s="1" t="s">
        <v>1517</v>
      </c>
      <c r="B1358" s="1" t="s">
        <v>2042</v>
      </c>
      <c r="C1358" s="1" t="s">
        <v>1519</v>
      </c>
      <c r="D1358" s="2">
        <v>46057.46487268519</v>
      </c>
      <c r="E1358" s="1" t="s">
        <v>3222</v>
      </c>
      <c r="F1358" s="1" t="b">
        <v>0</v>
      </c>
    </row>
    <row r="1359">
      <c r="A1359" s="1" t="s">
        <v>1517</v>
      </c>
      <c r="B1359" s="1" t="s">
        <v>2046</v>
      </c>
      <c r="C1359" s="1">
        <v>574085.0</v>
      </c>
      <c r="D1359" s="2">
        <v>46057.46554398148</v>
      </c>
      <c r="E1359" s="1" t="s">
        <v>3223</v>
      </c>
      <c r="F1359" s="1" t="b">
        <v>0</v>
      </c>
    </row>
    <row r="1360">
      <c r="A1360" s="1" t="s">
        <v>1517</v>
      </c>
      <c r="B1360" s="1" t="s">
        <v>2042</v>
      </c>
      <c r="C1360" s="1" t="s">
        <v>1519</v>
      </c>
      <c r="D1360" s="2">
        <v>46057.61077546296</v>
      </c>
      <c r="E1360" s="1" t="s">
        <v>3224</v>
      </c>
      <c r="F1360" s="1" t="b">
        <v>0</v>
      </c>
    </row>
    <row r="1361">
      <c r="A1361" s="1" t="s">
        <v>1517</v>
      </c>
      <c r="B1361" s="1" t="s">
        <v>2046</v>
      </c>
      <c r="C1361" s="1">
        <v>607950.0</v>
      </c>
      <c r="D1361" s="2">
        <v>46057.612025462964</v>
      </c>
      <c r="E1361" s="1" t="s">
        <v>3225</v>
      </c>
      <c r="F1361" s="1" t="b">
        <v>0</v>
      </c>
    </row>
    <row r="1362">
      <c r="A1362" s="1" t="s">
        <v>1517</v>
      </c>
      <c r="B1362" s="1" t="s">
        <v>2042</v>
      </c>
      <c r="C1362" s="1" t="s">
        <v>1519</v>
      </c>
      <c r="D1362" s="2">
        <v>46057.61439814815</v>
      </c>
      <c r="E1362" s="1" t="s">
        <v>3226</v>
      </c>
      <c r="F1362" s="1" t="b">
        <v>0</v>
      </c>
    </row>
    <row r="1363">
      <c r="A1363" s="1" t="s">
        <v>1517</v>
      </c>
      <c r="B1363" s="1" t="s">
        <v>2046</v>
      </c>
      <c r="C1363" s="1">
        <v>580658.0</v>
      </c>
      <c r="D1363" s="2">
        <v>46057.656493055554</v>
      </c>
      <c r="E1363" s="1" t="s">
        <v>3227</v>
      </c>
      <c r="F1363" s="1" t="b">
        <v>1</v>
      </c>
    </row>
    <row r="1364">
      <c r="A1364" s="1" t="s">
        <v>1517</v>
      </c>
      <c r="B1364" s="1" t="s">
        <v>2046</v>
      </c>
      <c r="C1364" s="1">
        <v>607950.0</v>
      </c>
      <c r="D1364" s="2">
        <v>46057.76212962963</v>
      </c>
      <c r="E1364" s="1" t="s">
        <v>3228</v>
      </c>
      <c r="F1364" s="1" t="b">
        <v>0</v>
      </c>
    </row>
    <row r="1365">
      <c r="A1365" s="1" t="s">
        <v>1507</v>
      </c>
      <c r="B1365" s="1" t="s">
        <v>2042</v>
      </c>
      <c r="C1365" s="1" t="s">
        <v>1511</v>
      </c>
      <c r="D1365" s="2">
        <v>46057.54292824074</v>
      </c>
      <c r="E1365" s="1" t="s">
        <v>3229</v>
      </c>
      <c r="F1365" s="1" t="b">
        <v>0</v>
      </c>
    </row>
    <row r="1366">
      <c r="A1366" s="1" t="s">
        <v>1507</v>
      </c>
      <c r="B1366" s="1" t="s">
        <v>2046</v>
      </c>
      <c r="C1366" s="1">
        <v>607950.0</v>
      </c>
      <c r="D1366" s="2">
        <v>46057.581400462965</v>
      </c>
      <c r="E1366" s="1" t="s">
        <v>2752</v>
      </c>
      <c r="F1366" s="1" t="b">
        <v>0</v>
      </c>
    </row>
    <row r="1367">
      <c r="A1367" s="1" t="s">
        <v>1507</v>
      </c>
      <c r="B1367" s="1" t="s">
        <v>2046</v>
      </c>
      <c r="C1367" s="1">
        <v>574085.0</v>
      </c>
      <c r="D1367" s="2">
        <v>46057.58515046296</v>
      </c>
      <c r="E1367" s="1" t="s">
        <v>3230</v>
      </c>
      <c r="F1367" s="1" t="b">
        <v>1</v>
      </c>
    </row>
    <row r="1368">
      <c r="A1368" s="1" t="s">
        <v>1507</v>
      </c>
      <c r="B1368" s="1" t="s">
        <v>2046</v>
      </c>
      <c r="C1368" s="1">
        <v>607950.0</v>
      </c>
      <c r="D1368" s="2">
        <v>46057.58934027778</v>
      </c>
      <c r="E1368" s="1" t="s">
        <v>3231</v>
      </c>
      <c r="F1368" s="1" t="b">
        <v>0</v>
      </c>
    </row>
    <row r="1369">
      <c r="A1369" s="1" t="s">
        <v>1507</v>
      </c>
      <c r="B1369" s="1" t="s">
        <v>2046</v>
      </c>
      <c r="C1369" s="1">
        <v>607950.0</v>
      </c>
      <c r="D1369" s="2">
        <v>46057.60314814815</v>
      </c>
      <c r="E1369" s="1" t="s">
        <v>2739</v>
      </c>
      <c r="F1369" s="1" t="b">
        <v>0</v>
      </c>
    </row>
    <row r="1370">
      <c r="A1370" s="1" t="s">
        <v>1507</v>
      </c>
      <c r="B1370" s="1" t="s">
        <v>2046</v>
      </c>
      <c r="C1370" s="1">
        <v>607950.0</v>
      </c>
      <c r="D1370" s="2">
        <v>46058.60288194445</v>
      </c>
      <c r="E1370" s="1" t="s">
        <v>2108</v>
      </c>
      <c r="F1370" s="1" t="b">
        <v>0</v>
      </c>
    </row>
    <row r="1371">
      <c r="A1371" s="1" t="s">
        <v>1498</v>
      </c>
      <c r="B1371" s="1" t="s">
        <v>2042</v>
      </c>
      <c r="C1371" s="1" t="s">
        <v>3232</v>
      </c>
      <c r="D1371" s="2">
        <v>46057.58101851852</v>
      </c>
      <c r="E1371" s="1" t="s">
        <v>3233</v>
      </c>
      <c r="F1371" s="1" t="b">
        <v>0</v>
      </c>
    </row>
    <row r="1372">
      <c r="A1372" s="1" t="s">
        <v>1494</v>
      </c>
      <c r="B1372" s="1" t="s">
        <v>2042</v>
      </c>
      <c r="C1372" s="1" t="s">
        <v>1496</v>
      </c>
      <c r="D1372" s="2">
        <v>46057.65658564815</v>
      </c>
      <c r="E1372" s="1" t="s">
        <v>2933</v>
      </c>
      <c r="F1372" s="1" t="b">
        <v>0</v>
      </c>
    </row>
    <row r="1373">
      <c r="A1373" s="1" t="s">
        <v>1494</v>
      </c>
      <c r="B1373" s="1" t="s">
        <v>2042</v>
      </c>
      <c r="C1373" s="1" t="s">
        <v>1496</v>
      </c>
      <c r="D1373" s="2">
        <v>46057.65677083333</v>
      </c>
      <c r="E1373" s="1" t="s">
        <v>3234</v>
      </c>
      <c r="F1373" s="1" t="b">
        <v>0</v>
      </c>
    </row>
    <row r="1374">
      <c r="A1374" s="1" t="s">
        <v>1494</v>
      </c>
      <c r="B1374" s="1" t="s">
        <v>2046</v>
      </c>
      <c r="C1374" s="1">
        <v>607950.0</v>
      </c>
      <c r="D1374" s="2">
        <v>46057.65693287037</v>
      </c>
      <c r="E1374" s="1" t="s">
        <v>2752</v>
      </c>
      <c r="F1374" s="1" t="b">
        <v>0</v>
      </c>
    </row>
    <row r="1375">
      <c r="A1375" s="1" t="s">
        <v>1494</v>
      </c>
      <c r="B1375" s="1" t="s">
        <v>2042</v>
      </c>
      <c r="C1375" s="1" t="s">
        <v>1496</v>
      </c>
      <c r="D1375" s="2">
        <v>46057.65707175926</v>
      </c>
      <c r="E1375" s="1" t="s">
        <v>3235</v>
      </c>
      <c r="F1375" s="1" t="b">
        <v>0</v>
      </c>
    </row>
    <row r="1376">
      <c r="A1376" s="1" t="s">
        <v>1494</v>
      </c>
      <c r="B1376" s="1" t="s">
        <v>2042</v>
      </c>
      <c r="C1376" s="1" t="s">
        <v>1496</v>
      </c>
      <c r="D1376" s="2">
        <v>46057.65719907408</v>
      </c>
      <c r="E1376" s="1" t="s">
        <v>3236</v>
      </c>
      <c r="F1376" s="1" t="b">
        <v>0</v>
      </c>
    </row>
    <row r="1377">
      <c r="A1377" s="1" t="s">
        <v>1494</v>
      </c>
      <c r="B1377" s="1" t="s">
        <v>2046</v>
      </c>
      <c r="C1377" s="1">
        <v>607950.0</v>
      </c>
      <c r="D1377" s="2">
        <v>46057.657685185186</v>
      </c>
      <c r="E1377" s="1" t="s">
        <v>3237</v>
      </c>
      <c r="F1377" s="1" t="b">
        <v>0</v>
      </c>
    </row>
    <row r="1378">
      <c r="A1378" s="1" t="s">
        <v>1494</v>
      </c>
      <c r="B1378" s="1" t="s">
        <v>2042</v>
      </c>
      <c r="C1378" s="1" t="s">
        <v>1496</v>
      </c>
      <c r="D1378" s="2">
        <v>46057.657743055555</v>
      </c>
      <c r="E1378" s="1" t="s">
        <v>3238</v>
      </c>
      <c r="F1378" s="1" t="b">
        <v>0</v>
      </c>
    </row>
    <row r="1379">
      <c r="A1379" s="1" t="s">
        <v>1494</v>
      </c>
      <c r="B1379" s="1" t="s">
        <v>2046</v>
      </c>
      <c r="C1379" s="1">
        <v>607950.0</v>
      </c>
      <c r="D1379" s="2">
        <v>46057.660046296296</v>
      </c>
      <c r="E1379" s="1" t="s">
        <v>3239</v>
      </c>
      <c r="F1379" s="1" t="b">
        <v>0</v>
      </c>
    </row>
    <row r="1380">
      <c r="A1380" s="1" t="s">
        <v>1494</v>
      </c>
      <c r="B1380" s="1" t="s">
        <v>2042</v>
      </c>
      <c r="C1380" s="1" t="s">
        <v>1496</v>
      </c>
      <c r="D1380" s="2">
        <v>46057.66060185185</v>
      </c>
      <c r="E1380" s="1" t="s">
        <v>3240</v>
      </c>
      <c r="F1380" s="1" t="b">
        <v>0</v>
      </c>
    </row>
    <row r="1381">
      <c r="A1381" s="1" t="s">
        <v>1494</v>
      </c>
      <c r="B1381" s="1" t="s">
        <v>2046</v>
      </c>
      <c r="C1381" s="1">
        <v>506375.0</v>
      </c>
      <c r="D1381" s="2">
        <v>46057.77799768518</v>
      </c>
      <c r="E1381" s="1" t="s">
        <v>3241</v>
      </c>
      <c r="F1381" s="1" t="b">
        <v>1</v>
      </c>
    </row>
    <row r="1382">
      <c r="A1382" s="1" t="s">
        <v>1494</v>
      </c>
      <c r="B1382" s="1" t="s">
        <v>2150</v>
      </c>
      <c r="C1382" s="1" t="s">
        <v>2151</v>
      </c>
      <c r="D1382" s="2">
        <v>46057.77806712963</v>
      </c>
      <c r="E1382" s="1" t="s">
        <v>3242</v>
      </c>
      <c r="F1382" s="1" t="b">
        <v>1</v>
      </c>
    </row>
    <row r="1383">
      <c r="A1383" s="1" t="s">
        <v>1494</v>
      </c>
      <c r="B1383" s="1" t="s">
        <v>2046</v>
      </c>
      <c r="C1383" s="1">
        <v>506375.0</v>
      </c>
      <c r="D1383" s="2">
        <v>46057.778182870374</v>
      </c>
      <c r="E1383" s="1" t="s">
        <v>3243</v>
      </c>
      <c r="F1383" s="1" t="b">
        <v>1</v>
      </c>
    </row>
    <row r="1384">
      <c r="A1384" s="1" t="s">
        <v>1494</v>
      </c>
      <c r="B1384" s="1" t="s">
        <v>2150</v>
      </c>
      <c r="C1384" s="1" t="s">
        <v>2151</v>
      </c>
      <c r="D1384" s="2">
        <v>46057.77829861111</v>
      </c>
      <c r="E1384" s="1" t="s">
        <v>3244</v>
      </c>
      <c r="F1384" s="1" t="b">
        <v>1</v>
      </c>
    </row>
    <row r="1385">
      <c r="A1385" s="1" t="s">
        <v>1494</v>
      </c>
      <c r="B1385" s="1" t="s">
        <v>2046</v>
      </c>
      <c r="C1385" s="1">
        <v>506375.0</v>
      </c>
      <c r="D1385" s="2">
        <v>46057.77854166667</v>
      </c>
      <c r="E1385" s="1" t="s">
        <v>3245</v>
      </c>
      <c r="F1385" s="1" t="b">
        <v>0</v>
      </c>
    </row>
    <row r="1386">
      <c r="A1386" s="1" t="s">
        <v>1489</v>
      </c>
      <c r="B1386" s="1" t="s">
        <v>2042</v>
      </c>
      <c r="C1386" s="1" t="s">
        <v>1492</v>
      </c>
      <c r="D1386" s="2">
        <v>46057.65914351852</v>
      </c>
      <c r="F1386" s="1" t="b">
        <v>0</v>
      </c>
    </row>
    <row r="1387">
      <c r="A1387" s="1" t="s">
        <v>1489</v>
      </c>
      <c r="B1387" s="1" t="s">
        <v>2042</v>
      </c>
      <c r="C1387" s="1" t="s">
        <v>1492</v>
      </c>
      <c r="D1387" s="2">
        <v>46057.659166666665</v>
      </c>
      <c r="E1387" s="1" t="s">
        <v>3246</v>
      </c>
      <c r="F1387" s="1" t="b">
        <v>0</v>
      </c>
    </row>
    <row r="1388">
      <c r="A1388" s="1" t="s">
        <v>1489</v>
      </c>
      <c r="B1388" s="1" t="s">
        <v>2046</v>
      </c>
      <c r="C1388" s="1">
        <v>607950.0</v>
      </c>
      <c r="D1388" s="2">
        <v>46057.65924768519</v>
      </c>
      <c r="E1388" s="1" t="s">
        <v>2752</v>
      </c>
      <c r="F1388" s="1" t="b">
        <v>0</v>
      </c>
    </row>
    <row r="1389">
      <c r="A1389" s="1" t="s">
        <v>1489</v>
      </c>
      <c r="B1389" s="1" t="s">
        <v>2046</v>
      </c>
      <c r="C1389" s="1">
        <v>607950.0</v>
      </c>
      <c r="D1389" s="2">
        <v>46057.66709490741</v>
      </c>
      <c r="E1389" s="1" t="s">
        <v>3247</v>
      </c>
      <c r="F1389" s="1" t="b">
        <v>0</v>
      </c>
    </row>
    <row r="1390">
      <c r="A1390" s="1" t="s">
        <v>1489</v>
      </c>
      <c r="B1390" s="1" t="s">
        <v>2042</v>
      </c>
      <c r="C1390" s="1" t="s">
        <v>1492</v>
      </c>
      <c r="D1390" s="2">
        <v>46057.66945601852</v>
      </c>
      <c r="E1390" s="1" t="s">
        <v>3248</v>
      </c>
      <c r="F1390" s="1" t="b">
        <v>0</v>
      </c>
    </row>
    <row r="1391">
      <c r="A1391" s="1" t="s">
        <v>1489</v>
      </c>
      <c r="B1391" s="1" t="s">
        <v>2046</v>
      </c>
      <c r="C1391" s="1">
        <v>506375.0</v>
      </c>
      <c r="D1391" s="2">
        <v>46057.69137731481</v>
      </c>
      <c r="E1391" s="1" t="s">
        <v>2254</v>
      </c>
      <c r="F1391" s="1" t="b">
        <v>1</v>
      </c>
    </row>
    <row r="1392">
      <c r="A1392" s="1" t="s">
        <v>1489</v>
      </c>
      <c r="B1392" s="1" t="s">
        <v>2150</v>
      </c>
      <c r="C1392" s="1" t="s">
        <v>2151</v>
      </c>
      <c r="D1392" s="2">
        <v>46057.69149305556</v>
      </c>
      <c r="E1392" s="1" t="s">
        <v>3249</v>
      </c>
      <c r="F1392" s="1" t="b">
        <v>1</v>
      </c>
    </row>
    <row r="1393">
      <c r="A1393" s="1" t="s">
        <v>1489</v>
      </c>
      <c r="B1393" s="1" t="s">
        <v>2046</v>
      </c>
      <c r="C1393" s="1">
        <v>506375.0</v>
      </c>
      <c r="D1393" s="2">
        <v>46057.69310185185</v>
      </c>
      <c r="E1393" s="1" t="s">
        <v>2548</v>
      </c>
      <c r="F1393" s="1" t="b">
        <v>0</v>
      </c>
    </row>
    <row r="1394">
      <c r="A1394" s="1" t="s">
        <v>1489</v>
      </c>
      <c r="B1394" s="1" t="s">
        <v>2046</v>
      </c>
      <c r="C1394" s="1">
        <v>506375.0</v>
      </c>
      <c r="D1394" s="2">
        <v>46057.70291666667</v>
      </c>
      <c r="E1394" s="1" t="s">
        <v>3250</v>
      </c>
      <c r="F1394" s="1" t="b">
        <v>1</v>
      </c>
    </row>
    <row r="1395">
      <c r="A1395" s="1" t="s">
        <v>1489</v>
      </c>
      <c r="B1395" s="1" t="s">
        <v>2042</v>
      </c>
      <c r="C1395" s="1" t="s">
        <v>1492</v>
      </c>
      <c r="D1395" s="2">
        <v>46057.718310185184</v>
      </c>
      <c r="E1395" s="1" t="s">
        <v>3251</v>
      </c>
      <c r="F1395" s="1" t="b">
        <v>0</v>
      </c>
    </row>
    <row r="1396">
      <c r="A1396" s="1" t="s">
        <v>1489</v>
      </c>
      <c r="B1396" s="1" t="s">
        <v>2046</v>
      </c>
      <c r="C1396" s="1">
        <v>574085.0</v>
      </c>
      <c r="D1396" s="2">
        <v>46057.718622685185</v>
      </c>
      <c r="E1396" s="1" t="s">
        <v>3252</v>
      </c>
      <c r="F1396" s="1" t="b">
        <v>1</v>
      </c>
    </row>
    <row r="1397">
      <c r="A1397" s="1" t="s">
        <v>1489</v>
      </c>
      <c r="B1397" s="1" t="s">
        <v>2046</v>
      </c>
      <c r="C1397" s="1">
        <v>506375.0</v>
      </c>
      <c r="D1397" s="2">
        <v>46057.74141203704</v>
      </c>
      <c r="E1397" s="1" t="s">
        <v>2505</v>
      </c>
      <c r="F1397" s="1" t="b">
        <v>0</v>
      </c>
    </row>
    <row r="1398">
      <c r="A1398" s="1" t="s">
        <v>1489</v>
      </c>
      <c r="B1398" s="1" t="s">
        <v>2042</v>
      </c>
      <c r="C1398" s="1" t="s">
        <v>1492</v>
      </c>
      <c r="D1398" s="2">
        <v>46057.74366898148</v>
      </c>
      <c r="E1398" s="1" t="s">
        <v>3253</v>
      </c>
      <c r="F1398" s="1" t="b">
        <v>0</v>
      </c>
    </row>
    <row r="1399">
      <c r="A1399" s="1" t="s">
        <v>1489</v>
      </c>
      <c r="B1399" s="1" t="s">
        <v>2042</v>
      </c>
      <c r="C1399" s="1" t="s">
        <v>1492</v>
      </c>
      <c r="D1399" s="2">
        <v>46057.743935185186</v>
      </c>
      <c r="E1399" s="1" t="s">
        <v>3254</v>
      </c>
      <c r="F1399" s="1" t="b">
        <v>0</v>
      </c>
    </row>
    <row r="1400">
      <c r="A1400" s="1" t="s">
        <v>1489</v>
      </c>
      <c r="B1400" s="1" t="s">
        <v>2046</v>
      </c>
      <c r="C1400" s="1">
        <v>506375.0</v>
      </c>
      <c r="D1400" s="2">
        <v>46057.74491898148</v>
      </c>
      <c r="E1400" s="1" t="s">
        <v>3255</v>
      </c>
      <c r="F1400" s="1" t="b">
        <v>1</v>
      </c>
    </row>
    <row r="1401">
      <c r="A1401" s="1" t="s">
        <v>1489</v>
      </c>
      <c r="B1401" s="1" t="s">
        <v>2150</v>
      </c>
      <c r="C1401" s="1" t="s">
        <v>2151</v>
      </c>
      <c r="D1401" s="2">
        <v>46057.744988425926</v>
      </c>
      <c r="E1401" s="1" t="s">
        <v>3256</v>
      </c>
      <c r="F1401" s="1" t="b">
        <v>1</v>
      </c>
    </row>
    <row r="1402">
      <c r="A1402" s="1" t="s">
        <v>1489</v>
      </c>
      <c r="B1402" s="1" t="s">
        <v>2046</v>
      </c>
      <c r="C1402" s="1">
        <v>506375.0</v>
      </c>
      <c r="D1402" s="2">
        <v>46057.74511574074</v>
      </c>
      <c r="E1402" s="1" t="s">
        <v>3256</v>
      </c>
      <c r="F1402" s="1" t="b">
        <v>0</v>
      </c>
    </row>
    <row r="1403">
      <c r="A1403" s="1" t="s">
        <v>1489</v>
      </c>
      <c r="B1403" s="1" t="s">
        <v>2042</v>
      </c>
      <c r="C1403" s="1" t="s">
        <v>1492</v>
      </c>
      <c r="D1403" s="2">
        <v>46057.74524305556</v>
      </c>
      <c r="E1403" s="1" t="s">
        <v>3257</v>
      </c>
      <c r="F1403" s="1" t="b">
        <v>0</v>
      </c>
    </row>
    <row r="1404">
      <c r="A1404" s="1" t="s">
        <v>1489</v>
      </c>
      <c r="B1404" s="1" t="s">
        <v>2042</v>
      </c>
      <c r="C1404" s="1" t="s">
        <v>1492</v>
      </c>
      <c r="D1404" s="2">
        <v>46057.74556712963</v>
      </c>
      <c r="E1404" s="1" t="s">
        <v>3258</v>
      </c>
      <c r="F1404" s="1" t="b">
        <v>0</v>
      </c>
    </row>
    <row r="1405">
      <c r="A1405" s="1" t="s">
        <v>1489</v>
      </c>
      <c r="B1405" s="1" t="s">
        <v>2042</v>
      </c>
      <c r="C1405" s="1" t="s">
        <v>1492</v>
      </c>
      <c r="D1405" s="2">
        <v>46057.74560185185</v>
      </c>
      <c r="E1405" s="1" t="s">
        <v>3259</v>
      </c>
      <c r="F1405" s="1" t="b">
        <v>0</v>
      </c>
    </row>
    <row r="1406">
      <c r="A1406" s="1" t="s">
        <v>1489</v>
      </c>
      <c r="B1406" s="1" t="s">
        <v>2046</v>
      </c>
      <c r="C1406" s="1">
        <v>574085.0</v>
      </c>
      <c r="D1406" s="2">
        <v>46057.75119212963</v>
      </c>
      <c r="E1406" s="1" t="s">
        <v>2108</v>
      </c>
      <c r="F1406" s="1" t="b">
        <v>0</v>
      </c>
    </row>
    <row r="1407">
      <c r="A1407" s="1" t="s">
        <v>1485</v>
      </c>
      <c r="B1407" s="1" t="s">
        <v>2042</v>
      </c>
      <c r="C1407" s="1" t="s">
        <v>3260</v>
      </c>
      <c r="D1407" s="2">
        <v>46057.66715277778</v>
      </c>
      <c r="E1407" s="1" t="s">
        <v>3261</v>
      </c>
      <c r="F1407" s="1" t="b">
        <v>0</v>
      </c>
    </row>
    <row r="1408">
      <c r="A1408" s="1" t="s">
        <v>1485</v>
      </c>
      <c r="B1408" s="1" t="s">
        <v>2042</v>
      </c>
      <c r="C1408" s="1" t="s">
        <v>3260</v>
      </c>
      <c r="D1408" s="2">
        <v>46057.66726851852</v>
      </c>
      <c r="E1408" s="1" t="s">
        <v>3262</v>
      </c>
      <c r="F1408" s="1" t="b">
        <v>0</v>
      </c>
    </row>
    <row r="1409">
      <c r="A1409" s="1" t="s">
        <v>1485</v>
      </c>
      <c r="B1409" s="1" t="s">
        <v>2042</v>
      </c>
      <c r="C1409" s="1" t="s">
        <v>3260</v>
      </c>
      <c r="D1409" s="2">
        <v>46057.6684375</v>
      </c>
      <c r="E1409" s="1" t="s">
        <v>3263</v>
      </c>
      <c r="F1409" s="1" t="b">
        <v>0</v>
      </c>
    </row>
    <row r="1410">
      <c r="A1410" s="1" t="s">
        <v>1485</v>
      </c>
      <c r="B1410" s="1" t="s">
        <v>2042</v>
      </c>
      <c r="C1410" s="1" t="s">
        <v>3260</v>
      </c>
      <c r="D1410" s="2">
        <v>46057.66869212963</v>
      </c>
      <c r="E1410" s="1" t="s">
        <v>3264</v>
      </c>
      <c r="F1410" s="1" t="b">
        <v>0</v>
      </c>
    </row>
    <row r="1411">
      <c r="A1411" s="1" t="s">
        <v>1485</v>
      </c>
      <c r="B1411" s="1" t="s">
        <v>2042</v>
      </c>
      <c r="C1411" s="1" t="s">
        <v>3260</v>
      </c>
      <c r="D1411" s="2">
        <v>46057.66947916667</v>
      </c>
      <c r="E1411" s="1" t="s">
        <v>3265</v>
      </c>
      <c r="F1411" s="1" t="b">
        <v>0</v>
      </c>
    </row>
    <row r="1412">
      <c r="A1412" s="1" t="s">
        <v>1482</v>
      </c>
      <c r="B1412" s="1" t="s">
        <v>2042</v>
      </c>
      <c r="C1412" s="1" t="s">
        <v>1119</v>
      </c>
      <c r="D1412" s="2">
        <v>46057.67314814815</v>
      </c>
      <c r="E1412" s="1" t="s">
        <v>3266</v>
      </c>
      <c r="F1412" s="1" t="b">
        <v>0</v>
      </c>
    </row>
    <row r="1413">
      <c r="A1413" s="1" t="s">
        <v>1482</v>
      </c>
      <c r="B1413" s="1" t="s">
        <v>2042</v>
      </c>
      <c r="C1413" s="1" t="s">
        <v>1119</v>
      </c>
      <c r="D1413" s="2">
        <v>46057.674155092594</v>
      </c>
      <c r="E1413" s="1" t="s">
        <v>3267</v>
      </c>
      <c r="F1413" s="1" t="b">
        <v>0</v>
      </c>
    </row>
    <row r="1414">
      <c r="A1414" s="1" t="s">
        <v>1482</v>
      </c>
      <c r="B1414" s="1" t="s">
        <v>2042</v>
      </c>
      <c r="C1414" s="1" t="s">
        <v>1119</v>
      </c>
      <c r="D1414" s="2">
        <v>46057.67434027778</v>
      </c>
      <c r="E1414" s="1" t="s">
        <v>2114</v>
      </c>
      <c r="F1414" s="1" t="b">
        <v>0</v>
      </c>
    </row>
    <row r="1415">
      <c r="A1415" s="1" t="s">
        <v>1482</v>
      </c>
      <c r="B1415" s="1" t="s">
        <v>2046</v>
      </c>
      <c r="C1415" s="1">
        <v>607950.0</v>
      </c>
      <c r="D1415" s="2">
        <v>46057.67482638889</v>
      </c>
      <c r="E1415" s="1" t="s">
        <v>2752</v>
      </c>
      <c r="F1415" s="1" t="b">
        <v>0</v>
      </c>
    </row>
    <row r="1416">
      <c r="A1416" s="1" t="s">
        <v>1482</v>
      </c>
      <c r="B1416" s="1" t="s">
        <v>2042</v>
      </c>
      <c r="C1416" s="1" t="s">
        <v>1119</v>
      </c>
      <c r="D1416" s="2">
        <v>46057.67569444444</v>
      </c>
      <c r="F1416" s="1" t="b">
        <v>0</v>
      </c>
    </row>
    <row r="1417">
      <c r="A1417" s="1" t="s">
        <v>1482</v>
      </c>
      <c r="B1417" s="1" t="s">
        <v>2042</v>
      </c>
      <c r="C1417" s="1" t="s">
        <v>1119</v>
      </c>
      <c r="D1417" s="2">
        <v>46057.67605324074</v>
      </c>
      <c r="E1417" s="1" t="s">
        <v>3268</v>
      </c>
      <c r="F1417" s="1" t="b">
        <v>0</v>
      </c>
    </row>
    <row r="1418">
      <c r="A1418" s="1" t="s">
        <v>1482</v>
      </c>
      <c r="B1418" s="1" t="s">
        <v>2042</v>
      </c>
      <c r="C1418" s="1" t="s">
        <v>1119</v>
      </c>
      <c r="D1418" s="2">
        <v>46057.68082175926</v>
      </c>
      <c r="E1418" s="1" t="s">
        <v>3269</v>
      </c>
      <c r="F1418" s="1" t="b">
        <v>0</v>
      </c>
    </row>
    <row r="1419">
      <c r="A1419" s="1" t="s">
        <v>1482</v>
      </c>
      <c r="B1419" s="1" t="s">
        <v>2046</v>
      </c>
      <c r="C1419" s="1">
        <v>607950.0</v>
      </c>
      <c r="D1419" s="2">
        <v>46057.68309027778</v>
      </c>
      <c r="E1419" s="1" t="s">
        <v>3270</v>
      </c>
      <c r="F1419" s="1" t="b">
        <v>0</v>
      </c>
    </row>
    <row r="1420">
      <c r="A1420" s="1" t="s">
        <v>1482</v>
      </c>
      <c r="B1420" s="1" t="s">
        <v>2042</v>
      </c>
      <c r="C1420" s="1" t="s">
        <v>1119</v>
      </c>
      <c r="D1420" s="2">
        <v>46057.68362268519</v>
      </c>
      <c r="E1420" s="1" t="s">
        <v>3271</v>
      </c>
      <c r="F1420" s="1" t="b">
        <v>0</v>
      </c>
    </row>
    <row r="1421">
      <c r="A1421" s="1" t="s">
        <v>1482</v>
      </c>
      <c r="B1421" s="1" t="s">
        <v>2046</v>
      </c>
      <c r="C1421" s="1">
        <v>607950.0</v>
      </c>
      <c r="D1421" s="2">
        <v>46057.68387731481</v>
      </c>
      <c r="E1421" s="1" t="s">
        <v>3272</v>
      </c>
      <c r="F1421" s="1" t="b">
        <v>1</v>
      </c>
    </row>
    <row r="1422">
      <c r="A1422" s="1" t="s">
        <v>1482</v>
      </c>
      <c r="B1422" s="1" t="s">
        <v>2046</v>
      </c>
      <c r="C1422" s="1">
        <v>607950.0</v>
      </c>
      <c r="D1422" s="2">
        <v>46057.68435185185</v>
      </c>
      <c r="E1422" s="1" t="s">
        <v>3273</v>
      </c>
      <c r="F1422" s="1" t="b">
        <v>0</v>
      </c>
    </row>
    <row r="1423">
      <c r="A1423" s="1" t="s">
        <v>1482</v>
      </c>
      <c r="B1423" s="1" t="s">
        <v>2046</v>
      </c>
      <c r="C1423" s="1">
        <v>506375.0</v>
      </c>
      <c r="D1423" s="2">
        <v>46057.68922453704</v>
      </c>
      <c r="E1423" s="1" t="s">
        <v>3274</v>
      </c>
      <c r="F1423" s="1" t="b">
        <v>0</v>
      </c>
    </row>
    <row r="1424">
      <c r="A1424" s="1" t="s">
        <v>1482</v>
      </c>
      <c r="B1424" s="1" t="s">
        <v>2046</v>
      </c>
      <c r="C1424" s="1">
        <v>506375.0</v>
      </c>
      <c r="D1424" s="2">
        <v>46057.68943287037</v>
      </c>
      <c r="E1424" s="1" t="s">
        <v>3275</v>
      </c>
      <c r="F1424" s="1" t="b">
        <v>1</v>
      </c>
    </row>
    <row r="1425">
      <c r="A1425" s="1" t="s">
        <v>1482</v>
      </c>
      <c r="B1425" s="1" t="s">
        <v>2150</v>
      </c>
      <c r="C1425" s="1" t="s">
        <v>2151</v>
      </c>
      <c r="D1425" s="2">
        <v>46057.68971064815</v>
      </c>
      <c r="E1425" s="1" t="s">
        <v>3276</v>
      </c>
      <c r="F1425" s="1" t="b">
        <v>1</v>
      </c>
    </row>
    <row r="1426">
      <c r="A1426" s="1" t="s">
        <v>1482</v>
      </c>
      <c r="B1426" s="1" t="s">
        <v>2046</v>
      </c>
      <c r="C1426" s="1">
        <v>506375.0</v>
      </c>
      <c r="D1426" s="2">
        <v>46057.69011574074</v>
      </c>
      <c r="E1426" s="1" t="s">
        <v>3277</v>
      </c>
      <c r="F1426" s="1" t="b">
        <v>1</v>
      </c>
    </row>
    <row r="1427">
      <c r="A1427" s="1" t="s">
        <v>1482</v>
      </c>
      <c r="B1427" s="1" t="s">
        <v>2150</v>
      </c>
      <c r="C1427" s="1" t="s">
        <v>2151</v>
      </c>
      <c r="D1427" s="2">
        <v>46057.6902662037</v>
      </c>
      <c r="E1427" s="1" t="s">
        <v>3278</v>
      </c>
      <c r="F1427" s="1" t="b">
        <v>1</v>
      </c>
    </row>
    <row r="1428">
      <c r="A1428" s="1" t="s">
        <v>1482</v>
      </c>
      <c r="B1428" s="1" t="s">
        <v>2046</v>
      </c>
      <c r="C1428" s="1">
        <v>506375.0</v>
      </c>
      <c r="D1428" s="2">
        <v>46057.69090277778</v>
      </c>
      <c r="E1428" s="1" t="s">
        <v>3279</v>
      </c>
      <c r="F1428" s="1" t="b">
        <v>0</v>
      </c>
    </row>
    <row r="1429">
      <c r="A1429" s="1" t="s">
        <v>1482</v>
      </c>
      <c r="B1429" s="1" t="s">
        <v>2046</v>
      </c>
      <c r="C1429" s="1">
        <v>506375.0</v>
      </c>
      <c r="D1429" s="2">
        <v>46057.691087962965</v>
      </c>
      <c r="E1429" s="1" t="s">
        <v>3280</v>
      </c>
      <c r="F1429" s="1" t="b">
        <v>0</v>
      </c>
    </row>
    <row r="1430">
      <c r="A1430" s="1" t="s">
        <v>1482</v>
      </c>
      <c r="B1430" s="1" t="s">
        <v>2042</v>
      </c>
      <c r="C1430" s="1" t="s">
        <v>1119</v>
      </c>
      <c r="D1430" s="2">
        <v>46057.69215277778</v>
      </c>
      <c r="E1430" s="1" t="s">
        <v>3281</v>
      </c>
      <c r="F1430" s="1" t="b">
        <v>0</v>
      </c>
    </row>
    <row r="1431">
      <c r="A1431" s="1" t="s">
        <v>1482</v>
      </c>
      <c r="B1431" s="1" t="s">
        <v>2046</v>
      </c>
      <c r="C1431" s="1">
        <v>506375.0</v>
      </c>
      <c r="D1431" s="2">
        <v>46057.69458333333</v>
      </c>
      <c r="E1431" s="1" t="s">
        <v>3282</v>
      </c>
      <c r="F1431" s="1" t="b">
        <v>1</v>
      </c>
    </row>
    <row r="1432">
      <c r="A1432" s="1" t="s">
        <v>1482</v>
      </c>
      <c r="B1432" s="1" t="s">
        <v>2046</v>
      </c>
      <c r="C1432" s="1">
        <v>506375.0</v>
      </c>
      <c r="D1432" s="2">
        <v>46057.696597222224</v>
      </c>
      <c r="E1432" s="1" t="s">
        <v>3283</v>
      </c>
      <c r="F1432" s="1" t="b">
        <v>1</v>
      </c>
    </row>
    <row r="1433">
      <c r="A1433" s="1" t="s">
        <v>1482</v>
      </c>
      <c r="B1433" s="1" t="s">
        <v>2046</v>
      </c>
      <c r="C1433" s="1">
        <v>607950.0</v>
      </c>
      <c r="D1433" s="2">
        <v>46058.42005787037</v>
      </c>
      <c r="E1433" s="1" t="s">
        <v>3284</v>
      </c>
      <c r="F1433" s="1" t="b">
        <v>0</v>
      </c>
    </row>
    <row r="1434">
      <c r="A1434" s="1" t="s">
        <v>1482</v>
      </c>
      <c r="B1434" s="1" t="s">
        <v>2046</v>
      </c>
      <c r="C1434" s="1">
        <v>607950.0</v>
      </c>
      <c r="D1434" s="2">
        <v>46058.421331018515</v>
      </c>
      <c r="E1434" s="1" t="s">
        <v>3285</v>
      </c>
      <c r="F1434" s="1" t="b">
        <v>0</v>
      </c>
    </row>
    <row r="1435">
      <c r="A1435" s="1" t="s">
        <v>1482</v>
      </c>
      <c r="B1435" s="1" t="s">
        <v>2046</v>
      </c>
      <c r="C1435" s="1">
        <v>607950.0</v>
      </c>
      <c r="D1435" s="2">
        <v>46058.42612268519</v>
      </c>
      <c r="E1435" s="1" t="s">
        <v>2108</v>
      </c>
      <c r="F1435" s="1" t="b">
        <v>0</v>
      </c>
    </row>
    <row r="1436">
      <c r="A1436" s="1" t="s">
        <v>1477</v>
      </c>
      <c r="B1436" s="1" t="s">
        <v>2042</v>
      </c>
      <c r="C1436" s="1" t="s">
        <v>1480</v>
      </c>
      <c r="D1436" s="2">
        <v>46057.69548611111</v>
      </c>
      <c r="E1436" s="1" t="s">
        <v>3286</v>
      </c>
      <c r="F1436" s="1" t="b">
        <v>0</v>
      </c>
    </row>
    <row r="1437">
      <c r="A1437" s="1" t="s">
        <v>1477</v>
      </c>
      <c r="B1437" s="1" t="s">
        <v>2046</v>
      </c>
      <c r="C1437" s="1">
        <v>506375.0</v>
      </c>
      <c r="D1437" s="2">
        <v>46057.69648148148</v>
      </c>
      <c r="E1437" s="1" t="s">
        <v>3287</v>
      </c>
      <c r="F1437" s="1" t="b">
        <v>1</v>
      </c>
    </row>
    <row r="1438">
      <c r="A1438" s="1" t="s">
        <v>1477</v>
      </c>
      <c r="B1438" s="1" t="s">
        <v>2150</v>
      </c>
      <c r="C1438" s="1" t="s">
        <v>2151</v>
      </c>
      <c r="D1438" s="2">
        <v>46057.69657407407</v>
      </c>
      <c r="E1438" s="1" t="s">
        <v>3288</v>
      </c>
      <c r="F1438" s="1" t="b">
        <v>1</v>
      </c>
    </row>
    <row r="1439">
      <c r="A1439" s="1" t="s">
        <v>1477</v>
      </c>
      <c r="B1439" s="1" t="s">
        <v>2046</v>
      </c>
      <c r="C1439" s="1">
        <v>506375.0</v>
      </c>
      <c r="D1439" s="2">
        <v>46057.696921296294</v>
      </c>
      <c r="E1439" s="1" t="s">
        <v>3288</v>
      </c>
      <c r="F1439" s="1" t="b">
        <v>0</v>
      </c>
    </row>
    <row r="1440">
      <c r="A1440" s="1" t="s">
        <v>1477</v>
      </c>
      <c r="B1440" s="1" t="s">
        <v>2042</v>
      </c>
      <c r="C1440" s="1" t="s">
        <v>1480</v>
      </c>
      <c r="D1440" s="2">
        <v>46057.69935185185</v>
      </c>
      <c r="F1440" s="1" t="b">
        <v>0</v>
      </c>
    </row>
    <row r="1441">
      <c r="A1441" s="1" t="s">
        <v>1477</v>
      </c>
      <c r="B1441" s="1" t="s">
        <v>2042</v>
      </c>
      <c r="C1441" s="1" t="s">
        <v>1480</v>
      </c>
      <c r="D1441" s="2">
        <v>46057.699467592596</v>
      </c>
      <c r="F1441" s="1" t="b">
        <v>0</v>
      </c>
    </row>
    <row r="1442">
      <c r="A1442" s="1" t="s">
        <v>1477</v>
      </c>
      <c r="B1442" s="1" t="s">
        <v>2046</v>
      </c>
      <c r="C1442" s="1">
        <v>506375.0</v>
      </c>
      <c r="D1442" s="2">
        <v>46057.70444444445</v>
      </c>
      <c r="E1442" s="1" t="s">
        <v>3289</v>
      </c>
      <c r="F1442" s="1" t="b">
        <v>0</v>
      </c>
    </row>
    <row r="1443">
      <c r="A1443" s="1" t="s">
        <v>1477</v>
      </c>
      <c r="B1443" s="1" t="s">
        <v>2046</v>
      </c>
      <c r="C1443" s="1">
        <v>506375.0</v>
      </c>
      <c r="D1443" s="2">
        <v>46057.72274305556</v>
      </c>
      <c r="E1443" s="1" t="s">
        <v>2254</v>
      </c>
      <c r="F1443" s="1" t="b">
        <v>1</v>
      </c>
    </row>
    <row r="1444">
      <c r="A1444" s="1" t="s">
        <v>1477</v>
      </c>
      <c r="B1444" s="1" t="s">
        <v>2150</v>
      </c>
      <c r="C1444" s="1" t="s">
        <v>2151</v>
      </c>
      <c r="D1444" s="2">
        <v>46057.722858796296</v>
      </c>
      <c r="E1444" s="1" t="s">
        <v>3290</v>
      </c>
      <c r="F1444" s="1" t="b">
        <v>1</v>
      </c>
    </row>
    <row r="1445">
      <c r="A1445" s="1" t="s">
        <v>1477</v>
      </c>
      <c r="B1445" s="1" t="s">
        <v>2046</v>
      </c>
      <c r="C1445" s="1">
        <v>506375.0</v>
      </c>
      <c r="D1445" s="2">
        <v>46057.72635416667</v>
      </c>
      <c r="E1445" s="1" t="s">
        <v>3291</v>
      </c>
      <c r="F1445" s="1" t="b">
        <v>1</v>
      </c>
    </row>
    <row r="1446">
      <c r="A1446" s="1" t="s">
        <v>1477</v>
      </c>
      <c r="B1446" s="1" t="s">
        <v>2046</v>
      </c>
      <c r="C1446" s="1">
        <v>574085.0</v>
      </c>
      <c r="D1446" s="2">
        <v>46057.74327546296</v>
      </c>
      <c r="E1446" s="1" t="s">
        <v>3292</v>
      </c>
      <c r="F1446" s="1" t="b">
        <v>1</v>
      </c>
    </row>
    <row r="1447">
      <c r="A1447" s="1" t="s">
        <v>1477</v>
      </c>
      <c r="B1447" s="1" t="s">
        <v>2150</v>
      </c>
      <c r="C1447" s="1" t="s">
        <v>2151</v>
      </c>
      <c r="D1447" s="2">
        <v>46057.74337962963</v>
      </c>
      <c r="E1447" s="1" t="s">
        <v>3293</v>
      </c>
      <c r="F1447" s="1" t="b">
        <v>1</v>
      </c>
    </row>
    <row r="1448">
      <c r="A1448" s="1" t="s">
        <v>1477</v>
      </c>
      <c r="B1448" s="1" t="s">
        <v>2046</v>
      </c>
      <c r="C1448" s="1">
        <v>574085.0</v>
      </c>
      <c r="D1448" s="2">
        <v>46057.74435185185</v>
      </c>
      <c r="E1448" s="1" t="s">
        <v>3294</v>
      </c>
      <c r="F1448" s="1" t="b">
        <v>1</v>
      </c>
    </row>
    <row r="1449">
      <c r="A1449" s="1" t="s">
        <v>1477</v>
      </c>
      <c r="B1449" s="1" t="s">
        <v>2046</v>
      </c>
      <c r="C1449" s="1">
        <v>574085.0</v>
      </c>
      <c r="D1449" s="2">
        <v>46057.75502314815</v>
      </c>
      <c r="E1449" s="1" t="s">
        <v>3295</v>
      </c>
      <c r="F1449" s="1" t="b">
        <v>1</v>
      </c>
    </row>
    <row r="1450">
      <c r="A1450" s="1" t="s">
        <v>1477</v>
      </c>
      <c r="B1450" s="1" t="s">
        <v>2046</v>
      </c>
      <c r="C1450" s="1">
        <v>607950.0</v>
      </c>
      <c r="D1450" s="2">
        <v>46057.77287037037</v>
      </c>
      <c r="E1450" s="1" t="s">
        <v>3296</v>
      </c>
      <c r="F1450" s="1" t="b">
        <v>1</v>
      </c>
    </row>
    <row r="1451">
      <c r="A1451" s="1" t="s">
        <v>1477</v>
      </c>
      <c r="B1451" s="1" t="s">
        <v>2150</v>
      </c>
      <c r="C1451" s="1" t="s">
        <v>2151</v>
      </c>
      <c r="D1451" s="2">
        <v>46057.772986111115</v>
      </c>
      <c r="E1451" s="1" t="s">
        <v>3297</v>
      </c>
      <c r="F1451" s="1" t="b">
        <v>1</v>
      </c>
    </row>
    <row r="1452">
      <c r="A1452" s="1" t="s">
        <v>1477</v>
      </c>
      <c r="B1452" s="1" t="s">
        <v>2046</v>
      </c>
      <c r="C1452" s="1">
        <v>607950.0</v>
      </c>
      <c r="D1452" s="2">
        <v>46057.774363425924</v>
      </c>
      <c r="E1452" s="1" t="s">
        <v>3296</v>
      </c>
      <c r="F1452" s="1" t="b">
        <v>1</v>
      </c>
    </row>
    <row r="1453">
      <c r="A1453" s="1" t="s">
        <v>1477</v>
      </c>
      <c r="B1453" s="1" t="s">
        <v>2150</v>
      </c>
      <c r="C1453" s="1" t="s">
        <v>2151</v>
      </c>
      <c r="D1453" s="2">
        <v>46057.77446759259</v>
      </c>
      <c r="E1453" s="1" t="s">
        <v>3298</v>
      </c>
      <c r="F1453" s="1" t="b">
        <v>1</v>
      </c>
    </row>
    <row r="1454">
      <c r="A1454" s="1" t="s">
        <v>1477</v>
      </c>
      <c r="B1454" s="1" t="s">
        <v>2046</v>
      </c>
      <c r="C1454" s="1">
        <v>607950.0</v>
      </c>
      <c r="D1454" s="2">
        <v>46057.77452546296</v>
      </c>
      <c r="E1454" s="1" t="s">
        <v>3299</v>
      </c>
      <c r="F1454" s="1" t="b">
        <v>1</v>
      </c>
    </row>
    <row r="1455">
      <c r="A1455" s="1" t="s">
        <v>1477</v>
      </c>
      <c r="B1455" s="1" t="s">
        <v>2046</v>
      </c>
      <c r="C1455" s="1">
        <v>574085.0</v>
      </c>
      <c r="D1455" s="2">
        <v>46057.77457175926</v>
      </c>
      <c r="E1455" s="1" t="s">
        <v>3300</v>
      </c>
      <c r="F1455" s="1" t="b">
        <v>1</v>
      </c>
    </row>
    <row r="1456">
      <c r="A1456" s="1" t="s">
        <v>1477</v>
      </c>
      <c r="B1456" s="1" t="s">
        <v>2046</v>
      </c>
      <c r="C1456" s="1">
        <v>607950.0</v>
      </c>
      <c r="D1456" s="2">
        <v>46057.776608796295</v>
      </c>
      <c r="E1456" s="1" t="s">
        <v>3301</v>
      </c>
      <c r="F1456" s="1" t="b">
        <v>1</v>
      </c>
    </row>
    <row r="1457">
      <c r="A1457" s="1" t="s">
        <v>1477</v>
      </c>
      <c r="B1457" s="1" t="s">
        <v>2150</v>
      </c>
      <c r="C1457" s="1" t="s">
        <v>2151</v>
      </c>
      <c r="D1457" s="2">
        <v>46057.77670138889</v>
      </c>
      <c r="E1457" s="1" t="s">
        <v>3302</v>
      </c>
      <c r="F1457" s="1" t="b">
        <v>1</v>
      </c>
    </row>
    <row r="1458">
      <c r="A1458" s="1" t="s">
        <v>1477</v>
      </c>
      <c r="B1458" s="1" t="s">
        <v>2046</v>
      </c>
      <c r="C1458" s="1">
        <v>607950.0</v>
      </c>
      <c r="D1458" s="2">
        <v>46057.78418981482</v>
      </c>
      <c r="E1458" s="1" t="s">
        <v>2740</v>
      </c>
      <c r="F1458" s="1" t="b">
        <v>1</v>
      </c>
    </row>
    <row r="1459">
      <c r="A1459" s="1" t="s">
        <v>1477</v>
      </c>
      <c r="B1459" s="1" t="s">
        <v>2150</v>
      </c>
      <c r="C1459" s="1" t="s">
        <v>2151</v>
      </c>
      <c r="D1459" s="2">
        <v>46057.7843287037</v>
      </c>
      <c r="E1459" s="1" t="s">
        <v>3303</v>
      </c>
      <c r="F1459" s="1" t="b">
        <v>1</v>
      </c>
    </row>
    <row r="1460">
      <c r="A1460" s="1" t="s">
        <v>1477</v>
      </c>
      <c r="B1460" s="1" t="s">
        <v>2046</v>
      </c>
      <c r="C1460" s="1">
        <v>574085.0</v>
      </c>
      <c r="D1460" s="2">
        <v>46057.78474537037</v>
      </c>
      <c r="E1460" s="1" t="s">
        <v>3304</v>
      </c>
      <c r="F1460" s="1" t="b">
        <v>0</v>
      </c>
    </row>
    <row r="1461">
      <c r="A1461" s="1" t="s">
        <v>1477</v>
      </c>
      <c r="B1461" s="1" t="s">
        <v>2046</v>
      </c>
      <c r="C1461" s="1">
        <v>607950.0</v>
      </c>
      <c r="D1461" s="2">
        <v>46058.42822916667</v>
      </c>
      <c r="E1461" s="1" t="s">
        <v>2739</v>
      </c>
      <c r="F1461" s="1" t="b">
        <v>0</v>
      </c>
    </row>
    <row r="1462">
      <c r="A1462" s="1" t="s">
        <v>1477</v>
      </c>
      <c r="B1462" s="1" t="s">
        <v>2042</v>
      </c>
      <c r="C1462" s="1" t="s">
        <v>1480</v>
      </c>
      <c r="D1462" s="2">
        <v>46058.43215277778</v>
      </c>
      <c r="F1462" s="1" t="b">
        <v>0</v>
      </c>
    </row>
    <row r="1463">
      <c r="A1463" s="1" t="s">
        <v>1477</v>
      </c>
      <c r="B1463" s="1" t="s">
        <v>2042</v>
      </c>
      <c r="C1463" s="1" t="s">
        <v>1480</v>
      </c>
      <c r="D1463" s="2">
        <v>46058.432291666664</v>
      </c>
      <c r="E1463" s="1" t="s">
        <v>3305</v>
      </c>
      <c r="F1463" s="1" t="b">
        <v>0</v>
      </c>
    </row>
    <row r="1464">
      <c r="A1464" s="1" t="s">
        <v>1477</v>
      </c>
      <c r="B1464" s="1" t="s">
        <v>2042</v>
      </c>
      <c r="C1464" s="1" t="s">
        <v>1480</v>
      </c>
      <c r="D1464" s="2">
        <v>46058.43238425926</v>
      </c>
      <c r="E1464" s="1" t="s">
        <v>3306</v>
      </c>
      <c r="F1464" s="1" t="b">
        <v>0</v>
      </c>
    </row>
    <row r="1465">
      <c r="A1465" s="1" t="s">
        <v>1477</v>
      </c>
      <c r="B1465" s="1" t="s">
        <v>2042</v>
      </c>
      <c r="C1465" s="1" t="s">
        <v>1480</v>
      </c>
      <c r="D1465" s="2">
        <v>46058.4324537037</v>
      </c>
      <c r="E1465" s="1" t="s">
        <v>3307</v>
      </c>
      <c r="F1465" s="1" t="b">
        <v>0</v>
      </c>
    </row>
    <row r="1466">
      <c r="A1466" s="1" t="s">
        <v>1477</v>
      </c>
      <c r="B1466" s="1" t="s">
        <v>2042</v>
      </c>
      <c r="C1466" s="1" t="s">
        <v>1480</v>
      </c>
      <c r="D1466" s="2">
        <v>46058.43251157407</v>
      </c>
      <c r="E1466" s="1" t="s">
        <v>3308</v>
      </c>
      <c r="F1466" s="1" t="b">
        <v>0</v>
      </c>
    </row>
    <row r="1467">
      <c r="A1467" s="1" t="s">
        <v>1477</v>
      </c>
      <c r="B1467" s="1" t="s">
        <v>2046</v>
      </c>
      <c r="C1467" s="1">
        <v>574085.0</v>
      </c>
      <c r="D1467" s="2">
        <v>46058.43332175926</v>
      </c>
      <c r="E1467" s="1" t="s">
        <v>3309</v>
      </c>
      <c r="F1467" s="1" t="b">
        <v>0</v>
      </c>
    </row>
    <row r="1468">
      <c r="A1468" s="1" t="s">
        <v>1477</v>
      </c>
      <c r="B1468" s="1" t="s">
        <v>2046</v>
      </c>
      <c r="C1468" s="1">
        <v>574085.0</v>
      </c>
      <c r="D1468" s="2">
        <v>46058.446377314816</v>
      </c>
      <c r="E1468" s="1" t="s">
        <v>3310</v>
      </c>
      <c r="F1468" s="1" t="b">
        <v>0</v>
      </c>
    </row>
    <row r="1469">
      <c r="A1469" s="1" t="s">
        <v>1477</v>
      </c>
      <c r="B1469" s="1" t="s">
        <v>2046</v>
      </c>
      <c r="C1469" s="1">
        <v>607950.0</v>
      </c>
      <c r="D1469" s="2">
        <v>46058.58043981482</v>
      </c>
      <c r="E1469" s="1" t="s">
        <v>2917</v>
      </c>
      <c r="F1469" s="1" t="b">
        <v>0</v>
      </c>
    </row>
    <row r="1470">
      <c r="A1470" s="1" t="s">
        <v>1477</v>
      </c>
      <c r="B1470" s="1" t="s">
        <v>2042</v>
      </c>
      <c r="C1470" s="1" t="s">
        <v>1480</v>
      </c>
      <c r="D1470" s="2">
        <v>46058.58185185185</v>
      </c>
      <c r="E1470" s="1" t="s">
        <v>3311</v>
      </c>
      <c r="F1470" s="1" t="b">
        <v>0</v>
      </c>
    </row>
    <row r="1471">
      <c r="A1471" s="1" t="s">
        <v>1477</v>
      </c>
      <c r="B1471" s="1" t="s">
        <v>2046</v>
      </c>
      <c r="C1471" s="1">
        <v>574085.0</v>
      </c>
      <c r="D1471" s="2">
        <v>46058.595300925925</v>
      </c>
      <c r="E1471" s="1" t="s">
        <v>2108</v>
      </c>
      <c r="F1471" s="1" t="b">
        <v>0</v>
      </c>
    </row>
    <row r="1472">
      <c r="A1472" s="1" t="s">
        <v>1474</v>
      </c>
      <c r="B1472" s="1" t="s">
        <v>2042</v>
      </c>
      <c r="C1472" s="1" t="s">
        <v>285</v>
      </c>
      <c r="D1472" s="2">
        <v>46057.73809027778</v>
      </c>
      <c r="E1472" s="1" t="s">
        <v>3312</v>
      </c>
      <c r="F1472" s="1" t="b">
        <v>0</v>
      </c>
    </row>
    <row r="1473">
      <c r="A1473" s="1" t="s">
        <v>1474</v>
      </c>
      <c r="B1473" s="1" t="s">
        <v>2046</v>
      </c>
      <c r="C1473" s="1">
        <v>506375.0</v>
      </c>
      <c r="D1473" s="2">
        <v>46057.74300925926</v>
      </c>
      <c r="E1473" s="1" t="s">
        <v>2351</v>
      </c>
      <c r="F1473" s="1" t="b">
        <v>1</v>
      </c>
    </row>
    <row r="1474">
      <c r="A1474" s="1" t="s">
        <v>1474</v>
      </c>
      <c r="B1474" s="1" t="s">
        <v>2150</v>
      </c>
      <c r="C1474" s="1" t="s">
        <v>2151</v>
      </c>
      <c r="D1474" s="2">
        <v>46057.74309027778</v>
      </c>
      <c r="E1474" s="1" t="s">
        <v>3313</v>
      </c>
      <c r="F1474" s="1" t="b">
        <v>1</v>
      </c>
    </row>
    <row r="1475">
      <c r="A1475" s="1" t="s">
        <v>1474</v>
      </c>
      <c r="B1475" s="1" t="s">
        <v>2046</v>
      </c>
      <c r="C1475" s="1">
        <v>506375.0</v>
      </c>
      <c r="D1475" s="2">
        <v>46057.74391203704</v>
      </c>
      <c r="E1475" s="1" t="s">
        <v>3314</v>
      </c>
      <c r="F1475" s="1" t="b">
        <v>1</v>
      </c>
    </row>
    <row r="1476">
      <c r="A1476" s="1" t="s">
        <v>1474</v>
      </c>
      <c r="B1476" s="1" t="s">
        <v>2150</v>
      </c>
      <c r="C1476" s="1" t="s">
        <v>2151</v>
      </c>
      <c r="D1476" s="2">
        <v>46057.74398148148</v>
      </c>
      <c r="E1476" s="1" t="s">
        <v>3315</v>
      </c>
      <c r="F1476" s="1" t="b">
        <v>1</v>
      </c>
    </row>
    <row r="1477">
      <c r="A1477" s="1" t="s">
        <v>1474</v>
      </c>
      <c r="B1477" s="1" t="s">
        <v>2046</v>
      </c>
      <c r="C1477" s="1">
        <v>506375.0</v>
      </c>
      <c r="D1477" s="2">
        <v>46057.744571759256</v>
      </c>
      <c r="E1477" s="1" t="s">
        <v>3316</v>
      </c>
      <c r="F1477" s="1" t="b">
        <v>0</v>
      </c>
    </row>
    <row r="1478">
      <c r="A1478" s="1" t="s">
        <v>1474</v>
      </c>
      <c r="B1478" s="1" t="s">
        <v>2042</v>
      </c>
      <c r="C1478" s="1" t="s">
        <v>285</v>
      </c>
      <c r="D1478" s="2">
        <v>46057.7853125</v>
      </c>
      <c r="E1478" s="1" t="s">
        <v>3317</v>
      </c>
      <c r="F1478" s="1" t="b">
        <v>0</v>
      </c>
    </row>
    <row r="1479">
      <c r="A1479" s="1" t="s">
        <v>1474</v>
      </c>
      <c r="B1479" s="1" t="s">
        <v>2042</v>
      </c>
      <c r="C1479" s="1" t="s">
        <v>285</v>
      </c>
      <c r="D1479" s="2">
        <v>46057.785844907405</v>
      </c>
      <c r="F1479" s="1" t="b">
        <v>0</v>
      </c>
    </row>
    <row r="1480">
      <c r="A1480" s="1" t="s">
        <v>1474</v>
      </c>
      <c r="B1480" s="1" t="s">
        <v>2046</v>
      </c>
      <c r="C1480" s="1">
        <v>506375.0</v>
      </c>
      <c r="D1480" s="2">
        <v>46057.78833333333</v>
      </c>
      <c r="E1480" s="1" t="s">
        <v>3318</v>
      </c>
      <c r="F1480" s="1" t="b">
        <v>0</v>
      </c>
    </row>
    <row r="1481">
      <c r="A1481" s="1" t="s">
        <v>1474</v>
      </c>
      <c r="B1481" s="1" t="s">
        <v>2046</v>
      </c>
      <c r="C1481" s="1">
        <v>506375.0</v>
      </c>
      <c r="D1481" s="2">
        <v>46057.7905787037</v>
      </c>
      <c r="E1481" s="1" t="s">
        <v>3319</v>
      </c>
      <c r="F1481" s="1" t="b">
        <v>1</v>
      </c>
    </row>
    <row r="1482">
      <c r="A1482" s="1" t="s">
        <v>1474</v>
      </c>
      <c r="B1482" s="1" t="s">
        <v>2150</v>
      </c>
      <c r="C1482" s="1" t="s">
        <v>2151</v>
      </c>
      <c r="D1482" s="2">
        <v>46057.79076388889</v>
      </c>
      <c r="E1482" s="1" t="s">
        <v>3320</v>
      </c>
      <c r="F1482" s="1" t="b">
        <v>1</v>
      </c>
    </row>
    <row r="1483">
      <c r="A1483" s="1" t="s">
        <v>1474</v>
      </c>
      <c r="B1483" s="1" t="s">
        <v>2046</v>
      </c>
      <c r="C1483" s="1">
        <v>506375.0</v>
      </c>
      <c r="D1483" s="2">
        <v>46057.791030092594</v>
      </c>
      <c r="E1483" s="1" t="s">
        <v>3321</v>
      </c>
      <c r="F1483" s="1" t="b">
        <v>1</v>
      </c>
    </row>
    <row r="1484">
      <c r="A1484" s="1" t="s">
        <v>1474</v>
      </c>
      <c r="B1484" s="1" t="s">
        <v>2150</v>
      </c>
      <c r="C1484" s="1" t="s">
        <v>2151</v>
      </c>
      <c r="D1484" s="2">
        <v>46057.7912037037</v>
      </c>
      <c r="E1484" s="1" t="s">
        <v>3322</v>
      </c>
      <c r="F1484" s="1" t="b">
        <v>1</v>
      </c>
    </row>
    <row r="1485">
      <c r="A1485" s="1" t="s">
        <v>1474</v>
      </c>
      <c r="B1485" s="1" t="s">
        <v>2046</v>
      </c>
      <c r="C1485" s="1">
        <v>506375.0</v>
      </c>
      <c r="D1485" s="2">
        <v>46057.792291666665</v>
      </c>
      <c r="E1485" s="1" t="s">
        <v>3323</v>
      </c>
      <c r="F1485" s="1" t="b">
        <v>0</v>
      </c>
    </row>
    <row r="1486">
      <c r="A1486" s="1" t="s">
        <v>1474</v>
      </c>
      <c r="B1486" s="1" t="s">
        <v>2046</v>
      </c>
      <c r="C1486" s="1">
        <v>607950.0</v>
      </c>
      <c r="D1486" s="2">
        <v>46058.417592592596</v>
      </c>
      <c r="E1486" s="1" t="s">
        <v>2917</v>
      </c>
      <c r="F1486" s="1" t="b">
        <v>0</v>
      </c>
    </row>
    <row r="1487">
      <c r="A1487" s="1" t="s">
        <v>1474</v>
      </c>
      <c r="B1487" s="1" t="s">
        <v>2046</v>
      </c>
      <c r="C1487" s="1">
        <v>607950.0</v>
      </c>
      <c r="D1487" s="2">
        <v>46058.42545138889</v>
      </c>
      <c r="E1487" s="1" t="s">
        <v>2108</v>
      </c>
      <c r="F1487" s="1" t="b">
        <v>0</v>
      </c>
    </row>
    <row r="1488">
      <c r="A1488" s="1" t="s">
        <v>1470</v>
      </c>
      <c r="B1488" s="1" t="s">
        <v>2042</v>
      </c>
      <c r="C1488" s="1" t="s">
        <v>1472</v>
      </c>
      <c r="D1488" s="2">
        <v>46058.35612268518</v>
      </c>
      <c r="E1488" s="1" t="s">
        <v>3324</v>
      </c>
      <c r="F1488" s="1" t="b">
        <v>0</v>
      </c>
    </row>
    <row r="1489">
      <c r="A1489" s="1" t="s">
        <v>1470</v>
      </c>
      <c r="B1489" s="1" t="s">
        <v>2042</v>
      </c>
      <c r="C1489" s="1" t="s">
        <v>1472</v>
      </c>
      <c r="D1489" s="2">
        <v>46058.35695601852</v>
      </c>
      <c r="E1489" s="1" t="s">
        <v>3325</v>
      </c>
      <c r="F1489" s="1" t="b">
        <v>0</v>
      </c>
    </row>
    <row r="1490">
      <c r="A1490" s="1" t="s">
        <v>1470</v>
      </c>
      <c r="B1490" s="1" t="s">
        <v>2042</v>
      </c>
      <c r="C1490" s="1" t="s">
        <v>1472</v>
      </c>
      <c r="D1490" s="2">
        <v>46058.35731481481</v>
      </c>
      <c r="E1490" s="1" t="s">
        <v>3326</v>
      </c>
      <c r="F1490" s="1" t="b">
        <v>0</v>
      </c>
    </row>
    <row r="1491">
      <c r="A1491" s="1" t="s">
        <v>1470</v>
      </c>
      <c r="B1491" s="1" t="s">
        <v>2042</v>
      </c>
      <c r="C1491" s="1" t="s">
        <v>1472</v>
      </c>
      <c r="D1491" s="2">
        <v>46058.3575</v>
      </c>
      <c r="E1491" s="1" t="s">
        <v>3327</v>
      </c>
      <c r="F1491" s="1" t="b">
        <v>0</v>
      </c>
    </row>
    <row r="1492">
      <c r="A1492" s="1" t="s">
        <v>1470</v>
      </c>
      <c r="B1492" s="1" t="s">
        <v>2046</v>
      </c>
      <c r="C1492" s="1">
        <v>607950.0</v>
      </c>
      <c r="D1492" s="2">
        <v>46058.41707175926</v>
      </c>
      <c r="E1492" s="1" t="s">
        <v>2752</v>
      </c>
      <c r="F1492" s="1" t="b">
        <v>0</v>
      </c>
    </row>
    <row r="1493">
      <c r="A1493" s="1" t="s">
        <v>1470</v>
      </c>
      <c r="B1493" s="1" t="s">
        <v>2046</v>
      </c>
      <c r="C1493" s="1">
        <v>574085.0</v>
      </c>
      <c r="D1493" s="2">
        <v>46058.41721064815</v>
      </c>
      <c r="E1493" s="1" t="s">
        <v>3328</v>
      </c>
      <c r="F1493" s="1" t="b">
        <v>1</v>
      </c>
    </row>
    <row r="1494">
      <c r="A1494" s="1" t="s">
        <v>1470</v>
      </c>
      <c r="B1494" s="1" t="s">
        <v>2046</v>
      </c>
      <c r="C1494" s="1">
        <v>574085.0</v>
      </c>
      <c r="D1494" s="2">
        <v>46058.417280092595</v>
      </c>
      <c r="E1494" s="1" t="s">
        <v>3329</v>
      </c>
      <c r="F1494" s="1" t="b">
        <v>1</v>
      </c>
    </row>
    <row r="1495">
      <c r="A1495" s="1" t="s">
        <v>1470</v>
      </c>
      <c r="B1495" s="1" t="s">
        <v>2046</v>
      </c>
      <c r="C1495" s="1">
        <v>607950.0</v>
      </c>
      <c r="D1495" s="2">
        <v>46058.41800925926</v>
      </c>
      <c r="E1495" s="1" t="s">
        <v>3330</v>
      </c>
      <c r="F1495" s="1" t="b">
        <v>0</v>
      </c>
    </row>
    <row r="1496">
      <c r="A1496" s="1" t="s">
        <v>1470</v>
      </c>
      <c r="B1496" s="1" t="s">
        <v>2046</v>
      </c>
      <c r="C1496" s="1">
        <v>607950.0</v>
      </c>
      <c r="D1496" s="2">
        <v>46058.42418981482</v>
      </c>
      <c r="E1496" s="1" t="s">
        <v>2917</v>
      </c>
      <c r="F1496" s="1" t="b">
        <v>0</v>
      </c>
    </row>
    <row r="1497">
      <c r="A1497" s="1" t="s">
        <v>1470</v>
      </c>
      <c r="B1497" s="1" t="s">
        <v>2046</v>
      </c>
      <c r="C1497" s="1">
        <v>607950.0</v>
      </c>
      <c r="D1497" s="2">
        <v>46058.42863425926</v>
      </c>
      <c r="E1497" s="1" t="s">
        <v>2108</v>
      </c>
      <c r="F1497" s="1" t="b">
        <v>0</v>
      </c>
    </row>
    <row r="1498">
      <c r="A1498" s="1" t="s">
        <v>1464</v>
      </c>
      <c r="B1498" s="1" t="s">
        <v>2042</v>
      </c>
      <c r="C1498" s="1" t="s">
        <v>1468</v>
      </c>
      <c r="D1498" s="2">
        <v>46058.381574074076</v>
      </c>
      <c r="E1498" s="1" t="s">
        <v>3331</v>
      </c>
      <c r="F1498" s="1" t="b">
        <v>0</v>
      </c>
    </row>
    <row r="1499">
      <c r="A1499" s="1" t="s">
        <v>1464</v>
      </c>
      <c r="B1499" s="1" t="s">
        <v>2042</v>
      </c>
      <c r="C1499" s="1" t="s">
        <v>1468</v>
      </c>
      <c r="D1499" s="2">
        <v>46058.38175925926</v>
      </c>
      <c r="E1499" s="1" t="s">
        <v>3332</v>
      </c>
      <c r="F1499" s="1" t="b">
        <v>0</v>
      </c>
    </row>
    <row r="1500">
      <c r="A1500" s="1" t="s">
        <v>1464</v>
      </c>
      <c r="B1500" s="1" t="s">
        <v>2042</v>
      </c>
      <c r="C1500" s="1" t="s">
        <v>1468</v>
      </c>
      <c r="D1500" s="2">
        <v>46058.38208333333</v>
      </c>
      <c r="E1500" s="1" t="s">
        <v>3333</v>
      </c>
      <c r="F1500" s="1" t="b">
        <v>0</v>
      </c>
    </row>
    <row r="1501">
      <c r="A1501" s="1" t="s">
        <v>1464</v>
      </c>
      <c r="B1501" s="1" t="s">
        <v>2046</v>
      </c>
      <c r="C1501" s="1">
        <v>574085.0</v>
      </c>
      <c r="D1501" s="2">
        <v>46058.41364583333</v>
      </c>
      <c r="E1501" s="1" t="s">
        <v>3334</v>
      </c>
      <c r="F1501" s="1" t="b">
        <v>0</v>
      </c>
    </row>
    <row r="1502">
      <c r="A1502" s="1" t="s">
        <v>1464</v>
      </c>
      <c r="B1502" s="1" t="s">
        <v>2042</v>
      </c>
      <c r="C1502" s="1" t="s">
        <v>1468</v>
      </c>
      <c r="D1502" s="2">
        <v>46058.41509259259</v>
      </c>
      <c r="E1502" s="1" t="s">
        <v>3335</v>
      </c>
      <c r="F1502" s="1" t="b">
        <v>0</v>
      </c>
    </row>
    <row r="1503">
      <c r="A1503" s="1" t="s">
        <v>1464</v>
      </c>
      <c r="B1503" s="1" t="s">
        <v>2046</v>
      </c>
      <c r="C1503" s="1">
        <v>574085.0</v>
      </c>
      <c r="D1503" s="2">
        <v>46058.4171412037</v>
      </c>
      <c r="E1503" s="1" t="s">
        <v>3336</v>
      </c>
      <c r="F1503" s="1" t="b">
        <v>0</v>
      </c>
    </row>
    <row r="1504">
      <c r="A1504" s="1" t="s">
        <v>1464</v>
      </c>
      <c r="B1504" s="1" t="s">
        <v>2042</v>
      </c>
      <c r="C1504" s="1" t="s">
        <v>1468</v>
      </c>
      <c r="D1504" s="2">
        <v>46058.42165509259</v>
      </c>
      <c r="E1504" s="1" t="s">
        <v>3337</v>
      </c>
      <c r="F1504" s="1" t="b">
        <v>0</v>
      </c>
    </row>
    <row r="1505">
      <c r="A1505" s="1" t="s">
        <v>1464</v>
      </c>
      <c r="B1505" s="1" t="s">
        <v>2046</v>
      </c>
      <c r="C1505" s="1">
        <v>574085.0</v>
      </c>
      <c r="D1505" s="2">
        <v>46058.42302083333</v>
      </c>
      <c r="E1505" s="1" t="s">
        <v>3338</v>
      </c>
      <c r="F1505" s="1" t="b">
        <v>0</v>
      </c>
    </row>
    <row r="1506">
      <c r="A1506" s="1" t="s">
        <v>1464</v>
      </c>
      <c r="B1506" s="1" t="s">
        <v>2046</v>
      </c>
      <c r="C1506" s="1">
        <v>607950.0</v>
      </c>
      <c r="D1506" s="2">
        <v>46058.42590277778</v>
      </c>
      <c r="E1506" s="1" t="s">
        <v>3339</v>
      </c>
      <c r="F1506" s="1" t="b">
        <v>0</v>
      </c>
    </row>
    <row r="1507">
      <c r="A1507" s="1" t="s">
        <v>1464</v>
      </c>
      <c r="B1507" s="1" t="s">
        <v>2046</v>
      </c>
      <c r="C1507" s="1">
        <v>607950.0</v>
      </c>
      <c r="D1507" s="2">
        <v>46058.42732638889</v>
      </c>
      <c r="E1507" s="1" t="s">
        <v>2740</v>
      </c>
      <c r="F1507" s="1" t="b">
        <v>1</v>
      </c>
    </row>
    <row r="1508">
      <c r="A1508" s="1" t="s">
        <v>1464</v>
      </c>
      <c r="B1508" s="1" t="s">
        <v>2150</v>
      </c>
      <c r="C1508" s="1" t="s">
        <v>2151</v>
      </c>
      <c r="D1508" s="2">
        <v>46058.427453703705</v>
      </c>
      <c r="E1508" s="1" t="s">
        <v>3340</v>
      </c>
      <c r="F1508" s="1" t="b">
        <v>1</v>
      </c>
    </row>
    <row r="1509">
      <c r="A1509" s="1" t="s">
        <v>1464</v>
      </c>
      <c r="B1509" s="1" t="s">
        <v>2042</v>
      </c>
      <c r="C1509" s="1" t="s">
        <v>1468</v>
      </c>
      <c r="D1509" s="2">
        <v>46058.42905092592</v>
      </c>
      <c r="E1509" s="1" t="s">
        <v>3341</v>
      </c>
      <c r="F1509" s="1" t="b">
        <v>0</v>
      </c>
    </row>
    <row r="1510">
      <c r="A1510" s="1" t="s">
        <v>1464</v>
      </c>
      <c r="B1510" s="1" t="s">
        <v>2046</v>
      </c>
      <c r="C1510" s="1">
        <v>574085.0</v>
      </c>
      <c r="D1510" s="2">
        <v>46058.429560185185</v>
      </c>
      <c r="E1510" s="1" t="s">
        <v>3342</v>
      </c>
      <c r="F1510" s="1" t="b">
        <v>0</v>
      </c>
    </row>
    <row r="1511">
      <c r="A1511" s="1" t="s">
        <v>1464</v>
      </c>
      <c r="B1511" s="1" t="s">
        <v>2042</v>
      </c>
      <c r="C1511" s="1" t="s">
        <v>1468</v>
      </c>
      <c r="D1511" s="2">
        <v>46058.429976851854</v>
      </c>
      <c r="E1511" s="1" t="s">
        <v>2383</v>
      </c>
      <c r="F1511" s="1" t="b">
        <v>0</v>
      </c>
    </row>
    <row r="1512">
      <c r="A1512" s="1" t="s">
        <v>1464</v>
      </c>
      <c r="B1512" s="1" t="s">
        <v>2046</v>
      </c>
      <c r="C1512" s="1">
        <v>574085.0</v>
      </c>
      <c r="D1512" s="2">
        <v>46059.42488425926</v>
      </c>
      <c r="E1512" s="1" t="s">
        <v>2108</v>
      </c>
      <c r="F1512" s="1" t="b">
        <v>0</v>
      </c>
    </row>
    <row r="1513">
      <c r="A1513" s="1" t="s">
        <v>1464</v>
      </c>
      <c r="B1513" s="1" t="s">
        <v>2046</v>
      </c>
      <c r="C1513" s="1">
        <v>574085.0</v>
      </c>
      <c r="D1513" s="2">
        <v>46063.47591435185</v>
      </c>
      <c r="E1513" s="1" t="s">
        <v>3343</v>
      </c>
      <c r="F1513" s="1" t="b">
        <v>0</v>
      </c>
    </row>
    <row r="1514">
      <c r="A1514" s="1" t="s">
        <v>1464</v>
      </c>
      <c r="B1514" s="1" t="s">
        <v>2046</v>
      </c>
      <c r="C1514" s="1">
        <v>574085.0</v>
      </c>
      <c r="D1514" s="2">
        <v>46063.47626157408</v>
      </c>
      <c r="E1514" s="1" t="s">
        <v>3344</v>
      </c>
      <c r="F1514" s="1" t="b">
        <v>1</v>
      </c>
    </row>
    <row r="1515">
      <c r="A1515" s="1" t="s">
        <v>1464</v>
      </c>
      <c r="B1515" s="1" t="s">
        <v>2046</v>
      </c>
      <c r="C1515" s="1">
        <v>574085.0</v>
      </c>
      <c r="D1515" s="2">
        <v>46064.51702546296</v>
      </c>
      <c r="E1515" s="1" t="s">
        <v>3345</v>
      </c>
      <c r="F1515" s="1" t="b">
        <v>0</v>
      </c>
    </row>
    <row r="1516">
      <c r="A1516" s="1" t="s">
        <v>1464</v>
      </c>
      <c r="B1516" s="1" t="s">
        <v>2046</v>
      </c>
      <c r="C1516" s="1">
        <v>574085.0</v>
      </c>
      <c r="D1516" s="2">
        <v>46064.5171875</v>
      </c>
      <c r="E1516" s="1" t="s">
        <v>3346</v>
      </c>
      <c r="F1516" s="1" t="b">
        <v>1</v>
      </c>
    </row>
    <row r="1517">
      <c r="A1517" s="1" t="s">
        <v>1464</v>
      </c>
      <c r="B1517" s="1" t="s">
        <v>2042</v>
      </c>
      <c r="C1517" s="1" t="s">
        <v>1468</v>
      </c>
      <c r="D1517" s="2">
        <v>46066.59479166667</v>
      </c>
      <c r="E1517" s="1" t="s">
        <v>3347</v>
      </c>
      <c r="F1517" s="1" t="b">
        <v>0</v>
      </c>
    </row>
    <row r="1518">
      <c r="A1518" s="1" t="s">
        <v>1464</v>
      </c>
      <c r="B1518" s="1" t="s">
        <v>2042</v>
      </c>
      <c r="C1518" s="1" t="s">
        <v>1468</v>
      </c>
      <c r="D1518" s="2">
        <v>46066.59525462963</v>
      </c>
      <c r="E1518" s="1" t="s">
        <v>3348</v>
      </c>
      <c r="F1518" s="1" t="b">
        <v>0</v>
      </c>
    </row>
    <row r="1519">
      <c r="A1519" s="1" t="s">
        <v>1464</v>
      </c>
      <c r="B1519" s="1" t="s">
        <v>2042</v>
      </c>
      <c r="C1519" s="1" t="s">
        <v>1468</v>
      </c>
      <c r="D1519" s="2">
        <v>46066.595717592594</v>
      </c>
      <c r="F1519" s="1" t="b">
        <v>0</v>
      </c>
    </row>
    <row r="1520">
      <c r="A1520" s="1" t="s">
        <v>1464</v>
      </c>
      <c r="B1520" s="1" t="s">
        <v>2046</v>
      </c>
      <c r="C1520" s="1">
        <v>574085.0</v>
      </c>
      <c r="D1520" s="2">
        <v>46066.60907407408</v>
      </c>
      <c r="E1520" s="1" t="s">
        <v>3349</v>
      </c>
      <c r="F1520" s="1" t="b">
        <v>0</v>
      </c>
    </row>
    <row r="1521">
      <c r="A1521" s="1" t="s">
        <v>1458</v>
      </c>
      <c r="B1521" s="1" t="s">
        <v>2042</v>
      </c>
      <c r="C1521" s="1" t="s">
        <v>1460</v>
      </c>
      <c r="D1521" s="2">
        <v>46058.42125</v>
      </c>
      <c r="E1521" s="1" t="s">
        <v>3350</v>
      </c>
      <c r="F1521" s="1" t="b">
        <v>0</v>
      </c>
    </row>
    <row r="1522">
      <c r="A1522" s="1" t="s">
        <v>1458</v>
      </c>
      <c r="B1522" s="1" t="s">
        <v>2046</v>
      </c>
      <c r="C1522" s="1">
        <v>594863.0</v>
      </c>
      <c r="D1522" s="2">
        <v>46058.425787037035</v>
      </c>
      <c r="E1522" s="1" t="s">
        <v>3351</v>
      </c>
      <c r="F1522" s="1" t="b">
        <v>0</v>
      </c>
    </row>
    <row r="1523">
      <c r="A1523" s="1" t="s">
        <v>1458</v>
      </c>
      <c r="B1523" s="1" t="s">
        <v>2046</v>
      </c>
      <c r="C1523" s="1">
        <v>594863.0</v>
      </c>
      <c r="D1523" s="2">
        <v>46058.430972222224</v>
      </c>
      <c r="E1523" s="1" t="s">
        <v>3352</v>
      </c>
      <c r="F1523" s="1" t="b">
        <v>0</v>
      </c>
    </row>
    <row r="1524">
      <c r="A1524" s="1" t="s">
        <v>1458</v>
      </c>
      <c r="B1524" s="1" t="s">
        <v>2042</v>
      </c>
      <c r="C1524" s="1" t="s">
        <v>1460</v>
      </c>
      <c r="D1524" s="2">
        <v>46058.43340277778</v>
      </c>
      <c r="E1524" s="1" t="s">
        <v>3353</v>
      </c>
      <c r="F1524" s="1" t="b">
        <v>0</v>
      </c>
    </row>
    <row r="1525">
      <c r="A1525" s="1" t="s">
        <v>1458</v>
      </c>
      <c r="B1525" s="1" t="s">
        <v>2046</v>
      </c>
      <c r="C1525" s="1">
        <v>594863.0</v>
      </c>
      <c r="D1525" s="2">
        <v>46058.43956018519</v>
      </c>
      <c r="E1525" s="1" t="s">
        <v>3354</v>
      </c>
      <c r="F1525" s="1" t="b">
        <v>0</v>
      </c>
    </row>
    <row r="1526">
      <c r="A1526" s="1" t="s">
        <v>1458</v>
      </c>
      <c r="B1526" s="1" t="s">
        <v>2042</v>
      </c>
      <c r="C1526" s="1" t="s">
        <v>1460</v>
      </c>
      <c r="D1526" s="2">
        <v>46058.440729166665</v>
      </c>
      <c r="E1526" s="1" t="s">
        <v>3355</v>
      </c>
      <c r="F1526" s="1" t="b">
        <v>0</v>
      </c>
    </row>
    <row r="1527">
      <c r="A1527" s="1" t="s">
        <v>1458</v>
      </c>
      <c r="B1527" s="1" t="s">
        <v>2046</v>
      </c>
      <c r="C1527" s="1">
        <v>594863.0</v>
      </c>
      <c r="D1527" s="2">
        <v>46058.44152777778</v>
      </c>
      <c r="E1527" s="1" t="s">
        <v>2108</v>
      </c>
      <c r="F1527" s="1" t="b">
        <v>0</v>
      </c>
    </row>
    <row r="1528">
      <c r="A1528" s="1" t="s">
        <v>1462</v>
      </c>
      <c r="B1528" s="1" t="s">
        <v>2042</v>
      </c>
      <c r="C1528" s="1" t="s">
        <v>1383</v>
      </c>
      <c r="D1528" s="2">
        <v>46058.41936342593</v>
      </c>
      <c r="E1528" s="1" t="s">
        <v>3356</v>
      </c>
      <c r="F1528" s="1" t="b">
        <v>0</v>
      </c>
    </row>
    <row r="1529">
      <c r="A1529" s="1" t="s">
        <v>1462</v>
      </c>
      <c r="B1529" s="1" t="s">
        <v>2046</v>
      </c>
      <c r="C1529" s="1">
        <v>594863.0</v>
      </c>
      <c r="D1529" s="2">
        <v>46058.439780092594</v>
      </c>
      <c r="E1529" s="1" t="s">
        <v>3357</v>
      </c>
      <c r="F1529" s="1" t="b">
        <v>1</v>
      </c>
    </row>
    <row r="1530">
      <c r="A1530" s="1" t="s">
        <v>1462</v>
      </c>
      <c r="B1530" s="1" t="s">
        <v>2046</v>
      </c>
      <c r="C1530" s="1">
        <v>594863.0</v>
      </c>
      <c r="D1530" s="2">
        <v>46058.440104166664</v>
      </c>
      <c r="E1530" s="1" t="s">
        <v>3358</v>
      </c>
      <c r="F1530" s="1" t="b">
        <v>1</v>
      </c>
    </row>
    <row r="1531">
      <c r="A1531" s="1" t="s">
        <v>1462</v>
      </c>
      <c r="B1531" s="1" t="s">
        <v>2046</v>
      </c>
      <c r="C1531" s="1">
        <v>594863.0</v>
      </c>
      <c r="D1531" s="2">
        <v>46058.45618055556</v>
      </c>
      <c r="E1531" s="1" t="s">
        <v>3359</v>
      </c>
      <c r="F1531" s="1" t="b">
        <v>0</v>
      </c>
    </row>
    <row r="1532">
      <c r="A1532" s="1" t="s">
        <v>1462</v>
      </c>
      <c r="B1532" s="1" t="s">
        <v>2042</v>
      </c>
      <c r="C1532" s="1" t="s">
        <v>1383</v>
      </c>
      <c r="D1532" s="2">
        <v>46058.49737268518</v>
      </c>
      <c r="E1532" s="1" t="s">
        <v>2476</v>
      </c>
      <c r="F1532" s="1" t="b">
        <v>0</v>
      </c>
    </row>
    <row r="1533">
      <c r="A1533" s="1" t="s">
        <v>1462</v>
      </c>
      <c r="B1533" s="1" t="s">
        <v>2046</v>
      </c>
      <c r="C1533" s="1">
        <v>594863.0</v>
      </c>
      <c r="D1533" s="2">
        <v>46058.503113425926</v>
      </c>
      <c r="E1533" s="1" t="s">
        <v>3360</v>
      </c>
      <c r="F1533" s="1" t="b">
        <v>1</v>
      </c>
    </row>
    <row r="1534">
      <c r="A1534" s="1" t="s">
        <v>1462</v>
      </c>
      <c r="B1534" s="1" t="s">
        <v>2046</v>
      </c>
      <c r="C1534" s="1">
        <v>594863.0</v>
      </c>
      <c r="D1534" s="2">
        <v>46058.50346064815</v>
      </c>
      <c r="E1534" s="1" t="s">
        <v>3361</v>
      </c>
      <c r="F1534" s="1" t="b">
        <v>1</v>
      </c>
    </row>
    <row r="1535">
      <c r="A1535" s="1" t="s">
        <v>1462</v>
      </c>
      <c r="B1535" s="1" t="s">
        <v>2046</v>
      </c>
      <c r="C1535" s="1">
        <v>594863.0</v>
      </c>
      <c r="D1535" s="2">
        <v>46058.56652777778</v>
      </c>
      <c r="E1535" s="1" t="s">
        <v>3362</v>
      </c>
      <c r="F1535" s="1" t="b">
        <v>0</v>
      </c>
    </row>
    <row r="1536">
      <c r="A1536" s="1" t="s">
        <v>1462</v>
      </c>
      <c r="B1536" s="1" t="s">
        <v>2046</v>
      </c>
      <c r="C1536" s="1">
        <v>594863.0</v>
      </c>
      <c r="D1536" s="2">
        <v>46058.56758101852</v>
      </c>
      <c r="E1536" s="1" t="s">
        <v>3363</v>
      </c>
      <c r="F1536" s="1" t="b">
        <v>0</v>
      </c>
    </row>
    <row r="1537">
      <c r="A1537" s="1" t="s">
        <v>1462</v>
      </c>
      <c r="B1537" s="1" t="s">
        <v>2042</v>
      </c>
      <c r="C1537" s="1" t="s">
        <v>1383</v>
      </c>
      <c r="D1537" s="2">
        <v>46058.58766203704</v>
      </c>
      <c r="E1537" s="1" t="s">
        <v>3364</v>
      </c>
      <c r="F1537" s="1" t="b">
        <v>0</v>
      </c>
    </row>
    <row r="1538">
      <c r="A1538" s="1" t="s">
        <v>1462</v>
      </c>
      <c r="B1538" s="1" t="s">
        <v>2046</v>
      </c>
      <c r="C1538" s="1">
        <v>594863.0</v>
      </c>
      <c r="D1538" s="2">
        <v>46058.6156712963</v>
      </c>
      <c r="E1538" s="1" t="s">
        <v>3365</v>
      </c>
      <c r="F1538" s="1" t="b">
        <v>0</v>
      </c>
    </row>
    <row r="1539">
      <c r="A1539" s="1" t="s">
        <v>1454</v>
      </c>
      <c r="B1539" s="1" t="s">
        <v>2042</v>
      </c>
      <c r="C1539" s="1" t="s">
        <v>1456</v>
      </c>
      <c r="D1539" s="2">
        <v>46058.444756944446</v>
      </c>
      <c r="E1539" s="1" t="s">
        <v>3366</v>
      </c>
      <c r="F1539" s="1" t="b">
        <v>0</v>
      </c>
    </row>
    <row r="1540">
      <c r="A1540" s="1" t="s">
        <v>1454</v>
      </c>
      <c r="B1540" s="1" t="s">
        <v>2042</v>
      </c>
      <c r="C1540" s="1" t="s">
        <v>1456</v>
      </c>
      <c r="D1540" s="2">
        <v>46058.44633101852</v>
      </c>
      <c r="E1540" s="1" t="s">
        <v>3367</v>
      </c>
      <c r="F1540" s="1" t="b">
        <v>0</v>
      </c>
    </row>
    <row r="1541">
      <c r="A1541" s="1" t="s">
        <v>1454</v>
      </c>
      <c r="B1541" s="1" t="s">
        <v>2042</v>
      </c>
      <c r="C1541" s="1" t="s">
        <v>1456</v>
      </c>
      <c r="D1541" s="2">
        <v>46058.44640046296</v>
      </c>
      <c r="E1541" s="1" t="s">
        <v>3368</v>
      </c>
      <c r="F1541" s="1" t="b">
        <v>0</v>
      </c>
    </row>
    <row r="1542">
      <c r="A1542" s="1" t="s">
        <v>1450</v>
      </c>
      <c r="B1542" s="1" t="s">
        <v>2042</v>
      </c>
      <c r="C1542" s="1" t="s">
        <v>1452</v>
      </c>
      <c r="D1542" s="2">
        <v>46058.46548611111</v>
      </c>
      <c r="E1542" s="1" t="s">
        <v>3369</v>
      </c>
      <c r="F1542" s="1" t="b">
        <v>0</v>
      </c>
    </row>
    <row r="1543">
      <c r="A1543" s="1" t="s">
        <v>1446</v>
      </c>
      <c r="B1543" s="1" t="s">
        <v>2042</v>
      </c>
      <c r="C1543" s="1" t="s">
        <v>1448</v>
      </c>
      <c r="D1543" s="2">
        <v>46058.481527777774</v>
      </c>
      <c r="F1543" s="1" t="b">
        <v>0</v>
      </c>
    </row>
    <row r="1544">
      <c r="A1544" s="1" t="s">
        <v>1446</v>
      </c>
      <c r="B1544" s="1" t="s">
        <v>2042</v>
      </c>
      <c r="C1544" s="1" t="s">
        <v>1448</v>
      </c>
      <c r="D1544" s="2">
        <v>46058.483506944445</v>
      </c>
      <c r="E1544" s="1" t="s">
        <v>3370</v>
      </c>
      <c r="F1544" s="1" t="b">
        <v>0</v>
      </c>
    </row>
    <row r="1545">
      <c r="A1545" s="1" t="s">
        <v>1446</v>
      </c>
      <c r="B1545" s="1" t="s">
        <v>2042</v>
      </c>
      <c r="C1545" s="1" t="s">
        <v>1448</v>
      </c>
      <c r="D1545" s="2">
        <v>46058.48434027778</v>
      </c>
      <c r="E1545" s="1" t="s">
        <v>3371</v>
      </c>
      <c r="F1545" s="1" t="b">
        <v>0</v>
      </c>
    </row>
    <row r="1546">
      <c r="A1546" s="1" t="s">
        <v>1446</v>
      </c>
      <c r="B1546" s="1" t="s">
        <v>2042</v>
      </c>
      <c r="C1546" s="1" t="s">
        <v>1448</v>
      </c>
      <c r="D1546" s="2">
        <v>46058.4846875</v>
      </c>
      <c r="E1546" s="1" t="s">
        <v>3372</v>
      </c>
      <c r="F1546" s="1" t="b">
        <v>0</v>
      </c>
    </row>
    <row r="1547">
      <c r="A1547" s="1" t="s">
        <v>1446</v>
      </c>
      <c r="B1547" s="1" t="s">
        <v>2042</v>
      </c>
      <c r="C1547" s="1" t="s">
        <v>1448</v>
      </c>
      <c r="D1547" s="2">
        <v>46058.48510416667</v>
      </c>
      <c r="E1547" s="1" t="s">
        <v>2293</v>
      </c>
      <c r="F1547" s="1" t="b">
        <v>0</v>
      </c>
    </row>
    <row r="1548">
      <c r="A1548" s="1" t="s">
        <v>1446</v>
      </c>
      <c r="B1548" s="1" t="s">
        <v>2046</v>
      </c>
      <c r="C1548" s="1">
        <v>607950.0</v>
      </c>
      <c r="D1548" s="2">
        <v>46058.49707175926</v>
      </c>
      <c r="E1548" s="1" t="s">
        <v>2752</v>
      </c>
      <c r="F1548" s="1" t="b">
        <v>0</v>
      </c>
    </row>
    <row r="1549">
      <c r="A1549" s="1" t="s">
        <v>1446</v>
      </c>
      <c r="B1549" s="1" t="s">
        <v>2046</v>
      </c>
      <c r="C1549" s="1">
        <v>607950.0</v>
      </c>
      <c r="D1549" s="2">
        <v>46058.49835648148</v>
      </c>
      <c r="E1549" s="1" t="s">
        <v>3373</v>
      </c>
      <c r="F1549" s="1" t="b">
        <v>0</v>
      </c>
    </row>
    <row r="1550">
      <c r="A1550" s="1" t="s">
        <v>1446</v>
      </c>
      <c r="B1550" s="1" t="s">
        <v>2046</v>
      </c>
      <c r="C1550" s="1">
        <v>574085.0</v>
      </c>
      <c r="D1550" s="2">
        <v>46058.50288194444</v>
      </c>
      <c r="E1550" s="1" t="s">
        <v>3374</v>
      </c>
      <c r="F1550" s="1" t="b">
        <v>0</v>
      </c>
    </row>
    <row r="1551">
      <c r="A1551" s="1" t="s">
        <v>1446</v>
      </c>
      <c r="B1551" s="1" t="s">
        <v>2046</v>
      </c>
      <c r="C1551" s="1">
        <v>574085.0</v>
      </c>
      <c r="D1551" s="2">
        <v>46058.50361111111</v>
      </c>
      <c r="E1551" s="1" t="s">
        <v>3375</v>
      </c>
      <c r="F1551" s="1" t="b">
        <v>0</v>
      </c>
    </row>
    <row r="1552">
      <c r="A1552" s="1" t="s">
        <v>1446</v>
      </c>
      <c r="B1552" s="1" t="s">
        <v>2042</v>
      </c>
      <c r="C1552" s="1" t="s">
        <v>1448</v>
      </c>
      <c r="D1552" s="2">
        <v>46058.50368055556</v>
      </c>
      <c r="E1552" s="1" t="s">
        <v>3376</v>
      </c>
      <c r="F1552" s="1" t="b">
        <v>0</v>
      </c>
    </row>
    <row r="1553">
      <c r="A1553" s="1" t="s">
        <v>1446</v>
      </c>
      <c r="B1553" s="1" t="s">
        <v>2046</v>
      </c>
      <c r="C1553" s="1">
        <v>574085.0</v>
      </c>
      <c r="D1553" s="2">
        <v>46058.50429398148</v>
      </c>
      <c r="E1553" s="1" t="s">
        <v>3377</v>
      </c>
      <c r="F1553" s="1" t="b">
        <v>0</v>
      </c>
    </row>
    <row r="1554">
      <c r="A1554" s="1" t="s">
        <v>1446</v>
      </c>
      <c r="B1554" s="1" t="s">
        <v>2042</v>
      </c>
      <c r="C1554" s="1" t="s">
        <v>1448</v>
      </c>
      <c r="D1554" s="2">
        <v>46058.50434027778</v>
      </c>
      <c r="F1554" s="1" t="b">
        <v>0</v>
      </c>
    </row>
    <row r="1555">
      <c r="A1555" s="1" t="s">
        <v>1446</v>
      </c>
      <c r="B1555" s="1" t="s">
        <v>2042</v>
      </c>
      <c r="C1555" s="1" t="s">
        <v>1448</v>
      </c>
      <c r="D1555" s="2">
        <v>46058.50449074074</v>
      </c>
      <c r="E1555" s="1" t="s">
        <v>3378</v>
      </c>
      <c r="F1555" s="1" t="b">
        <v>0</v>
      </c>
    </row>
    <row r="1556">
      <c r="A1556" s="1" t="s">
        <v>1446</v>
      </c>
      <c r="B1556" s="1" t="s">
        <v>2042</v>
      </c>
      <c r="C1556" s="1" t="s">
        <v>1448</v>
      </c>
      <c r="D1556" s="2">
        <v>46058.50457175926</v>
      </c>
      <c r="E1556" s="1" t="s">
        <v>3379</v>
      </c>
      <c r="F1556" s="1" t="b">
        <v>0</v>
      </c>
    </row>
    <row r="1557">
      <c r="A1557" s="1" t="s">
        <v>1446</v>
      </c>
      <c r="B1557" s="1" t="s">
        <v>2046</v>
      </c>
      <c r="C1557" s="1">
        <v>574085.0</v>
      </c>
      <c r="D1557" s="2">
        <v>46058.50524305556</v>
      </c>
      <c r="E1557" s="1" t="s">
        <v>3380</v>
      </c>
      <c r="F1557" s="1" t="b">
        <v>0</v>
      </c>
    </row>
    <row r="1558">
      <c r="A1558" s="1" t="s">
        <v>1446</v>
      </c>
      <c r="B1558" s="1" t="s">
        <v>2042</v>
      </c>
      <c r="C1558" s="1" t="s">
        <v>1448</v>
      </c>
      <c r="D1558" s="2">
        <v>46058.50543981481</v>
      </c>
      <c r="F1558" s="1" t="b">
        <v>0</v>
      </c>
    </row>
    <row r="1559">
      <c r="A1559" s="1" t="s">
        <v>1446</v>
      </c>
      <c r="B1559" s="1" t="s">
        <v>2042</v>
      </c>
      <c r="C1559" s="1" t="s">
        <v>1448</v>
      </c>
      <c r="D1559" s="2">
        <v>46058.50545138889</v>
      </c>
      <c r="E1559" s="1" t="s">
        <v>3381</v>
      </c>
      <c r="F1559" s="1" t="b">
        <v>0</v>
      </c>
    </row>
    <row r="1560">
      <c r="A1560" s="1" t="s">
        <v>1446</v>
      </c>
      <c r="B1560" s="1" t="s">
        <v>2042</v>
      </c>
      <c r="C1560" s="1" t="s">
        <v>1448</v>
      </c>
      <c r="D1560" s="2">
        <v>46058.50555555556</v>
      </c>
      <c r="E1560" s="1" t="s">
        <v>3382</v>
      </c>
      <c r="F1560" s="1" t="b">
        <v>0</v>
      </c>
    </row>
    <row r="1561">
      <c r="A1561" s="1" t="s">
        <v>1446</v>
      </c>
      <c r="B1561" s="1" t="s">
        <v>2046</v>
      </c>
      <c r="C1561" s="1">
        <v>574085.0</v>
      </c>
      <c r="D1561" s="2">
        <v>46058.509363425925</v>
      </c>
      <c r="E1561" s="1" t="s">
        <v>3383</v>
      </c>
      <c r="F1561" s="1" t="b">
        <v>1</v>
      </c>
    </row>
    <row r="1562">
      <c r="A1562" s="1" t="s">
        <v>1446</v>
      </c>
      <c r="B1562" s="1" t="s">
        <v>2150</v>
      </c>
      <c r="C1562" s="1" t="s">
        <v>2151</v>
      </c>
      <c r="D1562" s="2">
        <v>46058.509560185186</v>
      </c>
      <c r="E1562" s="1" t="s">
        <v>3384</v>
      </c>
      <c r="F1562" s="1" t="b">
        <v>1</v>
      </c>
    </row>
    <row r="1563">
      <c r="A1563" s="1" t="s">
        <v>1446</v>
      </c>
      <c r="B1563" s="1" t="s">
        <v>2046</v>
      </c>
      <c r="C1563" s="1">
        <v>574085.0</v>
      </c>
      <c r="D1563" s="2">
        <v>46058.57309027778</v>
      </c>
      <c r="E1563" s="1" t="s">
        <v>3385</v>
      </c>
      <c r="F1563" s="1" t="b">
        <v>0</v>
      </c>
    </row>
    <row r="1564">
      <c r="A1564" s="1" t="s">
        <v>1446</v>
      </c>
      <c r="B1564" s="1" t="s">
        <v>2042</v>
      </c>
      <c r="C1564" s="1" t="s">
        <v>1448</v>
      </c>
      <c r="D1564" s="2">
        <v>46058.63033564815</v>
      </c>
      <c r="E1564" s="1" t="s">
        <v>3386</v>
      </c>
      <c r="F1564" s="1" t="b">
        <v>0</v>
      </c>
    </row>
    <row r="1565">
      <c r="A1565" s="1" t="s">
        <v>1446</v>
      </c>
      <c r="B1565" s="1" t="s">
        <v>2046</v>
      </c>
      <c r="C1565" s="1">
        <v>574085.0</v>
      </c>
      <c r="D1565" s="2">
        <v>46058.648726851854</v>
      </c>
      <c r="E1565" s="1" t="s">
        <v>3387</v>
      </c>
      <c r="F1565" s="1" t="b">
        <v>0</v>
      </c>
    </row>
    <row r="1566">
      <c r="A1566" s="1" t="s">
        <v>1446</v>
      </c>
      <c r="B1566" s="1" t="s">
        <v>2046</v>
      </c>
      <c r="C1566" s="1">
        <v>574085.0</v>
      </c>
      <c r="D1566" s="2">
        <v>46058.654027777775</v>
      </c>
      <c r="E1566" s="1" t="s">
        <v>3388</v>
      </c>
      <c r="F1566" s="1" t="b">
        <v>1</v>
      </c>
    </row>
    <row r="1567">
      <c r="A1567" s="1" t="s">
        <v>1446</v>
      </c>
      <c r="B1567" s="1" t="s">
        <v>2150</v>
      </c>
      <c r="C1567" s="1" t="s">
        <v>2151</v>
      </c>
      <c r="D1567" s="2">
        <v>46058.654178240744</v>
      </c>
      <c r="E1567" s="1" t="s">
        <v>3389</v>
      </c>
      <c r="F1567" s="1" t="b">
        <v>1</v>
      </c>
    </row>
    <row r="1568">
      <c r="A1568" s="1" t="s">
        <v>1446</v>
      </c>
      <c r="B1568" s="1" t="s">
        <v>2046</v>
      </c>
      <c r="C1568" s="1">
        <v>574085.0</v>
      </c>
      <c r="D1568" s="2">
        <v>46058.65454861111</v>
      </c>
      <c r="E1568" s="1" t="s">
        <v>3390</v>
      </c>
      <c r="F1568" s="1" t="b">
        <v>0</v>
      </c>
    </row>
    <row r="1569">
      <c r="A1569" s="1" t="s">
        <v>1446</v>
      </c>
      <c r="B1569" s="1" t="s">
        <v>2046</v>
      </c>
      <c r="C1569" s="1">
        <v>607950.0</v>
      </c>
      <c r="D1569" s="2">
        <v>46059.424629629626</v>
      </c>
      <c r="E1569" s="1" t="s">
        <v>2917</v>
      </c>
      <c r="F1569" s="1" t="b">
        <v>0</v>
      </c>
    </row>
    <row r="1570">
      <c r="A1570" s="1" t="s">
        <v>1446</v>
      </c>
      <c r="B1570" s="1" t="s">
        <v>2046</v>
      </c>
      <c r="C1570" s="1">
        <v>607950.0</v>
      </c>
      <c r="D1570" s="2">
        <v>46059.43982638889</v>
      </c>
      <c r="E1570" s="1" t="s">
        <v>2108</v>
      </c>
      <c r="F1570" s="1" t="b">
        <v>0</v>
      </c>
    </row>
    <row r="1571">
      <c r="A1571" s="1" t="s">
        <v>1443</v>
      </c>
      <c r="B1571" s="1" t="s">
        <v>2042</v>
      </c>
      <c r="C1571" s="1" t="s">
        <v>1421</v>
      </c>
      <c r="D1571" s="2">
        <v>46058.51289351852</v>
      </c>
      <c r="F1571" s="1" t="b">
        <v>0</v>
      </c>
    </row>
    <row r="1572">
      <c r="A1572" s="1" t="s">
        <v>1443</v>
      </c>
      <c r="B1572" s="1" t="s">
        <v>2042</v>
      </c>
      <c r="C1572" s="1" t="s">
        <v>1421</v>
      </c>
      <c r="D1572" s="2">
        <v>46058.512974537036</v>
      </c>
      <c r="E1572" s="1" t="s">
        <v>3391</v>
      </c>
      <c r="F1572" s="1" t="b">
        <v>0</v>
      </c>
    </row>
    <row r="1573">
      <c r="A1573" s="1" t="s">
        <v>1443</v>
      </c>
      <c r="B1573" s="1" t="s">
        <v>2042</v>
      </c>
      <c r="C1573" s="1" t="s">
        <v>1421</v>
      </c>
      <c r="D1573" s="2">
        <v>46058.51304398148</v>
      </c>
      <c r="F1573" s="1" t="b">
        <v>0</v>
      </c>
    </row>
    <row r="1574">
      <c r="A1574" s="1" t="s">
        <v>1443</v>
      </c>
      <c r="B1574" s="1" t="s">
        <v>2042</v>
      </c>
      <c r="C1574" s="1" t="s">
        <v>1421</v>
      </c>
      <c r="D1574" s="2">
        <v>46058.513136574074</v>
      </c>
      <c r="E1574" s="1" t="s">
        <v>3392</v>
      </c>
      <c r="F1574" s="1" t="b">
        <v>0</v>
      </c>
    </row>
    <row r="1575">
      <c r="A1575" s="1" t="s">
        <v>1443</v>
      </c>
      <c r="B1575" s="1" t="s">
        <v>2046</v>
      </c>
      <c r="C1575" s="1">
        <v>607950.0</v>
      </c>
      <c r="D1575" s="2">
        <v>46058.51394675926</v>
      </c>
      <c r="E1575" s="1" t="s">
        <v>2752</v>
      </c>
      <c r="F1575" s="1" t="b">
        <v>0</v>
      </c>
    </row>
    <row r="1576">
      <c r="A1576" s="1" t="s">
        <v>1443</v>
      </c>
      <c r="B1576" s="1" t="s">
        <v>2046</v>
      </c>
      <c r="C1576" s="1">
        <v>607950.0</v>
      </c>
      <c r="D1576" s="2">
        <v>46058.514085648145</v>
      </c>
      <c r="E1576" s="1" t="s">
        <v>3393</v>
      </c>
      <c r="F1576" s="1" t="b">
        <v>1</v>
      </c>
    </row>
    <row r="1577">
      <c r="A1577" s="1" t="s">
        <v>1443</v>
      </c>
      <c r="B1577" s="1" t="s">
        <v>2046</v>
      </c>
      <c r="C1577" s="1">
        <v>594863.0</v>
      </c>
      <c r="D1577" s="2">
        <v>46058.52549768519</v>
      </c>
      <c r="E1577" s="1" t="s">
        <v>3394</v>
      </c>
      <c r="F1577" s="1" t="b">
        <v>0</v>
      </c>
    </row>
    <row r="1578">
      <c r="A1578" s="1" t="s">
        <v>1443</v>
      </c>
      <c r="B1578" s="1" t="s">
        <v>2046</v>
      </c>
      <c r="C1578" s="1">
        <v>594863.0</v>
      </c>
      <c r="D1578" s="2">
        <v>46058.62244212963</v>
      </c>
      <c r="E1578" s="1" t="s">
        <v>3395</v>
      </c>
      <c r="F1578" s="1" t="b">
        <v>0</v>
      </c>
    </row>
    <row r="1579">
      <c r="A1579" s="1" t="s">
        <v>1443</v>
      </c>
      <c r="B1579" s="1" t="s">
        <v>2046</v>
      </c>
      <c r="C1579" s="1">
        <v>594863.0</v>
      </c>
      <c r="D1579" s="2">
        <v>46058.63023148148</v>
      </c>
      <c r="E1579" s="1" t="s">
        <v>2108</v>
      </c>
      <c r="F1579" s="1" t="b">
        <v>0</v>
      </c>
    </row>
    <row r="1580">
      <c r="A1580" s="1" t="s">
        <v>1439</v>
      </c>
      <c r="B1580" s="1" t="s">
        <v>2042</v>
      </c>
      <c r="C1580" s="1" t="s">
        <v>1441</v>
      </c>
      <c r="D1580" s="2">
        <v>46058.56386574074</v>
      </c>
      <c r="E1580" s="1" t="s">
        <v>3396</v>
      </c>
      <c r="F1580" s="1" t="b">
        <v>0</v>
      </c>
    </row>
    <row r="1581">
      <c r="A1581" s="1" t="s">
        <v>1437</v>
      </c>
      <c r="B1581" s="1" t="s">
        <v>2042</v>
      </c>
      <c r="C1581" s="1" t="s">
        <v>581</v>
      </c>
      <c r="D1581" s="2">
        <v>46058.57643518518</v>
      </c>
      <c r="E1581" s="1" t="s">
        <v>3397</v>
      </c>
      <c r="F1581" s="1" t="b">
        <v>0</v>
      </c>
    </row>
    <row r="1582">
      <c r="A1582" s="1" t="s">
        <v>1437</v>
      </c>
      <c r="B1582" s="1" t="s">
        <v>2046</v>
      </c>
      <c r="C1582" s="1">
        <v>574085.0</v>
      </c>
      <c r="D1582" s="2">
        <v>46058.57674768518</v>
      </c>
      <c r="E1582" s="1" t="s">
        <v>2705</v>
      </c>
      <c r="F1582" s="1" t="b">
        <v>0</v>
      </c>
    </row>
    <row r="1583">
      <c r="A1583" s="1" t="s">
        <v>1437</v>
      </c>
      <c r="B1583" s="1" t="s">
        <v>2042</v>
      </c>
      <c r="C1583" s="1" t="s">
        <v>581</v>
      </c>
      <c r="D1583" s="2">
        <v>46058.57826388889</v>
      </c>
      <c r="E1583" s="1" t="s">
        <v>3398</v>
      </c>
      <c r="F1583" s="1" t="b">
        <v>0</v>
      </c>
    </row>
    <row r="1584">
      <c r="A1584" s="1" t="s">
        <v>1437</v>
      </c>
      <c r="B1584" s="1" t="s">
        <v>2046</v>
      </c>
      <c r="C1584" s="1">
        <v>574085.0</v>
      </c>
      <c r="D1584" s="2">
        <v>46058.578368055554</v>
      </c>
      <c r="E1584" s="1" t="s">
        <v>3399</v>
      </c>
      <c r="F1584" s="1" t="b">
        <v>0</v>
      </c>
    </row>
    <row r="1585">
      <c r="A1585" s="1" t="s">
        <v>1433</v>
      </c>
      <c r="B1585" s="1" t="s">
        <v>2042</v>
      </c>
      <c r="C1585" s="1" t="s">
        <v>1435</v>
      </c>
      <c r="D1585" s="2">
        <v>46058.5793287037</v>
      </c>
      <c r="E1585" s="1" t="s">
        <v>3400</v>
      </c>
      <c r="F1585" s="1" t="b">
        <v>0</v>
      </c>
    </row>
    <row r="1586">
      <c r="A1586" s="1" t="s">
        <v>1113</v>
      </c>
      <c r="B1586" s="1" t="s">
        <v>2042</v>
      </c>
      <c r="C1586" s="1" t="s">
        <v>1058</v>
      </c>
      <c r="D1586" s="2">
        <v>46062.64188657407</v>
      </c>
      <c r="E1586" s="1" t="s">
        <v>3401</v>
      </c>
      <c r="F1586" s="1" t="b">
        <v>0</v>
      </c>
    </row>
    <row r="1587">
      <c r="A1587" s="1" t="s">
        <v>1113</v>
      </c>
      <c r="B1587" s="1" t="s">
        <v>2046</v>
      </c>
      <c r="C1587" s="1">
        <v>607950.0</v>
      </c>
      <c r="D1587" s="2">
        <v>46062.6425</v>
      </c>
      <c r="E1587" s="1" t="s">
        <v>3402</v>
      </c>
      <c r="F1587" s="1" t="b">
        <v>0</v>
      </c>
    </row>
    <row r="1588">
      <c r="A1588" s="1" t="s">
        <v>1113</v>
      </c>
      <c r="B1588" s="1" t="s">
        <v>2042</v>
      </c>
      <c r="C1588" s="1" t="s">
        <v>1058</v>
      </c>
      <c r="D1588" s="2">
        <v>46062.64366898148</v>
      </c>
      <c r="E1588" s="1" t="s">
        <v>3403</v>
      </c>
      <c r="F1588" s="1" t="b">
        <v>0</v>
      </c>
    </row>
    <row r="1589">
      <c r="A1589" s="1" t="s">
        <v>1113</v>
      </c>
      <c r="B1589" s="1" t="s">
        <v>2046</v>
      </c>
      <c r="C1589" s="1">
        <v>607950.0</v>
      </c>
      <c r="D1589" s="2">
        <v>46062.64392361111</v>
      </c>
      <c r="E1589" s="1" t="s">
        <v>3404</v>
      </c>
      <c r="F1589" s="1" t="b">
        <v>0</v>
      </c>
    </row>
    <row r="1590">
      <c r="A1590" s="1" t="s">
        <v>1113</v>
      </c>
      <c r="B1590" s="1" t="s">
        <v>2042</v>
      </c>
      <c r="C1590" s="1" t="s">
        <v>1058</v>
      </c>
      <c r="D1590" s="2">
        <v>46062.644525462965</v>
      </c>
      <c r="E1590" s="1" t="s">
        <v>3405</v>
      </c>
      <c r="F1590" s="1" t="b">
        <v>0</v>
      </c>
    </row>
    <row r="1591">
      <c r="A1591" s="1" t="s">
        <v>1113</v>
      </c>
      <c r="B1591" s="1" t="s">
        <v>2046</v>
      </c>
      <c r="C1591" s="1">
        <v>607950.0</v>
      </c>
      <c r="D1591" s="2">
        <v>46062.65224537037</v>
      </c>
      <c r="E1591" s="1" t="s">
        <v>3406</v>
      </c>
      <c r="F1591" s="1" t="b">
        <v>0</v>
      </c>
    </row>
    <row r="1592">
      <c r="A1592" s="1" t="s">
        <v>1113</v>
      </c>
      <c r="B1592" s="1" t="s">
        <v>2042</v>
      </c>
      <c r="C1592" s="1" t="s">
        <v>1058</v>
      </c>
      <c r="D1592" s="2">
        <v>46062.65519675926</v>
      </c>
      <c r="E1592" s="1" t="s">
        <v>3407</v>
      </c>
      <c r="F1592" s="1" t="b">
        <v>0</v>
      </c>
    </row>
    <row r="1593">
      <c r="A1593" s="1" t="s">
        <v>1113</v>
      </c>
      <c r="B1593" s="1" t="s">
        <v>2042</v>
      </c>
      <c r="C1593" s="1" t="s">
        <v>1058</v>
      </c>
      <c r="D1593" s="2">
        <v>46062.65530092592</v>
      </c>
      <c r="E1593" s="1" t="s">
        <v>3408</v>
      </c>
      <c r="F1593" s="1" t="b">
        <v>0</v>
      </c>
    </row>
    <row r="1594">
      <c r="A1594" s="1" t="s">
        <v>1113</v>
      </c>
      <c r="B1594" s="1" t="s">
        <v>2046</v>
      </c>
      <c r="C1594" s="1">
        <v>607950.0</v>
      </c>
      <c r="D1594" s="2">
        <v>46062.65607638889</v>
      </c>
      <c r="E1594" s="1" t="s">
        <v>3409</v>
      </c>
      <c r="F1594" s="1" t="b">
        <v>0</v>
      </c>
    </row>
    <row r="1595">
      <c r="A1595" s="1" t="s">
        <v>1113</v>
      </c>
      <c r="B1595" s="1" t="s">
        <v>2042</v>
      </c>
      <c r="C1595" s="1" t="s">
        <v>1058</v>
      </c>
      <c r="D1595" s="2">
        <v>46062.65671296296</v>
      </c>
      <c r="E1595" s="1" t="s">
        <v>3410</v>
      </c>
      <c r="F1595" s="1" t="b">
        <v>0</v>
      </c>
    </row>
    <row r="1596">
      <c r="A1596" s="1" t="s">
        <v>1113</v>
      </c>
      <c r="B1596" s="1" t="s">
        <v>2046</v>
      </c>
      <c r="C1596" s="1">
        <v>607950.0</v>
      </c>
      <c r="D1596" s="2">
        <v>46062.65771990741</v>
      </c>
      <c r="E1596" s="1" t="s">
        <v>3411</v>
      </c>
      <c r="F1596" s="1" t="b">
        <v>0</v>
      </c>
    </row>
    <row r="1597">
      <c r="A1597" s="1" t="s">
        <v>1113</v>
      </c>
      <c r="B1597" s="1" t="s">
        <v>2042</v>
      </c>
      <c r="C1597" s="1" t="s">
        <v>1058</v>
      </c>
      <c r="D1597" s="2">
        <v>46062.65797453704</v>
      </c>
      <c r="E1597" s="1" t="s">
        <v>3412</v>
      </c>
      <c r="F1597" s="1" t="b">
        <v>0</v>
      </c>
    </row>
    <row r="1598">
      <c r="A1598" s="1" t="s">
        <v>1113</v>
      </c>
      <c r="B1598" s="1" t="s">
        <v>2046</v>
      </c>
      <c r="C1598" s="1">
        <v>607950.0</v>
      </c>
      <c r="D1598" s="2">
        <v>46062.65809027778</v>
      </c>
      <c r="E1598" s="1" t="s">
        <v>3413</v>
      </c>
      <c r="F1598" s="1" t="b">
        <v>0</v>
      </c>
    </row>
    <row r="1599">
      <c r="A1599" s="1" t="s">
        <v>1113</v>
      </c>
      <c r="B1599" s="1" t="s">
        <v>2042</v>
      </c>
      <c r="C1599" s="1" t="s">
        <v>1058</v>
      </c>
      <c r="D1599" s="2">
        <v>46062.6584375</v>
      </c>
      <c r="E1599" s="1" t="s">
        <v>3414</v>
      </c>
      <c r="F1599" s="1" t="b">
        <v>0</v>
      </c>
    </row>
    <row r="1600">
      <c r="A1600" s="1" t="s">
        <v>1113</v>
      </c>
      <c r="B1600" s="1" t="s">
        <v>2046</v>
      </c>
      <c r="C1600" s="1">
        <v>607950.0</v>
      </c>
      <c r="D1600" s="2">
        <v>46062.659050925926</v>
      </c>
      <c r="E1600" s="1" t="s">
        <v>2108</v>
      </c>
      <c r="F1600" s="1" t="b">
        <v>0</v>
      </c>
    </row>
    <row r="1601">
      <c r="A1601" s="1" t="s">
        <v>1428</v>
      </c>
      <c r="B1601" s="1" t="s">
        <v>2042</v>
      </c>
      <c r="C1601" s="1" t="s">
        <v>1431</v>
      </c>
      <c r="D1601" s="2">
        <v>46058.60175925926</v>
      </c>
      <c r="E1601" s="1" t="s">
        <v>3415</v>
      </c>
      <c r="F1601" s="1" t="b">
        <v>0</v>
      </c>
    </row>
    <row r="1602">
      <c r="A1602" s="1" t="s">
        <v>1428</v>
      </c>
      <c r="B1602" s="1" t="s">
        <v>2042</v>
      </c>
      <c r="C1602" s="1" t="s">
        <v>1431</v>
      </c>
      <c r="D1602" s="2">
        <v>46058.60215277778</v>
      </c>
      <c r="E1602" s="1" t="s">
        <v>3416</v>
      </c>
      <c r="F1602" s="1" t="b">
        <v>0</v>
      </c>
    </row>
    <row r="1603">
      <c r="A1603" s="1" t="s">
        <v>1428</v>
      </c>
      <c r="B1603" s="1" t="s">
        <v>2046</v>
      </c>
      <c r="C1603" s="1">
        <v>607950.0</v>
      </c>
      <c r="D1603" s="2">
        <v>46058.602488425924</v>
      </c>
      <c r="E1603" s="1" t="s">
        <v>2752</v>
      </c>
      <c r="F1603" s="1" t="b">
        <v>0</v>
      </c>
    </row>
    <row r="1604">
      <c r="A1604" s="1" t="s">
        <v>1428</v>
      </c>
      <c r="B1604" s="1" t="s">
        <v>2046</v>
      </c>
      <c r="C1604" s="1">
        <v>607950.0</v>
      </c>
      <c r="D1604" s="2">
        <v>46058.602800925924</v>
      </c>
      <c r="E1604" s="1" t="s">
        <v>3417</v>
      </c>
      <c r="F1604" s="1" t="b">
        <v>1</v>
      </c>
    </row>
    <row r="1605">
      <c r="A1605" s="1" t="s">
        <v>1428</v>
      </c>
      <c r="B1605" s="1" t="s">
        <v>2042</v>
      </c>
      <c r="C1605" s="1" t="s">
        <v>1431</v>
      </c>
      <c r="D1605" s="2">
        <v>46058.60900462963</v>
      </c>
      <c r="E1605" s="1" t="s">
        <v>3418</v>
      </c>
      <c r="F1605" s="1" t="b">
        <v>0</v>
      </c>
    </row>
    <row r="1606">
      <c r="A1606" s="1" t="s">
        <v>1428</v>
      </c>
      <c r="B1606" s="1" t="s">
        <v>2046</v>
      </c>
      <c r="C1606" s="1">
        <v>574085.0</v>
      </c>
      <c r="D1606" s="2">
        <v>46058.60971064815</v>
      </c>
      <c r="E1606" s="1" t="s">
        <v>3419</v>
      </c>
      <c r="F1606" s="1" t="b">
        <v>0</v>
      </c>
    </row>
    <row r="1607">
      <c r="A1607" s="1" t="s">
        <v>1428</v>
      </c>
      <c r="B1607" s="1" t="s">
        <v>2042</v>
      </c>
      <c r="C1607" s="1" t="s">
        <v>1431</v>
      </c>
      <c r="D1607" s="2">
        <v>46058.610081018516</v>
      </c>
      <c r="E1607" s="1" t="s">
        <v>3420</v>
      </c>
      <c r="F1607" s="1" t="b">
        <v>0</v>
      </c>
    </row>
    <row r="1608">
      <c r="A1608" s="1" t="s">
        <v>1428</v>
      </c>
      <c r="B1608" s="1" t="s">
        <v>2046</v>
      </c>
      <c r="C1608" s="1">
        <v>574085.0</v>
      </c>
      <c r="D1608" s="2">
        <v>46058.611550925925</v>
      </c>
      <c r="E1608" s="1" t="s">
        <v>2108</v>
      </c>
      <c r="F1608" s="1" t="b">
        <v>0</v>
      </c>
    </row>
    <row r="1609">
      <c r="A1609" s="1" t="s">
        <v>1428</v>
      </c>
      <c r="B1609" s="1" t="s">
        <v>2046</v>
      </c>
      <c r="C1609" s="1">
        <v>607950.0</v>
      </c>
      <c r="D1609" s="2">
        <v>46058.653333333335</v>
      </c>
      <c r="E1609" s="1" t="s">
        <v>2740</v>
      </c>
      <c r="F1609" s="1" t="b">
        <v>1</v>
      </c>
    </row>
    <row r="1610">
      <c r="A1610" s="1" t="s">
        <v>1428</v>
      </c>
      <c r="B1610" s="1" t="s">
        <v>2150</v>
      </c>
      <c r="C1610" s="1" t="s">
        <v>2151</v>
      </c>
      <c r="D1610" s="2">
        <v>46058.653495370374</v>
      </c>
      <c r="E1610" s="1" t="s">
        <v>3421</v>
      </c>
      <c r="F1610" s="1" t="b">
        <v>1</v>
      </c>
    </row>
    <row r="1611">
      <c r="A1611" s="1" t="s">
        <v>1423</v>
      </c>
      <c r="B1611" s="1" t="s">
        <v>2042</v>
      </c>
      <c r="C1611" s="1" t="s">
        <v>1426</v>
      </c>
      <c r="D1611" s="2">
        <v>46058.611712962964</v>
      </c>
      <c r="E1611" s="1" t="s">
        <v>3422</v>
      </c>
      <c r="F1611" s="1" t="b">
        <v>0</v>
      </c>
    </row>
    <row r="1612">
      <c r="A1612" s="1" t="s">
        <v>1423</v>
      </c>
      <c r="B1612" s="1" t="s">
        <v>2046</v>
      </c>
      <c r="C1612" s="1">
        <v>607950.0</v>
      </c>
      <c r="D1612" s="2">
        <v>46058.612905092596</v>
      </c>
      <c r="E1612" s="1" t="s">
        <v>2752</v>
      </c>
      <c r="F1612" s="1" t="b">
        <v>0</v>
      </c>
    </row>
    <row r="1613">
      <c r="A1613" s="1" t="s">
        <v>1423</v>
      </c>
      <c r="B1613" s="1" t="s">
        <v>2046</v>
      </c>
      <c r="C1613" s="1">
        <v>574085.0</v>
      </c>
      <c r="D1613" s="2">
        <v>46058.613229166665</v>
      </c>
      <c r="E1613" s="1" t="s">
        <v>3423</v>
      </c>
      <c r="F1613" s="1" t="b">
        <v>1</v>
      </c>
    </row>
    <row r="1614">
      <c r="A1614" s="1" t="s">
        <v>1423</v>
      </c>
      <c r="B1614" s="1" t="s">
        <v>2046</v>
      </c>
      <c r="C1614" s="1">
        <v>607950.0</v>
      </c>
      <c r="D1614" s="2">
        <v>46058.61399305556</v>
      </c>
      <c r="E1614" s="1" t="s">
        <v>3424</v>
      </c>
      <c r="F1614" s="1" t="b">
        <v>1</v>
      </c>
    </row>
    <row r="1615">
      <c r="A1615" s="1" t="s">
        <v>1423</v>
      </c>
      <c r="B1615" s="1" t="s">
        <v>2046</v>
      </c>
      <c r="C1615" s="1">
        <v>574085.0</v>
      </c>
      <c r="D1615" s="2">
        <v>46058.6144212963</v>
      </c>
      <c r="E1615" s="1" t="s">
        <v>3425</v>
      </c>
      <c r="F1615" s="1" t="b">
        <v>0</v>
      </c>
    </row>
    <row r="1616">
      <c r="A1616" s="1" t="s">
        <v>1423</v>
      </c>
      <c r="B1616" s="1" t="s">
        <v>2046</v>
      </c>
      <c r="C1616" s="1">
        <v>574085.0</v>
      </c>
      <c r="D1616" s="2">
        <v>46058.614907407406</v>
      </c>
      <c r="E1616" s="1" t="s">
        <v>3426</v>
      </c>
      <c r="F1616" s="1" t="b">
        <v>1</v>
      </c>
    </row>
    <row r="1617">
      <c r="A1617" s="1" t="s">
        <v>1423</v>
      </c>
      <c r="B1617" s="1" t="s">
        <v>2046</v>
      </c>
      <c r="C1617" s="1">
        <v>607950.0</v>
      </c>
      <c r="D1617" s="2">
        <v>46058.61785879629</v>
      </c>
      <c r="E1617" s="1" t="s">
        <v>3427</v>
      </c>
      <c r="F1617" s="1" t="b">
        <v>1</v>
      </c>
    </row>
    <row r="1618">
      <c r="A1618" s="1" t="s">
        <v>1423</v>
      </c>
      <c r="B1618" s="1" t="s">
        <v>2042</v>
      </c>
      <c r="C1618" s="1" t="s">
        <v>1426</v>
      </c>
      <c r="D1618" s="2">
        <v>46058.61802083333</v>
      </c>
      <c r="E1618" s="1" t="s">
        <v>3428</v>
      </c>
      <c r="F1618" s="1" t="b">
        <v>0</v>
      </c>
    </row>
    <row r="1619">
      <c r="A1619" s="1" t="s">
        <v>1423</v>
      </c>
      <c r="B1619" s="1" t="s">
        <v>2046</v>
      </c>
      <c r="C1619" s="1">
        <v>607950.0</v>
      </c>
      <c r="D1619" s="2">
        <v>46058.61835648148</v>
      </c>
      <c r="E1619" s="1" t="s">
        <v>2740</v>
      </c>
      <c r="F1619" s="1" t="b">
        <v>1</v>
      </c>
    </row>
    <row r="1620">
      <c r="A1620" s="1" t="s">
        <v>1423</v>
      </c>
      <c r="B1620" s="1" t="s">
        <v>2150</v>
      </c>
      <c r="C1620" s="1" t="s">
        <v>2151</v>
      </c>
      <c r="D1620" s="2">
        <v>46058.61854166666</v>
      </c>
      <c r="E1620" s="1" t="s">
        <v>3429</v>
      </c>
      <c r="F1620" s="1" t="b">
        <v>1</v>
      </c>
    </row>
    <row r="1621">
      <c r="A1621" s="1" t="s">
        <v>1423</v>
      </c>
      <c r="B1621" s="1" t="s">
        <v>2046</v>
      </c>
      <c r="C1621" s="1">
        <v>574085.0</v>
      </c>
      <c r="D1621" s="2">
        <v>46058.62138888889</v>
      </c>
      <c r="E1621" s="1" t="s">
        <v>3430</v>
      </c>
      <c r="F1621" s="1" t="b">
        <v>0</v>
      </c>
    </row>
    <row r="1622">
      <c r="A1622" s="1" t="s">
        <v>1423</v>
      </c>
      <c r="B1622" s="1" t="s">
        <v>2042</v>
      </c>
      <c r="C1622" s="1" t="s">
        <v>1426</v>
      </c>
      <c r="D1622" s="2">
        <v>46058.628969907404</v>
      </c>
      <c r="E1622" s="1" t="s">
        <v>3431</v>
      </c>
      <c r="F1622" s="1" t="b">
        <v>0</v>
      </c>
    </row>
    <row r="1623">
      <c r="A1623" s="1" t="s">
        <v>1423</v>
      </c>
      <c r="B1623" s="1" t="s">
        <v>2046</v>
      </c>
      <c r="C1623" s="1">
        <v>574085.0</v>
      </c>
      <c r="D1623" s="2">
        <v>46058.63113425926</v>
      </c>
      <c r="E1623" s="1" t="s">
        <v>2108</v>
      </c>
      <c r="F1623" s="1" t="b">
        <v>0</v>
      </c>
    </row>
    <row r="1624">
      <c r="A1624" s="1" t="s">
        <v>1423</v>
      </c>
      <c r="B1624" s="1" t="s">
        <v>2046</v>
      </c>
      <c r="C1624" s="1">
        <v>607950.0</v>
      </c>
      <c r="D1624" s="2">
        <v>46058.652037037034</v>
      </c>
      <c r="E1624" s="1" t="s">
        <v>2740</v>
      </c>
      <c r="F1624" s="1" t="b">
        <v>1</v>
      </c>
    </row>
    <row r="1625">
      <c r="A1625" s="1" t="s">
        <v>1423</v>
      </c>
      <c r="B1625" s="1" t="s">
        <v>2150</v>
      </c>
      <c r="C1625" s="1" t="s">
        <v>2151</v>
      </c>
      <c r="D1625" s="2">
        <v>46058.65217592593</v>
      </c>
      <c r="E1625" s="1" t="s">
        <v>3429</v>
      </c>
      <c r="F1625" s="1" t="b">
        <v>1</v>
      </c>
    </row>
    <row r="1626">
      <c r="A1626" s="1" t="s">
        <v>1419</v>
      </c>
      <c r="B1626" s="1" t="s">
        <v>2150</v>
      </c>
      <c r="C1626" s="1">
        <v>81559.0</v>
      </c>
      <c r="D1626" s="2">
        <v>46058.62280092593</v>
      </c>
      <c r="E1626" s="1" t="s">
        <v>3432</v>
      </c>
      <c r="F1626" s="1" t="b">
        <v>1</v>
      </c>
    </row>
    <row r="1627">
      <c r="A1627" s="1" t="s">
        <v>1419</v>
      </c>
      <c r="B1627" s="1" t="s">
        <v>2042</v>
      </c>
      <c r="C1627" s="1" t="s">
        <v>1421</v>
      </c>
      <c r="D1627" s="2">
        <v>46058.62590277778</v>
      </c>
      <c r="E1627" s="1" t="s">
        <v>3433</v>
      </c>
      <c r="F1627" s="1" t="b">
        <v>0</v>
      </c>
    </row>
    <row r="1628">
      <c r="A1628" s="1" t="s">
        <v>1419</v>
      </c>
      <c r="B1628" s="1" t="s">
        <v>2046</v>
      </c>
      <c r="C1628" s="1">
        <v>594863.0</v>
      </c>
      <c r="D1628" s="2">
        <v>46058.630162037036</v>
      </c>
      <c r="E1628" s="1" t="s">
        <v>3434</v>
      </c>
      <c r="F1628" s="1" t="b">
        <v>0</v>
      </c>
    </row>
    <row r="1629">
      <c r="A1629" s="1" t="s">
        <v>1419</v>
      </c>
      <c r="B1629" s="1" t="s">
        <v>2046</v>
      </c>
      <c r="C1629" s="1">
        <v>594863.0</v>
      </c>
      <c r="D1629" s="2">
        <v>46058.64569444444</v>
      </c>
      <c r="E1629" s="1" t="s">
        <v>2108</v>
      </c>
      <c r="F1629" s="1" t="b">
        <v>0</v>
      </c>
    </row>
    <row r="1630">
      <c r="A1630" s="1" t="s">
        <v>1407</v>
      </c>
      <c r="B1630" s="1" t="s">
        <v>2042</v>
      </c>
      <c r="C1630" s="1" t="s">
        <v>3435</v>
      </c>
      <c r="D1630" s="2">
        <v>46058.63450231482</v>
      </c>
      <c r="E1630" s="1" t="s">
        <v>3436</v>
      </c>
      <c r="F1630" s="1" t="b">
        <v>0</v>
      </c>
    </row>
    <row r="1631">
      <c r="A1631" s="1" t="s">
        <v>1407</v>
      </c>
      <c r="B1631" s="1" t="s">
        <v>2046</v>
      </c>
      <c r="C1631" s="1">
        <v>607950.0</v>
      </c>
      <c r="D1631" s="2">
        <v>46058.63548611111</v>
      </c>
      <c r="E1631" s="1" t="s">
        <v>2752</v>
      </c>
      <c r="F1631" s="1" t="b">
        <v>0</v>
      </c>
    </row>
    <row r="1632">
      <c r="A1632" s="1" t="s">
        <v>1407</v>
      </c>
      <c r="B1632" s="1" t="s">
        <v>2046</v>
      </c>
      <c r="C1632" s="1">
        <v>574085.0</v>
      </c>
      <c r="D1632" s="2">
        <v>46058.6478587963</v>
      </c>
      <c r="E1632" s="1" t="s">
        <v>3437</v>
      </c>
      <c r="F1632" s="1" t="b">
        <v>0</v>
      </c>
    </row>
    <row r="1633">
      <c r="A1633" s="1" t="s">
        <v>1407</v>
      </c>
      <c r="B1633" s="1" t="s">
        <v>2046</v>
      </c>
      <c r="C1633" s="1">
        <v>574085.0</v>
      </c>
      <c r="D1633" s="2">
        <v>46058.677152777775</v>
      </c>
      <c r="E1633" s="1" t="s">
        <v>3438</v>
      </c>
      <c r="F1633" s="1" t="b">
        <v>0</v>
      </c>
    </row>
    <row r="1634">
      <c r="A1634" s="1" t="s">
        <v>1407</v>
      </c>
      <c r="B1634" s="1" t="s">
        <v>2042</v>
      </c>
      <c r="C1634" s="1" t="s">
        <v>1411</v>
      </c>
      <c r="D1634" s="2">
        <v>46058.69299768518</v>
      </c>
      <c r="F1634" s="1" t="b">
        <v>0</v>
      </c>
    </row>
    <row r="1635">
      <c r="A1635" s="1" t="s">
        <v>1407</v>
      </c>
      <c r="B1635" s="1" t="s">
        <v>2042</v>
      </c>
      <c r="C1635" s="1" t="s">
        <v>1411</v>
      </c>
      <c r="D1635" s="2">
        <v>46058.69351851852</v>
      </c>
      <c r="E1635" s="1" t="s">
        <v>3439</v>
      </c>
      <c r="F1635" s="1" t="b">
        <v>0</v>
      </c>
    </row>
    <row r="1636">
      <c r="A1636" s="1" t="s">
        <v>1407</v>
      </c>
      <c r="B1636" s="1" t="s">
        <v>2046</v>
      </c>
      <c r="C1636" s="1">
        <v>574085.0</v>
      </c>
      <c r="D1636" s="2">
        <v>46058.695763888885</v>
      </c>
      <c r="E1636" s="1" t="s">
        <v>3440</v>
      </c>
      <c r="F1636" s="1" t="b">
        <v>1</v>
      </c>
    </row>
    <row r="1637">
      <c r="A1637" s="1" t="s">
        <v>1407</v>
      </c>
      <c r="B1637" s="1" t="s">
        <v>2150</v>
      </c>
      <c r="C1637" s="1" t="s">
        <v>2151</v>
      </c>
      <c r="D1637" s="2">
        <v>46058.6958912037</v>
      </c>
      <c r="E1637" s="1" t="s">
        <v>3441</v>
      </c>
      <c r="F1637" s="1" t="b">
        <v>1</v>
      </c>
    </row>
    <row r="1638">
      <c r="A1638" s="1" t="s">
        <v>1407</v>
      </c>
      <c r="B1638" s="1" t="s">
        <v>2046</v>
      </c>
      <c r="C1638" s="1">
        <v>574085.0</v>
      </c>
      <c r="D1638" s="2">
        <v>46058.69636574074</v>
      </c>
      <c r="E1638" s="1" t="s">
        <v>3442</v>
      </c>
      <c r="F1638" s="1" t="b">
        <v>0</v>
      </c>
    </row>
    <row r="1639">
      <c r="A1639" s="1" t="s">
        <v>1407</v>
      </c>
      <c r="B1639" s="1" t="s">
        <v>2046</v>
      </c>
      <c r="C1639" s="1">
        <v>574085.0</v>
      </c>
      <c r="D1639" s="2">
        <v>46058.707083333335</v>
      </c>
      <c r="E1639" s="1" t="s">
        <v>3443</v>
      </c>
      <c r="F1639" s="1" t="b">
        <v>0</v>
      </c>
    </row>
    <row r="1640">
      <c r="A1640" s="1" t="s">
        <v>1407</v>
      </c>
      <c r="B1640" s="1" t="s">
        <v>2042</v>
      </c>
      <c r="C1640" s="1" t="s">
        <v>1411</v>
      </c>
      <c r="D1640" s="2">
        <v>46058.708391203705</v>
      </c>
      <c r="E1640" s="1" t="s">
        <v>3444</v>
      </c>
      <c r="F1640" s="1" t="b">
        <v>0</v>
      </c>
    </row>
    <row r="1641">
      <c r="A1641" s="1" t="s">
        <v>1407</v>
      </c>
      <c r="B1641" s="1" t="s">
        <v>2046</v>
      </c>
      <c r="C1641" s="1">
        <v>574085.0</v>
      </c>
      <c r="D1641" s="2">
        <v>46058.70993055555</v>
      </c>
      <c r="E1641" s="1" t="s">
        <v>3445</v>
      </c>
      <c r="F1641" s="1" t="b">
        <v>0</v>
      </c>
    </row>
    <row r="1642">
      <c r="A1642" s="1" t="s">
        <v>1407</v>
      </c>
      <c r="B1642" s="1" t="s">
        <v>2046</v>
      </c>
      <c r="C1642" s="1">
        <v>574085.0</v>
      </c>
      <c r="D1642" s="2">
        <v>46058.7312962963</v>
      </c>
      <c r="E1642" s="1" t="s">
        <v>3446</v>
      </c>
      <c r="F1642" s="1" t="b">
        <v>1</v>
      </c>
    </row>
    <row r="1643">
      <c r="A1643" s="1" t="s">
        <v>1407</v>
      </c>
      <c r="B1643" s="1" t="s">
        <v>2150</v>
      </c>
      <c r="C1643" s="1" t="s">
        <v>2151</v>
      </c>
      <c r="D1643" s="2">
        <v>46058.73148148148</v>
      </c>
      <c r="E1643" s="1" t="s">
        <v>3447</v>
      </c>
      <c r="F1643" s="1" t="b">
        <v>1</v>
      </c>
    </row>
    <row r="1644">
      <c r="A1644" s="1" t="s">
        <v>1407</v>
      </c>
      <c r="B1644" s="1" t="s">
        <v>2046</v>
      </c>
      <c r="C1644" s="1">
        <v>574085.0</v>
      </c>
      <c r="D1644" s="2">
        <v>46058.73259259259</v>
      </c>
      <c r="E1644" s="1" t="s">
        <v>3448</v>
      </c>
      <c r="F1644" s="1" t="b">
        <v>0</v>
      </c>
    </row>
    <row r="1645">
      <c r="A1645" s="1" t="s">
        <v>1407</v>
      </c>
      <c r="B1645" s="1" t="s">
        <v>2046</v>
      </c>
      <c r="C1645" s="1">
        <v>607950.0</v>
      </c>
      <c r="D1645" s="2">
        <v>46059.41997685185</v>
      </c>
      <c r="E1645" s="1" t="s">
        <v>2917</v>
      </c>
      <c r="F1645" s="1" t="b">
        <v>0</v>
      </c>
    </row>
    <row r="1646">
      <c r="A1646" s="1" t="s">
        <v>1407</v>
      </c>
      <c r="B1646" s="1" t="s">
        <v>2046</v>
      </c>
      <c r="C1646" s="1">
        <v>607950.0</v>
      </c>
      <c r="D1646" s="2">
        <v>46059.42438657407</v>
      </c>
      <c r="E1646" s="1" t="s">
        <v>2108</v>
      </c>
      <c r="F1646" s="1" t="b">
        <v>0</v>
      </c>
    </row>
    <row r="1647">
      <c r="A1647" s="1" t="s">
        <v>1403</v>
      </c>
      <c r="B1647" s="1" t="s">
        <v>2042</v>
      </c>
      <c r="C1647" s="1" t="s">
        <v>1405</v>
      </c>
      <c r="D1647" s="2">
        <v>46058.65644675926</v>
      </c>
      <c r="E1647" s="1" t="s">
        <v>3449</v>
      </c>
      <c r="F1647" s="1" t="b">
        <v>0</v>
      </c>
    </row>
    <row r="1648">
      <c r="A1648" s="1" t="s">
        <v>1403</v>
      </c>
      <c r="B1648" s="1" t="s">
        <v>2042</v>
      </c>
      <c r="C1648" s="1" t="s">
        <v>1405</v>
      </c>
      <c r="D1648" s="2">
        <v>46058.657847222225</v>
      </c>
      <c r="E1648" s="1" t="s">
        <v>3450</v>
      </c>
      <c r="F1648" s="1" t="b">
        <v>0</v>
      </c>
    </row>
    <row r="1649">
      <c r="A1649" s="1" t="s">
        <v>1403</v>
      </c>
      <c r="B1649" s="1" t="s">
        <v>2042</v>
      </c>
      <c r="C1649" s="1" t="s">
        <v>1405</v>
      </c>
      <c r="D1649" s="2">
        <v>46058.658530092594</v>
      </c>
      <c r="E1649" s="1" t="s">
        <v>3451</v>
      </c>
      <c r="F1649" s="1" t="b">
        <v>0</v>
      </c>
    </row>
    <row r="1650">
      <c r="A1650" s="1" t="s">
        <v>1399</v>
      </c>
      <c r="B1650" s="1" t="s">
        <v>2042</v>
      </c>
      <c r="C1650" s="1" t="s">
        <v>1401</v>
      </c>
      <c r="D1650" s="2">
        <v>46058.672430555554</v>
      </c>
      <c r="E1650" s="1" t="s">
        <v>3452</v>
      </c>
      <c r="F1650" s="1" t="b">
        <v>0</v>
      </c>
    </row>
    <row r="1651">
      <c r="A1651" s="1" t="s">
        <v>1399</v>
      </c>
      <c r="B1651" s="1" t="s">
        <v>2046</v>
      </c>
      <c r="C1651" s="1">
        <v>594863.0</v>
      </c>
      <c r="D1651" s="2">
        <v>46058.692025462966</v>
      </c>
      <c r="E1651" s="1" t="s">
        <v>3453</v>
      </c>
      <c r="F1651" s="1" t="b">
        <v>0</v>
      </c>
    </row>
    <row r="1652">
      <c r="A1652" s="1" t="s">
        <v>1399</v>
      </c>
      <c r="B1652" s="1" t="s">
        <v>2046</v>
      </c>
      <c r="C1652" s="1">
        <v>594863.0</v>
      </c>
      <c r="D1652" s="2">
        <v>46058.71293981482</v>
      </c>
      <c r="E1652" s="1" t="s">
        <v>3454</v>
      </c>
      <c r="F1652" s="1" t="b">
        <v>0</v>
      </c>
    </row>
    <row r="1653">
      <c r="A1653" s="1" t="s">
        <v>1399</v>
      </c>
      <c r="B1653" s="1" t="s">
        <v>2046</v>
      </c>
      <c r="C1653" s="1">
        <v>594863.0</v>
      </c>
      <c r="D1653" s="2">
        <v>46058.77587962963</v>
      </c>
      <c r="E1653" s="1" t="s">
        <v>2108</v>
      </c>
      <c r="F1653" s="1" t="b">
        <v>0</v>
      </c>
    </row>
    <row r="1654">
      <c r="A1654" s="1" t="s">
        <v>1393</v>
      </c>
      <c r="B1654" s="1" t="s">
        <v>2042</v>
      </c>
      <c r="C1654" s="1" t="s">
        <v>1397</v>
      </c>
      <c r="D1654" s="2">
        <v>46058.68491898148</v>
      </c>
      <c r="F1654" s="1" t="b">
        <v>0</v>
      </c>
    </row>
    <row r="1655">
      <c r="A1655" s="1" t="s">
        <v>1393</v>
      </c>
      <c r="B1655" s="1" t="s">
        <v>2042</v>
      </c>
      <c r="C1655" s="1" t="s">
        <v>1397</v>
      </c>
      <c r="D1655" s="2">
        <v>46058.685011574074</v>
      </c>
      <c r="F1655" s="1" t="b">
        <v>0</v>
      </c>
    </row>
    <row r="1656">
      <c r="A1656" s="1" t="s">
        <v>1393</v>
      </c>
      <c r="B1656" s="1" t="s">
        <v>2042</v>
      </c>
      <c r="C1656" s="1" t="s">
        <v>1397</v>
      </c>
      <c r="D1656" s="2">
        <v>46058.68525462963</v>
      </c>
      <c r="E1656" s="1" t="s">
        <v>3455</v>
      </c>
      <c r="F1656" s="1" t="b">
        <v>0</v>
      </c>
    </row>
    <row r="1657">
      <c r="A1657" s="1" t="s">
        <v>1393</v>
      </c>
      <c r="B1657" s="1" t="s">
        <v>2046</v>
      </c>
      <c r="C1657" s="1">
        <v>607950.0</v>
      </c>
      <c r="D1657" s="2">
        <v>46058.68693287037</v>
      </c>
      <c r="E1657" s="1" t="s">
        <v>2752</v>
      </c>
      <c r="F1657" s="1" t="b">
        <v>0</v>
      </c>
    </row>
    <row r="1658">
      <c r="A1658" s="1" t="s">
        <v>1393</v>
      </c>
      <c r="B1658" s="1" t="s">
        <v>2046</v>
      </c>
      <c r="C1658" s="1">
        <v>607950.0</v>
      </c>
      <c r="D1658" s="2">
        <v>46058.691724537035</v>
      </c>
      <c r="E1658" s="1" t="s">
        <v>3456</v>
      </c>
      <c r="F1658" s="1" t="b">
        <v>0</v>
      </c>
    </row>
    <row r="1659">
      <c r="A1659" s="1" t="s">
        <v>1393</v>
      </c>
      <c r="B1659" s="1" t="s">
        <v>2042</v>
      </c>
      <c r="C1659" s="1" t="s">
        <v>1397</v>
      </c>
      <c r="D1659" s="2">
        <v>46058.692662037036</v>
      </c>
      <c r="E1659" s="1" t="s">
        <v>3457</v>
      </c>
      <c r="F1659" s="1" t="b">
        <v>0</v>
      </c>
    </row>
    <row r="1660">
      <c r="A1660" s="1" t="s">
        <v>1393</v>
      </c>
      <c r="B1660" s="1" t="s">
        <v>2042</v>
      </c>
      <c r="C1660" s="1" t="s">
        <v>1397</v>
      </c>
      <c r="D1660" s="2">
        <v>46058.69321759259</v>
      </c>
      <c r="E1660" s="1" t="s">
        <v>3458</v>
      </c>
      <c r="F1660" s="1" t="b">
        <v>0</v>
      </c>
    </row>
    <row r="1661">
      <c r="A1661" s="1" t="s">
        <v>1393</v>
      </c>
      <c r="B1661" s="1" t="s">
        <v>2046</v>
      </c>
      <c r="C1661" s="1">
        <v>607950.0</v>
      </c>
      <c r="D1661" s="2">
        <v>46058.6934375</v>
      </c>
      <c r="E1661" s="1" t="s">
        <v>2254</v>
      </c>
      <c r="F1661" s="1" t="b">
        <v>1</v>
      </c>
    </row>
    <row r="1662">
      <c r="A1662" s="1" t="s">
        <v>1393</v>
      </c>
      <c r="B1662" s="1" t="s">
        <v>2150</v>
      </c>
      <c r="C1662" s="1" t="s">
        <v>2151</v>
      </c>
      <c r="D1662" s="2">
        <v>46058.69364583334</v>
      </c>
      <c r="E1662" s="1" t="s">
        <v>3459</v>
      </c>
      <c r="F1662" s="1" t="b">
        <v>1</v>
      </c>
    </row>
    <row r="1663">
      <c r="A1663" s="1" t="s">
        <v>1393</v>
      </c>
      <c r="B1663" s="1" t="s">
        <v>2046</v>
      </c>
      <c r="C1663" s="1">
        <v>607950.0</v>
      </c>
      <c r="D1663" s="2">
        <v>46058.69378472222</v>
      </c>
      <c r="E1663" s="1" t="s">
        <v>3460</v>
      </c>
      <c r="F1663" s="1" t="b">
        <v>0</v>
      </c>
    </row>
    <row r="1664">
      <c r="A1664" s="1" t="s">
        <v>1393</v>
      </c>
      <c r="B1664" s="1" t="s">
        <v>2042</v>
      </c>
      <c r="C1664" s="1" t="s">
        <v>1397</v>
      </c>
      <c r="D1664" s="2">
        <v>46058.69668981482</v>
      </c>
      <c r="E1664" s="1" t="s">
        <v>3461</v>
      </c>
      <c r="F1664" s="1" t="b">
        <v>0</v>
      </c>
    </row>
    <row r="1665">
      <c r="A1665" s="1" t="s">
        <v>1393</v>
      </c>
      <c r="B1665" s="1" t="s">
        <v>2046</v>
      </c>
      <c r="C1665" s="1">
        <v>607950.0</v>
      </c>
      <c r="D1665" s="2">
        <v>46058.7</v>
      </c>
      <c r="E1665" s="1" t="s">
        <v>2740</v>
      </c>
      <c r="F1665" s="1" t="b">
        <v>1</v>
      </c>
    </row>
    <row r="1666">
      <c r="A1666" s="1" t="s">
        <v>1393</v>
      </c>
      <c r="B1666" s="1" t="s">
        <v>2150</v>
      </c>
      <c r="C1666" s="1" t="s">
        <v>2151</v>
      </c>
      <c r="D1666" s="2">
        <v>46058.700150462966</v>
      </c>
      <c r="E1666" s="1" t="s">
        <v>3462</v>
      </c>
      <c r="F1666" s="1" t="b">
        <v>1</v>
      </c>
    </row>
    <row r="1667">
      <c r="A1667" s="1" t="s">
        <v>1393</v>
      </c>
      <c r="B1667" s="1" t="s">
        <v>2046</v>
      </c>
      <c r="C1667" s="1">
        <v>574085.0</v>
      </c>
      <c r="D1667" s="2">
        <v>46058.710960648146</v>
      </c>
      <c r="E1667" s="1" t="s">
        <v>3463</v>
      </c>
      <c r="F1667" s="1" t="b">
        <v>0</v>
      </c>
    </row>
    <row r="1668">
      <c r="A1668" s="1" t="s">
        <v>1393</v>
      </c>
      <c r="B1668" s="1" t="s">
        <v>2042</v>
      </c>
      <c r="C1668" s="1" t="s">
        <v>1397</v>
      </c>
      <c r="D1668" s="2">
        <v>46058.71480324074</v>
      </c>
      <c r="F1668" s="1" t="b">
        <v>0</v>
      </c>
    </row>
    <row r="1669">
      <c r="A1669" s="1" t="s">
        <v>1393</v>
      </c>
      <c r="B1669" s="1" t="s">
        <v>2046</v>
      </c>
      <c r="C1669" s="1">
        <v>574085.0</v>
      </c>
      <c r="D1669" s="2">
        <v>46058.71505787037</v>
      </c>
      <c r="E1669" s="1" t="s">
        <v>3464</v>
      </c>
      <c r="F1669" s="1" t="b">
        <v>0</v>
      </c>
    </row>
    <row r="1670">
      <c r="A1670" s="1" t="s">
        <v>1393</v>
      </c>
      <c r="B1670" s="1" t="s">
        <v>2042</v>
      </c>
      <c r="C1670" s="1" t="s">
        <v>1397</v>
      </c>
      <c r="D1670" s="2">
        <v>46058.71532407407</v>
      </c>
      <c r="E1670" s="1" t="s">
        <v>3465</v>
      </c>
      <c r="F1670" s="1" t="b">
        <v>0</v>
      </c>
    </row>
    <row r="1671">
      <c r="A1671" s="1" t="s">
        <v>1393</v>
      </c>
      <c r="B1671" s="1" t="s">
        <v>2042</v>
      </c>
      <c r="C1671" s="1" t="s">
        <v>1397</v>
      </c>
      <c r="D1671" s="2">
        <v>46058.71545138889</v>
      </c>
      <c r="F1671" s="1" t="b">
        <v>0</v>
      </c>
    </row>
    <row r="1672">
      <c r="A1672" s="1" t="s">
        <v>1393</v>
      </c>
      <c r="B1672" s="1" t="s">
        <v>2046</v>
      </c>
      <c r="C1672" s="1">
        <v>574085.0</v>
      </c>
      <c r="D1672" s="2">
        <v>46058.715474537035</v>
      </c>
      <c r="E1672" s="1" t="s">
        <v>3466</v>
      </c>
      <c r="F1672" s="1" t="b">
        <v>0</v>
      </c>
    </row>
    <row r="1673">
      <c r="A1673" s="1" t="s">
        <v>1393</v>
      </c>
      <c r="B1673" s="1" t="s">
        <v>2042</v>
      </c>
      <c r="C1673" s="1" t="s">
        <v>1397</v>
      </c>
      <c r="D1673" s="2">
        <v>46058.715532407405</v>
      </c>
      <c r="E1673" s="1" t="s">
        <v>2293</v>
      </c>
      <c r="F1673" s="1" t="b">
        <v>0</v>
      </c>
    </row>
    <row r="1674">
      <c r="A1674" s="1" t="s">
        <v>1393</v>
      </c>
      <c r="B1674" s="1" t="s">
        <v>2046</v>
      </c>
      <c r="C1674" s="1">
        <v>574085.0</v>
      </c>
      <c r="D1674" s="2">
        <v>46058.715775462966</v>
      </c>
      <c r="E1674" s="1" t="s">
        <v>3467</v>
      </c>
      <c r="F1674" s="1" t="b">
        <v>0</v>
      </c>
    </row>
    <row r="1675">
      <c r="A1675" s="1" t="s">
        <v>1393</v>
      </c>
      <c r="B1675" s="1" t="s">
        <v>2042</v>
      </c>
      <c r="C1675" s="1" t="s">
        <v>1397</v>
      </c>
      <c r="D1675" s="2">
        <v>46058.715844907405</v>
      </c>
      <c r="E1675" s="1" t="s">
        <v>3468</v>
      </c>
      <c r="F1675" s="1" t="b">
        <v>0</v>
      </c>
    </row>
    <row r="1676">
      <c r="A1676" s="1" t="s">
        <v>1393</v>
      </c>
      <c r="B1676" s="1" t="s">
        <v>2042</v>
      </c>
      <c r="C1676" s="1" t="s">
        <v>1397</v>
      </c>
      <c r="D1676" s="2">
        <v>46058.71886574074</v>
      </c>
      <c r="F1676" s="1" t="b">
        <v>0</v>
      </c>
    </row>
    <row r="1677">
      <c r="A1677" s="1" t="s">
        <v>1393</v>
      </c>
      <c r="B1677" s="1" t="s">
        <v>2046</v>
      </c>
      <c r="C1677" s="1">
        <v>574085.0</v>
      </c>
      <c r="D1677" s="2">
        <v>46058.723495370374</v>
      </c>
      <c r="E1677" s="1" t="s">
        <v>3469</v>
      </c>
      <c r="F1677" s="1" t="b">
        <v>0</v>
      </c>
    </row>
    <row r="1678">
      <c r="A1678" s="1" t="s">
        <v>1108</v>
      </c>
      <c r="B1678" s="1" t="s">
        <v>2042</v>
      </c>
      <c r="C1678" s="1" t="s">
        <v>1111</v>
      </c>
      <c r="D1678" s="2">
        <v>46062.647997685184</v>
      </c>
      <c r="E1678" s="1" t="s">
        <v>3470</v>
      </c>
      <c r="F1678" s="1" t="b">
        <v>0</v>
      </c>
    </row>
    <row r="1679">
      <c r="A1679" s="1" t="s">
        <v>1108</v>
      </c>
      <c r="B1679" s="1" t="s">
        <v>2046</v>
      </c>
      <c r="C1679" s="1">
        <v>607950.0</v>
      </c>
      <c r="D1679" s="2">
        <v>46062.64844907408</v>
      </c>
      <c r="E1679" s="1" t="s">
        <v>2752</v>
      </c>
      <c r="F1679" s="1" t="b">
        <v>0</v>
      </c>
    </row>
    <row r="1680">
      <c r="A1680" s="1" t="s">
        <v>1108</v>
      </c>
      <c r="B1680" s="1" t="s">
        <v>2046</v>
      </c>
      <c r="C1680" s="1">
        <v>607950.0</v>
      </c>
      <c r="D1680" s="2">
        <v>46062.648680555554</v>
      </c>
      <c r="E1680" s="1" t="s">
        <v>3471</v>
      </c>
      <c r="F1680" s="1" t="b">
        <v>1</v>
      </c>
    </row>
    <row r="1681">
      <c r="A1681" s="1" t="s">
        <v>1108</v>
      </c>
      <c r="B1681" s="1" t="s">
        <v>2150</v>
      </c>
      <c r="C1681" s="1" t="s">
        <v>2151</v>
      </c>
      <c r="D1681" s="2">
        <v>46062.648888888885</v>
      </c>
      <c r="E1681" s="1" t="s">
        <v>3472</v>
      </c>
      <c r="F1681" s="1" t="b">
        <v>1</v>
      </c>
    </row>
    <row r="1682">
      <c r="A1682" s="1" t="s">
        <v>1108</v>
      </c>
      <c r="B1682" s="1" t="s">
        <v>2046</v>
      </c>
      <c r="C1682" s="1">
        <v>607950.0</v>
      </c>
      <c r="D1682" s="2">
        <v>46062.650555555556</v>
      </c>
      <c r="E1682" s="1" t="s">
        <v>3473</v>
      </c>
      <c r="F1682" s="1" t="b">
        <v>1</v>
      </c>
    </row>
    <row r="1683">
      <c r="A1683" s="1" t="s">
        <v>1108</v>
      </c>
      <c r="B1683" s="1" t="s">
        <v>2150</v>
      </c>
      <c r="C1683" s="1" t="s">
        <v>2151</v>
      </c>
      <c r="D1683" s="2">
        <v>46062.650717592594</v>
      </c>
      <c r="E1683" s="1" t="s">
        <v>3474</v>
      </c>
      <c r="F1683" s="1" t="b">
        <v>1</v>
      </c>
    </row>
    <row r="1684">
      <c r="A1684" s="1" t="s">
        <v>1108</v>
      </c>
      <c r="B1684" s="1" t="s">
        <v>2046</v>
      </c>
      <c r="C1684" s="1">
        <v>607950.0</v>
      </c>
      <c r="D1684" s="2">
        <v>46062.650925925926</v>
      </c>
      <c r="E1684" s="1" t="s">
        <v>3474</v>
      </c>
      <c r="F1684" s="1" t="b">
        <v>0</v>
      </c>
    </row>
    <row r="1685">
      <c r="A1685" s="1" t="s">
        <v>1108</v>
      </c>
      <c r="B1685" s="1" t="s">
        <v>2042</v>
      </c>
      <c r="C1685" s="1" t="s">
        <v>1111</v>
      </c>
      <c r="D1685" s="2">
        <v>46062.65231481481</v>
      </c>
      <c r="E1685" s="1" t="s">
        <v>3475</v>
      </c>
      <c r="F1685" s="1" t="b">
        <v>0</v>
      </c>
    </row>
    <row r="1686">
      <c r="A1686" s="1" t="s">
        <v>1108</v>
      </c>
      <c r="B1686" s="1" t="s">
        <v>2046</v>
      </c>
      <c r="C1686" s="1">
        <v>607950.0</v>
      </c>
      <c r="D1686" s="2">
        <v>46062.65292824074</v>
      </c>
      <c r="E1686" s="1" t="s">
        <v>3476</v>
      </c>
      <c r="F1686" s="1" t="b">
        <v>1</v>
      </c>
    </row>
    <row r="1687">
      <c r="A1687" s="1" t="s">
        <v>1108</v>
      </c>
      <c r="B1687" s="1" t="s">
        <v>2150</v>
      </c>
      <c r="C1687" s="1" t="s">
        <v>2151</v>
      </c>
      <c r="D1687" s="2">
        <v>46062.653125</v>
      </c>
      <c r="E1687" s="1" t="s">
        <v>3477</v>
      </c>
      <c r="F1687" s="1" t="b">
        <v>1</v>
      </c>
    </row>
    <row r="1688">
      <c r="A1688" s="1" t="s">
        <v>1108</v>
      </c>
      <c r="B1688" s="1" t="s">
        <v>2046</v>
      </c>
      <c r="C1688" s="1">
        <v>574085.0</v>
      </c>
      <c r="D1688" s="2">
        <v>46062.65377314815</v>
      </c>
      <c r="E1688" s="4" t="s">
        <v>3478</v>
      </c>
      <c r="F1688" s="1" t="b">
        <v>1</v>
      </c>
    </row>
    <row r="1689">
      <c r="A1689" s="1" t="s">
        <v>1108</v>
      </c>
      <c r="B1689" s="1" t="s">
        <v>2046</v>
      </c>
      <c r="C1689" s="1">
        <v>607950.0</v>
      </c>
      <c r="D1689" s="2">
        <v>46062.653865740744</v>
      </c>
      <c r="E1689" s="1" t="s">
        <v>3477</v>
      </c>
      <c r="F1689" s="1" t="b">
        <v>0</v>
      </c>
    </row>
    <row r="1690">
      <c r="A1690" s="1" t="s">
        <v>1108</v>
      </c>
      <c r="B1690" s="1" t="s">
        <v>2042</v>
      </c>
      <c r="C1690" s="1" t="s">
        <v>1111</v>
      </c>
      <c r="D1690" s="2">
        <v>46062.654027777775</v>
      </c>
      <c r="E1690" s="1" t="s">
        <v>3479</v>
      </c>
      <c r="F1690" s="1" t="b">
        <v>0</v>
      </c>
    </row>
    <row r="1691">
      <c r="A1691" s="1" t="s">
        <v>1108</v>
      </c>
      <c r="B1691" s="1" t="s">
        <v>2042</v>
      </c>
      <c r="C1691" s="1" t="s">
        <v>1111</v>
      </c>
      <c r="D1691" s="2">
        <v>46062.6562962963</v>
      </c>
      <c r="E1691" s="1" t="s">
        <v>3480</v>
      </c>
      <c r="F1691" s="1" t="b">
        <v>0</v>
      </c>
    </row>
    <row r="1692">
      <c r="A1692" s="1" t="s">
        <v>1108</v>
      </c>
      <c r="B1692" s="1" t="s">
        <v>2046</v>
      </c>
      <c r="C1692" s="1">
        <v>607950.0</v>
      </c>
      <c r="D1692" s="2">
        <v>46062.65645833333</v>
      </c>
      <c r="E1692" s="1" t="s">
        <v>3481</v>
      </c>
      <c r="F1692" s="1" t="b">
        <v>0</v>
      </c>
    </row>
    <row r="1693">
      <c r="A1693" s="1" t="s">
        <v>1108</v>
      </c>
      <c r="B1693" s="1" t="s">
        <v>2046</v>
      </c>
      <c r="C1693" s="1">
        <v>607950.0</v>
      </c>
      <c r="D1693" s="2">
        <v>46062.65940972222</v>
      </c>
      <c r="E1693" s="1" t="s">
        <v>3482</v>
      </c>
      <c r="F1693" s="1" t="b">
        <v>0</v>
      </c>
    </row>
    <row r="1694">
      <c r="A1694" s="1" t="s">
        <v>1388</v>
      </c>
      <c r="B1694" s="1" t="s">
        <v>2042</v>
      </c>
      <c r="C1694" s="1" t="s">
        <v>1390</v>
      </c>
      <c r="D1694" s="2">
        <v>46058.71693287037</v>
      </c>
      <c r="E1694" s="1" t="s">
        <v>3483</v>
      </c>
      <c r="F1694" s="1" t="b">
        <v>0</v>
      </c>
    </row>
    <row r="1695">
      <c r="A1695" s="1" t="s">
        <v>1388</v>
      </c>
      <c r="B1695" s="1" t="s">
        <v>2042</v>
      </c>
      <c r="C1695" s="1" t="s">
        <v>1390</v>
      </c>
      <c r="D1695" s="2">
        <v>46058.71871527778</v>
      </c>
      <c r="E1695" s="1" t="s">
        <v>3484</v>
      </c>
      <c r="F1695" s="1" t="b">
        <v>0</v>
      </c>
    </row>
    <row r="1696">
      <c r="A1696" s="1" t="s">
        <v>1386</v>
      </c>
      <c r="B1696" s="1" t="s">
        <v>2042</v>
      </c>
      <c r="C1696" s="1" t="s">
        <v>744</v>
      </c>
      <c r="D1696" s="2">
        <v>46058.747465277775</v>
      </c>
      <c r="E1696" s="1" t="s">
        <v>3485</v>
      </c>
      <c r="F1696" s="1" t="b">
        <v>0</v>
      </c>
    </row>
    <row r="1697">
      <c r="A1697" s="1" t="s">
        <v>1381</v>
      </c>
      <c r="B1697" s="1" t="s">
        <v>2042</v>
      </c>
      <c r="C1697" s="1" t="s">
        <v>1383</v>
      </c>
      <c r="D1697" s="2">
        <v>46058.75982638889</v>
      </c>
      <c r="E1697" s="1" t="s">
        <v>3486</v>
      </c>
      <c r="F1697" s="1" t="b">
        <v>0</v>
      </c>
    </row>
    <row r="1698">
      <c r="A1698" s="1" t="s">
        <v>1381</v>
      </c>
      <c r="B1698" s="1" t="s">
        <v>2046</v>
      </c>
      <c r="C1698" s="1">
        <v>594863.0</v>
      </c>
      <c r="D1698" s="2">
        <v>46059.42224537037</v>
      </c>
      <c r="E1698" s="1" t="s">
        <v>3487</v>
      </c>
      <c r="F1698" s="1" t="b">
        <v>0</v>
      </c>
    </row>
    <row r="1699">
      <c r="A1699" s="1" t="s">
        <v>1381</v>
      </c>
      <c r="B1699" s="1" t="s">
        <v>2042</v>
      </c>
      <c r="C1699" s="1" t="s">
        <v>1383</v>
      </c>
      <c r="D1699" s="2">
        <v>46059.43137731482</v>
      </c>
      <c r="E1699" s="1" t="s">
        <v>3488</v>
      </c>
      <c r="F1699" s="1" t="b">
        <v>0</v>
      </c>
    </row>
    <row r="1700">
      <c r="A1700" s="1" t="s">
        <v>1381</v>
      </c>
      <c r="B1700" s="1" t="s">
        <v>2046</v>
      </c>
      <c r="C1700" s="1">
        <v>594863.0</v>
      </c>
      <c r="D1700" s="2">
        <v>46059.44289351852</v>
      </c>
      <c r="E1700" s="1" t="s">
        <v>3489</v>
      </c>
      <c r="F1700" s="1" t="b">
        <v>0</v>
      </c>
    </row>
    <row r="1701">
      <c r="A1701" s="1" t="s">
        <v>1381</v>
      </c>
      <c r="B1701" s="1" t="s">
        <v>2042</v>
      </c>
      <c r="C1701" s="1" t="s">
        <v>1383</v>
      </c>
      <c r="D1701" s="2">
        <v>46059.45412037037</v>
      </c>
      <c r="E1701" s="1" t="s">
        <v>3490</v>
      </c>
      <c r="F1701" s="1" t="b">
        <v>0</v>
      </c>
    </row>
    <row r="1702">
      <c r="A1702" s="1" t="s">
        <v>1381</v>
      </c>
      <c r="B1702" s="1" t="s">
        <v>2046</v>
      </c>
      <c r="C1702" s="1">
        <v>594863.0</v>
      </c>
      <c r="D1702" s="2">
        <v>46059.47619212963</v>
      </c>
      <c r="E1702" s="1" t="s">
        <v>3491</v>
      </c>
      <c r="F1702" s="1" t="b">
        <v>0</v>
      </c>
    </row>
    <row r="1703">
      <c r="A1703" s="1" t="s">
        <v>1377</v>
      </c>
      <c r="B1703" s="1" t="s">
        <v>2042</v>
      </c>
      <c r="C1703" s="1" t="s">
        <v>1379</v>
      </c>
      <c r="D1703" s="2">
        <v>46059.31633101852</v>
      </c>
      <c r="E1703" s="1" t="s">
        <v>3492</v>
      </c>
      <c r="F1703" s="1" t="b">
        <v>0</v>
      </c>
    </row>
    <row r="1704">
      <c r="A1704" s="1" t="s">
        <v>1377</v>
      </c>
      <c r="B1704" s="1" t="s">
        <v>2042</v>
      </c>
      <c r="C1704" s="1" t="s">
        <v>1379</v>
      </c>
      <c r="D1704" s="2">
        <v>46059.32109953704</v>
      </c>
      <c r="E1704" s="1" t="s">
        <v>3493</v>
      </c>
      <c r="F1704" s="1" t="b">
        <v>0</v>
      </c>
    </row>
    <row r="1705">
      <c r="A1705" s="1" t="s">
        <v>1377</v>
      </c>
      <c r="B1705" s="1" t="s">
        <v>2042</v>
      </c>
      <c r="C1705" s="1" t="s">
        <v>1379</v>
      </c>
      <c r="D1705" s="2">
        <v>46059.32168981482</v>
      </c>
      <c r="E1705" s="1" t="s">
        <v>3494</v>
      </c>
      <c r="F1705" s="1" t="b">
        <v>0</v>
      </c>
    </row>
    <row r="1706">
      <c r="A1706" s="1" t="s">
        <v>1373</v>
      </c>
      <c r="B1706" s="1" t="s">
        <v>2042</v>
      </c>
      <c r="C1706" s="1" t="s">
        <v>581</v>
      </c>
      <c r="D1706" s="2">
        <v>46059.33814814815</v>
      </c>
      <c r="E1706" s="1" t="s">
        <v>3495</v>
      </c>
      <c r="F1706" s="1" t="b">
        <v>0</v>
      </c>
    </row>
    <row r="1707">
      <c r="A1707" s="1" t="s">
        <v>1371</v>
      </c>
      <c r="B1707" s="1" t="s">
        <v>2042</v>
      </c>
      <c r="C1707" s="1" t="s">
        <v>1012</v>
      </c>
      <c r="D1707" s="2">
        <v>46059.35134259259</v>
      </c>
      <c r="E1707" s="1" t="s">
        <v>3496</v>
      </c>
      <c r="F1707" s="1" t="b">
        <v>0</v>
      </c>
    </row>
    <row r="1708">
      <c r="A1708" s="1" t="s">
        <v>1371</v>
      </c>
      <c r="B1708" s="1" t="s">
        <v>2042</v>
      </c>
      <c r="C1708" s="1" t="s">
        <v>1012</v>
      </c>
      <c r="D1708" s="2">
        <v>46059.351643518516</v>
      </c>
      <c r="E1708" s="1" t="s">
        <v>3497</v>
      </c>
      <c r="F1708" s="1" t="b">
        <v>0</v>
      </c>
    </row>
    <row r="1709">
      <c r="A1709" s="1" t="s">
        <v>1371</v>
      </c>
      <c r="B1709" s="1" t="s">
        <v>2042</v>
      </c>
      <c r="C1709" s="1" t="s">
        <v>1012</v>
      </c>
      <c r="D1709" s="2">
        <v>46059.35260416667</v>
      </c>
      <c r="E1709" s="1" t="s">
        <v>3498</v>
      </c>
      <c r="F1709" s="1" t="b">
        <v>0</v>
      </c>
    </row>
    <row r="1710">
      <c r="A1710" s="1" t="s">
        <v>1371</v>
      </c>
      <c r="B1710" s="1" t="s">
        <v>2042</v>
      </c>
      <c r="C1710" s="1" t="s">
        <v>1012</v>
      </c>
      <c r="D1710" s="2">
        <v>46059.35444444444</v>
      </c>
      <c r="E1710" s="1" t="s">
        <v>3499</v>
      </c>
      <c r="F1710" s="1" t="b">
        <v>0</v>
      </c>
    </row>
    <row r="1711">
      <c r="A1711" s="1" t="s">
        <v>1371</v>
      </c>
      <c r="B1711" s="1" t="s">
        <v>2042</v>
      </c>
      <c r="C1711" s="1" t="s">
        <v>1012</v>
      </c>
      <c r="D1711" s="2">
        <v>46059.355717592596</v>
      </c>
      <c r="E1711" s="1" t="s">
        <v>3500</v>
      </c>
      <c r="F1711" s="1" t="b">
        <v>0</v>
      </c>
    </row>
    <row r="1712">
      <c r="A1712" s="1" t="s">
        <v>1367</v>
      </c>
      <c r="B1712" s="1" t="s">
        <v>2042</v>
      </c>
      <c r="C1712" s="1" t="s">
        <v>1369</v>
      </c>
      <c r="D1712" s="2">
        <v>46059.37724537037</v>
      </c>
      <c r="E1712" s="1" t="s">
        <v>3501</v>
      </c>
      <c r="F1712" s="1" t="b">
        <v>0</v>
      </c>
    </row>
    <row r="1713">
      <c r="A1713" s="1" t="s">
        <v>1365</v>
      </c>
      <c r="B1713" s="1" t="s">
        <v>2042</v>
      </c>
      <c r="C1713" s="1" t="s">
        <v>852</v>
      </c>
      <c r="D1713" s="2">
        <v>46059.381875</v>
      </c>
      <c r="E1713" s="1" t="s">
        <v>3502</v>
      </c>
      <c r="F1713" s="1" t="b">
        <v>0</v>
      </c>
    </row>
    <row r="1714">
      <c r="A1714" s="1" t="s">
        <v>1365</v>
      </c>
      <c r="B1714" s="1" t="s">
        <v>2042</v>
      </c>
      <c r="C1714" s="1" t="s">
        <v>852</v>
      </c>
      <c r="D1714" s="2">
        <v>46059.3821875</v>
      </c>
      <c r="E1714" s="1" t="s">
        <v>3503</v>
      </c>
      <c r="F1714" s="1" t="b">
        <v>0</v>
      </c>
    </row>
    <row r="1715">
      <c r="A1715" s="1" t="s">
        <v>1365</v>
      </c>
      <c r="B1715" s="1" t="s">
        <v>2042</v>
      </c>
      <c r="C1715" s="1" t="s">
        <v>852</v>
      </c>
      <c r="D1715" s="2">
        <v>46059.38233796296</v>
      </c>
      <c r="E1715" s="1" t="s">
        <v>3504</v>
      </c>
      <c r="F1715" s="1" t="b">
        <v>0</v>
      </c>
    </row>
    <row r="1716">
      <c r="A1716" s="1" t="s">
        <v>1362</v>
      </c>
      <c r="B1716" s="1" t="s">
        <v>2042</v>
      </c>
      <c r="C1716" s="1" t="s">
        <v>1200</v>
      </c>
      <c r="D1716" s="2">
        <v>46059.39208333333</v>
      </c>
      <c r="E1716" s="1" t="s">
        <v>3505</v>
      </c>
      <c r="F1716" s="1" t="b">
        <v>0</v>
      </c>
    </row>
    <row r="1717">
      <c r="A1717" s="1" t="s">
        <v>1362</v>
      </c>
      <c r="B1717" s="1" t="s">
        <v>2042</v>
      </c>
      <c r="C1717" s="1" t="s">
        <v>1200</v>
      </c>
      <c r="D1717" s="2">
        <v>46059.392858796295</v>
      </c>
      <c r="E1717" s="1" t="s">
        <v>3506</v>
      </c>
      <c r="F1717" s="1" t="b">
        <v>0</v>
      </c>
    </row>
    <row r="1718">
      <c r="A1718" s="1" t="s">
        <v>1362</v>
      </c>
      <c r="B1718" s="1" t="s">
        <v>2042</v>
      </c>
      <c r="C1718" s="1" t="s">
        <v>1200</v>
      </c>
      <c r="D1718" s="2">
        <v>46059.396898148145</v>
      </c>
      <c r="E1718" s="1" t="s">
        <v>3507</v>
      </c>
      <c r="F1718" s="1" t="b">
        <v>0</v>
      </c>
    </row>
    <row r="1719">
      <c r="A1719" s="1" t="s">
        <v>1362</v>
      </c>
      <c r="B1719" s="1" t="s">
        <v>2042</v>
      </c>
      <c r="C1719" s="1" t="s">
        <v>1200</v>
      </c>
      <c r="D1719" s="2">
        <v>46059.63265046296</v>
      </c>
      <c r="E1719" s="1" t="s">
        <v>3508</v>
      </c>
      <c r="F1719" s="1" t="b">
        <v>0</v>
      </c>
    </row>
    <row r="1720">
      <c r="A1720" s="1" t="s">
        <v>1362</v>
      </c>
      <c r="B1720" s="1" t="s">
        <v>2046</v>
      </c>
      <c r="C1720" s="1">
        <v>607950.0</v>
      </c>
      <c r="D1720" s="2">
        <v>46059.73636574074</v>
      </c>
      <c r="E1720" s="1" t="s">
        <v>2752</v>
      </c>
      <c r="F1720" s="1" t="b">
        <v>0</v>
      </c>
    </row>
    <row r="1721">
      <c r="A1721" s="1" t="s">
        <v>1362</v>
      </c>
      <c r="B1721" s="1" t="s">
        <v>2046</v>
      </c>
      <c r="C1721" s="1">
        <v>574085.0</v>
      </c>
      <c r="D1721" s="2">
        <v>46059.74150462963</v>
      </c>
      <c r="E1721" s="1" t="s">
        <v>3509</v>
      </c>
      <c r="F1721" s="1" t="b">
        <v>0</v>
      </c>
    </row>
    <row r="1722">
      <c r="A1722" s="1" t="s">
        <v>1362</v>
      </c>
      <c r="B1722" s="1" t="s">
        <v>2042</v>
      </c>
      <c r="C1722" s="1" t="s">
        <v>1200</v>
      </c>
      <c r="D1722" s="2">
        <v>46061.86785879629</v>
      </c>
      <c r="E1722" s="1" t="s">
        <v>3510</v>
      </c>
      <c r="F1722" s="1" t="b">
        <v>0</v>
      </c>
    </row>
    <row r="1723">
      <c r="A1723" s="1" t="s">
        <v>1362</v>
      </c>
      <c r="B1723" s="1" t="s">
        <v>2150</v>
      </c>
      <c r="C1723" s="1" t="s">
        <v>2151</v>
      </c>
      <c r="D1723" s="2">
        <v>46062.36216435185</v>
      </c>
      <c r="E1723" s="1" t="s">
        <v>3511</v>
      </c>
      <c r="F1723" s="1" t="b">
        <v>1</v>
      </c>
    </row>
    <row r="1724">
      <c r="A1724" s="1" t="s">
        <v>1362</v>
      </c>
      <c r="B1724" s="1" t="s">
        <v>2046</v>
      </c>
      <c r="C1724" s="1">
        <v>607950.0</v>
      </c>
      <c r="D1724" s="2">
        <v>46062.385358796295</v>
      </c>
      <c r="E1724" s="1" t="s">
        <v>3512</v>
      </c>
      <c r="F1724" s="1" t="b">
        <v>0</v>
      </c>
    </row>
    <row r="1725">
      <c r="A1725" s="1" t="s">
        <v>1362</v>
      </c>
      <c r="B1725" s="1" t="s">
        <v>2042</v>
      </c>
      <c r="C1725" s="1" t="s">
        <v>1200</v>
      </c>
      <c r="D1725" s="2">
        <v>46062.63108796296</v>
      </c>
      <c r="F1725" s="1" t="b">
        <v>0</v>
      </c>
    </row>
    <row r="1726">
      <c r="A1726" s="1" t="s">
        <v>1362</v>
      </c>
      <c r="B1726" s="1" t="s">
        <v>2042</v>
      </c>
      <c r="C1726" s="1" t="s">
        <v>1200</v>
      </c>
      <c r="D1726" s="2">
        <v>46062.631377314814</v>
      </c>
      <c r="E1726" s="1" t="s">
        <v>3513</v>
      </c>
      <c r="F1726" s="1" t="b">
        <v>0</v>
      </c>
    </row>
    <row r="1727">
      <c r="A1727" s="1" t="s">
        <v>1362</v>
      </c>
      <c r="B1727" s="1" t="s">
        <v>2046</v>
      </c>
      <c r="C1727" s="1">
        <v>574085.0</v>
      </c>
      <c r="D1727" s="2">
        <v>46062.63377314815</v>
      </c>
      <c r="E1727" s="1" t="s">
        <v>3514</v>
      </c>
      <c r="F1727" s="1" t="b">
        <v>0</v>
      </c>
    </row>
    <row r="1728">
      <c r="A1728" s="1" t="s">
        <v>1358</v>
      </c>
      <c r="B1728" s="1" t="s">
        <v>2042</v>
      </c>
      <c r="C1728" s="1" t="s">
        <v>1360</v>
      </c>
      <c r="D1728" s="2">
        <v>46059.428773148145</v>
      </c>
      <c r="E1728" s="1" t="s">
        <v>3515</v>
      </c>
      <c r="F1728" s="1" t="b">
        <v>0</v>
      </c>
    </row>
    <row r="1729">
      <c r="A1729" s="1" t="s">
        <v>1356</v>
      </c>
      <c r="B1729" s="1" t="s">
        <v>2042</v>
      </c>
      <c r="C1729" s="1" t="s">
        <v>581</v>
      </c>
      <c r="D1729" s="2">
        <v>46059.42878472222</v>
      </c>
      <c r="E1729" s="1" t="s">
        <v>3516</v>
      </c>
      <c r="F1729" s="1" t="b">
        <v>0</v>
      </c>
    </row>
    <row r="1730">
      <c r="A1730" s="1" t="s">
        <v>1352</v>
      </c>
      <c r="B1730" s="1" t="s">
        <v>2042</v>
      </c>
      <c r="C1730" s="1" t="s">
        <v>1354</v>
      </c>
      <c r="D1730" s="2">
        <v>46059.43225694444</v>
      </c>
      <c r="E1730" s="1" t="s">
        <v>3517</v>
      </c>
      <c r="F1730" s="1" t="b">
        <v>0</v>
      </c>
    </row>
    <row r="1731">
      <c r="A1731" s="1" t="s">
        <v>1348</v>
      </c>
      <c r="B1731" s="1" t="s">
        <v>2042</v>
      </c>
      <c r="C1731" s="1" t="s">
        <v>1350</v>
      </c>
      <c r="D1731" s="2">
        <v>46059.43319444444</v>
      </c>
      <c r="E1731" s="1" t="s">
        <v>3518</v>
      </c>
      <c r="F1731" s="1" t="b">
        <v>0</v>
      </c>
    </row>
    <row r="1732">
      <c r="A1732" s="1" t="s">
        <v>1344</v>
      </c>
      <c r="B1732" s="1" t="s">
        <v>2042</v>
      </c>
      <c r="C1732" s="1" t="s">
        <v>1346</v>
      </c>
      <c r="D1732" s="2">
        <v>46059.43369212963</v>
      </c>
      <c r="E1732" s="1" t="s">
        <v>3519</v>
      </c>
      <c r="F1732" s="1" t="b">
        <v>0</v>
      </c>
    </row>
    <row r="1733">
      <c r="A1733" s="1" t="s">
        <v>1344</v>
      </c>
      <c r="B1733" s="1" t="s">
        <v>2042</v>
      </c>
      <c r="C1733" s="1" t="s">
        <v>1346</v>
      </c>
      <c r="D1733" s="2">
        <v>46059.43376157407</v>
      </c>
      <c r="E1733" s="1" t="s">
        <v>3520</v>
      </c>
      <c r="F1733" s="1" t="b">
        <v>0</v>
      </c>
    </row>
    <row r="1734">
      <c r="A1734" s="1" t="s">
        <v>1344</v>
      </c>
      <c r="B1734" s="1" t="s">
        <v>2042</v>
      </c>
      <c r="C1734" s="1" t="s">
        <v>1346</v>
      </c>
      <c r="D1734" s="2">
        <v>46059.433854166666</v>
      </c>
      <c r="E1734" s="1" t="s">
        <v>3521</v>
      </c>
      <c r="F1734" s="1" t="b">
        <v>0</v>
      </c>
    </row>
    <row r="1735">
      <c r="A1735" s="1" t="s">
        <v>1342</v>
      </c>
      <c r="B1735" s="1" t="s">
        <v>2042</v>
      </c>
      <c r="C1735" s="1" t="s">
        <v>1164</v>
      </c>
      <c r="D1735" s="2">
        <v>46059.45270833333</v>
      </c>
      <c r="E1735" s="1" t="s">
        <v>3522</v>
      </c>
      <c r="F1735" s="1" t="b">
        <v>0</v>
      </c>
    </row>
    <row r="1736">
      <c r="A1736" s="1" t="s">
        <v>1342</v>
      </c>
      <c r="B1736" s="1" t="s">
        <v>2042</v>
      </c>
      <c r="C1736" s="1" t="s">
        <v>1164</v>
      </c>
      <c r="D1736" s="2">
        <v>46059.45379629629</v>
      </c>
      <c r="E1736" s="1" t="s">
        <v>3523</v>
      </c>
      <c r="F1736" s="1" t="b">
        <v>0</v>
      </c>
    </row>
    <row r="1737">
      <c r="A1737" s="1" t="s">
        <v>1338</v>
      </c>
      <c r="B1737" s="1" t="s">
        <v>2042</v>
      </c>
      <c r="C1737" s="1" t="s">
        <v>1340</v>
      </c>
      <c r="D1737" s="2">
        <v>46059.45599537037</v>
      </c>
      <c r="E1737" s="1" t="s">
        <v>3524</v>
      </c>
      <c r="F1737" s="1" t="b">
        <v>0</v>
      </c>
    </row>
    <row r="1738">
      <c r="A1738" s="1" t="s">
        <v>1338</v>
      </c>
      <c r="B1738" s="1" t="s">
        <v>2042</v>
      </c>
      <c r="C1738" s="1" t="s">
        <v>1340</v>
      </c>
      <c r="D1738" s="2">
        <v>46059.45983796296</v>
      </c>
      <c r="E1738" s="1" t="s">
        <v>3525</v>
      </c>
      <c r="F1738" s="1" t="b">
        <v>0</v>
      </c>
    </row>
    <row r="1739">
      <c r="A1739" s="1" t="s">
        <v>1334</v>
      </c>
      <c r="B1739" s="1" t="s">
        <v>2042</v>
      </c>
      <c r="C1739" s="1" t="s">
        <v>1336</v>
      </c>
      <c r="D1739" s="2">
        <v>46059.4584375</v>
      </c>
      <c r="E1739" s="1" t="s">
        <v>3526</v>
      </c>
      <c r="F1739" s="1" t="b">
        <v>0</v>
      </c>
    </row>
    <row r="1740">
      <c r="A1740" s="1" t="s">
        <v>1330</v>
      </c>
      <c r="B1740" s="1" t="s">
        <v>2042</v>
      </c>
      <c r="C1740" s="1" t="s">
        <v>1332</v>
      </c>
      <c r="D1740" s="2">
        <v>46059.46003472222</v>
      </c>
      <c r="E1740" s="1" t="s">
        <v>3527</v>
      </c>
      <c r="F1740" s="1" t="b">
        <v>0</v>
      </c>
    </row>
    <row r="1741">
      <c r="A1741" s="1" t="s">
        <v>1330</v>
      </c>
      <c r="B1741" s="1" t="s">
        <v>2042</v>
      </c>
      <c r="C1741" s="1" t="s">
        <v>1332</v>
      </c>
      <c r="D1741" s="2">
        <v>46059.46078703704</v>
      </c>
      <c r="E1741" s="1" t="s">
        <v>3528</v>
      </c>
      <c r="F1741" s="1" t="b">
        <v>0</v>
      </c>
    </row>
    <row r="1742">
      <c r="A1742" s="1" t="s">
        <v>1330</v>
      </c>
      <c r="B1742" s="1" t="s">
        <v>2042</v>
      </c>
      <c r="C1742" s="1" t="s">
        <v>1332</v>
      </c>
      <c r="D1742" s="2">
        <v>46059.46123842592</v>
      </c>
      <c r="E1742" s="1" t="s">
        <v>3529</v>
      </c>
      <c r="F1742" s="1" t="b">
        <v>0</v>
      </c>
    </row>
    <row r="1743">
      <c r="A1743" s="1" t="s">
        <v>1326</v>
      </c>
      <c r="B1743" s="1" t="s">
        <v>2042</v>
      </c>
      <c r="C1743" s="1" t="s">
        <v>1328</v>
      </c>
      <c r="D1743" s="2">
        <v>46059.48370370371</v>
      </c>
      <c r="E1743" s="1" t="s">
        <v>3530</v>
      </c>
      <c r="F1743" s="1" t="b">
        <v>0</v>
      </c>
    </row>
    <row r="1744">
      <c r="A1744" s="1" t="s">
        <v>1326</v>
      </c>
      <c r="B1744" s="1" t="s">
        <v>2042</v>
      </c>
      <c r="C1744" s="1" t="s">
        <v>1328</v>
      </c>
      <c r="D1744" s="2">
        <v>46059.483877314815</v>
      </c>
      <c r="E1744" s="1" t="s">
        <v>3531</v>
      </c>
      <c r="F1744" s="1" t="b">
        <v>0</v>
      </c>
    </row>
    <row r="1745">
      <c r="A1745" s="1" t="s">
        <v>1326</v>
      </c>
      <c r="B1745" s="1" t="s">
        <v>2042</v>
      </c>
      <c r="C1745" s="1" t="s">
        <v>1328</v>
      </c>
      <c r="D1745" s="2">
        <v>46059.48396990741</v>
      </c>
      <c r="E1745" s="1" t="s">
        <v>3532</v>
      </c>
      <c r="F1745" s="1" t="b">
        <v>0</v>
      </c>
    </row>
    <row r="1746">
      <c r="A1746" s="1" t="s">
        <v>1326</v>
      </c>
      <c r="B1746" s="1" t="s">
        <v>2042</v>
      </c>
      <c r="C1746" s="1" t="s">
        <v>1328</v>
      </c>
      <c r="D1746" s="2">
        <v>46059.48407407408</v>
      </c>
      <c r="E1746" s="1" t="s">
        <v>3533</v>
      </c>
      <c r="F1746" s="1" t="b">
        <v>0</v>
      </c>
    </row>
    <row r="1747">
      <c r="A1747" s="1" t="s">
        <v>1326</v>
      </c>
      <c r="B1747" s="1" t="s">
        <v>2042</v>
      </c>
      <c r="C1747" s="1" t="s">
        <v>1328</v>
      </c>
      <c r="D1747" s="2">
        <v>46059.48431712963</v>
      </c>
      <c r="E1747" s="1" t="s">
        <v>3534</v>
      </c>
      <c r="F1747" s="1" t="b">
        <v>0</v>
      </c>
    </row>
    <row r="1748">
      <c r="A1748" s="1" t="s">
        <v>1326</v>
      </c>
      <c r="B1748" s="1" t="s">
        <v>2042</v>
      </c>
      <c r="C1748" s="1" t="s">
        <v>1328</v>
      </c>
      <c r="D1748" s="2">
        <v>46059.48469907408</v>
      </c>
      <c r="E1748" s="1" t="s">
        <v>3535</v>
      </c>
      <c r="F1748" s="1" t="b">
        <v>0</v>
      </c>
    </row>
    <row r="1749">
      <c r="A1749" s="1" t="s">
        <v>1326</v>
      </c>
      <c r="B1749" s="1" t="s">
        <v>2046</v>
      </c>
      <c r="C1749" s="1">
        <v>574085.0</v>
      </c>
      <c r="D1749" s="2">
        <v>46059.5537962963</v>
      </c>
      <c r="E1749" s="1" t="s">
        <v>3536</v>
      </c>
      <c r="F1749" s="1" t="b">
        <v>1</v>
      </c>
    </row>
    <row r="1750">
      <c r="A1750" s="1" t="s">
        <v>1320</v>
      </c>
      <c r="B1750" s="1" t="s">
        <v>2042</v>
      </c>
      <c r="C1750" s="1" t="s">
        <v>1322</v>
      </c>
      <c r="D1750" s="2">
        <v>46059.52203703704</v>
      </c>
      <c r="E1750" s="1" t="s">
        <v>3537</v>
      </c>
      <c r="F1750" s="1" t="b">
        <v>0</v>
      </c>
    </row>
    <row r="1751">
      <c r="A1751" s="1" t="s">
        <v>1320</v>
      </c>
      <c r="B1751" s="1" t="s">
        <v>2042</v>
      </c>
      <c r="C1751" s="1" t="s">
        <v>1322</v>
      </c>
      <c r="D1751" s="2">
        <v>46059.52260416667</v>
      </c>
      <c r="E1751" s="1" t="s">
        <v>3538</v>
      </c>
      <c r="F1751" s="1" t="b">
        <v>0</v>
      </c>
    </row>
    <row r="1752">
      <c r="A1752" s="1" t="s">
        <v>1320</v>
      </c>
      <c r="B1752" s="1" t="s">
        <v>2042</v>
      </c>
      <c r="C1752" s="1" t="s">
        <v>1322</v>
      </c>
      <c r="D1752" s="2">
        <v>46059.52324074074</v>
      </c>
      <c r="E1752" s="1" t="s">
        <v>3539</v>
      </c>
      <c r="F1752" s="1" t="b">
        <v>0</v>
      </c>
    </row>
    <row r="1753">
      <c r="A1753" s="1" t="s">
        <v>1315</v>
      </c>
      <c r="B1753" s="1" t="s">
        <v>2042</v>
      </c>
      <c r="C1753" s="1" t="s">
        <v>1318</v>
      </c>
      <c r="D1753" s="2">
        <v>46059.538148148145</v>
      </c>
      <c r="E1753" s="1" t="s">
        <v>3540</v>
      </c>
      <c r="F1753" s="1" t="b">
        <v>0</v>
      </c>
    </row>
    <row r="1754">
      <c r="A1754" s="1" t="s">
        <v>1315</v>
      </c>
      <c r="B1754" s="1" t="s">
        <v>2046</v>
      </c>
      <c r="C1754" s="1">
        <v>607950.0</v>
      </c>
      <c r="D1754" s="2">
        <v>46059.60189814815</v>
      </c>
      <c r="E1754" s="1" t="s">
        <v>2752</v>
      </c>
      <c r="F1754" s="1" t="b">
        <v>0</v>
      </c>
    </row>
    <row r="1755">
      <c r="A1755" s="1" t="s">
        <v>1315</v>
      </c>
      <c r="B1755" s="1" t="s">
        <v>2046</v>
      </c>
      <c r="C1755" s="1">
        <v>607950.0</v>
      </c>
      <c r="D1755" s="2">
        <v>46059.60517361111</v>
      </c>
      <c r="E1755" s="1" t="s">
        <v>3541</v>
      </c>
      <c r="F1755" s="1" t="b">
        <v>0</v>
      </c>
    </row>
    <row r="1756">
      <c r="A1756" s="1" t="s">
        <v>1315</v>
      </c>
      <c r="B1756" s="1" t="s">
        <v>2046</v>
      </c>
      <c r="C1756" s="1">
        <v>607950.0</v>
      </c>
      <c r="D1756" s="2">
        <v>46062.41662037037</v>
      </c>
      <c r="E1756" s="1" t="s">
        <v>2108</v>
      </c>
      <c r="F1756" s="1" t="b">
        <v>0</v>
      </c>
    </row>
    <row r="1757">
      <c r="A1757" s="1" t="s">
        <v>1313</v>
      </c>
      <c r="B1757" s="1" t="s">
        <v>2042</v>
      </c>
      <c r="C1757" s="1" t="s">
        <v>894</v>
      </c>
      <c r="D1757" s="2">
        <v>46059.53962962963</v>
      </c>
      <c r="E1757" s="1" t="s">
        <v>3542</v>
      </c>
      <c r="F1757" s="1" t="b">
        <v>0</v>
      </c>
    </row>
    <row r="1758">
      <c r="A1758" s="1" t="s">
        <v>1313</v>
      </c>
      <c r="B1758" s="1" t="s">
        <v>2042</v>
      </c>
      <c r="C1758" s="1" t="s">
        <v>894</v>
      </c>
      <c r="D1758" s="2">
        <v>46059.58954861111</v>
      </c>
      <c r="E1758" s="1" t="s">
        <v>3543</v>
      </c>
      <c r="F1758" s="1" t="b">
        <v>0</v>
      </c>
    </row>
    <row r="1759">
      <c r="A1759" s="1" t="s">
        <v>1313</v>
      </c>
      <c r="B1759" s="1" t="s">
        <v>2042</v>
      </c>
      <c r="C1759" s="1" t="s">
        <v>894</v>
      </c>
      <c r="D1759" s="2">
        <v>46059.61572916667</v>
      </c>
      <c r="E1759" s="1" t="s">
        <v>3544</v>
      </c>
      <c r="F1759" s="1" t="b">
        <v>0</v>
      </c>
    </row>
    <row r="1760">
      <c r="A1760" s="1" t="s">
        <v>1309</v>
      </c>
      <c r="B1760" s="1" t="s">
        <v>2042</v>
      </c>
      <c r="C1760" s="1" t="s">
        <v>1311</v>
      </c>
      <c r="D1760" s="2">
        <v>46059.57167824074</v>
      </c>
      <c r="E1760" s="1" t="s">
        <v>3545</v>
      </c>
      <c r="F1760" s="1" t="b">
        <v>0</v>
      </c>
    </row>
    <row r="1761">
      <c r="A1761" s="1" t="s">
        <v>1305</v>
      </c>
      <c r="B1761" s="1" t="s">
        <v>2042</v>
      </c>
      <c r="C1761" s="1" t="s">
        <v>1307</v>
      </c>
      <c r="D1761" s="2">
        <v>46059.57481481481</v>
      </c>
      <c r="F1761" s="1" t="b">
        <v>0</v>
      </c>
    </row>
    <row r="1762">
      <c r="A1762" s="1" t="s">
        <v>1305</v>
      </c>
      <c r="B1762" s="1" t="s">
        <v>2042</v>
      </c>
      <c r="C1762" s="1" t="s">
        <v>1307</v>
      </c>
      <c r="D1762" s="2">
        <v>46059.57513888889</v>
      </c>
      <c r="E1762" s="1" t="s">
        <v>3546</v>
      </c>
      <c r="F1762" s="1" t="b">
        <v>0</v>
      </c>
    </row>
    <row r="1763">
      <c r="A1763" s="1" t="s">
        <v>1305</v>
      </c>
      <c r="B1763" s="1" t="s">
        <v>2042</v>
      </c>
      <c r="C1763" s="1" t="s">
        <v>1307</v>
      </c>
      <c r="D1763" s="2">
        <v>46059.57540509259</v>
      </c>
      <c r="E1763" s="1" t="s">
        <v>3547</v>
      </c>
      <c r="F1763" s="1" t="b">
        <v>0</v>
      </c>
    </row>
    <row r="1764">
      <c r="A1764" s="1" t="s">
        <v>1305</v>
      </c>
      <c r="B1764" s="1" t="s">
        <v>2042</v>
      </c>
      <c r="C1764" s="1" t="s">
        <v>1307</v>
      </c>
      <c r="D1764" s="2">
        <v>46059.57556712963</v>
      </c>
      <c r="E1764" s="1" t="s">
        <v>3548</v>
      </c>
      <c r="F1764" s="1" t="b">
        <v>0</v>
      </c>
    </row>
    <row r="1765">
      <c r="A1765" s="1" t="s">
        <v>1305</v>
      </c>
      <c r="B1765" s="1" t="s">
        <v>2046</v>
      </c>
      <c r="C1765" s="1">
        <v>607950.0</v>
      </c>
      <c r="D1765" s="2">
        <v>46059.57561342593</v>
      </c>
      <c r="E1765" s="1" t="s">
        <v>2752</v>
      </c>
      <c r="F1765" s="1" t="b">
        <v>0</v>
      </c>
    </row>
    <row r="1766">
      <c r="A1766" s="1" t="s">
        <v>1305</v>
      </c>
      <c r="B1766" s="1" t="s">
        <v>2046</v>
      </c>
      <c r="C1766" s="1">
        <v>607950.0</v>
      </c>
      <c r="D1766" s="2">
        <v>46059.57608796296</v>
      </c>
      <c r="E1766" s="1" t="s">
        <v>3549</v>
      </c>
      <c r="F1766" s="1" t="b">
        <v>0</v>
      </c>
    </row>
    <row r="1767">
      <c r="A1767" s="1" t="s">
        <v>1305</v>
      </c>
      <c r="B1767" s="1" t="s">
        <v>2042</v>
      </c>
      <c r="C1767" s="1" t="s">
        <v>1307</v>
      </c>
      <c r="D1767" s="2">
        <v>46059.5762962963</v>
      </c>
      <c r="E1767" s="1" t="s">
        <v>3550</v>
      </c>
      <c r="F1767" s="1" t="b">
        <v>0</v>
      </c>
    </row>
    <row r="1768">
      <c r="A1768" s="1" t="s">
        <v>1305</v>
      </c>
      <c r="B1768" s="1" t="s">
        <v>2042</v>
      </c>
      <c r="C1768" s="1" t="s">
        <v>1307</v>
      </c>
      <c r="D1768" s="2">
        <v>46059.576516203706</v>
      </c>
      <c r="E1768" s="1" t="s">
        <v>3551</v>
      </c>
      <c r="F1768" s="1" t="b">
        <v>0</v>
      </c>
    </row>
    <row r="1769">
      <c r="A1769" s="1" t="s">
        <v>1305</v>
      </c>
      <c r="B1769" s="1" t="s">
        <v>2042</v>
      </c>
      <c r="C1769" s="1" t="s">
        <v>1307</v>
      </c>
      <c r="D1769" s="2">
        <v>46059.57655092593</v>
      </c>
      <c r="E1769" s="1" t="s">
        <v>3552</v>
      </c>
      <c r="F1769" s="1" t="b">
        <v>0</v>
      </c>
    </row>
    <row r="1770">
      <c r="A1770" s="1" t="s">
        <v>1305</v>
      </c>
      <c r="B1770" s="1" t="s">
        <v>2042</v>
      </c>
      <c r="C1770" s="1" t="s">
        <v>1307</v>
      </c>
      <c r="D1770" s="2">
        <v>46059.576689814814</v>
      </c>
      <c r="E1770" s="1" t="s">
        <v>3553</v>
      </c>
      <c r="F1770" s="1" t="b">
        <v>0</v>
      </c>
    </row>
    <row r="1771">
      <c r="A1771" s="1" t="s">
        <v>1305</v>
      </c>
      <c r="B1771" s="1" t="s">
        <v>2046</v>
      </c>
      <c r="C1771" s="1">
        <v>607950.0</v>
      </c>
      <c r="D1771" s="2">
        <v>46059.578356481485</v>
      </c>
      <c r="E1771" s="1" t="s">
        <v>3554</v>
      </c>
      <c r="F1771" s="1" t="b">
        <v>0</v>
      </c>
    </row>
    <row r="1772">
      <c r="A1772" s="1" t="s">
        <v>1305</v>
      </c>
      <c r="B1772" s="1" t="s">
        <v>2042</v>
      </c>
      <c r="C1772" s="1" t="s">
        <v>1307</v>
      </c>
      <c r="D1772" s="2">
        <v>46059.57864583333</v>
      </c>
      <c r="E1772" s="1" t="s">
        <v>3555</v>
      </c>
      <c r="F1772" s="1" t="b">
        <v>0</v>
      </c>
    </row>
    <row r="1773">
      <c r="A1773" s="1" t="s">
        <v>1305</v>
      </c>
      <c r="B1773" s="1" t="s">
        <v>2046</v>
      </c>
      <c r="C1773" s="1">
        <v>574085.0</v>
      </c>
      <c r="D1773" s="2">
        <v>46059.579247685186</v>
      </c>
      <c r="E1773" s="1" t="s">
        <v>3556</v>
      </c>
      <c r="F1773" s="1" t="b">
        <v>1</v>
      </c>
    </row>
    <row r="1774">
      <c r="A1774" s="1" t="s">
        <v>1305</v>
      </c>
      <c r="B1774" s="1" t="s">
        <v>2046</v>
      </c>
      <c r="C1774" s="1">
        <v>574085.0</v>
      </c>
      <c r="D1774" s="2">
        <v>46059.57943287037</v>
      </c>
      <c r="E1774" s="1" t="s">
        <v>3557</v>
      </c>
      <c r="F1774" s="1" t="b">
        <v>1</v>
      </c>
    </row>
    <row r="1775">
      <c r="A1775" s="1" t="s">
        <v>1305</v>
      </c>
      <c r="B1775" s="1" t="s">
        <v>2046</v>
      </c>
      <c r="C1775" s="1">
        <v>607950.0</v>
      </c>
      <c r="D1775" s="2">
        <v>46059.579664351855</v>
      </c>
      <c r="E1775" s="1" t="s">
        <v>2254</v>
      </c>
      <c r="F1775" s="1" t="b">
        <v>1</v>
      </c>
    </row>
    <row r="1776">
      <c r="A1776" s="1" t="s">
        <v>1305</v>
      </c>
      <c r="B1776" s="1" t="s">
        <v>2150</v>
      </c>
      <c r="C1776" s="1" t="s">
        <v>2151</v>
      </c>
      <c r="D1776" s="2">
        <v>46059.57983796296</v>
      </c>
      <c r="E1776" s="1" t="s">
        <v>3558</v>
      </c>
      <c r="F1776" s="1" t="b">
        <v>1</v>
      </c>
    </row>
    <row r="1777">
      <c r="A1777" s="1" t="s">
        <v>1305</v>
      </c>
      <c r="B1777" s="1" t="s">
        <v>2046</v>
      </c>
      <c r="C1777" s="1">
        <v>607950.0</v>
      </c>
      <c r="D1777" s="2">
        <v>46059.58982638889</v>
      </c>
      <c r="E1777" s="1" t="s">
        <v>3559</v>
      </c>
      <c r="F1777" s="1" t="b">
        <v>1</v>
      </c>
    </row>
    <row r="1778">
      <c r="A1778" s="1" t="s">
        <v>1305</v>
      </c>
      <c r="B1778" s="1" t="s">
        <v>2150</v>
      </c>
      <c r="C1778" s="1" t="s">
        <v>2151</v>
      </c>
      <c r="D1778" s="2">
        <v>46059.58993055556</v>
      </c>
      <c r="E1778" s="1" t="s">
        <v>3560</v>
      </c>
      <c r="F1778" s="1" t="b">
        <v>1</v>
      </c>
    </row>
    <row r="1779">
      <c r="A1779" s="1" t="s">
        <v>1305</v>
      </c>
      <c r="B1779" s="1" t="s">
        <v>2046</v>
      </c>
      <c r="C1779" s="1">
        <v>607950.0</v>
      </c>
      <c r="D1779" s="2">
        <v>46059.59096064815</v>
      </c>
      <c r="E1779" s="1" t="s">
        <v>3561</v>
      </c>
      <c r="F1779" s="1" t="b">
        <v>0</v>
      </c>
    </row>
    <row r="1780">
      <c r="A1780" s="1" t="s">
        <v>1305</v>
      </c>
      <c r="B1780" s="1" t="s">
        <v>2042</v>
      </c>
      <c r="C1780" s="1" t="s">
        <v>1307</v>
      </c>
      <c r="D1780" s="2">
        <v>46059.591574074075</v>
      </c>
      <c r="E1780" s="1" t="s">
        <v>3062</v>
      </c>
      <c r="F1780" s="1" t="b">
        <v>0</v>
      </c>
    </row>
    <row r="1781">
      <c r="A1781" s="1" t="s">
        <v>1305</v>
      </c>
      <c r="B1781" s="1" t="s">
        <v>2046</v>
      </c>
      <c r="C1781" s="1">
        <v>607950.0</v>
      </c>
      <c r="D1781" s="2">
        <v>46059.59172453704</v>
      </c>
      <c r="E1781" s="1" t="s">
        <v>3562</v>
      </c>
      <c r="F1781" s="1" t="b">
        <v>0</v>
      </c>
    </row>
    <row r="1782">
      <c r="A1782" s="1" t="s">
        <v>1305</v>
      </c>
      <c r="B1782" s="1" t="s">
        <v>2042</v>
      </c>
      <c r="C1782" s="1" t="s">
        <v>1307</v>
      </c>
      <c r="D1782" s="2">
        <v>46059.59180555555</v>
      </c>
      <c r="E1782" s="1" t="s">
        <v>3563</v>
      </c>
      <c r="F1782" s="1" t="b">
        <v>0</v>
      </c>
    </row>
    <row r="1783">
      <c r="A1783" s="1" t="s">
        <v>1305</v>
      </c>
      <c r="B1783" s="1" t="s">
        <v>2046</v>
      </c>
      <c r="C1783" s="1">
        <v>607950.0</v>
      </c>
      <c r="D1783" s="2">
        <v>46059.5925462963</v>
      </c>
      <c r="E1783" s="1" t="s">
        <v>2108</v>
      </c>
      <c r="F1783" s="1" t="b">
        <v>0</v>
      </c>
    </row>
    <row r="1784">
      <c r="A1784" s="1" t="s">
        <v>1302</v>
      </c>
      <c r="B1784" s="1" t="s">
        <v>2042</v>
      </c>
      <c r="C1784" s="1" t="s">
        <v>1080</v>
      </c>
      <c r="D1784" s="2">
        <v>46059.581087962964</v>
      </c>
      <c r="F1784" s="1" t="b">
        <v>0</v>
      </c>
    </row>
    <row r="1785">
      <c r="A1785" s="1" t="s">
        <v>1302</v>
      </c>
      <c r="B1785" s="1" t="s">
        <v>2046</v>
      </c>
      <c r="C1785" s="1">
        <v>607950.0</v>
      </c>
      <c r="D1785" s="2">
        <v>46059.58255787037</v>
      </c>
      <c r="E1785" s="1" t="s">
        <v>2752</v>
      </c>
      <c r="F1785" s="1" t="b">
        <v>0</v>
      </c>
    </row>
    <row r="1786">
      <c r="A1786" s="1" t="s">
        <v>1302</v>
      </c>
      <c r="B1786" s="1" t="s">
        <v>2046</v>
      </c>
      <c r="C1786" s="1">
        <v>607950.0</v>
      </c>
      <c r="D1786" s="2">
        <v>46059.58366898148</v>
      </c>
      <c r="E1786" s="1" t="s">
        <v>3564</v>
      </c>
      <c r="F1786" s="1" t="b">
        <v>1</v>
      </c>
    </row>
    <row r="1787">
      <c r="A1787" s="1" t="s">
        <v>1302</v>
      </c>
      <c r="B1787" s="1" t="s">
        <v>2150</v>
      </c>
      <c r="C1787" s="1" t="s">
        <v>2151</v>
      </c>
      <c r="D1787" s="2">
        <v>46059.583819444444</v>
      </c>
      <c r="E1787" s="1" t="s">
        <v>3565</v>
      </c>
      <c r="F1787" s="1" t="b">
        <v>1</v>
      </c>
    </row>
    <row r="1788">
      <c r="A1788" s="1" t="s">
        <v>1302</v>
      </c>
      <c r="B1788" s="1" t="s">
        <v>2046</v>
      </c>
      <c r="C1788" s="1">
        <v>607950.0</v>
      </c>
      <c r="D1788" s="2">
        <v>46059.58443287037</v>
      </c>
      <c r="E1788" s="1" t="s">
        <v>3566</v>
      </c>
      <c r="F1788" s="1" t="b">
        <v>0</v>
      </c>
    </row>
    <row r="1789">
      <c r="A1789" s="1" t="s">
        <v>1302</v>
      </c>
      <c r="B1789" s="1" t="s">
        <v>2042</v>
      </c>
      <c r="C1789" s="1" t="s">
        <v>1080</v>
      </c>
      <c r="D1789" s="2">
        <v>46059.59453703704</v>
      </c>
      <c r="E1789" s="1" t="s">
        <v>2114</v>
      </c>
      <c r="F1789" s="1" t="b">
        <v>0</v>
      </c>
    </row>
    <row r="1790">
      <c r="A1790" s="1" t="s">
        <v>1302</v>
      </c>
      <c r="B1790" s="1" t="s">
        <v>2046</v>
      </c>
      <c r="C1790" s="1">
        <v>607950.0</v>
      </c>
      <c r="D1790" s="2">
        <v>46059.59473379629</v>
      </c>
      <c r="E1790" s="1" t="s">
        <v>3567</v>
      </c>
      <c r="F1790" s="1" t="b">
        <v>0</v>
      </c>
    </row>
    <row r="1791">
      <c r="A1791" s="1" t="s">
        <v>1302</v>
      </c>
      <c r="B1791" s="1" t="s">
        <v>2046</v>
      </c>
      <c r="C1791" s="1">
        <v>607950.0</v>
      </c>
      <c r="D1791" s="2">
        <v>46059.59519675926</v>
      </c>
      <c r="E1791" s="1" t="s">
        <v>3568</v>
      </c>
      <c r="F1791" s="1" t="b">
        <v>0</v>
      </c>
    </row>
    <row r="1792">
      <c r="A1792" s="1" t="s">
        <v>1302</v>
      </c>
      <c r="B1792" s="1" t="s">
        <v>2046</v>
      </c>
      <c r="C1792" s="1">
        <v>607950.0</v>
      </c>
      <c r="D1792" s="2">
        <v>46059.60787037037</v>
      </c>
      <c r="E1792" s="1" t="s">
        <v>2917</v>
      </c>
      <c r="F1792" s="1" t="b">
        <v>0</v>
      </c>
    </row>
    <row r="1793">
      <c r="A1793" s="1" t="s">
        <v>1302</v>
      </c>
      <c r="B1793" s="1" t="s">
        <v>2046</v>
      </c>
      <c r="C1793" s="1">
        <v>607950.0</v>
      </c>
      <c r="D1793" s="2">
        <v>46059.6144212963</v>
      </c>
      <c r="E1793" s="1" t="s">
        <v>2108</v>
      </c>
      <c r="F1793" s="1" t="b">
        <v>0</v>
      </c>
    </row>
    <row r="1794">
      <c r="A1794" s="1" t="s">
        <v>1299</v>
      </c>
      <c r="B1794" s="1" t="s">
        <v>2042</v>
      </c>
      <c r="C1794" s="1" t="s">
        <v>3569</v>
      </c>
      <c r="D1794" s="2">
        <v>46059.59075231481</v>
      </c>
      <c r="E1794" s="1" t="s">
        <v>3570</v>
      </c>
      <c r="F1794" s="1" t="b">
        <v>0</v>
      </c>
    </row>
    <row r="1795">
      <c r="A1795" s="1" t="s">
        <v>1299</v>
      </c>
      <c r="B1795" s="1" t="s">
        <v>2046</v>
      </c>
      <c r="C1795" s="1">
        <v>607950.0</v>
      </c>
      <c r="D1795" s="2">
        <v>46059.591469907406</v>
      </c>
      <c r="E1795" s="1" t="s">
        <v>2752</v>
      </c>
      <c r="F1795" s="1" t="b">
        <v>0</v>
      </c>
    </row>
    <row r="1796">
      <c r="A1796" s="1" t="s">
        <v>1299</v>
      </c>
      <c r="B1796" s="1" t="s">
        <v>2046</v>
      </c>
      <c r="C1796" s="1">
        <v>607950.0</v>
      </c>
      <c r="D1796" s="2">
        <v>46059.59158564815</v>
      </c>
      <c r="E1796" s="1" t="s">
        <v>3571</v>
      </c>
      <c r="F1796" s="1" t="b">
        <v>1</v>
      </c>
    </row>
    <row r="1797">
      <c r="A1797" s="1" t="s">
        <v>1299</v>
      </c>
      <c r="B1797" s="1" t="s">
        <v>2046</v>
      </c>
      <c r="C1797" s="1">
        <v>594863.0</v>
      </c>
      <c r="D1797" s="2">
        <v>46059.6015162037</v>
      </c>
      <c r="E1797" s="1" t="s">
        <v>3572</v>
      </c>
      <c r="F1797" s="1" t="b">
        <v>0</v>
      </c>
    </row>
    <row r="1798">
      <c r="A1798" s="1" t="s">
        <v>1299</v>
      </c>
      <c r="B1798" s="1" t="s">
        <v>2042</v>
      </c>
      <c r="C1798" s="1" t="s">
        <v>3569</v>
      </c>
      <c r="D1798" s="2">
        <v>46059.602430555555</v>
      </c>
      <c r="E1798" s="1" t="s">
        <v>3573</v>
      </c>
      <c r="F1798" s="1" t="b">
        <v>0</v>
      </c>
    </row>
    <row r="1799">
      <c r="A1799" s="1" t="s">
        <v>1299</v>
      </c>
      <c r="B1799" s="1" t="s">
        <v>2046</v>
      </c>
      <c r="C1799" s="1">
        <v>594863.0</v>
      </c>
      <c r="D1799" s="2">
        <v>46059.60767361111</v>
      </c>
      <c r="E1799" s="1" t="s">
        <v>2108</v>
      </c>
      <c r="F1799" s="1" t="b">
        <v>0</v>
      </c>
    </row>
    <row r="1800">
      <c r="A1800" s="1" t="s">
        <v>1297</v>
      </c>
      <c r="B1800" s="1" t="s">
        <v>2042</v>
      </c>
      <c r="C1800" s="1" t="s">
        <v>976</v>
      </c>
      <c r="D1800" s="2">
        <v>46059.59138888889</v>
      </c>
      <c r="E1800" s="1" t="s">
        <v>2292</v>
      </c>
      <c r="F1800" s="1" t="b">
        <v>0</v>
      </c>
    </row>
    <row r="1801">
      <c r="A1801" s="1" t="s">
        <v>1297</v>
      </c>
      <c r="B1801" s="1" t="s">
        <v>2042</v>
      </c>
      <c r="C1801" s="1" t="s">
        <v>976</v>
      </c>
      <c r="D1801" s="2">
        <v>46059.59168981481</v>
      </c>
      <c r="E1801" s="1" t="s">
        <v>3574</v>
      </c>
      <c r="F1801" s="1" t="b">
        <v>0</v>
      </c>
    </row>
    <row r="1802">
      <c r="A1802" s="1" t="s">
        <v>1297</v>
      </c>
      <c r="B1802" s="1" t="s">
        <v>2046</v>
      </c>
      <c r="C1802" s="1">
        <v>594863.0</v>
      </c>
      <c r="D1802" s="2">
        <v>46059.601747685185</v>
      </c>
      <c r="E1802" s="1" t="s">
        <v>3572</v>
      </c>
      <c r="F1802" s="1" t="b">
        <v>0</v>
      </c>
    </row>
    <row r="1803">
      <c r="A1803" s="1" t="s">
        <v>1297</v>
      </c>
      <c r="B1803" s="1" t="s">
        <v>2046</v>
      </c>
      <c r="C1803" s="1">
        <v>594863.0</v>
      </c>
      <c r="D1803" s="2">
        <v>46059.60851851852</v>
      </c>
      <c r="E1803" s="1" t="s">
        <v>3575</v>
      </c>
      <c r="F1803" s="1" t="b">
        <v>0</v>
      </c>
    </row>
    <row r="1804">
      <c r="A1804" s="1" t="s">
        <v>1293</v>
      </c>
      <c r="B1804" s="1" t="s">
        <v>2042</v>
      </c>
      <c r="C1804" s="1" t="s">
        <v>1295</v>
      </c>
      <c r="D1804" s="2">
        <v>46059.60724537037</v>
      </c>
      <c r="E1804" s="1" t="s">
        <v>3576</v>
      </c>
      <c r="F1804" s="1" t="b">
        <v>0</v>
      </c>
    </row>
    <row r="1805">
      <c r="A1805" s="1" t="s">
        <v>1293</v>
      </c>
      <c r="B1805" s="1" t="s">
        <v>2042</v>
      </c>
      <c r="C1805" s="1" t="s">
        <v>1295</v>
      </c>
      <c r="D1805" s="2">
        <v>46059.60792824074</v>
      </c>
      <c r="E1805" s="1" t="s">
        <v>3577</v>
      </c>
      <c r="F1805" s="1" t="b">
        <v>0</v>
      </c>
    </row>
    <row r="1806">
      <c r="A1806" s="1" t="s">
        <v>1293</v>
      </c>
      <c r="B1806" s="1" t="s">
        <v>2042</v>
      </c>
      <c r="C1806" s="1" t="s">
        <v>1295</v>
      </c>
      <c r="D1806" s="2">
        <v>46059.60802083334</v>
      </c>
      <c r="E1806" s="1" t="s">
        <v>3578</v>
      </c>
      <c r="F1806" s="1" t="b">
        <v>0</v>
      </c>
    </row>
    <row r="1807">
      <c r="A1807" s="1" t="s">
        <v>1291</v>
      </c>
      <c r="B1807" s="1" t="s">
        <v>2042</v>
      </c>
      <c r="C1807" s="1" t="s">
        <v>1285</v>
      </c>
      <c r="D1807" s="2">
        <v>46059.66887731481</v>
      </c>
      <c r="E1807" s="1" t="s">
        <v>3579</v>
      </c>
      <c r="F1807" s="1" t="b">
        <v>0</v>
      </c>
    </row>
    <row r="1808">
      <c r="A1808" s="1" t="s">
        <v>1291</v>
      </c>
      <c r="B1808" s="1" t="s">
        <v>2042</v>
      </c>
      <c r="C1808" s="1" t="s">
        <v>1285</v>
      </c>
      <c r="D1808" s="2">
        <v>46059.669490740744</v>
      </c>
      <c r="E1808" s="1" t="s">
        <v>3580</v>
      </c>
      <c r="F1808" s="1" t="b">
        <v>0</v>
      </c>
    </row>
    <row r="1809">
      <c r="A1809" s="1" t="s">
        <v>1291</v>
      </c>
      <c r="B1809" s="1" t="s">
        <v>2042</v>
      </c>
      <c r="C1809" s="1" t="s">
        <v>1285</v>
      </c>
      <c r="D1809" s="2">
        <v>46059.670694444445</v>
      </c>
      <c r="E1809" s="1" t="s">
        <v>3581</v>
      </c>
      <c r="F1809" s="1" t="b">
        <v>0</v>
      </c>
    </row>
    <row r="1810">
      <c r="A1810" s="1" t="s">
        <v>1291</v>
      </c>
      <c r="B1810" s="1" t="s">
        <v>2042</v>
      </c>
      <c r="C1810" s="1" t="s">
        <v>1285</v>
      </c>
      <c r="D1810" s="2">
        <v>46059.671064814815</v>
      </c>
      <c r="E1810" s="1" t="s">
        <v>3582</v>
      </c>
      <c r="F1810" s="1" t="b">
        <v>0</v>
      </c>
    </row>
    <row r="1811">
      <c r="A1811" s="1" t="s">
        <v>1291</v>
      </c>
      <c r="B1811" s="1" t="s">
        <v>2042</v>
      </c>
      <c r="C1811" s="1" t="s">
        <v>1285</v>
      </c>
      <c r="D1811" s="2">
        <v>46059.671331018515</v>
      </c>
      <c r="E1811" s="1" t="s">
        <v>3583</v>
      </c>
      <c r="F1811" s="1" t="b">
        <v>0</v>
      </c>
    </row>
    <row r="1812">
      <c r="A1812" s="1" t="s">
        <v>1291</v>
      </c>
      <c r="B1812" s="1" t="s">
        <v>2042</v>
      </c>
      <c r="C1812" s="1" t="s">
        <v>1285</v>
      </c>
      <c r="D1812" s="2">
        <v>46059.67150462963</v>
      </c>
      <c r="E1812" s="1" t="s">
        <v>3584</v>
      </c>
      <c r="F1812" s="1" t="b">
        <v>0</v>
      </c>
    </row>
    <row r="1813">
      <c r="A1813" s="1" t="s">
        <v>1291</v>
      </c>
      <c r="B1813" s="1" t="s">
        <v>2042</v>
      </c>
      <c r="C1813" s="1" t="s">
        <v>1285</v>
      </c>
      <c r="D1813" s="2">
        <v>46059.67197916667</v>
      </c>
      <c r="E1813" s="1" t="s">
        <v>3585</v>
      </c>
      <c r="F1813" s="1" t="b">
        <v>0</v>
      </c>
    </row>
    <row r="1814">
      <c r="A1814" s="1" t="s">
        <v>1291</v>
      </c>
      <c r="B1814" s="1" t="s">
        <v>2046</v>
      </c>
      <c r="C1814" s="1">
        <v>607950.0</v>
      </c>
      <c r="D1814" s="2">
        <v>46059.67412037037</v>
      </c>
      <c r="E1814" s="1" t="s">
        <v>2752</v>
      </c>
      <c r="F1814" s="1" t="b">
        <v>0</v>
      </c>
    </row>
    <row r="1815">
      <c r="A1815" s="1" t="s">
        <v>1291</v>
      </c>
      <c r="B1815" s="1" t="s">
        <v>2046</v>
      </c>
      <c r="C1815" s="1">
        <v>607950.0</v>
      </c>
      <c r="D1815" s="2">
        <v>46059.674791666665</v>
      </c>
      <c r="E1815" s="1" t="s">
        <v>3586</v>
      </c>
      <c r="F1815" s="1" t="b">
        <v>0</v>
      </c>
    </row>
    <row r="1816">
      <c r="A1816" s="1" t="s">
        <v>1291</v>
      </c>
      <c r="B1816" s="1" t="s">
        <v>2046</v>
      </c>
      <c r="C1816" s="1">
        <v>574085.0</v>
      </c>
      <c r="D1816" s="2">
        <v>46059.67664351852</v>
      </c>
      <c r="E1816" s="1" t="s">
        <v>3587</v>
      </c>
      <c r="F1816" s="1" t="b">
        <v>0</v>
      </c>
    </row>
    <row r="1817">
      <c r="A1817" s="1" t="s">
        <v>1291</v>
      </c>
      <c r="B1817" s="1" t="s">
        <v>2046</v>
      </c>
      <c r="C1817" s="1">
        <v>574085.0</v>
      </c>
      <c r="D1817" s="2">
        <v>46059.6771875</v>
      </c>
      <c r="E1817" s="1" t="s">
        <v>3588</v>
      </c>
      <c r="F1817" s="1" t="b">
        <v>0</v>
      </c>
    </row>
    <row r="1818">
      <c r="A1818" s="1" t="s">
        <v>1291</v>
      </c>
      <c r="B1818" s="1" t="s">
        <v>2046</v>
      </c>
      <c r="C1818" s="1">
        <v>574085.0</v>
      </c>
      <c r="D1818" s="2">
        <v>46059.677407407406</v>
      </c>
      <c r="E1818" s="1" t="s">
        <v>3589</v>
      </c>
      <c r="F1818" s="1" t="b">
        <v>0</v>
      </c>
    </row>
    <row r="1819">
      <c r="A1819" s="1" t="s">
        <v>1291</v>
      </c>
      <c r="B1819" s="1" t="s">
        <v>2042</v>
      </c>
      <c r="C1819" s="1" t="s">
        <v>1285</v>
      </c>
      <c r="D1819" s="2">
        <v>46059.6787962963</v>
      </c>
      <c r="E1819" s="1" t="s">
        <v>3590</v>
      </c>
      <c r="F1819" s="1" t="b">
        <v>0</v>
      </c>
    </row>
    <row r="1820">
      <c r="A1820" s="1" t="s">
        <v>1291</v>
      </c>
      <c r="B1820" s="1" t="s">
        <v>2046</v>
      </c>
      <c r="C1820" s="1">
        <v>574085.0</v>
      </c>
      <c r="D1820" s="2">
        <v>46059.68078703704</v>
      </c>
      <c r="E1820" s="1" t="s">
        <v>3591</v>
      </c>
      <c r="F1820" s="1" t="b">
        <v>0</v>
      </c>
    </row>
    <row r="1821">
      <c r="A1821" s="1" t="s">
        <v>1291</v>
      </c>
      <c r="B1821" s="1" t="s">
        <v>2042</v>
      </c>
      <c r="C1821" s="1" t="s">
        <v>1285</v>
      </c>
      <c r="D1821" s="2">
        <v>46059.68145833333</v>
      </c>
      <c r="F1821" s="1" t="b">
        <v>0</v>
      </c>
    </row>
    <row r="1822">
      <c r="A1822" s="1" t="s">
        <v>1291</v>
      </c>
      <c r="B1822" s="1" t="s">
        <v>2042</v>
      </c>
      <c r="C1822" s="1" t="s">
        <v>1285</v>
      </c>
      <c r="D1822" s="2">
        <v>46059.68210648148</v>
      </c>
      <c r="E1822" s="1" t="s">
        <v>3592</v>
      </c>
      <c r="F1822" s="1" t="b">
        <v>0</v>
      </c>
    </row>
    <row r="1823">
      <c r="A1823" s="1" t="s">
        <v>1291</v>
      </c>
      <c r="B1823" s="1" t="s">
        <v>2046</v>
      </c>
      <c r="C1823" s="1">
        <v>574085.0</v>
      </c>
      <c r="D1823" s="2">
        <v>46059.683530092596</v>
      </c>
      <c r="E1823" s="1" t="s">
        <v>3593</v>
      </c>
      <c r="F1823" s="1" t="b">
        <v>0</v>
      </c>
    </row>
    <row r="1824">
      <c r="A1824" s="1" t="s">
        <v>1291</v>
      </c>
      <c r="B1824" s="1" t="s">
        <v>2042</v>
      </c>
      <c r="C1824" s="1" t="s">
        <v>1285</v>
      </c>
      <c r="D1824" s="2">
        <v>46059.683587962965</v>
      </c>
      <c r="E1824" s="1" t="s">
        <v>3594</v>
      </c>
      <c r="F1824" s="1" t="b">
        <v>0</v>
      </c>
    </row>
    <row r="1825">
      <c r="A1825" s="1" t="s">
        <v>1291</v>
      </c>
      <c r="B1825" s="1" t="s">
        <v>2042</v>
      </c>
      <c r="C1825" s="1" t="s">
        <v>1285</v>
      </c>
      <c r="D1825" s="2">
        <v>46059.68373842593</v>
      </c>
      <c r="E1825" s="1" t="s">
        <v>3595</v>
      </c>
      <c r="F1825" s="1" t="b">
        <v>0</v>
      </c>
    </row>
    <row r="1826">
      <c r="A1826" s="1" t="s">
        <v>1291</v>
      </c>
      <c r="B1826" s="1" t="s">
        <v>2042</v>
      </c>
      <c r="C1826" s="1" t="s">
        <v>1285</v>
      </c>
      <c r="D1826" s="2">
        <v>46059.68429398148</v>
      </c>
      <c r="F1826" s="1" t="b">
        <v>0</v>
      </c>
    </row>
    <row r="1827">
      <c r="A1827" s="1" t="s">
        <v>1291</v>
      </c>
      <c r="B1827" s="1" t="s">
        <v>2042</v>
      </c>
      <c r="C1827" s="1" t="s">
        <v>1285</v>
      </c>
      <c r="D1827" s="2">
        <v>46059.684386574074</v>
      </c>
      <c r="E1827" s="1" t="s">
        <v>3596</v>
      </c>
      <c r="F1827" s="1" t="b">
        <v>0</v>
      </c>
    </row>
    <row r="1828">
      <c r="A1828" s="1" t="s">
        <v>1291</v>
      </c>
      <c r="B1828" s="1" t="s">
        <v>2046</v>
      </c>
      <c r="C1828" s="1">
        <v>574085.0</v>
      </c>
      <c r="D1828" s="2">
        <v>46059.684641203705</v>
      </c>
      <c r="E1828" s="1" t="s">
        <v>3597</v>
      </c>
      <c r="F1828" s="1" t="b">
        <v>0</v>
      </c>
    </row>
    <row r="1829">
      <c r="A1829" s="1" t="s">
        <v>1291</v>
      </c>
      <c r="B1829" s="1" t="s">
        <v>2046</v>
      </c>
      <c r="C1829" s="1">
        <v>574085.0</v>
      </c>
      <c r="D1829" s="2">
        <v>46059.684699074074</v>
      </c>
      <c r="E1829" s="1" t="s">
        <v>2254</v>
      </c>
      <c r="F1829" s="1" t="b">
        <v>1</v>
      </c>
    </row>
    <row r="1830">
      <c r="A1830" s="1" t="s">
        <v>1291</v>
      </c>
      <c r="B1830" s="1" t="s">
        <v>2150</v>
      </c>
      <c r="C1830" s="1" t="s">
        <v>2151</v>
      </c>
      <c r="D1830" s="2">
        <v>46059.68486111111</v>
      </c>
      <c r="E1830" s="1" t="s">
        <v>3598</v>
      </c>
      <c r="F1830" s="1" t="b">
        <v>1</v>
      </c>
    </row>
    <row r="1831">
      <c r="A1831" s="1" t="s">
        <v>1291</v>
      </c>
      <c r="B1831" s="1" t="s">
        <v>2042</v>
      </c>
      <c r="C1831" s="1" t="s">
        <v>1285</v>
      </c>
      <c r="D1831" s="2">
        <v>46059.68556712963</v>
      </c>
      <c r="E1831" s="1" t="s">
        <v>3599</v>
      </c>
      <c r="F1831" s="1" t="b">
        <v>0</v>
      </c>
    </row>
    <row r="1832">
      <c r="A1832" s="1" t="s">
        <v>1291</v>
      </c>
      <c r="B1832" s="1" t="s">
        <v>2042</v>
      </c>
      <c r="C1832" s="1" t="s">
        <v>1285</v>
      </c>
      <c r="D1832" s="2">
        <v>46059.685844907406</v>
      </c>
      <c r="E1832" s="1" t="s">
        <v>3600</v>
      </c>
      <c r="F1832" s="1" t="b">
        <v>0</v>
      </c>
    </row>
    <row r="1833">
      <c r="A1833" s="1" t="s">
        <v>1291</v>
      </c>
      <c r="B1833" s="1" t="s">
        <v>2046</v>
      </c>
      <c r="C1833" s="1">
        <v>574085.0</v>
      </c>
      <c r="D1833" s="2">
        <v>46059.687997685185</v>
      </c>
      <c r="E1833" s="1" t="s">
        <v>2560</v>
      </c>
      <c r="F1833" s="1" t="b">
        <v>0</v>
      </c>
    </row>
    <row r="1834">
      <c r="A1834" s="1" t="s">
        <v>1291</v>
      </c>
      <c r="B1834" s="1" t="s">
        <v>2046</v>
      </c>
      <c r="C1834" s="1">
        <v>574085.0</v>
      </c>
      <c r="D1834" s="2">
        <v>46059.73792824074</v>
      </c>
      <c r="E1834" s="1" t="s">
        <v>3601</v>
      </c>
      <c r="F1834" s="1" t="b">
        <v>1</v>
      </c>
    </row>
    <row r="1835">
      <c r="A1835" s="1" t="s">
        <v>1291</v>
      </c>
      <c r="B1835" s="1" t="s">
        <v>2150</v>
      </c>
      <c r="C1835" s="1" t="s">
        <v>2151</v>
      </c>
      <c r="D1835" s="2">
        <v>46059.73804398148</v>
      </c>
      <c r="E1835" s="1" t="s">
        <v>3602</v>
      </c>
      <c r="F1835" s="1" t="b">
        <v>1</v>
      </c>
    </row>
    <row r="1836">
      <c r="A1836" s="1" t="s">
        <v>1291</v>
      </c>
      <c r="B1836" s="1" t="s">
        <v>2046</v>
      </c>
      <c r="C1836" s="1">
        <v>574085.0</v>
      </c>
      <c r="D1836" s="2">
        <v>46059.738344907404</v>
      </c>
      <c r="E1836" s="1" t="s">
        <v>3603</v>
      </c>
      <c r="F1836" s="1" t="b">
        <v>0</v>
      </c>
    </row>
    <row r="1837">
      <c r="A1837" s="1" t="s">
        <v>1291</v>
      </c>
      <c r="B1837" s="1" t="s">
        <v>2042</v>
      </c>
      <c r="C1837" s="1" t="s">
        <v>1285</v>
      </c>
      <c r="D1837" s="2">
        <v>46062.44666666666</v>
      </c>
      <c r="E1837" s="1" t="s">
        <v>3604</v>
      </c>
      <c r="F1837" s="1" t="b">
        <v>0</v>
      </c>
    </row>
    <row r="1838">
      <c r="A1838" s="1" t="s">
        <v>1291</v>
      </c>
      <c r="B1838" s="1" t="s">
        <v>2046</v>
      </c>
      <c r="C1838" s="1">
        <v>607950.0</v>
      </c>
      <c r="D1838" s="2">
        <v>46062.452060185184</v>
      </c>
      <c r="E1838" s="1" t="s">
        <v>3605</v>
      </c>
      <c r="F1838" s="1" t="b">
        <v>0</v>
      </c>
    </row>
    <row r="1839">
      <c r="A1839" s="1" t="s">
        <v>1291</v>
      </c>
      <c r="B1839" s="1" t="s">
        <v>2042</v>
      </c>
      <c r="C1839" s="1" t="s">
        <v>1285</v>
      </c>
      <c r="D1839" s="2">
        <v>46062.45328703704</v>
      </c>
      <c r="E1839" s="1" t="s">
        <v>3606</v>
      </c>
      <c r="F1839" s="1" t="b">
        <v>0</v>
      </c>
    </row>
    <row r="1840">
      <c r="A1840" s="1" t="s">
        <v>1291</v>
      </c>
      <c r="B1840" s="1" t="s">
        <v>2046</v>
      </c>
      <c r="C1840" s="1">
        <v>607950.0</v>
      </c>
      <c r="D1840" s="2">
        <v>46062.45805555556</v>
      </c>
      <c r="E1840" s="1" t="s">
        <v>3607</v>
      </c>
      <c r="F1840" s="1" t="b">
        <v>0</v>
      </c>
    </row>
    <row r="1841">
      <c r="A1841" s="1" t="s">
        <v>1291</v>
      </c>
      <c r="B1841" s="1" t="s">
        <v>2042</v>
      </c>
      <c r="C1841" s="1" t="s">
        <v>1285</v>
      </c>
      <c r="D1841" s="2">
        <v>46062.471724537034</v>
      </c>
      <c r="E1841" s="1" t="s">
        <v>3608</v>
      </c>
      <c r="F1841" s="1" t="b">
        <v>0</v>
      </c>
    </row>
    <row r="1842">
      <c r="A1842" s="1" t="s">
        <v>1291</v>
      </c>
      <c r="B1842" s="1" t="s">
        <v>2046</v>
      </c>
      <c r="C1842" s="1">
        <v>607950.0</v>
      </c>
      <c r="D1842" s="2">
        <v>46062.472083333334</v>
      </c>
      <c r="E1842" s="1" t="s">
        <v>3609</v>
      </c>
      <c r="F1842" s="1" t="b">
        <v>0</v>
      </c>
    </row>
    <row r="1843">
      <c r="A1843" s="1" t="s">
        <v>1291</v>
      </c>
      <c r="B1843" s="1" t="s">
        <v>2042</v>
      </c>
      <c r="C1843" s="1" t="s">
        <v>1285</v>
      </c>
      <c r="D1843" s="2">
        <v>46062.47429398148</v>
      </c>
      <c r="F1843" s="1" t="b">
        <v>0</v>
      </c>
    </row>
    <row r="1844">
      <c r="A1844" s="1" t="s">
        <v>1291</v>
      </c>
      <c r="B1844" s="1" t="s">
        <v>2042</v>
      </c>
      <c r="C1844" s="1" t="s">
        <v>1285</v>
      </c>
      <c r="D1844" s="2">
        <v>46062.47430555556</v>
      </c>
      <c r="E1844" s="1" t="s">
        <v>3610</v>
      </c>
      <c r="F1844" s="1" t="b">
        <v>0</v>
      </c>
    </row>
    <row r="1845">
      <c r="A1845" s="1" t="s">
        <v>1291</v>
      </c>
      <c r="B1845" s="1" t="s">
        <v>2046</v>
      </c>
      <c r="C1845" s="1">
        <v>607950.0</v>
      </c>
      <c r="D1845" s="2">
        <v>46062.48070601852</v>
      </c>
      <c r="E1845" s="1" t="s">
        <v>3611</v>
      </c>
      <c r="F1845" s="1" t="b">
        <v>0</v>
      </c>
    </row>
    <row r="1846">
      <c r="A1846" s="1" t="s">
        <v>1291</v>
      </c>
      <c r="B1846" s="1" t="s">
        <v>2042</v>
      </c>
      <c r="C1846" s="1" t="s">
        <v>1285</v>
      </c>
      <c r="D1846" s="2">
        <v>46062.48831018519</v>
      </c>
      <c r="E1846" s="1" t="s">
        <v>3612</v>
      </c>
      <c r="F1846" s="1" t="b">
        <v>0</v>
      </c>
    </row>
    <row r="1847">
      <c r="A1847" s="1" t="s">
        <v>1291</v>
      </c>
      <c r="B1847" s="1" t="s">
        <v>2046</v>
      </c>
      <c r="C1847" s="1">
        <v>607950.0</v>
      </c>
      <c r="D1847" s="2">
        <v>46062.48913194444</v>
      </c>
      <c r="E1847" s="1" t="s">
        <v>3613</v>
      </c>
      <c r="F1847" s="1" t="b">
        <v>0</v>
      </c>
    </row>
    <row r="1848">
      <c r="A1848" s="1" t="s">
        <v>1291</v>
      </c>
      <c r="B1848" s="1" t="s">
        <v>2042</v>
      </c>
      <c r="C1848" s="1" t="s">
        <v>1285</v>
      </c>
      <c r="D1848" s="2">
        <v>46062.48979166667</v>
      </c>
      <c r="E1848" s="1" t="s">
        <v>3614</v>
      </c>
      <c r="F1848" s="1" t="b">
        <v>0</v>
      </c>
    </row>
    <row r="1849">
      <c r="A1849" s="1" t="s">
        <v>1291</v>
      </c>
      <c r="B1849" s="1" t="s">
        <v>2046</v>
      </c>
      <c r="C1849" s="1">
        <v>607950.0</v>
      </c>
      <c r="D1849" s="2">
        <v>46062.490590277775</v>
      </c>
      <c r="E1849" s="1" t="s">
        <v>3615</v>
      </c>
      <c r="F1849" s="1" t="b">
        <v>0</v>
      </c>
    </row>
    <row r="1850">
      <c r="A1850" s="1" t="s">
        <v>1291</v>
      </c>
      <c r="B1850" s="1" t="s">
        <v>2042</v>
      </c>
      <c r="C1850" s="1" t="s">
        <v>1285</v>
      </c>
      <c r="D1850" s="2">
        <v>46062.49092592593</v>
      </c>
      <c r="E1850" s="1" t="s">
        <v>3616</v>
      </c>
      <c r="F1850" s="1" t="b">
        <v>0</v>
      </c>
    </row>
    <row r="1851">
      <c r="A1851" s="1" t="s">
        <v>1291</v>
      </c>
      <c r="B1851" s="1" t="s">
        <v>2046</v>
      </c>
      <c r="C1851" s="1">
        <v>607950.0</v>
      </c>
      <c r="D1851" s="2">
        <v>46062.49144675926</v>
      </c>
      <c r="E1851" s="1" t="s">
        <v>3617</v>
      </c>
      <c r="F1851" s="1" t="b">
        <v>0</v>
      </c>
    </row>
    <row r="1852">
      <c r="A1852" s="1" t="s">
        <v>1291</v>
      </c>
      <c r="B1852" s="1" t="s">
        <v>2042</v>
      </c>
      <c r="C1852" s="1" t="s">
        <v>1285</v>
      </c>
      <c r="D1852" s="2">
        <v>46062.49207175926</v>
      </c>
      <c r="E1852" s="1" t="s">
        <v>3618</v>
      </c>
      <c r="F1852" s="1" t="b">
        <v>0</v>
      </c>
    </row>
    <row r="1853">
      <c r="A1853" s="1" t="s">
        <v>1291</v>
      </c>
      <c r="B1853" s="1" t="s">
        <v>2046</v>
      </c>
      <c r="C1853" s="1">
        <v>607950.0</v>
      </c>
      <c r="D1853" s="2">
        <v>46062.492210648146</v>
      </c>
      <c r="E1853" s="1" t="s">
        <v>3619</v>
      </c>
      <c r="F1853" s="1" t="b">
        <v>0</v>
      </c>
    </row>
    <row r="1854">
      <c r="A1854" s="1" t="s">
        <v>1287</v>
      </c>
      <c r="B1854" s="1" t="s">
        <v>2042</v>
      </c>
      <c r="C1854" s="1" t="s">
        <v>1289</v>
      </c>
      <c r="D1854" s="2">
        <v>46059.670486111114</v>
      </c>
      <c r="E1854" s="1" t="s">
        <v>3620</v>
      </c>
      <c r="F1854" s="1" t="b">
        <v>0</v>
      </c>
    </row>
    <row r="1855">
      <c r="A1855" s="1" t="s">
        <v>1283</v>
      </c>
      <c r="B1855" s="1" t="s">
        <v>2042</v>
      </c>
      <c r="C1855" s="1" t="s">
        <v>1285</v>
      </c>
      <c r="D1855" s="2">
        <v>46059.672638888886</v>
      </c>
      <c r="E1855" s="1" t="s">
        <v>3621</v>
      </c>
      <c r="F1855" s="1" t="b">
        <v>0</v>
      </c>
    </row>
    <row r="1856">
      <c r="A1856" s="1" t="s">
        <v>1278</v>
      </c>
      <c r="B1856" s="1" t="s">
        <v>2042</v>
      </c>
      <c r="C1856" s="1" t="s">
        <v>1281</v>
      </c>
      <c r="D1856" s="2">
        <v>46059.67600694444</v>
      </c>
      <c r="E1856" s="1" t="s">
        <v>3622</v>
      </c>
      <c r="F1856" s="1" t="b">
        <v>0</v>
      </c>
    </row>
    <row r="1857">
      <c r="A1857" s="1" t="s">
        <v>1278</v>
      </c>
      <c r="B1857" s="1" t="s">
        <v>2042</v>
      </c>
      <c r="C1857" s="1" t="s">
        <v>1281</v>
      </c>
      <c r="D1857" s="2">
        <v>46059.676469907405</v>
      </c>
      <c r="E1857" s="1" t="s">
        <v>3623</v>
      </c>
      <c r="F1857" s="1" t="b">
        <v>0</v>
      </c>
    </row>
    <row r="1858">
      <c r="A1858" s="1" t="s">
        <v>1278</v>
      </c>
      <c r="B1858" s="1" t="s">
        <v>2042</v>
      </c>
      <c r="C1858" s="1" t="s">
        <v>1281</v>
      </c>
      <c r="D1858" s="2">
        <v>46059.67675925926</v>
      </c>
      <c r="E1858" s="1" t="s">
        <v>3624</v>
      </c>
      <c r="F1858" s="1" t="b">
        <v>0</v>
      </c>
    </row>
    <row r="1859">
      <c r="A1859" s="1" t="s">
        <v>1278</v>
      </c>
      <c r="B1859" s="1" t="s">
        <v>2042</v>
      </c>
      <c r="C1859" s="1" t="s">
        <v>1281</v>
      </c>
      <c r="D1859" s="2">
        <v>46059.67695601852</v>
      </c>
      <c r="E1859" s="1" t="s">
        <v>3625</v>
      </c>
      <c r="F1859" s="1" t="b">
        <v>0</v>
      </c>
    </row>
    <row r="1860">
      <c r="A1860" s="1" t="s">
        <v>1278</v>
      </c>
      <c r="B1860" s="1" t="s">
        <v>2046</v>
      </c>
      <c r="C1860" s="1">
        <v>574085.0</v>
      </c>
      <c r="D1860" s="2">
        <v>46059.6778125</v>
      </c>
      <c r="E1860" s="1" t="s">
        <v>3626</v>
      </c>
      <c r="F1860" s="1" t="b">
        <v>1</v>
      </c>
    </row>
    <row r="1861">
      <c r="A1861" s="1" t="s">
        <v>1278</v>
      </c>
      <c r="B1861" s="1" t="s">
        <v>2150</v>
      </c>
      <c r="C1861" s="1" t="s">
        <v>2151</v>
      </c>
      <c r="D1861" s="2">
        <v>46059.67791666667</v>
      </c>
      <c r="E1861" s="1" t="s">
        <v>3627</v>
      </c>
      <c r="F1861" s="1" t="b">
        <v>1</v>
      </c>
    </row>
    <row r="1862">
      <c r="A1862" s="1" t="s">
        <v>1278</v>
      </c>
      <c r="B1862" s="1" t="s">
        <v>2042</v>
      </c>
      <c r="C1862" s="1" t="s">
        <v>1281</v>
      </c>
      <c r="D1862" s="2">
        <v>46059.67865740741</v>
      </c>
      <c r="E1862" s="1" t="s">
        <v>3628</v>
      </c>
      <c r="F1862" s="1" t="b">
        <v>0</v>
      </c>
    </row>
    <row r="1863">
      <c r="A1863" s="1" t="s">
        <v>1278</v>
      </c>
      <c r="B1863" s="1" t="s">
        <v>2046</v>
      </c>
      <c r="C1863" s="1">
        <v>574085.0</v>
      </c>
      <c r="D1863" s="2">
        <v>46059.67983796296</v>
      </c>
      <c r="E1863" s="1" t="s">
        <v>3629</v>
      </c>
      <c r="F1863" s="1" t="b">
        <v>0</v>
      </c>
    </row>
    <row r="1864">
      <c r="A1864" s="1" t="s">
        <v>1278</v>
      </c>
      <c r="B1864" s="1" t="s">
        <v>2046</v>
      </c>
      <c r="C1864" s="1">
        <v>574085.0</v>
      </c>
      <c r="D1864" s="2">
        <v>46059.679918981485</v>
      </c>
      <c r="E1864" s="4" t="s">
        <v>3630</v>
      </c>
      <c r="F1864" s="1" t="b">
        <v>0</v>
      </c>
    </row>
    <row r="1865">
      <c r="A1865" s="1" t="s">
        <v>1278</v>
      </c>
      <c r="B1865" s="1" t="s">
        <v>2042</v>
      </c>
      <c r="C1865" s="1" t="s">
        <v>1281</v>
      </c>
      <c r="D1865" s="2">
        <v>46059.680138888885</v>
      </c>
      <c r="E1865" s="1" t="s">
        <v>3631</v>
      </c>
      <c r="F1865" s="1" t="b">
        <v>0</v>
      </c>
    </row>
    <row r="1866">
      <c r="A1866" s="1" t="s">
        <v>1278</v>
      </c>
      <c r="B1866" s="1" t="s">
        <v>2046</v>
      </c>
      <c r="C1866" s="1">
        <v>574085.0</v>
      </c>
      <c r="D1866" s="2">
        <v>46059.68087962963</v>
      </c>
      <c r="E1866" s="1" t="s">
        <v>2108</v>
      </c>
      <c r="F1866" s="1" t="b">
        <v>0</v>
      </c>
    </row>
    <row r="1867">
      <c r="A1867" s="1" t="s">
        <v>1278</v>
      </c>
      <c r="B1867" s="1" t="s">
        <v>2046</v>
      </c>
      <c r="C1867" s="1">
        <v>607950.0</v>
      </c>
      <c r="D1867" s="2">
        <v>46062.36712962963</v>
      </c>
      <c r="E1867" s="1" t="s">
        <v>3632</v>
      </c>
      <c r="F1867" s="1" t="b">
        <v>1</v>
      </c>
    </row>
    <row r="1868">
      <c r="A1868" s="1" t="s">
        <v>1278</v>
      </c>
      <c r="B1868" s="1" t="s">
        <v>2150</v>
      </c>
      <c r="C1868" s="1" t="s">
        <v>2151</v>
      </c>
      <c r="D1868" s="2">
        <v>46062.36728009259</v>
      </c>
      <c r="E1868" s="1" t="s">
        <v>3633</v>
      </c>
      <c r="F1868" s="1" t="b">
        <v>1</v>
      </c>
    </row>
    <row r="1869">
      <c r="A1869" s="1" t="s">
        <v>1276</v>
      </c>
      <c r="B1869" s="1" t="s">
        <v>2042</v>
      </c>
      <c r="C1869" s="1" t="s">
        <v>631</v>
      </c>
      <c r="D1869" s="2">
        <v>46059.68543981481</v>
      </c>
      <c r="E1869" s="1" t="s">
        <v>3634</v>
      </c>
      <c r="F1869" s="1" t="b">
        <v>0</v>
      </c>
    </row>
    <row r="1870">
      <c r="A1870" s="1" t="s">
        <v>1276</v>
      </c>
      <c r="B1870" s="1" t="s">
        <v>2042</v>
      </c>
      <c r="C1870" s="1" t="s">
        <v>631</v>
      </c>
      <c r="D1870" s="2">
        <v>46059.68556712963</v>
      </c>
      <c r="E1870" s="1" t="s">
        <v>3635</v>
      </c>
      <c r="F1870" s="1" t="b">
        <v>0</v>
      </c>
    </row>
    <row r="1871">
      <c r="A1871" s="1" t="s">
        <v>1272</v>
      </c>
      <c r="B1871" s="1" t="s">
        <v>2042</v>
      </c>
      <c r="C1871" s="1" t="s">
        <v>1274</v>
      </c>
      <c r="D1871" s="2">
        <v>46059.686840277776</v>
      </c>
      <c r="E1871" s="1" t="s">
        <v>3636</v>
      </c>
      <c r="F1871" s="1" t="b">
        <v>0</v>
      </c>
    </row>
    <row r="1872">
      <c r="A1872" s="1" t="s">
        <v>1268</v>
      </c>
      <c r="B1872" s="1" t="s">
        <v>2042</v>
      </c>
      <c r="C1872" s="1" t="s">
        <v>1270</v>
      </c>
      <c r="D1872" s="2">
        <v>46059.6946875</v>
      </c>
      <c r="E1872" s="1" t="s">
        <v>3637</v>
      </c>
      <c r="F1872" s="1" t="b">
        <v>0</v>
      </c>
    </row>
    <row r="1873">
      <c r="A1873" s="1" t="s">
        <v>1268</v>
      </c>
      <c r="B1873" s="1" t="s">
        <v>2042</v>
      </c>
      <c r="C1873" s="1" t="s">
        <v>1270</v>
      </c>
      <c r="D1873" s="2">
        <v>46059.69496527778</v>
      </c>
      <c r="F1873" s="1" t="b">
        <v>0</v>
      </c>
    </row>
    <row r="1874">
      <c r="A1874" s="1" t="s">
        <v>1268</v>
      </c>
      <c r="B1874" s="1" t="s">
        <v>2042</v>
      </c>
      <c r="C1874" s="1" t="s">
        <v>1270</v>
      </c>
      <c r="D1874" s="2">
        <v>46059.695393518516</v>
      </c>
      <c r="E1874" s="1" t="s">
        <v>3638</v>
      </c>
      <c r="F1874" s="1" t="b">
        <v>0</v>
      </c>
    </row>
    <row r="1875">
      <c r="A1875" s="1" t="s">
        <v>1268</v>
      </c>
      <c r="B1875" s="1" t="s">
        <v>2042</v>
      </c>
      <c r="C1875" s="1" t="s">
        <v>1270</v>
      </c>
      <c r="D1875" s="2">
        <v>46059.69599537037</v>
      </c>
      <c r="E1875" s="1" t="s">
        <v>3639</v>
      </c>
      <c r="F1875" s="1" t="b">
        <v>0</v>
      </c>
    </row>
    <row r="1876">
      <c r="A1876" s="1" t="s">
        <v>1268</v>
      </c>
      <c r="B1876" s="1" t="s">
        <v>2042</v>
      </c>
      <c r="C1876" s="1" t="s">
        <v>1270</v>
      </c>
      <c r="D1876" s="2">
        <v>46059.69626157408</v>
      </c>
      <c r="E1876" s="1" t="s">
        <v>3640</v>
      </c>
      <c r="F1876" s="1" t="b">
        <v>0</v>
      </c>
    </row>
    <row r="1877">
      <c r="A1877" s="1" t="s">
        <v>1264</v>
      </c>
      <c r="B1877" s="1" t="s">
        <v>2042</v>
      </c>
      <c r="C1877" s="1" t="s">
        <v>1266</v>
      </c>
      <c r="D1877" s="2">
        <v>46059.71115740741</v>
      </c>
      <c r="E1877" s="1" t="s">
        <v>3641</v>
      </c>
      <c r="F1877" s="1" t="b">
        <v>0</v>
      </c>
    </row>
    <row r="1878">
      <c r="A1878" s="1" t="s">
        <v>1264</v>
      </c>
      <c r="B1878" s="1" t="s">
        <v>2042</v>
      </c>
      <c r="C1878" s="1" t="s">
        <v>1266</v>
      </c>
      <c r="D1878" s="2">
        <v>46059.711226851854</v>
      </c>
      <c r="E1878" s="1" t="s">
        <v>2465</v>
      </c>
      <c r="F1878" s="1" t="b">
        <v>0</v>
      </c>
    </row>
    <row r="1879">
      <c r="A1879" s="1" t="s">
        <v>1260</v>
      </c>
      <c r="B1879" s="1" t="s">
        <v>2042</v>
      </c>
      <c r="C1879" s="1" t="s">
        <v>1262</v>
      </c>
      <c r="D1879" s="2">
        <v>46059.71429398148</v>
      </c>
      <c r="E1879" s="1" t="s">
        <v>3642</v>
      </c>
      <c r="F1879" s="1" t="b">
        <v>0</v>
      </c>
    </row>
    <row r="1880">
      <c r="A1880" s="1" t="s">
        <v>1256</v>
      </c>
      <c r="B1880" s="1" t="s">
        <v>2042</v>
      </c>
      <c r="C1880" s="1" t="s">
        <v>1258</v>
      </c>
      <c r="D1880" s="2">
        <v>46059.722962962966</v>
      </c>
      <c r="E1880" s="1" t="s">
        <v>3643</v>
      </c>
      <c r="F1880" s="1" t="b">
        <v>0</v>
      </c>
    </row>
    <row r="1881">
      <c r="A1881" s="1" t="s">
        <v>1256</v>
      </c>
      <c r="B1881" s="1" t="s">
        <v>2042</v>
      </c>
      <c r="C1881" s="1" t="s">
        <v>1258</v>
      </c>
      <c r="D1881" s="2">
        <v>46059.72299768519</v>
      </c>
      <c r="E1881" s="1" t="s">
        <v>3644</v>
      </c>
      <c r="F1881" s="1" t="b">
        <v>0</v>
      </c>
    </row>
    <row r="1882">
      <c r="A1882" s="1" t="s">
        <v>1256</v>
      </c>
      <c r="B1882" s="1" t="s">
        <v>2042</v>
      </c>
      <c r="C1882" s="1" t="s">
        <v>1258</v>
      </c>
      <c r="D1882" s="2">
        <v>46059.72310185185</v>
      </c>
      <c r="E1882" s="1" t="s">
        <v>3645</v>
      </c>
      <c r="F1882" s="1" t="b">
        <v>0</v>
      </c>
    </row>
    <row r="1883">
      <c r="A1883" s="1" t="s">
        <v>1256</v>
      </c>
      <c r="B1883" s="1" t="s">
        <v>2042</v>
      </c>
      <c r="C1883" s="1" t="s">
        <v>1258</v>
      </c>
      <c r="D1883" s="2">
        <v>46059.723229166666</v>
      </c>
      <c r="E1883" s="1" t="s">
        <v>3646</v>
      </c>
      <c r="F1883" s="1" t="b">
        <v>0</v>
      </c>
    </row>
    <row r="1884">
      <c r="A1884" s="1" t="s">
        <v>1247</v>
      </c>
      <c r="B1884" s="1" t="s">
        <v>2150</v>
      </c>
      <c r="C1884" s="1">
        <v>81559.0</v>
      </c>
      <c r="D1884" s="2">
        <v>46059.74185185185</v>
      </c>
      <c r="E1884" s="1" t="s">
        <v>3647</v>
      </c>
      <c r="F1884" s="1" t="b">
        <v>1</v>
      </c>
    </row>
    <row r="1885">
      <c r="A1885" s="1" t="s">
        <v>1247</v>
      </c>
      <c r="B1885" s="1" t="s">
        <v>2042</v>
      </c>
      <c r="C1885" s="1" t="s">
        <v>1200</v>
      </c>
      <c r="D1885" s="2">
        <v>46059.745104166665</v>
      </c>
      <c r="E1885" s="1" t="s">
        <v>3648</v>
      </c>
      <c r="F1885" s="1" t="b">
        <v>0</v>
      </c>
    </row>
    <row r="1886">
      <c r="A1886" s="1" t="s">
        <v>1247</v>
      </c>
      <c r="B1886" s="1" t="s">
        <v>2046</v>
      </c>
      <c r="C1886" s="1">
        <v>574085.0</v>
      </c>
      <c r="D1886" s="2">
        <v>46059.7487962963</v>
      </c>
      <c r="E1886" s="1" t="s">
        <v>3649</v>
      </c>
      <c r="F1886" s="1" t="b">
        <v>0</v>
      </c>
    </row>
    <row r="1887">
      <c r="A1887" s="1" t="s">
        <v>1247</v>
      </c>
      <c r="B1887" s="1" t="s">
        <v>2042</v>
      </c>
      <c r="C1887" s="1" t="s">
        <v>1200</v>
      </c>
      <c r="D1887" s="2">
        <v>46059.75019675926</v>
      </c>
      <c r="E1887" s="1" t="s">
        <v>2426</v>
      </c>
      <c r="F1887" s="1" t="b">
        <v>0</v>
      </c>
    </row>
    <row r="1888">
      <c r="A1888" s="1" t="s">
        <v>1247</v>
      </c>
      <c r="B1888" s="1" t="s">
        <v>2046</v>
      </c>
      <c r="C1888" s="1">
        <v>574085.0</v>
      </c>
      <c r="D1888" s="2">
        <v>46059.762824074074</v>
      </c>
      <c r="E1888" s="1" t="s">
        <v>3650</v>
      </c>
      <c r="F1888" s="1" t="b">
        <v>1</v>
      </c>
    </row>
    <row r="1889">
      <c r="A1889" s="1" t="s">
        <v>1247</v>
      </c>
      <c r="B1889" s="1" t="s">
        <v>2046</v>
      </c>
      <c r="C1889" s="1">
        <v>607950.0</v>
      </c>
      <c r="D1889" s="2">
        <v>46059.78619212963</v>
      </c>
      <c r="E1889" s="1" t="s">
        <v>3651</v>
      </c>
      <c r="F1889" s="1" t="b">
        <v>1</v>
      </c>
    </row>
    <row r="1890">
      <c r="A1890" s="1" t="s">
        <v>1247</v>
      </c>
      <c r="B1890" s="1" t="s">
        <v>2150</v>
      </c>
      <c r="C1890" s="1" t="s">
        <v>2151</v>
      </c>
      <c r="D1890" s="2">
        <v>46059.78638888889</v>
      </c>
      <c r="E1890" s="1" t="s">
        <v>3652</v>
      </c>
      <c r="F1890" s="1" t="b">
        <v>1</v>
      </c>
    </row>
    <row r="1891">
      <c r="A1891" s="1" t="s">
        <v>1247</v>
      </c>
      <c r="B1891" s="1" t="s">
        <v>2046</v>
      </c>
      <c r="C1891" s="1">
        <v>607950.0</v>
      </c>
      <c r="D1891" s="2">
        <v>46059.78693287037</v>
      </c>
      <c r="E1891" s="1" t="s">
        <v>3653</v>
      </c>
      <c r="F1891" s="1" t="b">
        <v>1</v>
      </c>
    </row>
    <row r="1892">
      <c r="A1892" s="1" t="s">
        <v>1247</v>
      </c>
      <c r="B1892" s="1" t="s">
        <v>2046</v>
      </c>
      <c r="C1892" s="1">
        <v>607950.0</v>
      </c>
      <c r="D1892" s="2">
        <v>46059.78736111111</v>
      </c>
      <c r="E1892" s="1" t="s">
        <v>3654</v>
      </c>
      <c r="F1892" s="1" t="b">
        <v>1</v>
      </c>
    </row>
    <row r="1893">
      <c r="A1893" s="1" t="s">
        <v>1247</v>
      </c>
      <c r="B1893" s="1" t="s">
        <v>2150</v>
      </c>
      <c r="C1893" s="1" t="s">
        <v>2151</v>
      </c>
      <c r="D1893" s="2">
        <v>46059.7875</v>
      </c>
      <c r="E1893" s="1" t="s">
        <v>3655</v>
      </c>
      <c r="F1893" s="1" t="b">
        <v>1</v>
      </c>
    </row>
    <row r="1894">
      <c r="A1894" s="1" t="s">
        <v>1247</v>
      </c>
      <c r="B1894" s="1" t="s">
        <v>2046</v>
      </c>
      <c r="C1894" s="1">
        <v>607950.0</v>
      </c>
      <c r="D1894" s="2">
        <v>46059.787627314814</v>
      </c>
      <c r="E1894" s="1" t="s">
        <v>3656</v>
      </c>
      <c r="F1894" s="1" t="b">
        <v>1</v>
      </c>
    </row>
    <row r="1895">
      <c r="A1895" s="1" t="s">
        <v>1247</v>
      </c>
      <c r="B1895" s="1" t="s">
        <v>2150</v>
      </c>
      <c r="C1895" s="1" t="s">
        <v>2151</v>
      </c>
      <c r="D1895" s="2">
        <v>46059.78769675926</v>
      </c>
      <c r="E1895" s="1" t="s">
        <v>3657</v>
      </c>
      <c r="F1895" s="1" t="b">
        <v>1</v>
      </c>
    </row>
    <row r="1896">
      <c r="A1896" s="1" t="s">
        <v>1247</v>
      </c>
      <c r="B1896" s="1" t="s">
        <v>2046</v>
      </c>
      <c r="C1896" s="1">
        <v>607950.0</v>
      </c>
      <c r="D1896" s="2">
        <v>46059.78790509259</v>
      </c>
      <c r="E1896" s="1" t="s">
        <v>3658</v>
      </c>
      <c r="F1896" s="1" t="b">
        <v>1</v>
      </c>
    </row>
    <row r="1897">
      <c r="A1897" s="1" t="s">
        <v>1247</v>
      </c>
      <c r="B1897" s="1" t="s">
        <v>2150</v>
      </c>
      <c r="C1897" s="1" t="s">
        <v>2151</v>
      </c>
      <c r="D1897" s="2">
        <v>46059.78810185185</v>
      </c>
      <c r="E1897" s="1" t="s">
        <v>3659</v>
      </c>
      <c r="F1897" s="1" t="b">
        <v>1</v>
      </c>
    </row>
    <row r="1898">
      <c r="A1898" s="1" t="s">
        <v>1247</v>
      </c>
      <c r="B1898" s="1" t="s">
        <v>2046</v>
      </c>
      <c r="C1898" s="1">
        <v>607950.0</v>
      </c>
      <c r="D1898" s="2">
        <v>46059.788356481484</v>
      </c>
      <c r="E1898" s="1" t="s">
        <v>3660</v>
      </c>
      <c r="F1898" s="1" t="b">
        <v>1</v>
      </c>
    </row>
    <row r="1899">
      <c r="A1899" s="1" t="s">
        <v>1247</v>
      </c>
      <c r="B1899" s="1" t="s">
        <v>2150</v>
      </c>
      <c r="C1899" s="1" t="s">
        <v>2151</v>
      </c>
      <c r="D1899" s="2">
        <v>46059.78847222222</v>
      </c>
      <c r="E1899" s="1" t="s">
        <v>3661</v>
      </c>
      <c r="F1899" s="1" t="b">
        <v>1</v>
      </c>
    </row>
    <row r="1900">
      <c r="A1900" s="1" t="s">
        <v>1247</v>
      </c>
      <c r="B1900" s="1" t="s">
        <v>2046</v>
      </c>
      <c r="C1900" s="1">
        <v>607950.0</v>
      </c>
      <c r="D1900" s="2">
        <v>46062.39815972222</v>
      </c>
      <c r="E1900" s="1" t="s">
        <v>3296</v>
      </c>
      <c r="F1900" s="1" t="b">
        <v>1</v>
      </c>
    </row>
    <row r="1901">
      <c r="A1901" s="1" t="s">
        <v>1247</v>
      </c>
      <c r="B1901" s="1" t="s">
        <v>2150</v>
      </c>
      <c r="C1901" s="1" t="s">
        <v>2151</v>
      </c>
      <c r="D1901" s="2">
        <v>46062.398252314815</v>
      </c>
      <c r="E1901" s="1" t="s">
        <v>3662</v>
      </c>
      <c r="F1901" s="1" t="b">
        <v>1</v>
      </c>
    </row>
    <row r="1902">
      <c r="A1902" s="1" t="s">
        <v>1247</v>
      </c>
      <c r="B1902" s="1" t="s">
        <v>2046</v>
      </c>
      <c r="C1902" s="1">
        <v>607950.0</v>
      </c>
      <c r="D1902" s="2">
        <v>46063.43748842592</v>
      </c>
      <c r="E1902" s="1" t="s">
        <v>3663</v>
      </c>
      <c r="F1902" s="1" t="b">
        <v>0</v>
      </c>
    </row>
    <row r="1903">
      <c r="A1903" s="1" t="s">
        <v>1247</v>
      </c>
      <c r="B1903" s="1" t="s">
        <v>2042</v>
      </c>
      <c r="C1903" s="1" t="s">
        <v>1200</v>
      </c>
      <c r="D1903" s="2">
        <v>46063.630428240744</v>
      </c>
      <c r="E1903" s="1" t="s">
        <v>2560</v>
      </c>
      <c r="F1903" s="1" t="b">
        <v>0</v>
      </c>
    </row>
    <row r="1904">
      <c r="A1904" s="1" t="s">
        <v>1251</v>
      </c>
      <c r="B1904" s="1" t="s">
        <v>2042</v>
      </c>
      <c r="C1904" s="1" t="s">
        <v>1254</v>
      </c>
      <c r="D1904" s="2">
        <v>46059.74217592592</v>
      </c>
      <c r="E1904" s="1" t="s">
        <v>3664</v>
      </c>
      <c r="F1904" s="1" t="b">
        <v>0</v>
      </c>
    </row>
    <row r="1905">
      <c r="A1905" s="1" t="s">
        <v>1251</v>
      </c>
      <c r="B1905" s="1" t="s">
        <v>2042</v>
      </c>
      <c r="C1905" s="1" t="s">
        <v>1254</v>
      </c>
      <c r="D1905" s="2">
        <v>46059.74239583333</v>
      </c>
      <c r="E1905" s="1" t="s">
        <v>2292</v>
      </c>
      <c r="F1905" s="1" t="b">
        <v>0</v>
      </c>
    </row>
    <row r="1906">
      <c r="A1906" s="1" t="s">
        <v>1251</v>
      </c>
      <c r="B1906" s="1" t="s">
        <v>2042</v>
      </c>
      <c r="C1906" s="1" t="s">
        <v>1254</v>
      </c>
      <c r="D1906" s="2">
        <v>46059.74256944445</v>
      </c>
      <c r="E1906" s="1" t="s">
        <v>3665</v>
      </c>
      <c r="F1906" s="1" t="b">
        <v>0</v>
      </c>
    </row>
    <row r="1907">
      <c r="A1907" s="1" t="s">
        <v>1251</v>
      </c>
      <c r="B1907" s="1" t="s">
        <v>2042</v>
      </c>
      <c r="C1907" s="1" t="s">
        <v>1254</v>
      </c>
      <c r="D1907" s="2">
        <v>46059.74288194445</v>
      </c>
      <c r="E1907" s="1" t="s">
        <v>3666</v>
      </c>
      <c r="F1907" s="1" t="b">
        <v>0</v>
      </c>
    </row>
    <row r="1908">
      <c r="A1908" s="1" t="s">
        <v>1251</v>
      </c>
      <c r="B1908" s="1" t="s">
        <v>2046</v>
      </c>
      <c r="C1908" s="1">
        <v>574085.0</v>
      </c>
      <c r="D1908" s="2">
        <v>46059.74351851852</v>
      </c>
      <c r="E1908" s="1" t="s">
        <v>3667</v>
      </c>
      <c r="F1908" s="1" t="b">
        <v>0</v>
      </c>
    </row>
    <row r="1909">
      <c r="A1909" s="1" t="s">
        <v>1251</v>
      </c>
      <c r="B1909" s="1" t="s">
        <v>2042</v>
      </c>
      <c r="C1909" s="1" t="s">
        <v>1254</v>
      </c>
      <c r="D1909" s="2">
        <v>46059.74369212963</v>
      </c>
      <c r="E1909" s="1" t="s">
        <v>2383</v>
      </c>
      <c r="F1909" s="1" t="b">
        <v>0</v>
      </c>
    </row>
    <row r="1910">
      <c r="A1910" s="1" t="s">
        <v>1251</v>
      </c>
      <c r="B1910" s="1" t="s">
        <v>2046</v>
      </c>
      <c r="C1910" s="1">
        <v>574085.0</v>
      </c>
      <c r="D1910" s="2">
        <v>46059.7658912037</v>
      </c>
      <c r="E1910" s="1" t="s">
        <v>3668</v>
      </c>
      <c r="F1910" s="1" t="b">
        <v>0</v>
      </c>
    </row>
    <row r="1911">
      <c r="A1911" s="1" t="s">
        <v>1251</v>
      </c>
      <c r="B1911" s="1" t="s">
        <v>2042</v>
      </c>
      <c r="C1911" s="1" t="s">
        <v>1254</v>
      </c>
      <c r="D1911" s="2">
        <v>46059.77137731481</v>
      </c>
      <c r="E1911" s="1" t="s">
        <v>3669</v>
      </c>
      <c r="F1911" s="1" t="b">
        <v>0</v>
      </c>
    </row>
    <row r="1912">
      <c r="A1912" s="1" t="s">
        <v>1251</v>
      </c>
      <c r="B1912" s="1" t="s">
        <v>2042</v>
      </c>
      <c r="C1912" s="1" t="s">
        <v>1254</v>
      </c>
      <c r="D1912" s="2">
        <v>46059.77173611111</v>
      </c>
      <c r="E1912" s="1" t="s">
        <v>3670</v>
      </c>
      <c r="F1912" s="1" t="b">
        <v>0</v>
      </c>
    </row>
    <row r="1913">
      <c r="A1913" s="1" t="s">
        <v>1251</v>
      </c>
      <c r="B1913" s="1" t="s">
        <v>2046</v>
      </c>
      <c r="C1913" s="1">
        <v>574085.0</v>
      </c>
      <c r="D1913" s="2">
        <v>46059.77195601852</v>
      </c>
      <c r="E1913" s="1" t="s">
        <v>3671</v>
      </c>
      <c r="F1913" s="1" t="b">
        <v>0</v>
      </c>
    </row>
    <row r="1914">
      <c r="A1914" s="1" t="s">
        <v>1251</v>
      </c>
      <c r="B1914" s="1" t="s">
        <v>2046</v>
      </c>
      <c r="C1914" s="1">
        <v>574085.0</v>
      </c>
      <c r="D1914" s="2">
        <v>46063.48001157407</v>
      </c>
      <c r="E1914" s="1" t="s">
        <v>2108</v>
      </c>
      <c r="F1914" s="1" t="b">
        <v>0</v>
      </c>
    </row>
    <row r="1915">
      <c r="A1915" s="1" t="s">
        <v>1249</v>
      </c>
      <c r="B1915" s="1" t="s">
        <v>2042</v>
      </c>
      <c r="C1915" s="1" t="s">
        <v>1084</v>
      </c>
      <c r="D1915" s="2">
        <v>46059.74300925926</v>
      </c>
      <c r="E1915" s="1" t="s">
        <v>2933</v>
      </c>
      <c r="F1915" s="1" t="b">
        <v>0</v>
      </c>
    </row>
    <row r="1916">
      <c r="A1916" s="1" t="s">
        <v>1249</v>
      </c>
      <c r="B1916" s="1" t="s">
        <v>2042</v>
      </c>
      <c r="C1916" s="1" t="s">
        <v>1084</v>
      </c>
      <c r="D1916" s="2">
        <v>46059.74313657408</v>
      </c>
      <c r="E1916" s="1" t="s">
        <v>3672</v>
      </c>
      <c r="F1916" s="1" t="b">
        <v>0</v>
      </c>
    </row>
    <row r="1917">
      <c r="A1917" s="1" t="s">
        <v>1249</v>
      </c>
      <c r="B1917" s="1" t="s">
        <v>2042</v>
      </c>
      <c r="C1917" s="1" t="s">
        <v>1084</v>
      </c>
      <c r="D1917" s="2">
        <v>46059.74633101852</v>
      </c>
      <c r="E1917" s="1" t="s">
        <v>3673</v>
      </c>
      <c r="F1917" s="1" t="b">
        <v>0</v>
      </c>
    </row>
    <row r="1918">
      <c r="A1918" s="1" t="s">
        <v>1249</v>
      </c>
      <c r="B1918" s="1" t="s">
        <v>2042</v>
      </c>
      <c r="C1918" s="1" t="s">
        <v>1084</v>
      </c>
      <c r="D1918" s="2">
        <v>46059.746516203704</v>
      </c>
      <c r="E1918" s="1" t="s">
        <v>3674</v>
      </c>
      <c r="F1918" s="1" t="b">
        <v>0</v>
      </c>
    </row>
    <row r="1919">
      <c r="A1919" s="1" t="s">
        <v>1249</v>
      </c>
      <c r="B1919" s="1" t="s">
        <v>2042</v>
      </c>
      <c r="C1919" s="1" t="s">
        <v>1084</v>
      </c>
      <c r="D1919" s="2">
        <v>46059.746932870374</v>
      </c>
      <c r="E1919" s="1" t="s">
        <v>3675</v>
      </c>
      <c r="F1919" s="1" t="b">
        <v>0</v>
      </c>
    </row>
    <row r="1920">
      <c r="A1920" s="1" t="s">
        <v>1249</v>
      </c>
      <c r="B1920" s="1" t="s">
        <v>2042</v>
      </c>
      <c r="C1920" s="1" t="s">
        <v>1084</v>
      </c>
      <c r="D1920" s="2">
        <v>46059.74922453704</v>
      </c>
      <c r="E1920" s="1" t="s">
        <v>3676</v>
      </c>
      <c r="F1920" s="1" t="b">
        <v>0</v>
      </c>
    </row>
    <row r="1921">
      <c r="A1921" s="1" t="s">
        <v>1249</v>
      </c>
      <c r="B1921" s="1" t="s">
        <v>2046</v>
      </c>
      <c r="C1921" s="1">
        <v>574085.0</v>
      </c>
      <c r="D1921" s="2">
        <v>46059.749386574076</v>
      </c>
      <c r="E1921" s="1" t="s">
        <v>3677</v>
      </c>
      <c r="F1921" s="1" t="b">
        <v>1</v>
      </c>
    </row>
    <row r="1922">
      <c r="A1922" s="1" t="s">
        <v>1249</v>
      </c>
      <c r="B1922" s="1" t="s">
        <v>2046</v>
      </c>
      <c r="C1922" s="1">
        <v>594863.0</v>
      </c>
      <c r="D1922" s="2">
        <v>46062.42221064815</v>
      </c>
      <c r="E1922" s="1" t="s">
        <v>3678</v>
      </c>
      <c r="F1922" s="1" t="b">
        <v>0</v>
      </c>
    </row>
    <row r="1923">
      <c r="A1923" s="1" t="s">
        <v>1249</v>
      </c>
      <c r="B1923" s="1" t="s">
        <v>2042</v>
      </c>
      <c r="C1923" s="1" t="s">
        <v>1084</v>
      </c>
      <c r="D1923" s="2">
        <v>46062.42322916666</v>
      </c>
      <c r="F1923" s="1" t="b">
        <v>0</v>
      </c>
    </row>
    <row r="1924">
      <c r="A1924" s="1" t="s">
        <v>1249</v>
      </c>
      <c r="B1924" s="1" t="s">
        <v>2042</v>
      </c>
      <c r="C1924" s="1" t="s">
        <v>1084</v>
      </c>
      <c r="D1924" s="2">
        <v>46062.423472222225</v>
      </c>
      <c r="F1924" s="1" t="b">
        <v>0</v>
      </c>
    </row>
    <row r="1925">
      <c r="A1925" s="1" t="s">
        <v>1249</v>
      </c>
      <c r="B1925" s="1" t="s">
        <v>2042</v>
      </c>
      <c r="C1925" s="1" t="s">
        <v>1084</v>
      </c>
      <c r="D1925" s="2">
        <v>46062.42381944445</v>
      </c>
      <c r="E1925" s="1" t="s">
        <v>3679</v>
      </c>
      <c r="F1925" s="1" t="b">
        <v>0</v>
      </c>
    </row>
    <row r="1926">
      <c r="A1926" s="1" t="s">
        <v>1249</v>
      </c>
      <c r="B1926" s="1" t="s">
        <v>2046</v>
      </c>
      <c r="C1926" s="1">
        <v>594863.0</v>
      </c>
      <c r="D1926" s="2">
        <v>46062.427083333336</v>
      </c>
      <c r="E1926" s="1" t="s">
        <v>3680</v>
      </c>
      <c r="F1926" s="1" t="b">
        <v>0</v>
      </c>
    </row>
    <row r="1927">
      <c r="A1927" s="1" t="s">
        <v>1249</v>
      </c>
      <c r="B1927" s="1" t="s">
        <v>2042</v>
      </c>
      <c r="C1927" s="1" t="s">
        <v>1084</v>
      </c>
      <c r="D1927" s="2">
        <v>46062.42736111111</v>
      </c>
      <c r="E1927" s="1" t="s">
        <v>3681</v>
      </c>
      <c r="F1927" s="1" t="b">
        <v>0</v>
      </c>
    </row>
    <row r="1928">
      <c r="A1928" s="1" t="s">
        <v>1249</v>
      </c>
      <c r="B1928" s="1" t="s">
        <v>2042</v>
      </c>
      <c r="C1928" s="1" t="s">
        <v>1084</v>
      </c>
      <c r="D1928" s="2">
        <v>46062.4275462963</v>
      </c>
      <c r="E1928" s="1" t="s">
        <v>3682</v>
      </c>
      <c r="F1928" s="1" t="b">
        <v>0</v>
      </c>
    </row>
    <row r="1929">
      <c r="A1929" s="1" t="s">
        <v>1249</v>
      </c>
      <c r="B1929" s="1" t="s">
        <v>2042</v>
      </c>
      <c r="C1929" s="1" t="s">
        <v>1084</v>
      </c>
      <c r="D1929" s="2">
        <v>46062.43206018519</v>
      </c>
      <c r="E1929" s="1" t="s">
        <v>3683</v>
      </c>
      <c r="F1929" s="1" t="b">
        <v>0</v>
      </c>
    </row>
    <row r="1930">
      <c r="A1930" s="1" t="s">
        <v>1249</v>
      </c>
      <c r="B1930" s="1" t="s">
        <v>2046</v>
      </c>
      <c r="C1930" s="1">
        <v>594863.0</v>
      </c>
      <c r="D1930" s="2">
        <v>46062.43273148148</v>
      </c>
      <c r="E1930" s="1" t="s">
        <v>3684</v>
      </c>
      <c r="F1930" s="1" t="b">
        <v>0</v>
      </c>
    </row>
    <row r="1931">
      <c r="A1931" s="1" t="s">
        <v>1249</v>
      </c>
      <c r="B1931" s="1" t="s">
        <v>2046</v>
      </c>
      <c r="C1931" s="1">
        <v>594863.0</v>
      </c>
      <c r="D1931" s="2">
        <v>46062.433275462965</v>
      </c>
      <c r="E1931" s="1" t="s">
        <v>3685</v>
      </c>
      <c r="F1931" s="1" t="b">
        <v>0</v>
      </c>
    </row>
    <row r="1932">
      <c r="A1932" s="1" t="s">
        <v>1249</v>
      </c>
      <c r="B1932" s="1" t="s">
        <v>2042</v>
      </c>
      <c r="C1932" s="1" t="s">
        <v>1084</v>
      </c>
      <c r="D1932" s="2">
        <v>46062.43376157407</v>
      </c>
      <c r="E1932" s="1" t="s">
        <v>3686</v>
      </c>
      <c r="F1932" s="1" t="b">
        <v>0</v>
      </c>
    </row>
    <row r="1933">
      <c r="A1933" s="1" t="s">
        <v>1249</v>
      </c>
      <c r="B1933" s="1" t="s">
        <v>2046</v>
      </c>
      <c r="C1933" s="1">
        <v>594863.0</v>
      </c>
      <c r="D1933" s="2">
        <v>46062.433900462966</v>
      </c>
      <c r="E1933" s="1" t="s">
        <v>3687</v>
      </c>
      <c r="F1933" s="1" t="b">
        <v>0</v>
      </c>
    </row>
    <row r="1934">
      <c r="A1934" s="1" t="s">
        <v>1249</v>
      </c>
      <c r="B1934" s="1" t="s">
        <v>2042</v>
      </c>
      <c r="C1934" s="1" t="s">
        <v>1084</v>
      </c>
      <c r="D1934" s="2">
        <v>46062.4350462963</v>
      </c>
      <c r="E1934" s="1" t="s">
        <v>3688</v>
      </c>
      <c r="F1934" s="1" t="b">
        <v>0</v>
      </c>
    </row>
    <row r="1935">
      <c r="A1935" s="1" t="s">
        <v>1249</v>
      </c>
      <c r="B1935" s="1" t="s">
        <v>2042</v>
      </c>
      <c r="C1935" s="1" t="s">
        <v>1084</v>
      </c>
      <c r="D1935" s="2">
        <v>46062.435162037036</v>
      </c>
      <c r="E1935" s="1" t="s">
        <v>3689</v>
      </c>
      <c r="F1935" s="1" t="b">
        <v>0</v>
      </c>
    </row>
    <row r="1936">
      <c r="A1936" s="1" t="s">
        <v>1249</v>
      </c>
      <c r="B1936" s="1" t="s">
        <v>2046</v>
      </c>
      <c r="C1936" s="1">
        <v>594863.0</v>
      </c>
      <c r="D1936" s="2">
        <v>46062.435266203705</v>
      </c>
      <c r="E1936" s="1" t="s">
        <v>3690</v>
      </c>
      <c r="F1936" s="1" t="b">
        <v>0</v>
      </c>
    </row>
    <row r="1937">
      <c r="A1937" s="1" t="s">
        <v>1249</v>
      </c>
      <c r="B1937" s="1" t="s">
        <v>2046</v>
      </c>
      <c r="C1937" s="1">
        <v>594863.0</v>
      </c>
      <c r="D1937" s="2">
        <v>46062.435648148145</v>
      </c>
      <c r="E1937" s="1" t="s">
        <v>3691</v>
      </c>
      <c r="F1937" s="1" t="b">
        <v>0</v>
      </c>
    </row>
    <row r="1938">
      <c r="A1938" s="1" t="s">
        <v>1245</v>
      </c>
      <c r="B1938" s="1" t="s">
        <v>2042</v>
      </c>
      <c r="C1938" s="1" t="s">
        <v>3692</v>
      </c>
      <c r="D1938" s="2">
        <v>46059.75256944444</v>
      </c>
      <c r="E1938" s="1" t="s">
        <v>3693</v>
      </c>
      <c r="F1938" s="1" t="b">
        <v>0</v>
      </c>
    </row>
    <row r="1939">
      <c r="A1939" s="1" t="s">
        <v>1243</v>
      </c>
      <c r="B1939" s="1" t="s">
        <v>2042</v>
      </c>
      <c r="C1939" s="1" t="s">
        <v>3694</v>
      </c>
      <c r="D1939" s="2">
        <v>46059.77326388889</v>
      </c>
      <c r="E1939" s="1" t="s">
        <v>3695</v>
      </c>
      <c r="F1939" s="1" t="b">
        <v>0</v>
      </c>
    </row>
    <row r="1940">
      <c r="A1940" s="1" t="s">
        <v>1235</v>
      </c>
      <c r="B1940" s="1" t="s">
        <v>2042</v>
      </c>
      <c r="C1940" s="1" t="s">
        <v>1237</v>
      </c>
      <c r="D1940" s="2">
        <v>46059.89530092593</v>
      </c>
      <c r="E1940" s="1" t="s">
        <v>3696</v>
      </c>
      <c r="F1940" s="1" t="b">
        <v>0</v>
      </c>
    </row>
    <row r="1941">
      <c r="A1941" s="1" t="s">
        <v>1235</v>
      </c>
      <c r="B1941" s="1" t="s">
        <v>2042</v>
      </c>
      <c r="C1941" s="1" t="s">
        <v>1237</v>
      </c>
      <c r="D1941" s="2">
        <v>46059.89585648148</v>
      </c>
      <c r="E1941" s="1" t="s">
        <v>3697</v>
      </c>
      <c r="F1941" s="1" t="b">
        <v>0</v>
      </c>
    </row>
    <row r="1942">
      <c r="A1942" s="1" t="s">
        <v>1233</v>
      </c>
      <c r="B1942" s="1" t="s">
        <v>2042</v>
      </c>
      <c r="C1942" s="1" t="s">
        <v>3698</v>
      </c>
      <c r="D1942" s="2">
        <v>46059.91259259259</v>
      </c>
      <c r="E1942" s="1" t="s">
        <v>3699</v>
      </c>
      <c r="F1942" s="1" t="b">
        <v>0</v>
      </c>
    </row>
    <row r="1943">
      <c r="A1943" s="1" t="s">
        <v>1233</v>
      </c>
      <c r="B1943" s="1" t="s">
        <v>2042</v>
      </c>
      <c r="C1943" s="1" t="s">
        <v>3698</v>
      </c>
      <c r="D1943" s="2">
        <v>46059.9128587963</v>
      </c>
      <c r="E1943" s="1" t="s">
        <v>3700</v>
      </c>
      <c r="F1943" s="1" t="b">
        <v>0</v>
      </c>
    </row>
    <row r="1944">
      <c r="A1944" s="1" t="s">
        <v>1233</v>
      </c>
      <c r="B1944" s="1" t="s">
        <v>2042</v>
      </c>
      <c r="C1944" s="1" t="s">
        <v>3698</v>
      </c>
      <c r="D1944" s="2">
        <v>46059.913252314815</v>
      </c>
      <c r="E1944" s="1" t="s">
        <v>3701</v>
      </c>
      <c r="F1944" s="1" t="b">
        <v>0</v>
      </c>
    </row>
    <row r="1945">
      <c r="A1945" s="1" t="s">
        <v>1231</v>
      </c>
      <c r="B1945" s="1" t="s">
        <v>2042</v>
      </c>
      <c r="C1945" s="1" t="s">
        <v>1225</v>
      </c>
      <c r="D1945" s="2">
        <v>46060.41305555555</v>
      </c>
      <c r="E1945" s="1" t="s">
        <v>3702</v>
      </c>
      <c r="F1945" s="1" t="b">
        <v>0</v>
      </c>
    </row>
    <row r="1946">
      <c r="A1946" s="1" t="s">
        <v>1231</v>
      </c>
      <c r="B1946" s="1" t="s">
        <v>2042</v>
      </c>
      <c r="C1946" s="1" t="s">
        <v>1225</v>
      </c>
      <c r="D1946" s="2">
        <v>46060.41706018519</v>
      </c>
      <c r="E1946" s="1" t="s">
        <v>3703</v>
      </c>
      <c r="F1946" s="1" t="b">
        <v>0</v>
      </c>
    </row>
    <row r="1947">
      <c r="A1947" s="1" t="s">
        <v>1227</v>
      </c>
      <c r="B1947" s="1" t="s">
        <v>2042</v>
      </c>
      <c r="C1947" s="1" t="s">
        <v>1229</v>
      </c>
      <c r="D1947" s="2">
        <v>46060.415868055556</v>
      </c>
      <c r="E1947" s="1" t="s">
        <v>3704</v>
      </c>
      <c r="F1947" s="1" t="b">
        <v>0</v>
      </c>
    </row>
    <row r="1948">
      <c r="A1948" s="1" t="s">
        <v>1223</v>
      </c>
      <c r="B1948" s="1" t="s">
        <v>2042</v>
      </c>
      <c r="C1948" s="1" t="s">
        <v>1225</v>
      </c>
      <c r="D1948" s="2">
        <v>46060.41855324074</v>
      </c>
      <c r="E1948" s="1" t="s">
        <v>3705</v>
      </c>
      <c r="F1948" s="1" t="b">
        <v>0</v>
      </c>
    </row>
    <row r="1949">
      <c r="A1949" s="1" t="s">
        <v>1223</v>
      </c>
      <c r="B1949" s="1" t="s">
        <v>2042</v>
      </c>
      <c r="C1949" s="1" t="s">
        <v>1225</v>
      </c>
      <c r="D1949" s="2">
        <v>46060.42177083333</v>
      </c>
      <c r="E1949" s="1" t="s">
        <v>3706</v>
      </c>
      <c r="F1949" s="1" t="b">
        <v>0</v>
      </c>
    </row>
    <row r="1950">
      <c r="A1950" s="1" t="s">
        <v>1215</v>
      </c>
      <c r="B1950" s="1" t="s">
        <v>2042</v>
      </c>
      <c r="C1950" s="1" t="s">
        <v>1217</v>
      </c>
      <c r="D1950" s="2">
        <v>46060.71760416667</v>
      </c>
      <c r="E1950" s="1" t="s">
        <v>3707</v>
      </c>
      <c r="F1950" s="1" t="b">
        <v>0</v>
      </c>
    </row>
    <row r="1951">
      <c r="A1951" s="1" t="s">
        <v>1203</v>
      </c>
      <c r="B1951" s="1" t="s">
        <v>2042</v>
      </c>
      <c r="C1951" s="1" t="s">
        <v>3708</v>
      </c>
      <c r="D1951" s="2">
        <v>46062.38545138889</v>
      </c>
      <c r="E1951" s="1" t="s">
        <v>3709</v>
      </c>
      <c r="F1951" s="1" t="b">
        <v>0</v>
      </c>
    </row>
    <row r="1952">
      <c r="A1952" s="1" t="s">
        <v>1197</v>
      </c>
      <c r="B1952" s="1" t="s">
        <v>2150</v>
      </c>
      <c r="C1952" s="1">
        <v>81559.0</v>
      </c>
      <c r="D1952" s="2">
        <v>46062.38570601852</v>
      </c>
      <c r="E1952" s="1" t="s">
        <v>3647</v>
      </c>
      <c r="F1952" s="1" t="b">
        <v>1</v>
      </c>
    </row>
    <row r="1953">
      <c r="A1953" s="1" t="s">
        <v>1197</v>
      </c>
      <c r="B1953" s="1" t="s">
        <v>2042</v>
      </c>
      <c r="C1953" s="1" t="s">
        <v>1200</v>
      </c>
      <c r="D1953" s="2">
        <v>46062.401354166665</v>
      </c>
      <c r="E1953" s="1" t="s">
        <v>3710</v>
      </c>
      <c r="F1953" s="1" t="b">
        <v>0</v>
      </c>
    </row>
    <row r="1954">
      <c r="A1954" s="1" t="s">
        <v>1197</v>
      </c>
      <c r="B1954" s="1" t="s">
        <v>2046</v>
      </c>
      <c r="C1954" s="1">
        <v>607950.0</v>
      </c>
      <c r="D1954" s="2">
        <v>46062.403125</v>
      </c>
      <c r="E1954" s="1" t="s">
        <v>3711</v>
      </c>
      <c r="F1954" s="1" t="b">
        <v>0</v>
      </c>
    </row>
    <row r="1955">
      <c r="A1955" s="1" t="s">
        <v>1197</v>
      </c>
      <c r="B1955" s="1" t="s">
        <v>2046</v>
      </c>
      <c r="C1955" s="1">
        <v>574085.0</v>
      </c>
      <c r="D1955" s="2">
        <v>46062.41324074074</v>
      </c>
      <c r="E1955" s="1" t="s">
        <v>3712</v>
      </c>
      <c r="F1955" s="1" t="b">
        <v>1</v>
      </c>
    </row>
    <row r="1956">
      <c r="A1956" s="1" t="s">
        <v>1197</v>
      </c>
      <c r="B1956" s="1" t="s">
        <v>2046</v>
      </c>
      <c r="C1956" s="1">
        <v>574085.0</v>
      </c>
      <c r="D1956" s="2">
        <v>46062.41386574074</v>
      </c>
      <c r="F1956" s="1" t="b">
        <v>1</v>
      </c>
    </row>
    <row r="1957">
      <c r="A1957" s="1" t="s">
        <v>1197</v>
      </c>
      <c r="B1957" s="1" t="s">
        <v>2046</v>
      </c>
      <c r="C1957" s="1">
        <v>607950.0</v>
      </c>
      <c r="D1957" s="2">
        <v>46062.41521990741</v>
      </c>
      <c r="E1957" s="1" t="s">
        <v>3713</v>
      </c>
      <c r="F1957" s="1" t="b">
        <v>1</v>
      </c>
    </row>
    <row r="1958">
      <c r="A1958" s="1" t="s">
        <v>1197</v>
      </c>
      <c r="B1958" s="1" t="s">
        <v>2046</v>
      </c>
      <c r="C1958" s="1">
        <v>574085.0</v>
      </c>
      <c r="D1958" s="2">
        <v>46062.415625</v>
      </c>
      <c r="E1958" s="1" t="s">
        <v>3714</v>
      </c>
      <c r="F1958" s="1" t="b">
        <v>1</v>
      </c>
    </row>
    <row r="1959">
      <c r="A1959" s="1" t="s">
        <v>1197</v>
      </c>
      <c r="B1959" s="1" t="s">
        <v>2046</v>
      </c>
      <c r="C1959" s="1">
        <v>607950.0</v>
      </c>
      <c r="D1959" s="2">
        <v>46062.41570601852</v>
      </c>
      <c r="E1959" s="1" t="s">
        <v>2049</v>
      </c>
      <c r="F1959" s="1" t="b">
        <v>1</v>
      </c>
    </row>
    <row r="1960">
      <c r="A1960" s="1" t="s">
        <v>1197</v>
      </c>
      <c r="B1960" s="1" t="s">
        <v>2046</v>
      </c>
      <c r="C1960" s="1">
        <v>607950.0</v>
      </c>
      <c r="D1960" s="2">
        <v>46064.41956018518</v>
      </c>
      <c r="E1960" s="1" t="s">
        <v>3715</v>
      </c>
      <c r="F1960" s="1" t="b">
        <v>0</v>
      </c>
    </row>
    <row r="1961">
      <c r="A1961" s="1" t="s">
        <v>1197</v>
      </c>
      <c r="B1961" s="1" t="s">
        <v>2042</v>
      </c>
      <c r="C1961" s="1" t="s">
        <v>1200</v>
      </c>
      <c r="D1961" s="2">
        <v>46064.53512731481</v>
      </c>
      <c r="E1961" s="1" t="s">
        <v>3716</v>
      </c>
      <c r="F1961" s="1" t="b">
        <v>0</v>
      </c>
    </row>
    <row r="1962">
      <c r="A1962" s="1" t="s">
        <v>1193</v>
      </c>
      <c r="B1962" s="1" t="s">
        <v>2042</v>
      </c>
      <c r="C1962" s="1" t="s">
        <v>1195</v>
      </c>
      <c r="D1962" s="2">
        <v>46062.41185185185</v>
      </c>
      <c r="E1962" s="1" t="s">
        <v>3717</v>
      </c>
      <c r="F1962" s="1" t="b">
        <v>0</v>
      </c>
    </row>
    <row r="1963">
      <c r="A1963" s="1" t="s">
        <v>1193</v>
      </c>
      <c r="B1963" s="1" t="s">
        <v>2042</v>
      </c>
      <c r="C1963" s="1" t="s">
        <v>1195</v>
      </c>
      <c r="D1963" s="2">
        <v>46062.411944444444</v>
      </c>
      <c r="E1963" s="1" t="s">
        <v>3718</v>
      </c>
      <c r="F1963" s="1" t="b">
        <v>0</v>
      </c>
    </row>
    <row r="1964">
      <c r="A1964" s="1" t="s">
        <v>1193</v>
      </c>
      <c r="B1964" s="1" t="s">
        <v>2042</v>
      </c>
      <c r="C1964" s="1" t="s">
        <v>1195</v>
      </c>
      <c r="D1964" s="2">
        <v>46062.41211805555</v>
      </c>
      <c r="F1964" s="1" t="b">
        <v>0</v>
      </c>
    </row>
    <row r="1965">
      <c r="A1965" s="1" t="s">
        <v>1193</v>
      </c>
      <c r="B1965" s="1" t="s">
        <v>2042</v>
      </c>
      <c r="C1965" s="1" t="s">
        <v>1195</v>
      </c>
      <c r="D1965" s="2">
        <v>46062.4121875</v>
      </c>
      <c r="E1965" s="1" t="s">
        <v>3719</v>
      </c>
      <c r="F1965" s="1" t="b">
        <v>0</v>
      </c>
    </row>
    <row r="1966">
      <c r="A1966" s="1" t="s">
        <v>1193</v>
      </c>
      <c r="B1966" s="1" t="s">
        <v>2042</v>
      </c>
      <c r="C1966" s="1" t="s">
        <v>1195</v>
      </c>
      <c r="D1966" s="2">
        <v>46062.412303240744</v>
      </c>
      <c r="E1966" s="1" t="s">
        <v>3720</v>
      </c>
      <c r="F1966" s="1" t="b">
        <v>0</v>
      </c>
    </row>
    <row r="1967">
      <c r="A1967" s="1" t="s">
        <v>1189</v>
      </c>
      <c r="B1967" s="1" t="s">
        <v>2042</v>
      </c>
      <c r="C1967" s="1" t="s">
        <v>1191</v>
      </c>
      <c r="D1967" s="2">
        <v>46062.41951388889</v>
      </c>
      <c r="E1967" s="1" t="s">
        <v>3721</v>
      </c>
      <c r="F1967" s="1" t="b">
        <v>0</v>
      </c>
    </row>
    <row r="1968">
      <c r="A1968" s="1" t="s">
        <v>1189</v>
      </c>
      <c r="B1968" s="1" t="s">
        <v>2042</v>
      </c>
      <c r="C1968" s="1" t="s">
        <v>1191</v>
      </c>
      <c r="D1968" s="2">
        <v>46062.41961805556</v>
      </c>
      <c r="E1968" s="1" t="s">
        <v>3722</v>
      </c>
      <c r="F1968" s="1" t="b">
        <v>0</v>
      </c>
    </row>
    <row r="1969">
      <c r="A1969" s="1" t="s">
        <v>1185</v>
      </c>
      <c r="B1969" s="1" t="s">
        <v>2042</v>
      </c>
      <c r="C1969" s="1" t="s">
        <v>1187</v>
      </c>
      <c r="D1969" s="2">
        <v>46062.42244212963</v>
      </c>
      <c r="E1969" s="1" t="s">
        <v>3723</v>
      </c>
      <c r="F1969" s="1" t="b">
        <v>0</v>
      </c>
    </row>
    <row r="1970">
      <c r="A1970" s="1" t="s">
        <v>1183</v>
      </c>
      <c r="B1970" s="1" t="s">
        <v>2042</v>
      </c>
      <c r="C1970" s="1" t="s">
        <v>1080</v>
      </c>
      <c r="D1970" s="2">
        <v>46062.431921296295</v>
      </c>
      <c r="E1970" s="1" t="s">
        <v>3724</v>
      </c>
      <c r="F1970" s="1" t="b">
        <v>0</v>
      </c>
    </row>
    <row r="1971">
      <c r="A1971" s="1" t="s">
        <v>1183</v>
      </c>
      <c r="B1971" s="1" t="s">
        <v>2042</v>
      </c>
      <c r="C1971" s="1" t="s">
        <v>1080</v>
      </c>
      <c r="D1971" s="2">
        <v>46062.78005787037</v>
      </c>
      <c r="E1971" s="1" t="s">
        <v>3725</v>
      </c>
      <c r="F1971" s="1" t="b">
        <v>0</v>
      </c>
    </row>
    <row r="1972">
      <c r="A1972" s="1" t="s">
        <v>1183</v>
      </c>
      <c r="B1972" s="1" t="s">
        <v>2042</v>
      </c>
      <c r="C1972" s="1" t="s">
        <v>1080</v>
      </c>
      <c r="D1972" s="2">
        <v>46062.780497685184</v>
      </c>
      <c r="E1972" s="1" t="s">
        <v>3726</v>
      </c>
      <c r="F1972" s="1" t="b">
        <v>0</v>
      </c>
    </row>
    <row r="1973">
      <c r="A1973" s="1" t="s">
        <v>1183</v>
      </c>
      <c r="B1973" s="1" t="s">
        <v>2042</v>
      </c>
      <c r="C1973" s="1" t="s">
        <v>1080</v>
      </c>
      <c r="D1973" s="2">
        <v>46062.780625</v>
      </c>
      <c r="E1973" s="1" t="s">
        <v>2465</v>
      </c>
      <c r="F1973" s="1" t="b">
        <v>0</v>
      </c>
    </row>
    <row r="1974">
      <c r="A1974" s="1" t="s">
        <v>1179</v>
      </c>
      <c r="B1974" s="1" t="s">
        <v>2042</v>
      </c>
      <c r="C1974" s="1" t="s">
        <v>1181</v>
      </c>
      <c r="D1974" s="2">
        <v>46062.434652777774</v>
      </c>
      <c r="E1974" s="1" t="s">
        <v>3727</v>
      </c>
      <c r="F1974" s="1" t="b">
        <v>0</v>
      </c>
    </row>
    <row r="1975">
      <c r="A1975" s="1" t="s">
        <v>1175</v>
      </c>
      <c r="B1975" s="1" t="s">
        <v>2042</v>
      </c>
      <c r="C1975" s="1" t="s">
        <v>1177</v>
      </c>
      <c r="D1975" s="2">
        <v>46062.43829861111</v>
      </c>
      <c r="F1975" s="1" t="b">
        <v>0</v>
      </c>
    </row>
    <row r="1976">
      <c r="A1976" s="1" t="s">
        <v>1175</v>
      </c>
      <c r="B1976" s="1" t="s">
        <v>2042</v>
      </c>
      <c r="C1976" s="1" t="s">
        <v>1177</v>
      </c>
      <c r="D1976" s="2">
        <v>46062.439247685186</v>
      </c>
      <c r="E1976" s="1" t="s">
        <v>3728</v>
      </c>
      <c r="F1976" s="1" t="b">
        <v>0</v>
      </c>
    </row>
    <row r="1977">
      <c r="A1977" s="1" t="s">
        <v>1175</v>
      </c>
      <c r="B1977" s="1" t="s">
        <v>2042</v>
      </c>
      <c r="C1977" s="1" t="s">
        <v>1177</v>
      </c>
      <c r="D1977" s="2">
        <v>46062.43928240741</v>
      </c>
      <c r="F1977" s="1" t="b">
        <v>0</v>
      </c>
    </row>
    <row r="1978">
      <c r="A1978" s="1" t="s">
        <v>1175</v>
      </c>
      <c r="B1978" s="1" t="s">
        <v>2042</v>
      </c>
      <c r="C1978" s="1" t="s">
        <v>1177</v>
      </c>
      <c r="D1978" s="2">
        <v>46062.44337962963</v>
      </c>
      <c r="E1978" s="1" t="s">
        <v>3729</v>
      </c>
      <c r="F1978" s="1" t="b">
        <v>0</v>
      </c>
    </row>
    <row r="1979">
      <c r="A1979" s="1" t="s">
        <v>1175</v>
      </c>
      <c r="B1979" s="1" t="s">
        <v>2042</v>
      </c>
      <c r="C1979" s="1" t="s">
        <v>1177</v>
      </c>
      <c r="D1979" s="2">
        <v>46062.456608796296</v>
      </c>
      <c r="E1979" s="1" t="s">
        <v>3730</v>
      </c>
      <c r="F1979" s="1" t="b">
        <v>0</v>
      </c>
    </row>
    <row r="1980">
      <c r="A1980" s="1" t="s">
        <v>1175</v>
      </c>
      <c r="B1980" s="1" t="s">
        <v>2042</v>
      </c>
      <c r="C1980" s="1" t="s">
        <v>1177</v>
      </c>
      <c r="D1980" s="2">
        <v>46062.45673611111</v>
      </c>
      <c r="E1980" s="1" t="s">
        <v>3731</v>
      </c>
      <c r="F1980" s="1" t="b">
        <v>0</v>
      </c>
    </row>
    <row r="1981">
      <c r="A1981" s="1" t="s">
        <v>1171</v>
      </c>
      <c r="B1981" s="1" t="s">
        <v>2042</v>
      </c>
      <c r="C1981" s="1" t="s">
        <v>1173</v>
      </c>
      <c r="D1981" s="2">
        <v>46062.442465277774</v>
      </c>
      <c r="E1981" s="1" t="s">
        <v>3732</v>
      </c>
      <c r="F1981" s="1" t="b">
        <v>0</v>
      </c>
    </row>
    <row r="1982">
      <c r="A1982" s="1" t="s">
        <v>1166</v>
      </c>
      <c r="B1982" s="1" t="s">
        <v>2042</v>
      </c>
      <c r="C1982" s="1" t="s">
        <v>1169</v>
      </c>
      <c r="D1982" s="2">
        <v>46062.44296296296</v>
      </c>
      <c r="E1982" s="1" t="s">
        <v>3733</v>
      </c>
      <c r="F1982" s="1" t="b">
        <v>0</v>
      </c>
    </row>
    <row r="1983">
      <c r="A1983" s="1" t="s">
        <v>1162</v>
      </c>
      <c r="B1983" s="1" t="s">
        <v>2042</v>
      </c>
      <c r="C1983" s="1" t="s">
        <v>1164</v>
      </c>
      <c r="D1983" s="2">
        <v>46062.44478009259</v>
      </c>
      <c r="E1983" s="1" t="s">
        <v>3734</v>
      </c>
      <c r="F1983" s="1" t="b">
        <v>0</v>
      </c>
    </row>
    <row r="1984">
      <c r="A1984" s="1" t="s">
        <v>1162</v>
      </c>
      <c r="B1984" s="1" t="s">
        <v>2042</v>
      </c>
      <c r="C1984" s="1" t="s">
        <v>1164</v>
      </c>
      <c r="D1984" s="2">
        <v>46062.453194444446</v>
      </c>
      <c r="E1984" s="1" t="s">
        <v>2265</v>
      </c>
      <c r="F1984" s="1" t="b">
        <v>0</v>
      </c>
    </row>
    <row r="1985">
      <c r="A1985" s="1" t="s">
        <v>1162</v>
      </c>
      <c r="B1985" s="1" t="s">
        <v>2046</v>
      </c>
      <c r="C1985" s="1">
        <v>607950.0</v>
      </c>
      <c r="D1985" s="2">
        <v>46062.453368055554</v>
      </c>
      <c r="E1985" s="1" t="s">
        <v>2752</v>
      </c>
      <c r="F1985" s="1" t="b">
        <v>0</v>
      </c>
    </row>
    <row r="1986">
      <c r="A1986" s="1" t="s">
        <v>1162</v>
      </c>
      <c r="B1986" s="1" t="s">
        <v>2042</v>
      </c>
      <c r="C1986" s="1" t="s">
        <v>1164</v>
      </c>
      <c r="D1986" s="2">
        <v>46062.45340277778</v>
      </c>
      <c r="E1986" s="1" t="s">
        <v>3735</v>
      </c>
      <c r="F1986" s="1" t="b">
        <v>0</v>
      </c>
    </row>
    <row r="1987">
      <c r="A1987" s="1" t="s">
        <v>1162</v>
      </c>
      <c r="B1987" s="1" t="s">
        <v>2042</v>
      </c>
      <c r="C1987" s="1" t="s">
        <v>1164</v>
      </c>
      <c r="D1987" s="2">
        <v>46062.45414351852</v>
      </c>
      <c r="F1987" s="1" t="b">
        <v>0</v>
      </c>
    </row>
    <row r="1988">
      <c r="A1988" s="1" t="s">
        <v>1162</v>
      </c>
      <c r="B1988" s="1" t="s">
        <v>2042</v>
      </c>
      <c r="C1988" s="1" t="s">
        <v>1164</v>
      </c>
      <c r="D1988" s="2">
        <v>46062.454351851855</v>
      </c>
      <c r="E1988" s="1" t="s">
        <v>3736</v>
      </c>
      <c r="F1988" s="1" t="b">
        <v>0</v>
      </c>
    </row>
    <row r="1989">
      <c r="A1989" s="1" t="s">
        <v>1162</v>
      </c>
      <c r="B1989" s="1" t="s">
        <v>2046</v>
      </c>
      <c r="C1989" s="1">
        <v>607950.0</v>
      </c>
      <c r="D1989" s="2">
        <v>46062.455405092594</v>
      </c>
      <c r="E1989" s="1" t="s">
        <v>3737</v>
      </c>
      <c r="F1989" s="1" t="b">
        <v>0</v>
      </c>
    </row>
    <row r="1990">
      <c r="A1990" s="1" t="s">
        <v>1162</v>
      </c>
      <c r="B1990" s="1" t="s">
        <v>2042</v>
      </c>
      <c r="C1990" s="1" t="s">
        <v>1164</v>
      </c>
      <c r="D1990" s="2">
        <v>46062.45570601852</v>
      </c>
      <c r="E1990" s="1" t="s">
        <v>3738</v>
      </c>
      <c r="F1990" s="1" t="b">
        <v>0</v>
      </c>
    </row>
    <row r="1991">
      <c r="A1991" s="1" t="s">
        <v>1162</v>
      </c>
      <c r="B1991" s="1" t="s">
        <v>2046</v>
      </c>
      <c r="C1991" s="1">
        <v>607950.0</v>
      </c>
      <c r="D1991" s="2">
        <v>46062.456145833334</v>
      </c>
      <c r="E1991" s="1" t="s">
        <v>3739</v>
      </c>
      <c r="F1991" s="1" t="b">
        <v>0</v>
      </c>
    </row>
    <row r="1992">
      <c r="A1992" s="1" t="s">
        <v>1162</v>
      </c>
      <c r="B1992" s="1" t="s">
        <v>2046</v>
      </c>
      <c r="C1992" s="1">
        <v>607950.0</v>
      </c>
      <c r="D1992" s="2">
        <v>46062.47641203704</v>
      </c>
      <c r="E1992" s="1" t="s">
        <v>3740</v>
      </c>
      <c r="F1992" s="1" t="b">
        <v>0</v>
      </c>
    </row>
    <row r="1993">
      <c r="A1993" s="1" t="s">
        <v>1162</v>
      </c>
      <c r="B1993" s="1" t="s">
        <v>2046</v>
      </c>
      <c r="C1993" s="1">
        <v>607950.0</v>
      </c>
      <c r="D1993" s="2">
        <v>46062.490694444445</v>
      </c>
      <c r="E1993" s="1" t="s">
        <v>2917</v>
      </c>
      <c r="F1993" s="1" t="b">
        <v>0</v>
      </c>
    </row>
    <row r="1994">
      <c r="A1994" s="1" t="s">
        <v>1162</v>
      </c>
      <c r="B1994" s="1" t="s">
        <v>2046</v>
      </c>
      <c r="C1994" s="1">
        <v>607950.0</v>
      </c>
      <c r="D1994" s="2">
        <v>46062.494166666664</v>
      </c>
      <c r="E1994" s="1" t="s">
        <v>3741</v>
      </c>
      <c r="F1994" s="1" t="b">
        <v>0</v>
      </c>
    </row>
    <row r="1995">
      <c r="A1995" s="1" t="s">
        <v>1158</v>
      </c>
      <c r="B1995" s="1" t="s">
        <v>2042</v>
      </c>
      <c r="C1995" s="1" t="s">
        <v>1160</v>
      </c>
      <c r="D1995" s="2">
        <v>46062.46989583333</v>
      </c>
      <c r="E1995" s="1" t="s">
        <v>3742</v>
      </c>
      <c r="F1995" s="1" t="b">
        <v>0</v>
      </c>
    </row>
    <row r="1996">
      <c r="A1996" s="1" t="s">
        <v>1158</v>
      </c>
      <c r="B1996" s="1" t="s">
        <v>2042</v>
      </c>
      <c r="C1996" s="1" t="s">
        <v>1160</v>
      </c>
      <c r="D1996" s="2">
        <v>46062.47025462963</v>
      </c>
      <c r="E1996" s="1" t="s">
        <v>3743</v>
      </c>
      <c r="F1996" s="1" t="b">
        <v>0</v>
      </c>
    </row>
    <row r="1997">
      <c r="A1997" s="1" t="s">
        <v>1158</v>
      </c>
      <c r="B1997" s="1" t="s">
        <v>2042</v>
      </c>
      <c r="C1997" s="1" t="s">
        <v>1160</v>
      </c>
      <c r="D1997" s="2">
        <v>46062.47047453704</v>
      </c>
      <c r="E1997" s="1" t="s">
        <v>3744</v>
      </c>
      <c r="F1997" s="1" t="b">
        <v>0</v>
      </c>
    </row>
    <row r="1998">
      <c r="A1998" s="1" t="s">
        <v>1154</v>
      </c>
      <c r="B1998" s="1" t="s">
        <v>2042</v>
      </c>
      <c r="C1998" s="1" t="s">
        <v>1156</v>
      </c>
      <c r="D1998" s="2">
        <v>46062.47194444444</v>
      </c>
      <c r="E1998" s="1" t="s">
        <v>2933</v>
      </c>
      <c r="F1998" s="1" t="b">
        <v>0</v>
      </c>
    </row>
    <row r="1999">
      <c r="A1999" s="1" t="s">
        <v>1154</v>
      </c>
      <c r="B1999" s="1" t="s">
        <v>2042</v>
      </c>
      <c r="C1999" s="1" t="s">
        <v>1156</v>
      </c>
      <c r="D1999" s="2">
        <v>46062.47207175926</v>
      </c>
      <c r="F1999" s="1" t="b">
        <v>0</v>
      </c>
    </row>
    <row r="2000">
      <c r="A2000" s="1" t="s">
        <v>1154</v>
      </c>
      <c r="B2000" s="1" t="s">
        <v>2042</v>
      </c>
      <c r="C2000" s="1" t="s">
        <v>1156</v>
      </c>
      <c r="D2000" s="2">
        <v>46062.47216435185</v>
      </c>
      <c r="E2000" s="1" t="s">
        <v>3745</v>
      </c>
      <c r="F2000" s="1" t="b">
        <v>0</v>
      </c>
    </row>
    <row r="2001">
      <c r="A2001" s="1" t="s">
        <v>1150</v>
      </c>
      <c r="B2001" s="1" t="s">
        <v>2042</v>
      </c>
      <c r="C2001" s="1" t="s">
        <v>1152</v>
      </c>
      <c r="D2001" s="2">
        <v>46062.47484953704</v>
      </c>
      <c r="E2001" s="1" t="s">
        <v>3746</v>
      </c>
      <c r="F2001" s="1" t="b">
        <v>0</v>
      </c>
    </row>
    <row r="2002">
      <c r="A2002" s="1" t="s">
        <v>1148</v>
      </c>
      <c r="B2002" s="1" t="s">
        <v>2042</v>
      </c>
      <c r="C2002" s="1" t="s">
        <v>817</v>
      </c>
      <c r="D2002" s="2">
        <v>46062.47521990741</v>
      </c>
      <c r="E2002" s="1" t="s">
        <v>3747</v>
      </c>
      <c r="F2002" s="1" t="b">
        <v>0</v>
      </c>
    </row>
    <row r="2003">
      <c r="A2003" s="1" t="s">
        <v>1144</v>
      </c>
      <c r="B2003" s="1" t="s">
        <v>2042</v>
      </c>
      <c r="C2003" s="1" t="s">
        <v>1146</v>
      </c>
      <c r="D2003" s="2">
        <v>46062.4846412037</v>
      </c>
      <c r="F2003" s="1" t="b">
        <v>0</v>
      </c>
    </row>
    <row r="2004">
      <c r="A2004" s="1" t="s">
        <v>1144</v>
      </c>
      <c r="B2004" s="1" t="s">
        <v>2042</v>
      </c>
      <c r="C2004" s="1" t="s">
        <v>1146</v>
      </c>
      <c r="D2004" s="2">
        <v>46062.484918981485</v>
      </c>
      <c r="E2004" s="1" t="s">
        <v>3748</v>
      </c>
      <c r="F2004" s="1" t="b">
        <v>0</v>
      </c>
    </row>
    <row r="2005">
      <c r="A2005" s="1" t="s">
        <v>1144</v>
      </c>
      <c r="B2005" s="1" t="s">
        <v>2046</v>
      </c>
      <c r="C2005" s="1">
        <v>607950.0</v>
      </c>
      <c r="D2005" s="2">
        <v>46062.5003125</v>
      </c>
      <c r="E2005" s="1" t="s">
        <v>3749</v>
      </c>
      <c r="F2005" s="1" t="b">
        <v>1</v>
      </c>
    </row>
    <row r="2006">
      <c r="A2006" s="1" t="s">
        <v>1142</v>
      </c>
      <c r="B2006" s="1" t="s">
        <v>2042</v>
      </c>
      <c r="C2006" s="1" t="s">
        <v>631</v>
      </c>
      <c r="D2006" s="2">
        <v>46062.55096064815</v>
      </c>
      <c r="E2006" s="1" t="s">
        <v>3750</v>
      </c>
      <c r="F2006" s="1" t="b">
        <v>0</v>
      </c>
    </row>
    <row r="2007">
      <c r="A2007" s="1" t="s">
        <v>1142</v>
      </c>
      <c r="B2007" s="1" t="s">
        <v>2042</v>
      </c>
      <c r="C2007" s="1" t="s">
        <v>631</v>
      </c>
      <c r="D2007" s="2">
        <v>46062.554502314815</v>
      </c>
      <c r="E2007" s="1" t="s">
        <v>3751</v>
      </c>
      <c r="F2007" s="1" t="b">
        <v>0</v>
      </c>
    </row>
    <row r="2008">
      <c r="A2008" s="1" t="s">
        <v>1138</v>
      </c>
      <c r="B2008" s="1" t="s">
        <v>2042</v>
      </c>
      <c r="C2008" s="1" t="s">
        <v>1140</v>
      </c>
      <c r="D2008" s="2">
        <v>46062.567395833335</v>
      </c>
      <c r="E2008" s="1" t="s">
        <v>3752</v>
      </c>
      <c r="F2008" s="1" t="b">
        <v>0</v>
      </c>
    </row>
    <row r="2009">
      <c r="A2009" s="1" t="s">
        <v>1138</v>
      </c>
      <c r="B2009" s="1" t="s">
        <v>2046</v>
      </c>
      <c r="C2009" s="1">
        <v>574085.0</v>
      </c>
      <c r="D2009" s="2">
        <v>46062.568344907406</v>
      </c>
      <c r="E2009" s="1" t="s">
        <v>3753</v>
      </c>
      <c r="F2009" s="1" t="b">
        <v>0</v>
      </c>
    </row>
    <row r="2010">
      <c r="A2010" s="1" t="s">
        <v>1138</v>
      </c>
      <c r="B2010" s="1" t="s">
        <v>2042</v>
      </c>
      <c r="C2010" s="1" t="s">
        <v>1140</v>
      </c>
      <c r="D2010" s="2">
        <v>46062.57068287037</v>
      </c>
      <c r="E2010" s="1" t="s">
        <v>3754</v>
      </c>
      <c r="F2010" s="1" t="b">
        <v>0</v>
      </c>
    </row>
    <row r="2011">
      <c r="A2011" s="1" t="s">
        <v>1138</v>
      </c>
      <c r="B2011" s="1" t="s">
        <v>2042</v>
      </c>
      <c r="C2011" s="1" t="s">
        <v>1140</v>
      </c>
      <c r="D2011" s="2">
        <v>46062.57167824074</v>
      </c>
      <c r="E2011" s="1" t="s">
        <v>3755</v>
      </c>
      <c r="F2011" s="1" t="b">
        <v>0</v>
      </c>
    </row>
    <row r="2012">
      <c r="A2012" s="1" t="s">
        <v>1138</v>
      </c>
      <c r="B2012" s="1" t="s">
        <v>2042</v>
      </c>
      <c r="C2012" s="1" t="s">
        <v>1140</v>
      </c>
      <c r="D2012" s="2">
        <v>46062.57423611111</v>
      </c>
      <c r="E2012" s="1" t="s">
        <v>3756</v>
      </c>
      <c r="F2012" s="1" t="b">
        <v>0</v>
      </c>
    </row>
    <row r="2013">
      <c r="A2013" s="1" t="s">
        <v>1138</v>
      </c>
      <c r="B2013" s="1" t="s">
        <v>2046</v>
      </c>
      <c r="C2013" s="1">
        <v>574085.0</v>
      </c>
      <c r="D2013" s="2">
        <v>46062.577569444446</v>
      </c>
      <c r="E2013" s="1" t="s">
        <v>3757</v>
      </c>
      <c r="F2013" s="1" t="b">
        <v>1</v>
      </c>
    </row>
    <row r="2014">
      <c r="A2014" s="1" t="s">
        <v>1138</v>
      </c>
      <c r="B2014" s="1" t="s">
        <v>2046</v>
      </c>
      <c r="C2014" s="1">
        <v>574085.0</v>
      </c>
      <c r="D2014" s="2">
        <v>46062.578125</v>
      </c>
      <c r="E2014" s="1" t="s">
        <v>3758</v>
      </c>
      <c r="F2014" s="1" t="b">
        <v>0</v>
      </c>
    </row>
    <row r="2015">
      <c r="A2015" s="1" t="s">
        <v>1138</v>
      </c>
      <c r="B2015" s="1" t="s">
        <v>2042</v>
      </c>
      <c r="C2015" s="1" t="s">
        <v>1140</v>
      </c>
      <c r="D2015" s="2">
        <v>46062.579097222224</v>
      </c>
      <c r="E2015" s="1" t="s">
        <v>2049</v>
      </c>
      <c r="F2015" s="1" t="b">
        <v>0</v>
      </c>
    </row>
    <row r="2016">
      <c r="A2016" s="1" t="s">
        <v>1138</v>
      </c>
      <c r="B2016" s="1" t="s">
        <v>2046</v>
      </c>
      <c r="C2016" s="1">
        <v>594863.0</v>
      </c>
      <c r="D2016" s="2">
        <v>46062.57943287037</v>
      </c>
      <c r="E2016" s="1" t="s">
        <v>3759</v>
      </c>
      <c r="F2016" s="1" t="b">
        <v>1</v>
      </c>
    </row>
    <row r="2017">
      <c r="A2017" s="1" t="s">
        <v>1138</v>
      </c>
      <c r="B2017" s="1" t="s">
        <v>2046</v>
      </c>
      <c r="C2017" s="1">
        <v>594863.0</v>
      </c>
      <c r="D2017" s="2">
        <v>46062.684641203705</v>
      </c>
      <c r="E2017" s="1" t="s">
        <v>3760</v>
      </c>
      <c r="F2017" s="1" t="b">
        <v>0</v>
      </c>
    </row>
    <row r="2018">
      <c r="A2018" s="1" t="s">
        <v>1138</v>
      </c>
      <c r="B2018" s="1" t="s">
        <v>2046</v>
      </c>
      <c r="C2018" s="1">
        <v>594863.0</v>
      </c>
      <c r="D2018" s="2">
        <v>46062.719189814816</v>
      </c>
      <c r="E2018" s="1" t="s">
        <v>2108</v>
      </c>
      <c r="F2018" s="1" t="b">
        <v>0</v>
      </c>
    </row>
    <row r="2019">
      <c r="A2019" s="1" t="s">
        <v>1133</v>
      </c>
      <c r="B2019" s="1" t="s">
        <v>2042</v>
      </c>
      <c r="C2019" s="1" t="s">
        <v>1136</v>
      </c>
      <c r="D2019" s="2">
        <v>46062.57809027778</v>
      </c>
      <c r="F2019" s="1" t="b">
        <v>0</v>
      </c>
    </row>
    <row r="2020">
      <c r="A2020" s="1" t="s">
        <v>1133</v>
      </c>
      <c r="B2020" s="1" t="s">
        <v>2042</v>
      </c>
      <c r="C2020" s="1" t="s">
        <v>1136</v>
      </c>
      <c r="D2020" s="2">
        <v>46062.57826388889</v>
      </c>
      <c r="E2020" s="1" t="s">
        <v>3761</v>
      </c>
      <c r="F2020" s="1" t="b">
        <v>0</v>
      </c>
    </row>
    <row r="2021">
      <c r="A2021" s="1" t="s">
        <v>1133</v>
      </c>
      <c r="B2021" s="1" t="s">
        <v>2042</v>
      </c>
      <c r="C2021" s="1" t="s">
        <v>1136</v>
      </c>
      <c r="D2021" s="2">
        <v>46062.58224537037</v>
      </c>
      <c r="F2021" s="1" t="b">
        <v>0</v>
      </c>
    </row>
    <row r="2022">
      <c r="A2022" s="1" t="s">
        <v>1133</v>
      </c>
      <c r="B2022" s="1" t="s">
        <v>2042</v>
      </c>
      <c r="C2022" s="1" t="s">
        <v>1136</v>
      </c>
      <c r="D2022" s="2">
        <v>46062.582337962966</v>
      </c>
      <c r="E2022" s="1" t="s">
        <v>2133</v>
      </c>
      <c r="F2022" s="1" t="b">
        <v>0</v>
      </c>
    </row>
    <row r="2023">
      <c r="A2023" s="1" t="s">
        <v>1133</v>
      </c>
      <c r="B2023" s="1" t="s">
        <v>2046</v>
      </c>
      <c r="C2023" s="1">
        <v>607950.0</v>
      </c>
      <c r="D2023" s="2">
        <v>46062.582650462966</v>
      </c>
      <c r="E2023" s="1" t="s">
        <v>2752</v>
      </c>
      <c r="F2023" s="1" t="b">
        <v>0</v>
      </c>
    </row>
    <row r="2024">
      <c r="A2024" s="1" t="s">
        <v>1133</v>
      </c>
      <c r="B2024" s="1" t="s">
        <v>2046</v>
      </c>
      <c r="C2024" s="1">
        <v>607950.0</v>
      </c>
      <c r="D2024" s="2">
        <v>46062.582870370374</v>
      </c>
      <c r="E2024" s="1" t="s">
        <v>2254</v>
      </c>
      <c r="F2024" s="1" t="b">
        <v>1</v>
      </c>
    </row>
    <row r="2025">
      <c r="A2025" s="1" t="s">
        <v>1133</v>
      </c>
      <c r="B2025" s="1" t="s">
        <v>2150</v>
      </c>
      <c r="C2025" s="1" t="s">
        <v>2151</v>
      </c>
      <c r="D2025" s="2">
        <v>46062.58305555556</v>
      </c>
      <c r="E2025" s="1" t="s">
        <v>3762</v>
      </c>
      <c r="F2025" s="1" t="b">
        <v>1</v>
      </c>
    </row>
    <row r="2026">
      <c r="A2026" s="1" t="s">
        <v>1133</v>
      </c>
      <c r="B2026" s="1" t="s">
        <v>2042</v>
      </c>
      <c r="C2026" s="1" t="s">
        <v>1136</v>
      </c>
      <c r="D2026" s="2">
        <v>46062.58306712963</v>
      </c>
      <c r="E2026" s="1" t="s">
        <v>3763</v>
      </c>
      <c r="F2026" s="1" t="b">
        <v>0</v>
      </c>
    </row>
    <row r="2027">
      <c r="A2027" s="1" t="s">
        <v>1133</v>
      </c>
      <c r="B2027" s="1" t="s">
        <v>2046</v>
      </c>
      <c r="C2027" s="1">
        <v>607950.0</v>
      </c>
      <c r="D2027" s="2">
        <v>46062.58545138889</v>
      </c>
      <c r="E2027" s="1" t="s">
        <v>3764</v>
      </c>
      <c r="F2027" s="1" t="b">
        <v>0</v>
      </c>
    </row>
    <row r="2028">
      <c r="A2028" s="1" t="s">
        <v>1133</v>
      </c>
      <c r="B2028" s="1" t="s">
        <v>2042</v>
      </c>
      <c r="C2028" s="1" t="s">
        <v>1136</v>
      </c>
      <c r="D2028" s="2">
        <v>46062.6283912037</v>
      </c>
      <c r="E2028" s="1" t="s">
        <v>3765</v>
      </c>
      <c r="F2028" s="1" t="b">
        <v>0</v>
      </c>
    </row>
    <row r="2029">
      <c r="A2029" s="1" t="s">
        <v>1133</v>
      </c>
      <c r="B2029" s="1" t="s">
        <v>2046</v>
      </c>
      <c r="C2029" s="1">
        <v>607950.0</v>
      </c>
      <c r="D2029" s="2">
        <v>46062.63180555555</v>
      </c>
      <c r="E2029" s="1" t="s">
        <v>3766</v>
      </c>
      <c r="F2029" s="1" t="b">
        <v>0</v>
      </c>
    </row>
    <row r="2030">
      <c r="A2030" s="1" t="s">
        <v>1133</v>
      </c>
      <c r="B2030" s="1" t="s">
        <v>2046</v>
      </c>
      <c r="C2030" s="1">
        <v>607950.0</v>
      </c>
      <c r="D2030" s="2">
        <v>46062.63429398148</v>
      </c>
      <c r="E2030" s="1" t="s">
        <v>3767</v>
      </c>
      <c r="F2030" s="1" t="b">
        <v>0</v>
      </c>
    </row>
    <row r="2031">
      <c r="A2031" s="1" t="s">
        <v>1133</v>
      </c>
      <c r="B2031" s="1" t="s">
        <v>2046</v>
      </c>
      <c r="C2031" s="1">
        <v>607950.0</v>
      </c>
      <c r="D2031" s="2">
        <v>46062.64962962963</v>
      </c>
      <c r="E2031" s="1" t="s">
        <v>2917</v>
      </c>
      <c r="F2031" s="1" t="b">
        <v>0</v>
      </c>
    </row>
    <row r="2032">
      <c r="A2032" s="1" t="s">
        <v>1133</v>
      </c>
      <c r="B2032" s="1" t="s">
        <v>2042</v>
      </c>
      <c r="C2032" s="1" t="s">
        <v>1136</v>
      </c>
      <c r="D2032" s="2">
        <v>46062.65085648148</v>
      </c>
      <c r="E2032" s="1" t="s">
        <v>3768</v>
      </c>
      <c r="F2032" s="1" t="b">
        <v>0</v>
      </c>
    </row>
    <row r="2033">
      <c r="A2033" s="1" t="s">
        <v>1133</v>
      </c>
      <c r="B2033" s="1" t="s">
        <v>2046</v>
      </c>
      <c r="C2033" s="1">
        <v>607950.0</v>
      </c>
      <c r="D2033" s="2">
        <v>46062.65106481482</v>
      </c>
      <c r="E2033" s="1" t="s">
        <v>3769</v>
      </c>
      <c r="F2033" s="1" t="b">
        <v>0</v>
      </c>
    </row>
    <row r="2034">
      <c r="A2034" s="1" t="s">
        <v>1129</v>
      </c>
      <c r="B2034" s="1" t="s">
        <v>2042</v>
      </c>
      <c r="C2034" s="1" t="s">
        <v>1131</v>
      </c>
      <c r="D2034" s="2">
        <v>46062.59018518519</v>
      </c>
      <c r="E2034" s="1" t="s">
        <v>3770</v>
      </c>
      <c r="F2034" s="1" t="b">
        <v>0</v>
      </c>
    </row>
    <row r="2035">
      <c r="A2035" s="1" t="s">
        <v>1129</v>
      </c>
      <c r="B2035" s="1" t="s">
        <v>2042</v>
      </c>
      <c r="C2035" s="1" t="s">
        <v>1131</v>
      </c>
      <c r="D2035" s="2">
        <v>46062.590902777774</v>
      </c>
      <c r="E2035" s="1" t="s">
        <v>3771</v>
      </c>
      <c r="F2035" s="1" t="b">
        <v>0</v>
      </c>
    </row>
    <row r="2036">
      <c r="A2036" s="1" t="s">
        <v>1129</v>
      </c>
      <c r="B2036" s="1" t="s">
        <v>2042</v>
      </c>
      <c r="C2036" s="1" t="s">
        <v>1131</v>
      </c>
      <c r="D2036" s="2">
        <v>46062.59258101852</v>
      </c>
      <c r="E2036" s="1" t="s">
        <v>3772</v>
      </c>
      <c r="F2036" s="1" t="b">
        <v>0</v>
      </c>
    </row>
    <row r="2037">
      <c r="A2037" s="1" t="s">
        <v>1129</v>
      </c>
      <c r="B2037" s="1" t="s">
        <v>2042</v>
      </c>
      <c r="C2037" s="1" t="s">
        <v>1131</v>
      </c>
      <c r="D2037" s="2">
        <v>46062.59376157408</v>
      </c>
      <c r="E2037" s="1" t="s">
        <v>3773</v>
      </c>
      <c r="F2037" s="1" t="b">
        <v>0</v>
      </c>
    </row>
    <row r="2038">
      <c r="A2038" s="1" t="s">
        <v>1127</v>
      </c>
      <c r="B2038" s="1" t="s">
        <v>2042</v>
      </c>
      <c r="C2038" s="1" t="s">
        <v>566</v>
      </c>
      <c r="D2038" s="2">
        <v>46062.59469907408</v>
      </c>
      <c r="E2038" s="1" t="s">
        <v>2933</v>
      </c>
      <c r="F2038" s="1" t="b">
        <v>0</v>
      </c>
    </row>
    <row r="2039">
      <c r="A2039" s="1" t="s">
        <v>1127</v>
      </c>
      <c r="B2039" s="1" t="s">
        <v>2042</v>
      </c>
      <c r="C2039" s="1" t="s">
        <v>566</v>
      </c>
      <c r="D2039" s="2">
        <v>46062.594814814816</v>
      </c>
      <c r="E2039" s="1" t="s">
        <v>3774</v>
      </c>
      <c r="F2039" s="1" t="b">
        <v>0</v>
      </c>
    </row>
    <row r="2040">
      <c r="A2040" s="1" t="s">
        <v>1127</v>
      </c>
      <c r="B2040" s="1" t="s">
        <v>2042</v>
      </c>
      <c r="C2040" s="1" t="s">
        <v>566</v>
      </c>
      <c r="D2040" s="2">
        <v>46062.59491898148</v>
      </c>
      <c r="E2040" s="1" t="s">
        <v>3775</v>
      </c>
      <c r="F2040" s="1" t="b">
        <v>0</v>
      </c>
    </row>
    <row r="2041">
      <c r="A2041" s="1" t="s">
        <v>1123</v>
      </c>
      <c r="B2041" s="1" t="s">
        <v>2042</v>
      </c>
      <c r="C2041" s="1" t="s">
        <v>1125</v>
      </c>
      <c r="D2041" s="2">
        <v>46062.606041666666</v>
      </c>
      <c r="F2041" s="1" t="b">
        <v>0</v>
      </c>
    </row>
    <row r="2042">
      <c r="A2042" s="1" t="s">
        <v>1123</v>
      </c>
      <c r="B2042" s="1" t="s">
        <v>2042</v>
      </c>
      <c r="C2042" s="1" t="s">
        <v>1125</v>
      </c>
      <c r="D2042" s="2">
        <v>46062.606203703705</v>
      </c>
      <c r="E2042" s="1" t="s">
        <v>3776</v>
      </c>
      <c r="F2042" s="1" t="b">
        <v>0</v>
      </c>
    </row>
    <row r="2043">
      <c r="A2043" s="1" t="s">
        <v>1121</v>
      </c>
      <c r="B2043" s="1" t="s">
        <v>2042</v>
      </c>
      <c r="C2043" s="1" t="s">
        <v>281</v>
      </c>
      <c r="D2043" s="2">
        <v>46062.607465277775</v>
      </c>
      <c r="E2043" s="1" t="s">
        <v>2133</v>
      </c>
      <c r="F2043" s="1" t="b">
        <v>0</v>
      </c>
    </row>
    <row r="2044">
      <c r="A2044" s="1" t="s">
        <v>1121</v>
      </c>
      <c r="B2044" s="1" t="s">
        <v>2042</v>
      </c>
      <c r="C2044" s="1" t="s">
        <v>281</v>
      </c>
      <c r="D2044" s="2">
        <v>46062.60755787037</v>
      </c>
      <c r="E2044" s="1" t="s">
        <v>2133</v>
      </c>
      <c r="F2044" s="1" t="b">
        <v>0</v>
      </c>
    </row>
    <row r="2045">
      <c r="A2045" s="1" t="s">
        <v>1121</v>
      </c>
      <c r="B2045" s="1" t="s">
        <v>2042</v>
      </c>
      <c r="C2045" s="1" t="s">
        <v>281</v>
      </c>
      <c r="D2045" s="2">
        <v>46062.60767361111</v>
      </c>
      <c r="E2045" s="1" t="s">
        <v>2933</v>
      </c>
      <c r="F2045" s="1" t="b">
        <v>0</v>
      </c>
    </row>
    <row r="2046">
      <c r="A2046" s="1" t="s">
        <v>1121</v>
      </c>
      <c r="B2046" s="1" t="s">
        <v>2042</v>
      </c>
      <c r="C2046" s="1" t="s">
        <v>281</v>
      </c>
      <c r="D2046" s="2">
        <v>46062.607777777775</v>
      </c>
      <c r="E2046" s="1" t="s">
        <v>3777</v>
      </c>
      <c r="F2046" s="1" t="b">
        <v>0</v>
      </c>
    </row>
    <row r="2047">
      <c r="A2047" s="1" t="s">
        <v>1121</v>
      </c>
      <c r="B2047" s="1" t="s">
        <v>2042</v>
      </c>
      <c r="C2047" s="1" t="s">
        <v>281</v>
      </c>
      <c r="D2047" s="2">
        <v>46062.60784722222</v>
      </c>
      <c r="E2047" s="1" t="s">
        <v>3778</v>
      </c>
      <c r="F2047" s="1" t="b">
        <v>0</v>
      </c>
    </row>
    <row r="2048">
      <c r="A2048" s="1" t="s">
        <v>1121</v>
      </c>
      <c r="B2048" s="1" t="s">
        <v>2046</v>
      </c>
      <c r="C2048" s="1">
        <v>607950.0</v>
      </c>
      <c r="D2048" s="2">
        <v>46062.61027777778</v>
      </c>
      <c r="E2048" s="1" t="s">
        <v>2752</v>
      </c>
      <c r="F2048" s="1" t="b">
        <v>0</v>
      </c>
    </row>
    <row r="2049">
      <c r="A2049" s="1" t="s">
        <v>1121</v>
      </c>
      <c r="B2049" s="1" t="s">
        <v>2042</v>
      </c>
      <c r="C2049" s="1" t="s">
        <v>281</v>
      </c>
      <c r="D2049" s="2">
        <v>46062.61938657407</v>
      </c>
      <c r="E2049" s="1" t="s">
        <v>3779</v>
      </c>
      <c r="F2049" s="1" t="b">
        <v>0</v>
      </c>
    </row>
    <row r="2050">
      <c r="A2050" s="1" t="s">
        <v>1121</v>
      </c>
      <c r="B2050" s="1" t="s">
        <v>2046</v>
      </c>
      <c r="C2050" s="1">
        <v>607950.0</v>
      </c>
      <c r="D2050" s="2">
        <v>46062.62045138889</v>
      </c>
      <c r="E2050" s="1" t="s">
        <v>3780</v>
      </c>
      <c r="F2050" s="1" t="b">
        <v>0</v>
      </c>
    </row>
    <row r="2051">
      <c r="A2051" s="1" t="s">
        <v>1121</v>
      </c>
      <c r="B2051" s="1" t="s">
        <v>2042</v>
      </c>
      <c r="C2051" s="1" t="s">
        <v>281</v>
      </c>
      <c r="D2051" s="2">
        <v>46062.62118055556</v>
      </c>
      <c r="E2051" s="1" t="s">
        <v>3779</v>
      </c>
      <c r="F2051" s="1" t="b">
        <v>0</v>
      </c>
    </row>
    <row r="2052">
      <c r="A2052" s="1" t="s">
        <v>1121</v>
      </c>
      <c r="B2052" s="1" t="s">
        <v>2042</v>
      </c>
      <c r="C2052" s="1" t="s">
        <v>281</v>
      </c>
      <c r="D2052" s="2">
        <v>46062.62123842593</v>
      </c>
      <c r="E2052" s="1" t="s">
        <v>3781</v>
      </c>
      <c r="F2052" s="1" t="b">
        <v>0</v>
      </c>
    </row>
    <row r="2053">
      <c r="A2053" s="1" t="s">
        <v>1121</v>
      </c>
      <c r="B2053" s="1" t="s">
        <v>2046</v>
      </c>
      <c r="C2053" s="1">
        <v>607950.0</v>
      </c>
      <c r="D2053" s="2">
        <v>46063.412569444445</v>
      </c>
      <c r="E2053" s="1" t="s">
        <v>3782</v>
      </c>
      <c r="F2053" s="1" t="b">
        <v>0</v>
      </c>
    </row>
    <row r="2054">
      <c r="A2054" s="1" t="s">
        <v>1117</v>
      </c>
      <c r="B2054" s="1" t="s">
        <v>2042</v>
      </c>
      <c r="C2054" s="1" t="s">
        <v>3783</v>
      </c>
      <c r="D2054" s="2">
        <v>46062.62228009259</v>
      </c>
      <c r="E2054" s="1" t="s">
        <v>3784</v>
      </c>
      <c r="F2054" s="1" t="b">
        <v>0</v>
      </c>
    </row>
    <row r="2055">
      <c r="A2055" s="1" t="s">
        <v>1104</v>
      </c>
      <c r="B2055" s="1" t="s">
        <v>2042</v>
      </c>
      <c r="C2055" s="1" t="s">
        <v>3785</v>
      </c>
      <c r="D2055" s="2">
        <v>46062.649513888886</v>
      </c>
      <c r="E2055" s="1" t="s">
        <v>3786</v>
      </c>
      <c r="F2055" s="1" t="b">
        <v>0</v>
      </c>
    </row>
    <row r="2056">
      <c r="A2056" s="1" t="s">
        <v>1104</v>
      </c>
      <c r="B2056" s="1" t="s">
        <v>2042</v>
      </c>
      <c r="C2056" s="1" t="s">
        <v>3785</v>
      </c>
      <c r="D2056" s="2">
        <v>46062.64990740741</v>
      </c>
      <c r="E2056" s="1" t="s">
        <v>3787</v>
      </c>
      <c r="F2056" s="1" t="b">
        <v>0</v>
      </c>
    </row>
    <row r="2057">
      <c r="A2057" s="1" t="s">
        <v>1104</v>
      </c>
      <c r="B2057" s="1" t="s">
        <v>2042</v>
      </c>
      <c r="C2057" s="1" t="s">
        <v>3785</v>
      </c>
      <c r="D2057" s="2">
        <v>46062.65011574074</v>
      </c>
      <c r="E2057" s="1" t="s">
        <v>2133</v>
      </c>
      <c r="F2057" s="1" t="b">
        <v>0</v>
      </c>
    </row>
    <row r="2058">
      <c r="A2058" s="1" t="s">
        <v>1100</v>
      </c>
      <c r="B2058" s="1" t="s">
        <v>2042</v>
      </c>
      <c r="C2058" s="1" t="s">
        <v>1102</v>
      </c>
      <c r="D2058" s="2">
        <v>46062.66680555556</v>
      </c>
      <c r="E2058" s="1" t="s">
        <v>3788</v>
      </c>
      <c r="F2058" s="1" t="b">
        <v>0</v>
      </c>
    </row>
    <row r="2059">
      <c r="A2059" s="1" t="s">
        <v>1098</v>
      </c>
      <c r="B2059" s="1" t="s">
        <v>2042</v>
      </c>
      <c r="C2059" s="1" t="s">
        <v>1096</v>
      </c>
      <c r="D2059" s="2">
        <v>46062.66846064815</v>
      </c>
      <c r="E2059" s="1" t="s">
        <v>3789</v>
      </c>
      <c r="F2059" s="1" t="b">
        <v>0</v>
      </c>
    </row>
    <row r="2060">
      <c r="A2060" s="1" t="s">
        <v>1094</v>
      </c>
      <c r="B2060" s="1" t="s">
        <v>2042</v>
      </c>
      <c r="C2060" s="1" t="s">
        <v>1096</v>
      </c>
      <c r="D2060" s="2">
        <v>46062.66908564815</v>
      </c>
      <c r="E2060" s="1" t="s">
        <v>3790</v>
      </c>
      <c r="F2060" s="1" t="b">
        <v>0</v>
      </c>
    </row>
    <row r="2061">
      <c r="A2061" s="1" t="s">
        <v>1094</v>
      </c>
      <c r="B2061" s="1" t="s">
        <v>2042</v>
      </c>
      <c r="C2061" s="1" t="s">
        <v>1096</v>
      </c>
      <c r="D2061" s="2">
        <v>46062.66924768518</v>
      </c>
      <c r="E2061" s="1" t="s">
        <v>3791</v>
      </c>
      <c r="F2061" s="1" t="b">
        <v>0</v>
      </c>
    </row>
    <row r="2062">
      <c r="A2062" s="1" t="s">
        <v>1086</v>
      </c>
      <c r="B2062" s="1" t="s">
        <v>2042</v>
      </c>
      <c r="C2062" s="1" t="s">
        <v>1088</v>
      </c>
      <c r="D2062" s="2">
        <v>46062.712430555555</v>
      </c>
      <c r="E2062" s="1" t="s">
        <v>3792</v>
      </c>
      <c r="F2062" s="1" t="b">
        <v>0</v>
      </c>
    </row>
    <row r="2063">
      <c r="A2063" s="1" t="s">
        <v>1082</v>
      </c>
      <c r="B2063" s="1" t="s">
        <v>2042</v>
      </c>
      <c r="C2063" s="1" t="s">
        <v>1084</v>
      </c>
      <c r="D2063" s="2">
        <v>46062.72497685185</v>
      </c>
      <c r="E2063" s="1" t="s">
        <v>2133</v>
      </c>
      <c r="F2063" s="1" t="b">
        <v>0</v>
      </c>
    </row>
    <row r="2064">
      <c r="A2064" s="1" t="s">
        <v>1082</v>
      </c>
      <c r="B2064" s="1" t="s">
        <v>2042</v>
      </c>
      <c r="C2064" s="1" t="s">
        <v>1084</v>
      </c>
      <c r="D2064" s="2">
        <v>46062.72539351852</v>
      </c>
      <c r="E2064" s="1" t="s">
        <v>3793</v>
      </c>
      <c r="F2064" s="1" t="b">
        <v>0</v>
      </c>
    </row>
    <row r="2065">
      <c r="A2065" s="1" t="s">
        <v>1082</v>
      </c>
      <c r="B2065" s="1" t="s">
        <v>2042</v>
      </c>
      <c r="C2065" s="1" t="s">
        <v>1084</v>
      </c>
      <c r="D2065" s="2">
        <v>46062.72586805555</v>
      </c>
      <c r="E2065" s="1" t="s">
        <v>3794</v>
      </c>
      <c r="F2065" s="1" t="b">
        <v>0</v>
      </c>
    </row>
    <row r="2066">
      <c r="A2066" s="1" t="s">
        <v>1082</v>
      </c>
      <c r="B2066" s="1" t="s">
        <v>2042</v>
      </c>
      <c r="C2066" s="1" t="s">
        <v>1084</v>
      </c>
      <c r="D2066" s="2">
        <v>46062.72650462963</v>
      </c>
      <c r="E2066" s="1" t="s">
        <v>3795</v>
      </c>
      <c r="F2066" s="1" t="b">
        <v>0</v>
      </c>
    </row>
    <row r="2067">
      <c r="A2067" s="1" t="s">
        <v>1082</v>
      </c>
      <c r="B2067" s="1" t="s">
        <v>2042</v>
      </c>
      <c r="C2067" s="1" t="s">
        <v>1084</v>
      </c>
      <c r="D2067" s="2">
        <v>46062.728483796294</v>
      </c>
      <c r="E2067" s="1" t="s">
        <v>3796</v>
      </c>
      <c r="F2067" s="1" t="b">
        <v>0</v>
      </c>
    </row>
    <row r="2068">
      <c r="A2068" s="1" t="s">
        <v>1082</v>
      </c>
      <c r="B2068" s="1" t="s">
        <v>2042</v>
      </c>
      <c r="C2068" s="1" t="s">
        <v>1084</v>
      </c>
      <c r="D2068" s="2">
        <v>46062.72908564815</v>
      </c>
      <c r="E2068" s="1" t="s">
        <v>3797</v>
      </c>
      <c r="F2068" s="1" t="b">
        <v>0</v>
      </c>
    </row>
    <row r="2069">
      <c r="A2069" s="1" t="s">
        <v>1082</v>
      </c>
      <c r="B2069" s="1" t="s">
        <v>2046</v>
      </c>
      <c r="C2069" s="1">
        <v>574085.0</v>
      </c>
      <c r="D2069" s="2">
        <v>46062.754166666666</v>
      </c>
      <c r="E2069" s="1" t="s">
        <v>3798</v>
      </c>
      <c r="F2069" s="1" t="b">
        <v>1</v>
      </c>
    </row>
    <row r="2070">
      <c r="A2070" s="1" t="s">
        <v>1082</v>
      </c>
      <c r="B2070" s="1" t="s">
        <v>2046</v>
      </c>
      <c r="C2070" s="1">
        <v>594863.0</v>
      </c>
      <c r="D2070" s="2">
        <v>46063.43675925926</v>
      </c>
      <c r="E2070" s="1" t="s">
        <v>3799</v>
      </c>
      <c r="F2070" s="1" t="b">
        <v>0</v>
      </c>
    </row>
    <row r="2071">
      <c r="A2071" s="1" t="s">
        <v>1082</v>
      </c>
      <c r="B2071" s="1" t="s">
        <v>2042</v>
      </c>
      <c r="C2071" s="1" t="s">
        <v>1084</v>
      </c>
      <c r="D2071" s="2">
        <v>46063.44763888889</v>
      </c>
      <c r="F2071" s="1" t="b">
        <v>0</v>
      </c>
    </row>
    <row r="2072">
      <c r="A2072" s="1" t="s">
        <v>1082</v>
      </c>
      <c r="B2072" s="1" t="s">
        <v>2042</v>
      </c>
      <c r="C2072" s="1" t="s">
        <v>1084</v>
      </c>
      <c r="D2072" s="2">
        <v>46063.44771990741</v>
      </c>
      <c r="E2072" s="1" t="s">
        <v>3800</v>
      </c>
      <c r="F2072" s="1" t="b">
        <v>0</v>
      </c>
    </row>
    <row r="2073">
      <c r="A2073" s="1" t="s">
        <v>1082</v>
      </c>
      <c r="B2073" s="1" t="s">
        <v>2042</v>
      </c>
      <c r="C2073" s="1" t="s">
        <v>1084</v>
      </c>
      <c r="D2073" s="2">
        <v>46063.44797453703</v>
      </c>
      <c r="E2073" s="1" t="s">
        <v>3801</v>
      </c>
      <c r="F2073" s="1" t="b">
        <v>0</v>
      </c>
    </row>
    <row r="2074">
      <c r="A2074" s="1" t="s">
        <v>1082</v>
      </c>
      <c r="B2074" s="1" t="s">
        <v>2046</v>
      </c>
      <c r="C2074" s="1">
        <v>594863.0</v>
      </c>
      <c r="D2074" s="2">
        <v>46063.45085648148</v>
      </c>
      <c r="E2074" s="1" t="s">
        <v>3802</v>
      </c>
      <c r="F2074" s="1" t="b">
        <v>0</v>
      </c>
    </row>
    <row r="2075">
      <c r="A2075" s="1" t="s">
        <v>1082</v>
      </c>
      <c r="B2075" s="1" t="s">
        <v>2046</v>
      </c>
      <c r="C2075" s="1">
        <v>594863.0</v>
      </c>
      <c r="D2075" s="2">
        <v>46063.51597222222</v>
      </c>
      <c r="E2075" s="1" t="s">
        <v>3803</v>
      </c>
      <c r="F2075" s="1" t="b">
        <v>0</v>
      </c>
    </row>
    <row r="2076">
      <c r="A2076" s="1" t="s">
        <v>1082</v>
      </c>
      <c r="B2076" s="1" t="s">
        <v>2042</v>
      </c>
      <c r="C2076" s="1" t="s">
        <v>1084</v>
      </c>
      <c r="D2076" s="2">
        <v>46063.539768518516</v>
      </c>
      <c r="E2076" s="1" t="s">
        <v>3804</v>
      </c>
      <c r="F2076" s="1" t="b">
        <v>0</v>
      </c>
    </row>
    <row r="2077">
      <c r="A2077" s="1" t="s">
        <v>1082</v>
      </c>
      <c r="B2077" s="1" t="s">
        <v>2042</v>
      </c>
      <c r="C2077" s="1" t="s">
        <v>1084</v>
      </c>
      <c r="D2077" s="2">
        <v>46063.5580787037</v>
      </c>
      <c r="E2077" s="1" t="s">
        <v>3805</v>
      </c>
      <c r="F2077" s="1" t="b">
        <v>0</v>
      </c>
    </row>
    <row r="2078">
      <c r="A2078" s="1" t="s">
        <v>1082</v>
      </c>
      <c r="B2078" s="1" t="s">
        <v>2046</v>
      </c>
      <c r="C2078" s="1">
        <v>594863.0</v>
      </c>
      <c r="D2078" s="2">
        <v>46063.57326388889</v>
      </c>
      <c r="E2078" s="1" t="s">
        <v>3806</v>
      </c>
      <c r="F2078" s="1" t="b">
        <v>0</v>
      </c>
    </row>
    <row r="2079">
      <c r="A2079" s="1" t="s">
        <v>1082</v>
      </c>
      <c r="B2079" s="1" t="s">
        <v>2046</v>
      </c>
      <c r="C2079" s="1">
        <v>594863.0</v>
      </c>
      <c r="D2079" s="2">
        <v>46063.573275462964</v>
      </c>
      <c r="E2079" s="1" t="s">
        <v>2108</v>
      </c>
      <c r="F2079" s="1" t="b">
        <v>0</v>
      </c>
    </row>
    <row r="2080">
      <c r="A2080" s="1" t="s">
        <v>1078</v>
      </c>
      <c r="B2080" s="1" t="s">
        <v>2042</v>
      </c>
      <c r="C2080" s="1" t="s">
        <v>1080</v>
      </c>
      <c r="D2080" s="2">
        <v>46062.78238425926</v>
      </c>
      <c r="E2080" s="1" t="s">
        <v>3807</v>
      </c>
      <c r="F2080" s="1" t="b">
        <v>0</v>
      </c>
    </row>
    <row r="2081">
      <c r="A2081" s="1" t="s">
        <v>1074</v>
      </c>
      <c r="B2081" s="1" t="s">
        <v>2042</v>
      </c>
      <c r="C2081" s="1" t="s">
        <v>1076</v>
      </c>
      <c r="D2081" s="2">
        <v>46062.796875</v>
      </c>
      <c r="E2081" s="1" t="s">
        <v>3808</v>
      </c>
      <c r="F2081" s="1" t="b">
        <v>0</v>
      </c>
    </row>
    <row r="2082">
      <c r="A2082" s="1" t="s">
        <v>1074</v>
      </c>
      <c r="B2082" s="1" t="s">
        <v>2042</v>
      </c>
      <c r="C2082" s="1" t="s">
        <v>1076</v>
      </c>
      <c r="D2082" s="2">
        <v>46062.797002314815</v>
      </c>
      <c r="E2082" s="1" t="s">
        <v>3809</v>
      </c>
      <c r="F2082" s="1" t="b">
        <v>0</v>
      </c>
    </row>
    <row r="2083">
      <c r="A2083" s="1" t="s">
        <v>1074</v>
      </c>
      <c r="B2083" s="1" t="s">
        <v>2042</v>
      </c>
      <c r="C2083" s="1" t="s">
        <v>1076</v>
      </c>
      <c r="D2083" s="2">
        <v>46062.79717592592</v>
      </c>
      <c r="E2083" s="1" t="s">
        <v>3810</v>
      </c>
      <c r="F2083" s="1" t="b">
        <v>0</v>
      </c>
    </row>
    <row r="2084">
      <c r="A2084" s="1" t="s">
        <v>1070</v>
      </c>
      <c r="B2084" s="1" t="s">
        <v>2042</v>
      </c>
      <c r="C2084" s="1" t="s">
        <v>1072</v>
      </c>
      <c r="D2084" s="2">
        <v>46062.79790509259</v>
      </c>
      <c r="E2084" s="1" t="s">
        <v>3811</v>
      </c>
      <c r="F2084" s="1" t="b">
        <v>0</v>
      </c>
    </row>
    <row r="2085">
      <c r="A2085" s="1" t="s">
        <v>1070</v>
      </c>
      <c r="B2085" s="1" t="s">
        <v>2042</v>
      </c>
      <c r="C2085" s="1" t="s">
        <v>1072</v>
      </c>
      <c r="D2085" s="2">
        <v>46062.79828703704</v>
      </c>
      <c r="E2085" s="1" t="s">
        <v>3812</v>
      </c>
      <c r="F2085" s="1" t="b">
        <v>0</v>
      </c>
    </row>
    <row r="2086">
      <c r="A2086" s="1" t="s">
        <v>1070</v>
      </c>
      <c r="B2086" s="1" t="s">
        <v>2042</v>
      </c>
      <c r="C2086" s="1" t="s">
        <v>1072</v>
      </c>
      <c r="D2086" s="2">
        <v>46062.79850694445</v>
      </c>
      <c r="E2086" s="1" t="s">
        <v>3813</v>
      </c>
      <c r="F2086" s="1" t="b">
        <v>0</v>
      </c>
    </row>
    <row r="2087">
      <c r="A2087" s="1" t="s">
        <v>1066</v>
      </c>
      <c r="B2087" s="1" t="s">
        <v>2042</v>
      </c>
      <c r="C2087" s="1" t="s">
        <v>1068</v>
      </c>
      <c r="D2087" s="2">
        <v>46062.80987268518</v>
      </c>
      <c r="E2087" s="1" t="s">
        <v>3814</v>
      </c>
      <c r="F2087" s="1" t="b">
        <v>0</v>
      </c>
    </row>
    <row r="2088">
      <c r="A2088" s="1" t="s">
        <v>1066</v>
      </c>
      <c r="B2088" s="1" t="s">
        <v>2042</v>
      </c>
      <c r="C2088" s="1" t="s">
        <v>1068</v>
      </c>
      <c r="D2088" s="2">
        <v>46062.8137037037</v>
      </c>
      <c r="E2088" s="1" t="s">
        <v>3815</v>
      </c>
      <c r="F2088" s="1" t="b">
        <v>0</v>
      </c>
    </row>
    <row r="2089">
      <c r="A2089" s="1" t="s">
        <v>1066</v>
      </c>
      <c r="B2089" s="1" t="s">
        <v>2042</v>
      </c>
      <c r="C2089" s="1" t="s">
        <v>1068</v>
      </c>
      <c r="D2089" s="2">
        <v>46062.814421296294</v>
      </c>
      <c r="E2089" s="1" t="s">
        <v>3816</v>
      </c>
      <c r="F2089" s="1" t="b">
        <v>0</v>
      </c>
    </row>
    <row r="2090">
      <c r="A2090" s="1" t="s">
        <v>1064</v>
      </c>
      <c r="B2090" s="1" t="s">
        <v>2042</v>
      </c>
      <c r="C2090" s="1" t="s">
        <v>717</v>
      </c>
      <c r="D2090" s="2">
        <v>46062.813472222224</v>
      </c>
      <c r="E2090" s="1" t="s">
        <v>3817</v>
      </c>
      <c r="F2090" s="1" t="b">
        <v>0</v>
      </c>
    </row>
    <row r="2091">
      <c r="A2091" s="1" t="s">
        <v>1064</v>
      </c>
      <c r="B2091" s="1" t="s">
        <v>2042</v>
      </c>
      <c r="C2091" s="1" t="s">
        <v>717</v>
      </c>
      <c r="D2091" s="2">
        <v>46062.81502314815</v>
      </c>
      <c r="F2091" s="1" t="b">
        <v>0</v>
      </c>
    </row>
    <row r="2092">
      <c r="A2092" s="1" t="s">
        <v>1064</v>
      </c>
      <c r="B2092" s="1" t="s">
        <v>2042</v>
      </c>
      <c r="C2092" s="1" t="s">
        <v>717</v>
      </c>
      <c r="D2092" s="2">
        <v>46062.81523148148</v>
      </c>
      <c r="E2092" s="1" t="s">
        <v>3818</v>
      </c>
      <c r="F2092" s="1" t="b">
        <v>0</v>
      </c>
    </row>
    <row r="2093">
      <c r="A2093" s="1" t="s">
        <v>1060</v>
      </c>
      <c r="B2093" s="1" t="s">
        <v>2042</v>
      </c>
      <c r="C2093" s="1" t="s">
        <v>1062</v>
      </c>
      <c r="D2093" s="2">
        <v>46063.4174537037</v>
      </c>
      <c r="E2093" s="1" t="s">
        <v>3819</v>
      </c>
      <c r="F2093" s="1" t="b">
        <v>0</v>
      </c>
    </row>
    <row r="2094">
      <c r="A2094" s="1" t="s">
        <v>1056</v>
      </c>
      <c r="B2094" s="1" t="s">
        <v>2042</v>
      </c>
      <c r="C2094" s="1" t="s">
        <v>1058</v>
      </c>
      <c r="D2094" s="2">
        <v>46063.42193287037</v>
      </c>
      <c r="E2094" s="1" t="s">
        <v>3820</v>
      </c>
      <c r="F2094" s="1" t="b">
        <v>0</v>
      </c>
    </row>
    <row r="2095">
      <c r="A2095" s="1" t="s">
        <v>1056</v>
      </c>
      <c r="B2095" s="1" t="s">
        <v>2042</v>
      </c>
      <c r="C2095" s="1" t="s">
        <v>1058</v>
      </c>
      <c r="D2095" s="2">
        <v>46063.423726851855</v>
      </c>
      <c r="E2095" s="1" t="s">
        <v>3821</v>
      </c>
      <c r="F2095" s="1" t="b">
        <v>0</v>
      </c>
    </row>
    <row r="2096">
      <c r="A2096" s="1" t="s">
        <v>1056</v>
      </c>
      <c r="B2096" s="1" t="s">
        <v>2042</v>
      </c>
      <c r="C2096" s="1" t="s">
        <v>1058</v>
      </c>
      <c r="D2096" s="2">
        <v>46063.424305555556</v>
      </c>
      <c r="E2096" s="1" t="s">
        <v>3822</v>
      </c>
      <c r="F2096" s="1" t="b">
        <v>0</v>
      </c>
    </row>
    <row r="2097">
      <c r="A2097" s="1" t="s">
        <v>1052</v>
      </c>
      <c r="B2097" s="1" t="s">
        <v>2042</v>
      </c>
      <c r="C2097" s="1" t="s">
        <v>1054</v>
      </c>
      <c r="D2097" s="2">
        <v>46063.42996527778</v>
      </c>
      <c r="E2097" s="1" t="s">
        <v>3823</v>
      </c>
      <c r="F2097" s="1" t="b">
        <v>0</v>
      </c>
    </row>
    <row r="2098">
      <c r="A2098" s="1" t="s">
        <v>1048</v>
      </c>
      <c r="B2098" s="1" t="s">
        <v>2042</v>
      </c>
      <c r="C2098" s="1" t="s">
        <v>1050</v>
      </c>
      <c r="D2098" s="2">
        <v>46063.44783564815</v>
      </c>
      <c r="E2098" s="1" t="s">
        <v>3824</v>
      </c>
      <c r="F2098" s="1" t="b">
        <v>0</v>
      </c>
    </row>
    <row r="2099">
      <c r="A2099" s="1" t="s">
        <v>1048</v>
      </c>
      <c r="B2099" s="1" t="s">
        <v>2042</v>
      </c>
      <c r="C2099" s="1" t="s">
        <v>1050</v>
      </c>
      <c r="D2099" s="2">
        <v>46063.44954861111</v>
      </c>
      <c r="E2099" s="1" t="s">
        <v>3825</v>
      </c>
      <c r="F2099" s="1" t="b">
        <v>0</v>
      </c>
    </row>
    <row r="2100">
      <c r="A2100" s="1" t="s">
        <v>1048</v>
      </c>
      <c r="B2100" s="1" t="s">
        <v>2042</v>
      </c>
      <c r="C2100" s="1" t="s">
        <v>1050</v>
      </c>
      <c r="D2100" s="2">
        <v>46063.45174768518</v>
      </c>
      <c r="E2100" s="1" t="s">
        <v>3826</v>
      </c>
      <c r="F2100" s="1" t="b">
        <v>0</v>
      </c>
    </row>
    <row r="2101">
      <c r="A2101" s="1" t="s">
        <v>1048</v>
      </c>
      <c r="B2101" s="1" t="s">
        <v>2042</v>
      </c>
      <c r="C2101" s="1" t="s">
        <v>1050</v>
      </c>
      <c r="D2101" s="2">
        <v>46063.4525</v>
      </c>
      <c r="E2101" s="1" t="s">
        <v>3827</v>
      </c>
      <c r="F2101" s="1" t="b">
        <v>0</v>
      </c>
    </row>
    <row r="2102">
      <c r="A2102" s="1" t="s">
        <v>1044</v>
      </c>
      <c r="B2102" s="1" t="s">
        <v>2042</v>
      </c>
      <c r="C2102" s="1" t="s">
        <v>1046</v>
      </c>
      <c r="D2102" s="2">
        <v>46063.459131944444</v>
      </c>
      <c r="E2102" s="1" t="s">
        <v>3828</v>
      </c>
      <c r="F2102" s="1" t="b">
        <v>0</v>
      </c>
    </row>
    <row r="2103">
      <c r="A2103" s="1" t="s">
        <v>1044</v>
      </c>
      <c r="B2103" s="1" t="s">
        <v>2042</v>
      </c>
      <c r="C2103" s="1" t="s">
        <v>1046</v>
      </c>
      <c r="D2103" s="2">
        <v>46063.45923611111</v>
      </c>
      <c r="E2103" s="1" t="s">
        <v>3829</v>
      </c>
      <c r="F2103" s="1" t="b">
        <v>0</v>
      </c>
    </row>
    <row r="2104">
      <c r="A2104" s="1" t="s">
        <v>1044</v>
      </c>
      <c r="B2104" s="1" t="s">
        <v>2042</v>
      </c>
      <c r="C2104" s="1" t="s">
        <v>1046</v>
      </c>
      <c r="D2104" s="2">
        <v>46063.46107638889</v>
      </c>
      <c r="E2104" s="1" t="s">
        <v>3830</v>
      </c>
      <c r="F2104" s="1" t="b">
        <v>0</v>
      </c>
    </row>
    <row r="2105">
      <c r="A2105" s="1" t="s">
        <v>1044</v>
      </c>
      <c r="B2105" s="1" t="s">
        <v>2042</v>
      </c>
      <c r="C2105" s="1" t="s">
        <v>1046</v>
      </c>
      <c r="D2105" s="2">
        <v>46063.46256944445</v>
      </c>
      <c r="E2105" s="1" t="s">
        <v>3831</v>
      </c>
      <c r="F2105" s="1" t="b">
        <v>0</v>
      </c>
    </row>
    <row r="2106">
      <c r="A2106" s="1" t="s">
        <v>1044</v>
      </c>
      <c r="B2106" s="1" t="s">
        <v>2042</v>
      </c>
      <c r="C2106" s="1" t="s">
        <v>1046</v>
      </c>
      <c r="D2106" s="2">
        <v>46063.46288194445</v>
      </c>
      <c r="E2106" s="1" t="s">
        <v>3832</v>
      </c>
      <c r="F2106" s="1" t="b">
        <v>0</v>
      </c>
    </row>
    <row r="2107">
      <c r="A2107" s="1" t="s">
        <v>1044</v>
      </c>
      <c r="B2107" s="1" t="s">
        <v>2042</v>
      </c>
      <c r="C2107" s="1" t="s">
        <v>1046</v>
      </c>
      <c r="D2107" s="2">
        <v>46063.47262731481</v>
      </c>
      <c r="E2107" s="1" t="s">
        <v>3833</v>
      </c>
      <c r="F2107" s="1" t="b">
        <v>0</v>
      </c>
    </row>
    <row r="2108">
      <c r="A2108" s="1" t="s">
        <v>1044</v>
      </c>
      <c r="B2108" s="1" t="s">
        <v>2046</v>
      </c>
      <c r="C2108" s="1">
        <v>607950.0</v>
      </c>
      <c r="D2108" s="2">
        <v>46063.47284722222</v>
      </c>
      <c r="E2108" s="1" t="s">
        <v>3834</v>
      </c>
      <c r="F2108" s="1" t="b">
        <v>0</v>
      </c>
    </row>
    <row r="2109">
      <c r="A2109" s="1" t="s">
        <v>1044</v>
      </c>
      <c r="B2109" s="1" t="s">
        <v>2046</v>
      </c>
      <c r="C2109" s="1">
        <v>594863.0</v>
      </c>
      <c r="D2109" s="2">
        <v>46063.47394675926</v>
      </c>
      <c r="E2109" s="1" t="s">
        <v>3835</v>
      </c>
      <c r="F2109" s="1" t="b">
        <v>0</v>
      </c>
    </row>
    <row r="2110">
      <c r="A2110" s="1" t="s">
        <v>1044</v>
      </c>
      <c r="B2110" s="1" t="s">
        <v>2046</v>
      </c>
      <c r="C2110" s="1">
        <v>594863.0</v>
      </c>
      <c r="D2110" s="2">
        <v>46063.49177083333</v>
      </c>
      <c r="E2110" s="1" t="s">
        <v>3836</v>
      </c>
      <c r="F2110" s="1" t="b">
        <v>0</v>
      </c>
    </row>
    <row r="2111">
      <c r="A2111" s="1" t="s">
        <v>1044</v>
      </c>
      <c r="B2111" s="1" t="s">
        <v>2046</v>
      </c>
      <c r="C2111" s="1">
        <v>594863.0</v>
      </c>
      <c r="D2111" s="2">
        <v>46063.491793981484</v>
      </c>
      <c r="E2111" s="1" t="s">
        <v>2108</v>
      </c>
      <c r="F2111" s="1" t="b">
        <v>0</v>
      </c>
    </row>
    <row r="2112">
      <c r="A2112" s="1" t="s">
        <v>1039</v>
      </c>
      <c r="B2112" s="1" t="s">
        <v>2042</v>
      </c>
      <c r="C2112" s="1" t="s">
        <v>1042</v>
      </c>
      <c r="D2112" s="2">
        <v>46063.46052083333</v>
      </c>
      <c r="E2112" s="1" t="s">
        <v>3837</v>
      </c>
      <c r="F2112" s="1" t="b">
        <v>0</v>
      </c>
    </row>
    <row r="2113">
      <c r="A2113" s="1" t="s">
        <v>1039</v>
      </c>
      <c r="B2113" s="1" t="s">
        <v>2042</v>
      </c>
      <c r="C2113" s="1" t="s">
        <v>1042</v>
      </c>
      <c r="D2113" s="2">
        <v>46063.46107638889</v>
      </c>
      <c r="E2113" s="1" t="s">
        <v>3838</v>
      </c>
      <c r="F2113" s="1" t="b">
        <v>0</v>
      </c>
    </row>
    <row r="2114">
      <c r="A2114" s="1" t="s">
        <v>1039</v>
      </c>
      <c r="B2114" s="1" t="s">
        <v>2046</v>
      </c>
      <c r="C2114" s="1">
        <v>574085.0</v>
      </c>
      <c r="D2114" s="2">
        <v>46063.47761574074</v>
      </c>
      <c r="E2114" s="1" t="s">
        <v>3839</v>
      </c>
      <c r="F2114" s="1" t="b">
        <v>0</v>
      </c>
    </row>
    <row r="2115">
      <c r="A2115" s="1" t="s">
        <v>1039</v>
      </c>
      <c r="B2115" s="1" t="s">
        <v>2042</v>
      </c>
      <c r="C2115" s="1" t="s">
        <v>1042</v>
      </c>
      <c r="D2115" s="2">
        <v>46063.49868055555</v>
      </c>
      <c r="E2115" s="1" t="s">
        <v>3840</v>
      </c>
      <c r="F2115" s="1" t="b">
        <v>0</v>
      </c>
    </row>
    <row r="2116">
      <c r="A2116" s="1" t="s">
        <v>1039</v>
      </c>
      <c r="B2116" s="1" t="s">
        <v>2046</v>
      </c>
      <c r="C2116" s="1">
        <v>574085.0</v>
      </c>
      <c r="D2116" s="2">
        <v>46063.50880787037</v>
      </c>
      <c r="E2116" s="1" t="s">
        <v>3841</v>
      </c>
      <c r="F2116" s="1" t="b">
        <v>0</v>
      </c>
    </row>
    <row r="2117">
      <c r="A2117" s="1" t="s">
        <v>1039</v>
      </c>
      <c r="B2117" s="1" t="s">
        <v>2042</v>
      </c>
      <c r="C2117" s="1" t="s">
        <v>1042</v>
      </c>
      <c r="D2117" s="2">
        <v>46063.51525462963</v>
      </c>
      <c r="E2117" s="1" t="s">
        <v>3842</v>
      </c>
      <c r="F2117" s="1" t="b">
        <v>0</v>
      </c>
    </row>
    <row r="2118">
      <c r="A2118" s="1" t="s">
        <v>1039</v>
      </c>
      <c r="B2118" s="1" t="s">
        <v>2046</v>
      </c>
      <c r="C2118" s="1">
        <v>574085.0</v>
      </c>
      <c r="D2118" s="2">
        <v>46063.51537037037</v>
      </c>
      <c r="E2118" s="1" t="s">
        <v>3843</v>
      </c>
      <c r="F2118" s="1" t="b">
        <v>0</v>
      </c>
    </row>
    <row r="2119">
      <c r="A2119" s="1" t="s">
        <v>1035</v>
      </c>
      <c r="B2119" s="1" t="s">
        <v>2042</v>
      </c>
      <c r="C2119" s="1" t="s">
        <v>1037</v>
      </c>
      <c r="D2119" s="2">
        <v>46063.475902777776</v>
      </c>
      <c r="E2119" s="1" t="s">
        <v>2933</v>
      </c>
      <c r="F2119" s="1" t="b">
        <v>0</v>
      </c>
    </row>
    <row r="2120">
      <c r="A2120" s="1" t="s">
        <v>1035</v>
      </c>
      <c r="B2120" s="1" t="s">
        <v>2042</v>
      </c>
      <c r="C2120" s="1" t="s">
        <v>1037</v>
      </c>
      <c r="D2120" s="2">
        <v>46063.47630787037</v>
      </c>
      <c r="E2120" s="1" t="s">
        <v>3844</v>
      </c>
      <c r="F2120" s="1" t="b">
        <v>0</v>
      </c>
    </row>
    <row r="2121">
      <c r="A2121" s="1" t="s">
        <v>1028</v>
      </c>
      <c r="B2121" s="1" t="s">
        <v>2042</v>
      </c>
      <c r="C2121" s="1" t="s">
        <v>1030</v>
      </c>
      <c r="D2121" s="2">
        <v>46063.48799768519</v>
      </c>
      <c r="E2121" s="1" t="s">
        <v>3845</v>
      </c>
      <c r="F2121" s="1" t="b">
        <v>0</v>
      </c>
    </row>
    <row r="2122">
      <c r="A2122" s="1" t="s">
        <v>1028</v>
      </c>
      <c r="B2122" s="1" t="s">
        <v>2042</v>
      </c>
      <c r="C2122" s="1" t="s">
        <v>1030</v>
      </c>
      <c r="D2122" s="2">
        <v>46063.48806712963</v>
      </c>
      <c r="E2122" s="1" t="s">
        <v>3846</v>
      </c>
      <c r="F2122" s="1" t="b">
        <v>0</v>
      </c>
    </row>
    <row r="2123">
      <c r="A2123" s="1" t="s">
        <v>1028</v>
      </c>
      <c r="B2123" s="1" t="s">
        <v>2042</v>
      </c>
      <c r="C2123" s="1" t="s">
        <v>1030</v>
      </c>
      <c r="D2123" s="2">
        <v>46064.42659722222</v>
      </c>
      <c r="E2123" s="1" t="s">
        <v>3847</v>
      </c>
      <c r="F2123" s="1" t="b">
        <v>0</v>
      </c>
    </row>
    <row r="2124">
      <c r="A2124" s="1" t="s">
        <v>1024</v>
      </c>
      <c r="B2124" s="1" t="s">
        <v>2042</v>
      </c>
      <c r="C2124" s="1" t="s">
        <v>1026</v>
      </c>
      <c r="D2124" s="2">
        <v>46063.51084490741</v>
      </c>
      <c r="E2124" s="1" t="s">
        <v>3848</v>
      </c>
      <c r="F2124" s="1" t="b">
        <v>0</v>
      </c>
    </row>
    <row r="2125">
      <c r="A2125" s="1" t="s">
        <v>1015</v>
      </c>
      <c r="B2125" s="1" t="s">
        <v>2042</v>
      </c>
      <c r="C2125" s="1" t="s">
        <v>1017</v>
      </c>
      <c r="D2125" s="2">
        <v>46063.53792824074</v>
      </c>
      <c r="E2125" s="1" t="s">
        <v>3849</v>
      </c>
      <c r="F2125" s="1" t="b">
        <v>0</v>
      </c>
    </row>
    <row r="2126">
      <c r="A2126" s="1" t="s">
        <v>1015</v>
      </c>
      <c r="B2126" s="1" t="s">
        <v>2042</v>
      </c>
      <c r="C2126" s="1" t="s">
        <v>1017</v>
      </c>
      <c r="D2126" s="2">
        <v>46063.53821759259</v>
      </c>
      <c r="E2126" s="1" t="s">
        <v>3850</v>
      </c>
      <c r="F2126" s="1" t="b">
        <v>0</v>
      </c>
    </row>
    <row r="2127">
      <c r="A2127" s="1" t="s">
        <v>1015</v>
      </c>
      <c r="B2127" s="1" t="s">
        <v>2042</v>
      </c>
      <c r="C2127" s="1" t="s">
        <v>1017</v>
      </c>
      <c r="D2127" s="2">
        <v>46063.53876157408</v>
      </c>
      <c r="E2127" s="1" t="s">
        <v>3851</v>
      </c>
      <c r="F2127" s="1" t="b">
        <v>0</v>
      </c>
    </row>
    <row r="2128">
      <c r="A2128" s="1" t="s">
        <v>1009</v>
      </c>
      <c r="B2128" s="1" t="s">
        <v>2042</v>
      </c>
      <c r="C2128" s="1" t="s">
        <v>1012</v>
      </c>
      <c r="D2128" s="2">
        <v>46063.54618055555</v>
      </c>
      <c r="E2128" s="1" t="s">
        <v>3852</v>
      </c>
      <c r="F2128" s="1" t="b">
        <v>0</v>
      </c>
    </row>
    <row r="2129">
      <c r="A2129" s="1" t="s">
        <v>1009</v>
      </c>
      <c r="B2129" s="1" t="s">
        <v>2042</v>
      </c>
      <c r="C2129" s="1" t="s">
        <v>1012</v>
      </c>
      <c r="D2129" s="2">
        <v>46063.547118055554</v>
      </c>
      <c r="E2129" s="1" t="s">
        <v>3853</v>
      </c>
      <c r="F2129" s="1" t="b">
        <v>0</v>
      </c>
    </row>
    <row r="2130">
      <c r="A2130" s="1" t="s">
        <v>1009</v>
      </c>
      <c r="B2130" s="1" t="s">
        <v>2042</v>
      </c>
      <c r="C2130" s="1" t="s">
        <v>1012</v>
      </c>
      <c r="D2130" s="2">
        <v>46063.547685185185</v>
      </c>
      <c r="E2130" s="1" t="s">
        <v>3854</v>
      </c>
      <c r="F2130" s="1" t="b">
        <v>0</v>
      </c>
    </row>
    <row r="2131">
      <c r="A2131" s="1" t="s">
        <v>1009</v>
      </c>
      <c r="B2131" s="1" t="s">
        <v>2042</v>
      </c>
      <c r="C2131" s="1" t="s">
        <v>1012</v>
      </c>
      <c r="D2131" s="2">
        <v>46063.54833333333</v>
      </c>
      <c r="E2131" s="1" t="s">
        <v>3855</v>
      </c>
      <c r="F2131" s="1" t="b">
        <v>0</v>
      </c>
    </row>
    <row r="2132">
      <c r="A2132" s="1" t="s">
        <v>1009</v>
      </c>
      <c r="B2132" s="1" t="s">
        <v>2042</v>
      </c>
      <c r="C2132" s="1" t="s">
        <v>1012</v>
      </c>
      <c r="D2132" s="2">
        <v>46063.54871527778</v>
      </c>
      <c r="E2132" s="1" t="s">
        <v>3856</v>
      </c>
      <c r="F2132" s="1" t="b">
        <v>0</v>
      </c>
    </row>
    <row r="2133">
      <c r="A2133" s="1" t="s">
        <v>1009</v>
      </c>
      <c r="B2133" s="1" t="s">
        <v>2046</v>
      </c>
      <c r="C2133" s="1">
        <v>607950.0</v>
      </c>
      <c r="D2133" s="2">
        <v>46063.57493055556</v>
      </c>
      <c r="E2133" s="1" t="s">
        <v>3857</v>
      </c>
      <c r="F2133" s="1" t="b">
        <v>0</v>
      </c>
    </row>
    <row r="2134">
      <c r="A2134" s="1" t="s">
        <v>1009</v>
      </c>
      <c r="B2134" s="1" t="s">
        <v>2046</v>
      </c>
      <c r="C2134" s="1">
        <v>607950.0</v>
      </c>
      <c r="D2134" s="2">
        <v>46063.579375</v>
      </c>
      <c r="E2134" s="1" t="s">
        <v>3858</v>
      </c>
      <c r="F2134" s="1" t="b">
        <v>0</v>
      </c>
    </row>
    <row r="2135">
      <c r="A2135" s="1" t="s">
        <v>1009</v>
      </c>
      <c r="B2135" s="1" t="s">
        <v>2042</v>
      </c>
      <c r="C2135" s="1" t="s">
        <v>1012</v>
      </c>
      <c r="D2135" s="2">
        <v>46063.57958333333</v>
      </c>
      <c r="E2135" s="1" t="s">
        <v>3859</v>
      </c>
      <c r="F2135" s="1" t="b">
        <v>0</v>
      </c>
    </row>
    <row r="2136">
      <c r="A2136" s="1" t="s">
        <v>1009</v>
      </c>
      <c r="B2136" s="1" t="s">
        <v>2042</v>
      </c>
      <c r="C2136" s="1" t="s">
        <v>1012</v>
      </c>
      <c r="D2136" s="2">
        <v>46063.57969907407</v>
      </c>
      <c r="E2136" s="1" t="s">
        <v>3860</v>
      </c>
      <c r="F2136" s="1" t="b">
        <v>0</v>
      </c>
    </row>
    <row r="2137">
      <c r="A2137" s="1" t="s">
        <v>1009</v>
      </c>
      <c r="B2137" s="1" t="s">
        <v>2046</v>
      </c>
      <c r="C2137" s="1">
        <v>607950.0</v>
      </c>
      <c r="D2137" s="2">
        <v>46063.57979166666</v>
      </c>
      <c r="E2137" s="1" t="s">
        <v>3861</v>
      </c>
      <c r="F2137" s="1" t="b">
        <v>0</v>
      </c>
    </row>
    <row r="2138">
      <c r="A2138" s="1" t="s">
        <v>1009</v>
      </c>
      <c r="B2138" s="1" t="s">
        <v>2042</v>
      </c>
      <c r="C2138" s="1" t="s">
        <v>1012</v>
      </c>
      <c r="D2138" s="2">
        <v>46063.579988425925</v>
      </c>
      <c r="E2138" s="1" t="s">
        <v>3862</v>
      </c>
      <c r="F2138" s="1" t="b">
        <v>0</v>
      </c>
    </row>
    <row r="2139">
      <c r="A2139" s="1" t="s">
        <v>1009</v>
      </c>
      <c r="B2139" s="1" t="s">
        <v>2046</v>
      </c>
      <c r="C2139" s="1">
        <v>607950.0</v>
      </c>
      <c r="D2139" s="2">
        <v>46063.58079861111</v>
      </c>
      <c r="E2139" s="1" t="s">
        <v>3863</v>
      </c>
      <c r="F2139" s="1" t="b">
        <v>0</v>
      </c>
    </row>
    <row r="2140">
      <c r="A2140" s="1" t="s">
        <v>1009</v>
      </c>
      <c r="B2140" s="1" t="s">
        <v>2042</v>
      </c>
      <c r="C2140" s="1" t="s">
        <v>1012</v>
      </c>
      <c r="D2140" s="2">
        <v>46063.58101851852</v>
      </c>
      <c r="E2140" s="1" t="s">
        <v>3864</v>
      </c>
      <c r="F2140" s="1" t="b">
        <v>0</v>
      </c>
    </row>
    <row r="2141">
      <c r="A2141" s="1" t="s">
        <v>1009</v>
      </c>
      <c r="B2141" s="1" t="s">
        <v>2046</v>
      </c>
      <c r="C2141" s="1">
        <v>607950.0</v>
      </c>
      <c r="D2141" s="2">
        <v>46063.590636574074</v>
      </c>
      <c r="E2141" s="1" t="s">
        <v>3865</v>
      </c>
      <c r="F2141" s="1" t="b">
        <v>0</v>
      </c>
    </row>
    <row r="2142">
      <c r="A2142" s="1" t="s">
        <v>1009</v>
      </c>
      <c r="B2142" s="1" t="s">
        <v>2042</v>
      </c>
      <c r="C2142" s="1" t="s">
        <v>1012</v>
      </c>
      <c r="D2142" s="2">
        <v>46063.59079861111</v>
      </c>
      <c r="E2142" s="1" t="s">
        <v>3866</v>
      </c>
      <c r="F2142" s="1" t="b">
        <v>0</v>
      </c>
    </row>
    <row r="2143">
      <c r="A2143" s="1" t="s">
        <v>1009</v>
      </c>
      <c r="B2143" s="1" t="s">
        <v>2046</v>
      </c>
      <c r="C2143" s="1">
        <v>607950.0</v>
      </c>
      <c r="D2143" s="2">
        <v>46063.591770833336</v>
      </c>
      <c r="E2143" s="1" t="s">
        <v>2254</v>
      </c>
      <c r="F2143" s="1" t="b">
        <v>1</v>
      </c>
    </row>
    <row r="2144">
      <c r="A2144" s="1" t="s">
        <v>1009</v>
      </c>
      <c r="B2144" s="1" t="s">
        <v>2150</v>
      </c>
      <c r="C2144" s="1" t="s">
        <v>2151</v>
      </c>
      <c r="D2144" s="2">
        <v>46063.59193287037</v>
      </c>
      <c r="E2144" s="1" t="s">
        <v>3867</v>
      </c>
      <c r="F2144" s="1" t="b">
        <v>1</v>
      </c>
    </row>
    <row r="2145">
      <c r="A2145" s="1" t="s">
        <v>1009</v>
      </c>
      <c r="B2145" s="1" t="s">
        <v>2046</v>
      </c>
      <c r="C2145" s="1">
        <v>607950.0</v>
      </c>
      <c r="D2145" s="2">
        <v>46063.65739583333</v>
      </c>
      <c r="E2145" s="1" t="s">
        <v>3868</v>
      </c>
      <c r="F2145" s="1" t="b">
        <v>1</v>
      </c>
    </row>
    <row r="2146">
      <c r="A2146" s="1" t="s">
        <v>1009</v>
      </c>
      <c r="B2146" s="1" t="s">
        <v>2150</v>
      </c>
      <c r="C2146" s="1" t="s">
        <v>2151</v>
      </c>
      <c r="D2146" s="2">
        <v>46063.65758101852</v>
      </c>
      <c r="E2146" s="1" t="s">
        <v>3869</v>
      </c>
      <c r="F2146" s="1" t="b">
        <v>1</v>
      </c>
    </row>
    <row r="2147">
      <c r="A2147" s="1" t="s">
        <v>1009</v>
      </c>
      <c r="B2147" s="1" t="s">
        <v>2046</v>
      </c>
      <c r="C2147" s="1">
        <v>607950.0</v>
      </c>
      <c r="D2147" s="2">
        <v>46063.659907407404</v>
      </c>
      <c r="E2147" s="1" t="s">
        <v>3870</v>
      </c>
      <c r="F2147" s="1" t="b">
        <v>0</v>
      </c>
    </row>
    <row r="2148">
      <c r="A2148" s="1" t="s">
        <v>1009</v>
      </c>
      <c r="B2148" s="1" t="s">
        <v>2042</v>
      </c>
      <c r="C2148" s="1" t="s">
        <v>1012</v>
      </c>
      <c r="D2148" s="2">
        <v>46063.6769212963</v>
      </c>
      <c r="F2148" s="1" t="b">
        <v>0</v>
      </c>
    </row>
    <row r="2149">
      <c r="A2149" s="1" t="s">
        <v>1009</v>
      </c>
      <c r="B2149" s="1" t="s">
        <v>2042</v>
      </c>
      <c r="C2149" s="1" t="s">
        <v>1012</v>
      </c>
      <c r="D2149" s="2">
        <v>46063.67707175926</v>
      </c>
      <c r="E2149" s="1" t="s">
        <v>3871</v>
      </c>
      <c r="F2149" s="1" t="b">
        <v>0</v>
      </c>
    </row>
    <row r="2150">
      <c r="A2150" s="1" t="s">
        <v>1009</v>
      </c>
      <c r="B2150" s="1" t="s">
        <v>2042</v>
      </c>
      <c r="C2150" s="1" t="s">
        <v>1012</v>
      </c>
      <c r="D2150" s="2">
        <v>46063.67768518518</v>
      </c>
      <c r="E2150" s="1" t="s">
        <v>3872</v>
      </c>
      <c r="F2150" s="1" t="b">
        <v>0</v>
      </c>
    </row>
    <row r="2151">
      <c r="A2151" s="1" t="s">
        <v>1009</v>
      </c>
      <c r="B2151" s="1" t="s">
        <v>2046</v>
      </c>
      <c r="C2151" s="1">
        <v>607950.0</v>
      </c>
      <c r="D2151" s="2">
        <v>46063.67884259259</v>
      </c>
      <c r="E2151" s="1" t="s">
        <v>3873</v>
      </c>
      <c r="F2151" s="1" t="b">
        <v>0</v>
      </c>
    </row>
    <row r="2152">
      <c r="A2152" s="1" t="s">
        <v>1009</v>
      </c>
      <c r="B2152" s="1" t="s">
        <v>2042</v>
      </c>
      <c r="C2152" s="1" t="s">
        <v>1012</v>
      </c>
      <c r="D2152" s="2">
        <v>46063.678877314815</v>
      </c>
      <c r="E2152" s="1" t="s">
        <v>3874</v>
      </c>
      <c r="F2152" s="1" t="b">
        <v>0</v>
      </c>
    </row>
    <row r="2153">
      <c r="A2153" s="1" t="s">
        <v>1009</v>
      </c>
      <c r="B2153" s="1" t="s">
        <v>2046</v>
      </c>
      <c r="C2153" s="1">
        <v>607950.0</v>
      </c>
      <c r="D2153" s="2">
        <v>46063.68494212963</v>
      </c>
      <c r="E2153" s="1" t="s">
        <v>3875</v>
      </c>
      <c r="F2153" s="1" t="b">
        <v>0</v>
      </c>
    </row>
    <row r="2154">
      <c r="A2154" s="1" t="s">
        <v>1009</v>
      </c>
      <c r="B2154" s="1" t="s">
        <v>2042</v>
      </c>
      <c r="C2154" s="1" t="s">
        <v>1012</v>
      </c>
      <c r="D2154" s="2">
        <v>46063.68597222222</v>
      </c>
      <c r="F2154" s="1" t="b">
        <v>0</v>
      </c>
    </row>
    <row r="2155">
      <c r="A2155" s="1" t="s">
        <v>1009</v>
      </c>
      <c r="B2155" s="1" t="s">
        <v>2042</v>
      </c>
      <c r="C2155" s="1" t="s">
        <v>1012</v>
      </c>
      <c r="D2155" s="2">
        <v>46063.686747685184</v>
      </c>
      <c r="E2155" s="1" t="s">
        <v>3876</v>
      </c>
      <c r="F2155" s="1" t="b">
        <v>0</v>
      </c>
    </row>
    <row r="2156">
      <c r="A2156" s="1" t="s">
        <v>1009</v>
      </c>
      <c r="B2156" s="1" t="s">
        <v>2042</v>
      </c>
      <c r="C2156" s="1" t="s">
        <v>1012</v>
      </c>
      <c r="D2156" s="2">
        <v>46063.687314814815</v>
      </c>
      <c r="E2156" s="1" t="s">
        <v>3877</v>
      </c>
      <c r="F2156" s="1" t="b">
        <v>0</v>
      </c>
    </row>
    <row r="2157">
      <c r="A2157" s="1" t="s">
        <v>1009</v>
      </c>
      <c r="B2157" s="1" t="s">
        <v>2046</v>
      </c>
      <c r="C2157" s="1">
        <v>607950.0</v>
      </c>
      <c r="D2157" s="2">
        <v>46063.68759259259</v>
      </c>
      <c r="E2157" s="1" t="s">
        <v>3878</v>
      </c>
      <c r="F2157" s="1" t="b">
        <v>0</v>
      </c>
    </row>
    <row r="2158">
      <c r="A2158" s="1" t="s">
        <v>1009</v>
      </c>
      <c r="B2158" s="1" t="s">
        <v>2042</v>
      </c>
      <c r="C2158" s="1" t="s">
        <v>1012</v>
      </c>
      <c r="D2158" s="2">
        <v>46063.687743055554</v>
      </c>
      <c r="E2158" s="1" t="s">
        <v>3879</v>
      </c>
      <c r="F2158" s="1" t="b">
        <v>0</v>
      </c>
    </row>
    <row r="2159">
      <c r="A2159" s="1" t="s">
        <v>1009</v>
      </c>
      <c r="B2159" s="1" t="s">
        <v>2046</v>
      </c>
      <c r="C2159" s="1">
        <v>607950.0</v>
      </c>
      <c r="D2159" s="2">
        <v>46063.6890625</v>
      </c>
      <c r="E2159" s="1" t="s">
        <v>3880</v>
      </c>
      <c r="F2159" s="1" t="b">
        <v>0</v>
      </c>
    </row>
    <row r="2160">
      <c r="A2160" s="1" t="s">
        <v>1009</v>
      </c>
      <c r="B2160" s="1" t="s">
        <v>2046</v>
      </c>
      <c r="C2160" s="1">
        <v>607950.0</v>
      </c>
      <c r="D2160" s="2">
        <v>46063.68914351852</v>
      </c>
      <c r="E2160" s="1" t="s">
        <v>2677</v>
      </c>
      <c r="F2160" s="1" t="b">
        <v>0</v>
      </c>
    </row>
    <row r="2161">
      <c r="A2161" s="1" t="s">
        <v>1009</v>
      </c>
      <c r="B2161" s="1" t="s">
        <v>2042</v>
      </c>
      <c r="C2161" s="1" t="s">
        <v>1012</v>
      </c>
      <c r="D2161" s="2">
        <v>46063.689247685186</v>
      </c>
      <c r="E2161" s="1" t="s">
        <v>3881</v>
      </c>
      <c r="F2161" s="1" t="b">
        <v>0</v>
      </c>
    </row>
    <row r="2162">
      <c r="A2162" s="1" t="s">
        <v>1009</v>
      </c>
      <c r="B2162" s="1" t="s">
        <v>2046</v>
      </c>
      <c r="C2162" s="1">
        <v>607950.0</v>
      </c>
      <c r="D2162" s="2">
        <v>46063.68981481482</v>
      </c>
      <c r="E2162" s="1" t="s">
        <v>2108</v>
      </c>
      <c r="F2162" s="1" t="b">
        <v>0</v>
      </c>
    </row>
    <row r="2163">
      <c r="A2163" s="1" t="s">
        <v>1005</v>
      </c>
      <c r="B2163" s="1" t="s">
        <v>2042</v>
      </c>
      <c r="C2163" s="1" t="s">
        <v>1007</v>
      </c>
      <c r="D2163" s="2">
        <v>46063.5553125</v>
      </c>
      <c r="E2163" s="1" t="s">
        <v>3882</v>
      </c>
      <c r="F2163" s="1" t="b">
        <v>0</v>
      </c>
    </row>
    <row r="2164">
      <c r="A2164" s="1" t="s">
        <v>1001</v>
      </c>
      <c r="B2164" s="1" t="s">
        <v>2042</v>
      </c>
      <c r="C2164" s="1" t="s">
        <v>1003</v>
      </c>
      <c r="D2164" s="2">
        <v>46063.569814814815</v>
      </c>
      <c r="E2164" s="1" t="s">
        <v>3883</v>
      </c>
      <c r="F2164" s="1" t="b">
        <v>0</v>
      </c>
    </row>
    <row r="2165">
      <c r="A2165" s="1" t="s">
        <v>997</v>
      </c>
      <c r="B2165" s="1" t="s">
        <v>2042</v>
      </c>
      <c r="C2165" s="1" t="s">
        <v>999</v>
      </c>
      <c r="D2165" s="2">
        <v>46063.57703703704</v>
      </c>
      <c r="E2165" s="1" t="s">
        <v>3884</v>
      </c>
      <c r="F2165" s="1" t="b">
        <v>0</v>
      </c>
    </row>
    <row r="2166">
      <c r="A2166" s="1" t="s">
        <v>990</v>
      </c>
      <c r="B2166" s="1" t="s">
        <v>2042</v>
      </c>
      <c r="C2166" s="1" t="s">
        <v>993</v>
      </c>
      <c r="D2166" s="2">
        <v>46063.57976851852</v>
      </c>
      <c r="E2166" s="1" t="s">
        <v>3885</v>
      </c>
      <c r="F2166" s="1" t="b">
        <v>0</v>
      </c>
    </row>
    <row r="2167">
      <c r="A2167" s="1" t="s">
        <v>990</v>
      </c>
      <c r="B2167" s="1" t="s">
        <v>2042</v>
      </c>
      <c r="C2167" s="1" t="s">
        <v>993</v>
      </c>
      <c r="D2167" s="2">
        <v>46063.579872685186</v>
      </c>
      <c r="E2167" s="1" t="s">
        <v>2070</v>
      </c>
      <c r="F2167" s="1" t="b">
        <v>0</v>
      </c>
    </row>
    <row r="2168">
      <c r="A2168" s="1" t="s">
        <v>990</v>
      </c>
      <c r="B2168" s="1" t="s">
        <v>2042</v>
      </c>
      <c r="C2168" s="1" t="s">
        <v>993</v>
      </c>
      <c r="D2168" s="2">
        <v>46063.579976851855</v>
      </c>
      <c r="E2168" s="1" t="s">
        <v>3885</v>
      </c>
      <c r="F2168" s="1" t="b">
        <v>0</v>
      </c>
    </row>
    <row r="2169">
      <c r="A2169" s="1" t="s">
        <v>990</v>
      </c>
      <c r="B2169" s="1" t="s">
        <v>2046</v>
      </c>
      <c r="C2169" s="1">
        <v>607950.0</v>
      </c>
      <c r="D2169" s="2">
        <v>46063.58005787037</v>
      </c>
      <c r="E2169" s="1" t="s">
        <v>2752</v>
      </c>
      <c r="F2169" s="1" t="b">
        <v>0</v>
      </c>
    </row>
    <row r="2170">
      <c r="A2170" s="1" t="s">
        <v>990</v>
      </c>
      <c r="B2170" s="1" t="s">
        <v>2046</v>
      </c>
      <c r="C2170" s="1">
        <v>607950.0</v>
      </c>
      <c r="D2170" s="2">
        <v>46063.580196759256</v>
      </c>
      <c r="E2170" s="1" t="s">
        <v>3886</v>
      </c>
      <c r="F2170" s="1" t="b">
        <v>0</v>
      </c>
    </row>
    <row r="2171">
      <c r="A2171" s="1" t="s">
        <v>990</v>
      </c>
      <c r="B2171" s="1" t="s">
        <v>2042</v>
      </c>
      <c r="C2171" s="1" t="s">
        <v>993</v>
      </c>
      <c r="D2171" s="2">
        <v>46063.583506944444</v>
      </c>
      <c r="F2171" s="1" t="b">
        <v>0</v>
      </c>
    </row>
    <row r="2172">
      <c r="A2172" s="1" t="s">
        <v>990</v>
      </c>
      <c r="B2172" s="1" t="s">
        <v>2042</v>
      </c>
      <c r="C2172" s="1" t="s">
        <v>993</v>
      </c>
      <c r="D2172" s="2">
        <v>46063.58384259259</v>
      </c>
      <c r="E2172" s="1" t="s">
        <v>3887</v>
      </c>
      <c r="F2172" s="1" t="b">
        <v>0</v>
      </c>
    </row>
    <row r="2173">
      <c r="A2173" s="1" t="s">
        <v>990</v>
      </c>
      <c r="B2173" s="1" t="s">
        <v>2042</v>
      </c>
      <c r="C2173" s="1" t="s">
        <v>993</v>
      </c>
      <c r="D2173" s="2">
        <v>46063.58394675926</v>
      </c>
      <c r="E2173" s="1" t="s">
        <v>3888</v>
      </c>
      <c r="F2173" s="1" t="b">
        <v>0</v>
      </c>
    </row>
    <row r="2174">
      <c r="A2174" s="1" t="s">
        <v>990</v>
      </c>
      <c r="B2174" s="1" t="s">
        <v>2042</v>
      </c>
      <c r="C2174" s="1" t="s">
        <v>993</v>
      </c>
      <c r="D2174" s="2">
        <v>46063.58435185185</v>
      </c>
      <c r="E2174" s="1" t="s">
        <v>3889</v>
      </c>
      <c r="F2174" s="1" t="b">
        <v>0</v>
      </c>
    </row>
    <row r="2175">
      <c r="A2175" s="1" t="s">
        <v>990</v>
      </c>
      <c r="B2175" s="1" t="s">
        <v>2042</v>
      </c>
      <c r="C2175" s="1" t="s">
        <v>993</v>
      </c>
      <c r="D2175" s="2">
        <v>46063.585439814815</v>
      </c>
      <c r="E2175" s="1" t="s">
        <v>3890</v>
      </c>
      <c r="F2175" s="1" t="b">
        <v>0</v>
      </c>
    </row>
    <row r="2176">
      <c r="A2176" s="1" t="s">
        <v>990</v>
      </c>
      <c r="B2176" s="1" t="s">
        <v>2046</v>
      </c>
      <c r="C2176" s="1">
        <v>607950.0</v>
      </c>
      <c r="D2176" s="2">
        <v>46063.5859375</v>
      </c>
      <c r="E2176" s="1" t="s">
        <v>3891</v>
      </c>
      <c r="F2176" s="1" t="b">
        <v>0</v>
      </c>
    </row>
    <row r="2177">
      <c r="A2177" s="1" t="s">
        <v>990</v>
      </c>
      <c r="B2177" s="1" t="s">
        <v>2042</v>
      </c>
      <c r="C2177" s="1" t="s">
        <v>993</v>
      </c>
      <c r="D2177" s="2">
        <v>46063.586226851854</v>
      </c>
      <c r="E2177" s="1" t="s">
        <v>3892</v>
      </c>
      <c r="F2177" s="1" t="b">
        <v>0</v>
      </c>
    </row>
    <row r="2178">
      <c r="A2178" s="1" t="s">
        <v>990</v>
      </c>
      <c r="B2178" s="1" t="s">
        <v>2046</v>
      </c>
      <c r="C2178" s="1">
        <v>607950.0</v>
      </c>
      <c r="D2178" s="2">
        <v>46063.58675925926</v>
      </c>
      <c r="E2178" s="1" t="s">
        <v>3893</v>
      </c>
      <c r="F2178" s="1" t="b">
        <v>0</v>
      </c>
    </row>
    <row r="2179">
      <c r="A2179" s="1" t="s">
        <v>990</v>
      </c>
      <c r="B2179" s="1" t="s">
        <v>2046</v>
      </c>
      <c r="C2179" s="1">
        <v>574085.0</v>
      </c>
      <c r="D2179" s="2">
        <v>46063.58969907407</v>
      </c>
      <c r="E2179" s="1" t="s">
        <v>3894</v>
      </c>
      <c r="F2179" s="1" t="b">
        <v>1</v>
      </c>
    </row>
    <row r="2180">
      <c r="A2180" s="1" t="s">
        <v>990</v>
      </c>
      <c r="B2180" s="1" t="s">
        <v>2042</v>
      </c>
      <c r="C2180" s="1" t="s">
        <v>993</v>
      </c>
      <c r="D2180" s="2">
        <v>46063.59258101852</v>
      </c>
      <c r="E2180" s="1" t="s">
        <v>3895</v>
      </c>
      <c r="F2180" s="1" t="b">
        <v>0</v>
      </c>
    </row>
    <row r="2181">
      <c r="A2181" s="1" t="s">
        <v>990</v>
      </c>
      <c r="B2181" s="1" t="s">
        <v>2046</v>
      </c>
      <c r="C2181" s="1">
        <v>607950.0</v>
      </c>
      <c r="D2181" s="2">
        <v>46063.59274305555</v>
      </c>
      <c r="E2181" s="1" t="s">
        <v>3896</v>
      </c>
      <c r="F2181" s="1" t="b">
        <v>0</v>
      </c>
    </row>
    <row r="2182">
      <c r="A2182" s="1" t="s">
        <v>990</v>
      </c>
      <c r="B2182" s="1" t="s">
        <v>2046</v>
      </c>
      <c r="C2182" s="1">
        <v>607950.0</v>
      </c>
      <c r="D2182" s="2">
        <v>46063.59306712963</v>
      </c>
      <c r="E2182" s="1" t="s">
        <v>2254</v>
      </c>
      <c r="F2182" s="1" t="b">
        <v>1</v>
      </c>
    </row>
    <row r="2183">
      <c r="A2183" s="1" t="s">
        <v>990</v>
      </c>
      <c r="B2183" s="1" t="s">
        <v>2150</v>
      </c>
      <c r="C2183" s="1" t="s">
        <v>2151</v>
      </c>
      <c r="D2183" s="2">
        <v>46063.59321759259</v>
      </c>
      <c r="E2183" s="1" t="s">
        <v>3897</v>
      </c>
      <c r="F2183" s="1" t="b">
        <v>1</v>
      </c>
    </row>
    <row r="2184">
      <c r="A2184" s="1" t="s">
        <v>990</v>
      </c>
      <c r="B2184" s="1" t="s">
        <v>2046</v>
      </c>
      <c r="C2184" s="1">
        <v>574085.0</v>
      </c>
      <c r="D2184" s="2">
        <v>46063.65127314815</v>
      </c>
      <c r="E2184" s="1" t="s">
        <v>2108</v>
      </c>
      <c r="F2184" s="1" t="b">
        <v>0</v>
      </c>
    </row>
    <row r="2185">
      <c r="A2185" s="1" t="s">
        <v>986</v>
      </c>
      <c r="B2185" s="1" t="s">
        <v>2042</v>
      </c>
      <c r="C2185" s="1" t="s">
        <v>3898</v>
      </c>
      <c r="D2185" s="2">
        <v>46063.58078703703</v>
      </c>
      <c r="E2185" s="1" t="s">
        <v>3899</v>
      </c>
      <c r="F2185" s="1" t="b">
        <v>0</v>
      </c>
    </row>
    <row r="2186">
      <c r="A2186" s="1" t="s">
        <v>986</v>
      </c>
      <c r="B2186" s="1" t="s">
        <v>2042</v>
      </c>
      <c r="C2186" s="1" t="s">
        <v>3898</v>
      </c>
      <c r="D2186" s="2">
        <v>46063.581145833334</v>
      </c>
      <c r="E2186" s="1" t="s">
        <v>2133</v>
      </c>
      <c r="F2186" s="1" t="b">
        <v>0</v>
      </c>
    </row>
    <row r="2187">
      <c r="A2187" s="1" t="s">
        <v>986</v>
      </c>
      <c r="B2187" s="1" t="s">
        <v>2042</v>
      </c>
      <c r="C2187" s="1" t="s">
        <v>3898</v>
      </c>
      <c r="D2187" s="2">
        <v>46063.581354166665</v>
      </c>
      <c r="E2187" s="1" t="s">
        <v>3900</v>
      </c>
      <c r="F2187" s="1" t="b">
        <v>0</v>
      </c>
    </row>
    <row r="2188">
      <c r="A2188" s="1" t="s">
        <v>986</v>
      </c>
      <c r="B2188" s="1" t="s">
        <v>2042</v>
      </c>
      <c r="C2188" s="1" t="s">
        <v>3898</v>
      </c>
      <c r="D2188" s="2">
        <v>46063.58167824074</v>
      </c>
      <c r="E2188" s="1" t="s">
        <v>3901</v>
      </c>
      <c r="F2188" s="1" t="b">
        <v>0</v>
      </c>
    </row>
    <row r="2189">
      <c r="A2189" s="1" t="s">
        <v>978</v>
      </c>
      <c r="B2189" s="1" t="s">
        <v>2042</v>
      </c>
      <c r="C2189" s="1" t="s">
        <v>980</v>
      </c>
      <c r="D2189" s="2">
        <v>46063.60068287037</v>
      </c>
      <c r="E2189" s="1" t="s">
        <v>3902</v>
      </c>
      <c r="F2189" s="1" t="b">
        <v>0</v>
      </c>
    </row>
    <row r="2190">
      <c r="A2190" s="1" t="s">
        <v>978</v>
      </c>
      <c r="B2190" s="1" t="s">
        <v>2042</v>
      </c>
      <c r="C2190" s="1" t="s">
        <v>980</v>
      </c>
      <c r="D2190" s="2">
        <v>46063.600902777776</v>
      </c>
      <c r="E2190" s="1" t="s">
        <v>3903</v>
      </c>
      <c r="F2190" s="1" t="b">
        <v>0</v>
      </c>
    </row>
    <row r="2191">
      <c r="A2191" s="1" t="s">
        <v>975</v>
      </c>
      <c r="B2191" s="1" t="s">
        <v>2042</v>
      </c>
      <c r="C2191" s="1" t="s">
        <v>976</v>
      </c>
      <c r="D2191" s="2">
        <v>46063.60290509259</v>
      </c>
      <c r="E2191" s="1" t="s">
        <v>3904</v>
      </c>
      <c r="F2191" s="1" t="b">
        <v>0</v>
      </c>
    </row>
    <row r="2192">
      <c r="A2192" s="1" t="s">
        <v>975</v>
      </c>
      <c r="B2192" s="1" t="s">
        <v>2042</v>
      </c>
      <c r="C2192" s="1" t="s">
        <v>976</v>
      </c>
      <c r="D2192" s="2">
        <v>46063.603171296294</v>
      </c>
      <c r="E2192" s="1" t="s">
        <v>2292</v>
      </c>
      <c r="F2192" s="1" t="b">
        <v>0</v>
      </c>
    </row>
    <row r="2193">
      <c r="A2193" s="1" t="s">
        <v>975</v>
      </c>
      <c r="B2193" s="1" t="s">
        <v>2042</v>
      </c>
      <c r="C2193" s="1" t="s">
        <v>976</v>
      </c>
      <c r="D2193" s="2">
        <v>46063.60408564815</v>
      </c>
      <c r="E2193" s="1" t="s">
        <v>3905</v>
      </c>
      <c r="F2193" s="1" t="b">
        <v>0</v>
      </c>
    </row>
    <row r="2194">
      <c r="A2194" s="1" t="s">
        <v>975</v>
      </c>
      <c r="B2194" s="1" t="s">
        <v>2046</v>
      </c>
      <c r="C2194" s="1">
        <v>574085.0</v>
      </c>
      <c r="D2194" s="2">
        <v>46063.61802083333</v>
      </c>
      <c r="E2194" s="1" t="s">
        <v>3906</v>
      </c>
      <c r="F2194" s="1" t="b">
        <v>0</v>
      </c>
    </row>
    <row r="2195">
      <c r="A2195" s="1" t="s">
        <v>975</v>
      </c>
      <c r="B2195" s="1" t="s">
        <v>2042</v>
      </c>
      <c r="C2195" s="1" t="s">
        <v>976</v>
      </c>
      <c r="D2195" s="2">
        <v>46063.61876157407</v>
      </c>
      <c r="E2195" s="1" t="s">
        <v>3907</v>
      </c>
      <c r="F2195" s="1" t="b">
        <v>0</v>
      </c>
    </row>
    <row r="2196">
      <c r="A2196" s="1" t="s">
        <v>975</v>
      </c>
      <c r="B2196" s="1" t="s">
        <v>2042</v>
      </c>
      <c r="C2196" s="1" t="s">
        <v>976</v>
      </c>
      <c r="D2196" s="2">
        <v>46063.61880787037</v>
      </c>
      <c r="E2196" s="1" t="s">
        <v>2090</v>
      </c>
      <c r="F2196" s="1" t="b">
        <v>0</v>
      </c>
    </row>
    <row r="2197">
      <c r="A2197" s="1" t="s">
        <v>975</v>
      </c>
      <c r="B2197" s="1" t="s">
        <v>2046</v>
      </c>
      <c r="C2197" s="1">
        <v>574085.0</v>
      </c>
      <c r="D2197" s="2">
        <v>46063.62262731481</v>
      </c>
      <c r="E2197" s="1" t="s">
        <v>3908</v>
      </c>
      <c r="F2197" s="1" t="b">
        <v>0</v>
      </c>
    </row>
    <row r="2198">
      <c r="A2198" s="1" t="s">
        <v>975</v>
      </c>
      <c r="B2198" s="1" t="s">
        <v>2042</v>
      </c>
      <c r="C2198" s="1" t="s">
        <v>976</v>
      </c>
      <c r="D2198" s="2">
        <v>46063.62998842593</v>
      </c>
      <c r="E2198" s="1" t="s">
        <v>3909</v>
      </c>
      <c r="F2198" s="1" t="b">
        <v>0</v>
      </c>
    </row>
    <row r="2199">
      <c r="A2199" s="1" t="s">
        <v>975</v>
      </c>
      <c r="B2199" s="1" t="s">
        <v>2046</v>
      </c>
      <c r="C2199" s="1">
        <v>574085.0</v>
      </c>
      <c r="D2199" s="2">
        <v>46063.638969907406</v>
      </c>
      <c r="E2199" s="1" t="s">
        <v>2108</v>
      </c>
      <c r="F2199" s="1" t="b">
        <v>0</v>
      </c>
    </row>
    <row r="2200">
      <c r="A2200" s="1" t="s">
        <v>961</v>
      </c>
      <c r="B2200" s="1" t="s">
        <v>2042</v>
      </c>
      <c r="C2200" s="1" t="s">
        <v>963</v>
      </c>
      <c r="D2200" s="2">
        <v>46063.62353009259</v>
      </c>
      <c r="E2200" s="1" t="s">
        <v>3910</v>
      </c>
      <c r="F2200" s="1" t="b">
        <v>0</v>
      </c>
    </row>
    <row r="2201">
      <c r="A2201" s="1" t="s">
        <v>973</v>
      </c>
      <c r="B2201" s="1" t="s">
        <v>2042</v>
      </c>
      <c r="C2201" s="1" t="s">
        <v>971</v>
      </c>
      <c r="D2201" s="2">
        <v>46063.60392361111</v>
      </c>
      <c r="E2201" s="1" t="s">
        <v>3911</v>
      </c>
      <c r="F2201" s="1" t="b">
        <v>0</v>
      </c>
    </row>
    <row r="2202">
      <c r="A2202" s="1" t="s">
        <v>969</v>
      </c>
      <c r="B2202" s="1" t="s">
        <v>2042</v>
      </c>
      <c r="C2202" s="1" t="s">
        <v>971</v>
      </c>
      <c r="D2202" s="2">
        <v>46063.60561342593</v>
      </c>
      <c r="E2202" s="1" t="s">
        <v>3912</v>
      </c>
      <c r="F2202" s="1" t="b">
        <v>0</v>
      </c>
    </row>
    <row r="2203">
      <c r="A2203" s="1" t="s">
        <v>965</v>
      </c>
      <c r="B2203" s="1" t="s">
        <v>2042</v>
      </c>
      <c r="C2203" s="1" t="s">
        <v>967</v>
      </c>
      <c r="D2203" s="2">
        <v>46063.61085648148</v>
      </c>
      <c r="E2203" s="1" t="s">
        <v>3913</v>
      </c>
      <c r="F2203" s="1" t="b">
        <v>0</v>
      </c>
    </row>
    <row r="2204">
      <c r="A2204" s="1" t="s">
        <v>965</v>
      </c>
      <c r="B2204" s="1" t="s">
        <v>2042</v>
      </c>
      <c r="C2204" s="1" t="s">
        <v>967</v>
      </c>
      <c r="D2204" s="2">
        <v>46063.61219907407</v>
      </c>
      <c r="E2204" s="1" t="s">
        <v>3914</v>
      </c>
      <c r="F2204" s="1" t="b">
        <v>0</v>
      </c>
    </row>
    <row r="2205">
      <c r="A2205" s="1" t="s">
        <v>957</v>
      </c>
      <c r="B2205" s="1" t="s">
        <v>2042</v>
      </c>
      <c r="C2205" s="1" t="s">
        <v>959</v>
      </c>
      <c r="D2205" s="2">
        <v>46063.6499537037</v>
      </c>
      <c r="E2205" s="1" t="s">
        <v>3915</v>
      </c>
      <c r="F2205" s="1" t="b">
        <v>0</v>
      </c>
    </row>
    <row r="2206">
      <c r="A2206" s="1" t="s">
        <v>953</v>
      </c>
      <c r="B2206" s="1" t="s">
        <v>2042</v>
      </c>
      <c r="C2206" s="1" t="s">
        <v>955</v>
      </c>
      <c r="D2206" s="2">
        <v>46063.6505787037</v>
      </c>
      <c r="E2206" s="1" t="s">
        <v>3916</v>
      </c>
      <c r="F2206" s="1" t="b">
        <v>0</v>
      </c>
    </row>
    <row r="2207">
      <c r="A2207" s="1" t="s">
        <v>953</v>
      </c>
      <c r="B2207" s="1" t="s">
        <v>2042</v>
      </c>
      <c r="C2207" s="1" t="s">
        <v>955</v>
      </c>
      <c r="D2207" s="2">
        <v>46063.650671296295</v>
      </c>
      <c r="E2207" s="1" t="s">
        <v>3917</v>
      </c>
      <c r="F2207" s="1" t="b">
        <v>0</v>
      </c>
    </row>
    <row r="2208">
      <c r="A2208" s="1" t="s">
        <v>949</v>
      </c>
      <c r="B2208" s="1" t="s">
        <v>2042</v>
      </c>
      <c r="C2208" s="1" t="s">
        <v>951</v>
      </c>
      <c r="D2208" s="2">
        <v>46063.66075231481</v>
      </c>
      <c r="E2208" s="1" t="s">
        <v>3918</v>
      </c>
      <c r="F2208" s="1" t="b">
        <v>0</v>
      </c>
    </row>
    <row r="2209">
      <c r="A2209" s="1" t="s">
        <v>949</v>
      </c>
      <c r="B2209" s="1" t="s">
        <v>2042</v>
      </c>
      <c r="C2209" s="1" t="s">
        <v>951</v>
      </c>
      <c r="D2209" s="2">
        <v>46063.66153935185</v>
      </c>
      <c r="E2209" s="1" t="s">
        <v>3919</v>
      </c>
      <c r="F2209" s="1" t="b">
        <v>0</v>
      </c>
    </row>
    <row r="2210">
      <c r="A2210" s="1" t="s">
        <v>949</v>
      </c>
      <c r="B2210" s="1" t="s">
        <v>2042</v>
      </c>
      <c r="C2210" s="1" t="s">
        <v>951</v>
      </c>
      <c r="D2210" s="2">
        <v>46063.671377314815</v>
      </c>
      <c r="E2210" s="1" t="s">
        <v>3920</v>
      </c>
      <c r="F2210" s="1" t="b">
        <v>0</v>
      </c>
    </row>
    <row r="2211">
      <c r="A2211" s="1" t="s">
        <v>949</v>
      </c>
      <c r="B2211" s="1" t="s">
        <v>2042</v>
      </c>
      <c r="C2211" s="1" t="s">
        <v>951</v>
      </c>
      <c r="D2211" s="2">
        <v>46063.68355324074</v>
      </c>
      <c r="E2211" s="1" t="s">
        <v>3921</v>
      </c>
      <c r="F2211" s="1" t="b">
        <v>0</v>
      </c>
    </row>
    <row r="2212">
      <c r="A2212" s="1" t="s">
        <v>949</v>
      </c>
      <c r="B2212" s="1" t="s">
        <v>2042</v>
      </c>
      <c r="C2212" s="1" t="s">
        <v>951</v>
      </c>
      <c r="D2212" s="2">
        <v>46063.68461805556</v>
      </c>
      <c r="E2212" s="1" t="s">
        <v>3922</v>
      </c>
      <c r="F2212" s="1" t="b">
        <v>0</v>
      </c>
    </row>
    <row r="2213">
      <c r="A2213" s="1" t="s">
        <v>949</v>
      </c>
      <c r="B2213" s="1" t="s">
        <v>2042</v>
      </c>
      <c r="C2213" s="1" t="s">
        <v>951</v>
      </c>
      <c r="D2213" s="2">
        <v>46063.68570601852</v>
      </c>
      <c r="E2213" s="1" t="s">
        <v>3923</v>
      </c>
      <c r="F2213" s="1" t="b">
        <v>0</v>
      </c>
    </row>
    <row r="2214">
      <c r="A2214" s="1" t="s">
        <v>949</v>
      </c>
      <c r="B2214" s="1" t="s">
        <v>2042</v>
      </c>
      <c r="C2214" s="1" t="s">
        <v>951</v>
      </c>
      <c r="D2214" s="2">
        <v>46063.69980324074</v>
      </c>
      <c r="E2214" s="1" t="s">
        <v>3924</v>
      </c>
      <c r="F2214" s="1" t="b">
        <v>0</v>
      </c>
    </row>
    <row r="2215">
      <c r="A2215" s="1" t="s">
        <v>949</v>
      </c>
      <c r="B2215" s="1" t="s">
        <v>2042</v>
      </c>
      <c r="C2215" s="1" t="s">
        <v>951</v>
      </c>
      <c r="D2215" s="2">
        <v>46063.71923611111</v>
      </c>
      <c r="E2215" s="1" t="s">
        <v>3925</v>
      </c>
      <c r="F2215" s="1" t="b">
        <v>0</v>
      </c>
    </row>
    <row r="2216">
      <c r="A2216" s="1" t="s">
        <v>949</v>
      </c>
      <c r="B2216" s="1" t="s">
        <v>2042</v>
      </c>
      <c r="C2216" s="1" t="s">
        <v>951</v>
      </c>
      <c r="D2216" s="2">
        <v>46063.72783564815</v>
      </c>
      <c r="E2216" s="1" t="s">
        <v>3926</v>
      </c>
      <c r="F2216" s="1" t="b">
        <v>0</v>
      </c>
    </row>
    <row r="2217">
      <c r="A2217" s="1" t="s">
        <v>945</v>
      </c>
      <c r="B2217" s="1" t="s">
        <v>2042</v>
      </c>
      <c r="C2217" s="1" t="s">
        <v>947</v>
      </c>
      <c r="D2217" s="2">
        <v>46063.68164351852</v>
      </c>
      <c r="E2217" s="1" t="s">
        <v>3927</v>
      </c>
      <c r="F2217" s="1" t="b">
        <v>0</v>
      </c>
    </row>
    <row r="2218">
      <c r="A2218" s="1" t="s">
        <v>945</v>
      </c>
      <c r="B2218" s="1" t="s">
        <v>2042</v>
      </c>
      <c r="C2218" s="1" t="s">
        <v>947</v>
      </c>
      <c r="D2218" s="2">
        <v>46063.681921296295</v>
      </c>
      <c r="E2218" s="1" t="s">
        <v>3928</v>
      </c>
      <c r="F2218" s="1" t="b">
        <v>0</v>
      </c>
    </row>
    <row r="2219">
      <c r="A2219" s="1" t="s">
        <v>945</v>
      </c>
      <c r="B2219" s="1" t="s">
        <v>2042</v>
      </c>
      <c r="C2219" s="1" t="s">
        <v>947</v>
      </c>
      <c r="D2219" s="2">
        <v>46063.68203703704</v>
      </c>
      <c r="E2219" s="1" t="s">
        <v>3929</v>
      </c>
      <c r="F2219" s="1" t="b">
        <v>0</v>
      </c>
    </row>
    <row r="2220">
      <c r="A2220" s="1" t="s">
        <v>940</v>
      </c>
      <c r="B2220" s="1" t="s">
        <v>2046</v>
      </c>
      <c r="C2220" s="1">
        <v>607950.0</v>
      </c>
      <c r="D2220" s="2">
        <v>46063.68921296296</v>
      </c>
      <c r="E2220" s="1" t="s">
        <v>3930</v>
      </c>
      <c r="F2220" s="1" t="b">
        <v>0</v>
      </c>
    </row>
    <row r="2221">
      <c r="A2221" s="1" t="s">
        <v>935</v>
      </c>
      <c r="B2221" s="1" t="s">
        <v>2046</v>
      </c>
      <c r="C2221" s="1">
        <v>607950.0</v>
      </c>
      <c r="D2221" s="2">
        <v>46063.69181712963</v>
      </c>
      <c r="E2221" s="1" t="s">
        <v>3931</v>
      </c>
      <c r="F2221" s="1" t="b">
        <v>0</v>
      </c>
    </row>
    <row r="2222">
      <c r="A2222" s="1" t="s">
        <v>930</v>
      </c>
      <c r="B2222" s="1" t="s">
        <v>2046</v>
      </c>
      <c r="C2222" s="1">
        <v>607950.0</v>
      </c>
      <c r="D2222" s="2">
        <v>46063.692465277774</v>
      </c>
      <c r="E2222" s="1" t="s">
        <v>3931</v>
      </c>
      <c r="F2222" s="1" t="b">
        <v>0</v>
      </c>
    </row>
    <row r="2223">
      <c r="A2223" s="1" t="s">
        <v>925</v>
      </c>
      <c r="B2223" s="1" t="s">
        <v>2046</v>
      </c>
      <c r="C2223" s="1">
        <v>607950.0</v>
      </c>
      <c r="D2223" s="2">
        <v>46063.693506944444</v>
      </c>
      <c r="E2223" s="1" t="s">
        <v>3931</v>
      </c>
      <c r="F2223" s="1" t="b">
        <v>0</v>
      </c>
    </row>
    <row r="2224">
      <c r="A2224" s="1" t="s">
        <v>920</v>
      </c>
      <c r="B2224" s="1" t="s">
        <v>2046</v>
      </c>
      <c r="C2224" s="1">
        <v>607950.0</v>
      </c>
      <c r="D2224" s="2">
        <v>46063.694027777776</v>
      </c>
      <c r="E2224" s="1" t="s">
        <v>3931</v>
      </c>
      <c r="F2224" s="1" t="b">
        <v>0</v>
      </c>
    </row>
    <row r="2225">
      <c r="A2225" s="1" t="s">
        <v>915</v>
      </c>
      <c r="B2225" s="1" t="s">
        <v>2046</v>
      </c>
      <c r="C2225" s="1">
        <v>607950.0</v>
      </c>
      <c r="D2225" s="2">
        <v>46063.695243055554</v>
      </c>
      <c r="E2225" s="1" t="s">
        <v>3931</v>
      </c>
      <c r="F2225" s="1" t="b">
        <v>0</v>
      </c>
    </row>
    <row r="2226">
      <c r="A2226" s="1" t="s">
        <v>910</v>
      </c>
      <c r="B2226" s="1" t="s">
        <v>2046</v>
      </c>
      <c r="C2226" s="1">
        <v>607950.0</v>
      </c>
      <c r="D2226" s="2">
        <v>46063.69600694445</v>
      </c>
      <c r="E2226" s="1" t="s">
        <v>3931</v>
      </c>
      <c r="F2226" s="1" t="b">
        <v>0</v>
      </c>
    </row>
    <row r="2227">
      <c r="A2227" s="1" t="s">
        <v>905</v>
      </c>
      <c r="B2227" s="1" t="s">
        <v>2046</v>
      </c>
      <c r="C2227" s="1">
        <v>607950.0</v>
      </c>
      <c r="D2227" s="2">
        <v>46063.69636574074</v>
      </c>
      <c r="E2227" s="1" t="s">
        <v>3931</v>
      </c>
      <c r="F2227" s="1" t="b">
        <v>0</v>
      </c>
    </row>
    <row r="2228">
      <c r="A2228" s="1" t="s">
        <v>900</v>
      </c>
      <c r="B2228" s="1" t="s">
        <v>2046</v>
      </c>
      <c r="C2228" s="1">
        <v>607950.0</v>
      </c>
      <c r="D2228" s="2">
        <v>46063.69684027778</v>
      </c>
      <c r="E2228" s="1" t="s">
        <v>3931</v>
      </c>
      <c r="F2228" s="1" t="b">
        <v>0</v>
      </c>
    </row>
    <row r="2229">
      <c r="A2229" s="1" t="s">
        <v>896</v>
      </c>
      <c r="B2229" s="1" t="s">
        <v>2042</v>
      </c>
      <c r="C2229" s="1" t="s">
        <v>898</v>
      </c>
      <c r="D2229" s="2">
        <v>46063.71135416667</v>
      </c>
      <c r="E2229" s="1" t="s">
        <v>3932</v>
      </c>
      <c r="F2229" s="1" t="b">
        <v>0</v>
      </c>
    </row>
    <row r="2230">
      <c r="A2230" s="1" t="s">
        <v>892</v>
      </c>
      <c r="B2230" s="1" t="s">
        <v>2042</v>
      </c>
      <c r="C2230" s="1" t="s">
        <v>894</v>
      </c>
      <c r="D2230" s="2">
        <v>46063.71638888889</v>
      </c>
      <c r="E2230" s="1" t="s">
        <v>3933</v>
      </c>
      <c r="F2230" s="1" t="b">
        <v>0</v>
      </c>
    </row>
    <row r="2231">
      <c r="A2231" s="1" t="s">
        <v>892</v>
      </c>
      <c r="B2231" s="1" t="s">
        <v>2042</v>
      </c>
      <c r="C2231" s="1" t="s">
        <v>894</v>
      </c>
      <c r="D2231" s="2">
        <v>46063.717094907406</v>
      </c>
      <c r="E2231" s="1" t="s">
        <v>3934</v>
      </c>
      <c r="F2231" s="1" t="b">
        <v>0</v>
      </c>
    </row>
    <row r="2232">
      <c r="A2232" s="1" t="s">
        <v>888</v>
      </c>
      <c r="B2232" s="1" t="s">
        <v>2042</v>
      </c>
      <c r="C2232" s="1" t="s">
        <v>890</v>
      </c>
      <c r="D2232" s="2">
        <v>46063.71962962963</v>
      </c>
      <c r="E2232" s="1" t="s">
        <v>3935</v>
      </c>
      <c r="F2232" s="1" t="b">
        <v>0</v>
      </c>
    </row>
    <row r="2233">
      <c r="A2233" s="1" t="s">
        <v>882</v>
      </c>
      <c r="B2233" s="1" t="s">
        <v>2042</v>
      </c>
      <c r="C2233" s="1" t="s">
        <v>3936</v>
      </c>
      <c r="D2233" s="2">
        <v>46063.722662037035</v>
      </c>
      <c r="E2233" s="1" t="s">
        <v>3937</v>
      </c>
      <c r="F2233" s="1" t="b">
        <v>0</v>
      </c>
    </row>
    <row r="2234">
      <c r="A2234" s="1" t="s">
        <v>880</v>
      </c>
      <c r="B2234" s="1" t="s">
        <v>2042</v>
      </c>
      <c r="C2234" s="1" t="s">
        <v>876</v>
      </c>
      <c r="D2234" s="2">
        <v>46063.73670138889</v>
      </c>
      <c r="E2234" s="1" t="s">
        <v>3938</v>
      </c>
      <c r="F2234" s="1" t="b">
        <v>0</v>
      </c>
    </row>
    <row r="2235">
      <c r="A2235" s="1" t="s">
        <v>880</v>
      </c>
      <c r="B2235" s="1" t="s">
        <v>2042</v>
      </c>
      <c r="C2235" s="1" t="s">
        <v>876</v>
      </c>
      <c r="D2235" s="2">
        <v>46063.73679398148</v>
      </c>
      <c r="E2235" s="1" t="s">
        <v>3938</v>
      </c>
      <c r="F2235" s="1" t="b">
        <v>0</v>
      </c>
    </row>
    <row r="2236">
      <c r="A2236" s="1" t="s">
        <v>880</v>
      </c>
      <c r="B2236" s="1" t="s">
        <v>2042</v>
      </c>
      <c r="C2236" s="1" t="s">
        <v>876</v>
      </c>
      <c r="D2236" s="2">
        <v>46063.73708333333</v>
      </c>
      <c r="E2236" s="1" t="s">
        <v>3938</v>
      </c>
      <c r="F2236" s="1" t="b">
        <v>0</v>
      </c>
    </row>
    <row r="2237">
      <c r="A2237" s="1" t="s">
        <v>874</v>
      </c>
      <c r="B2237" s="1" t="s">
        <v>2042</v>
      </c>
      <c r="C2237" s="1" t="s">
        <v>876</v>
      </c>
      <c r="D2237" s="2">
        <v>46063.73726851852</v>
      </c>
      <c r="E2237" s="1" t="s">
        <v>3938</v>
      </c>
      <c r="F2237" s="1" t="b">
        <v>0</v>
      </c>
    </row>
    <row r="2238">
      <c r="A2238" s="1" t="s">
        <v>874</v>
      </c>
      <c r="B2238" s="1" t="s">
        <v>2042</v>
      </c>
      <c r="C2238" s="1" t="s">
        <v>876</v>
      </c>
      <c r="D2238" s="2">
        <v>46063.73740740741</v>
      </c>
      <c r="E2238" s="1" t="s">
        <v>3939</v>
      </c>
      <c r="F2238" s="1" t="b">
        <v>0</v>
      </c>
    </row>
    <row r="2239">
      <c r="A2239" s="1" t="s">
        <v>874</v>
      </c>
      <c r="B2239" s="1" t="s">
        <v>2042</v>
      </c>
      <c r="C2239" s="1" t="s">
        <v>876</v>
      </c>
      <c r="D2239" s="2">
        <v>46063.7375</v>
      </c>
      <c r="E2239" s="1" t="s">
        <v>3940</v>
      </c>
      <c r="F2239" s="1" t="b">
        <v>0</v>
      </c>
    </row>
    <row r="2240">
      <c r="A2240" s="1" t="s">
        <v>874</v>
      </c>
      <c r="B2240" s="1" t="s">
        <v>2046</v>
      </c>
      <c r="C2240" s="1">
        <v>574085.0</v>
      </c>
      <c r="D2240" s="2">
        <v>46063.770104166666</v>
      </c>
      <c r="E2240" s="1" t="s">
        <v>3941</v>
      </c>
      <c r="F2240" s="1" t="b">
        <v>1</v>
      </c>
    </row>
    <row r="2241">
      <c r="A2241" s="1" t="s">
        <v>874</v>
      </c>
      <c r="B2241" s="1" t="s">
        <v>2046</v>
      </c>
      <c r="C2241" s="1">
        <v>594863.0</v>
      </c>
      <c r="D2241" s="2">
        <v>46063.82244212963</v>
      </c>
      <c r="E2241" s="1" t="s">
        <v>3942</v>
      </c>
      <c r="F2241" s="1" t="b">
        <v>0</v>
      </c>
    </row>
    <row r="2242">
      <c r="A2242" s="1" t="s">
        <v>874</v>
      </c>
      <c r="B2242" s="1" t="s">
        <v>2042</v>
      </c>
      <c r="C2242" s="1" t="s">
        <v>876</v>
      </c>
      <c r="D2242" s="2">
        <v>46063.89074074074</v>
      </c>
      <c r="E2242" s="1" t="s">
        <v>3943</v>
      </c>
      <c r="F2242" s="1" t="b">
        <v>0</v>
      </c>
    </row>
    <row r="2243">
      <c r="A2243" s="1" t="s">
        <v>874</v>
      </c>
      <c r="B2243" s="1" t="s">
        <v>2042</v>
      </c>
      <c r="C2243" s="1" t="s">
        <v>876</v>
      </c>
      <c r="D2243" s="2">
        <v>46063.892060185186</v>
      </c>
      <c r="E2243" s="1" t="s">
        <v>3944</v>
      </c>
      <c r="F2243" s="1" t="b">
        <v>0</v>
      </c>
    </row>
    <row r="2244">
      <c r="A2244" s="1" t="s">
        <v>874</v>
      </c>
      <c r="B2244" s="1" t="s">
        <v>2042</v>
      </c>
      <c r="C2244" s="1" t="s">
        <v>876</v>
      </c>
      <c r="D2244" s="2">
        <v>46064.415914351855</v>
      </c>
      <c r="E2244" s="1" t="s">
        <v>3945</v>
      </c>
      <c r="F2244" s="1" t="b">
        <v>0</v>
      </c>
    </row>
    <row r="2245">
      <c r="A2245" s="1" t="s">
        <v>874</v>
      </c>
      <c r="B2245" s="1" t="s">
        <v>2046</v>
      </c>
      <c r="C2245" s="1">
        <v>594863.0</v>
      </c>
      <c r="D2245" s="2">
        <v>46064.433125</v>
      </c>
      <c r="E2245" s="1" t="s">
        <v>3946</v>
      </c>
      <c r="F2245" s="1" t="b">
        <v>0</v>
      </c>
    </row>
    <row r="2246">
      <c r="A2246" s="1" t="s">
        <v>874</v>
      </c>
      <c r="B2246" s="1" t="s">
        <v>2042</v>
      </c>
      <c r="C2246" s="1" t="s">
        <v>876</v>
      </c>
      <c r="D2246" s="2">
        <v>46064.44767361111</v>
      </c>
      <c r="E2246" s="1" t="s">
        <v>3947</v>
      </c>
      <c r="F2246" s="1" t="b">
        <v>0</v>
      </c>
    </row>
    <row r="2247">
      <c r="A2247" s="1" t="s">
        <v>874</v>
      </c>
      <c r="B2247" s="1" t="s">
        <v>2042</v>
      </c>
      <c r="C2247" s="1" t="s">
        <v>876</v>
      </c>
      <c r="D2247" s="2">
        <v>46064.45450231482</v>
      </c>
      <c r="E2247" s="1" t="s">
        <v>3948</v>
      </c>
      <c r="F2247" s="1" t="b">
        <v>0</v>
      </c>
    </row>
    <row r="2248">
      <c r="A2248" s="1" t="s">
        <v>874</v>
      </c>
      <c r="B2248" s="1" t="s">
        <v>2046</v>
      </c>
      <c r="C2248" s="1">
        <v>594863.0</v>
      </c>
      <c r="D2248" s="2">
        <v>46064.46335648148</v>
      </c>
      <c r="E2248" s="1" t="s">
        <v>3949</v>
      </c>
      <c r="F2248" s="1" t="b">
        <v>0</v>
      </c>
    </row>
    <row r="2249">
      <c r="A2249" s="1" t="s">
        <v>874</v>
      </c>
      <c r="B2249" s="1" t="s">
        <v>2042</v>
      </c>
      <c r="C2249" s="1" t="s">
        <v>876</v>
      </c>
      <c r="D2249" s="2">
        <v>46064.46413194444</v>
      </c>
      <c r="E2249" s="1" t="s">
        <v>3950</v>
      </c>
      <c r="F2249" s="1" t="b">
        <v>0</v>
      </c>
    </row>
    <row r="2250">
      <c r="A2250" s="1" t="s">
        <v>874</v>
      </c>
      <c r="B2250" s="1" t="s">
        <v>2042</v>
      </c>
      <c r="C2250" s="1" t="s">
        <v>876</v>
      </c>
      <c r="D2250" s="2">
        <v>46064.464537037034</v>
      </c>
      <c r="E2250" s="1" t="s">
        <v>3951</v>
      </c>
      <c r="F2250" s="1" t="b">
        <v>0</v>
      </c>
    </row>
    <row r="2251">
      <c r="A2251" s="1" t="s">
        <v>874</v>
      </c>
      <c r="B2251" s="1" t="s">
        <v>2042</v>
      </c>
      <c r="C2251" s="1" t="s">
        <v>876</v>
      </c>
      <c r="D2251" s="2">
        <v>46064.4690625</v>
      </c>
      <c r="E2251" s="1" t="s">
        <v>3952</v>
      </c>
      <c r="F2251" s="1" t="b">
        <v>0</v>
      </c>
    </row>
    <row r="2252">
      <c r="A2252" s="1" t="s">
        <v>874</v>
      </c>
      <c r="B2252" s="1" t="s">
        <v>2042</v>
      </c>
      <c r="C2252" s="1" t="s">
        <v>876</v>
      </c>
      <c r="D2252" s="2">
        <v>46064.469293981485</v>
      </c>
      <c r="E2252" s="1" t="s">
        <v>3953</v>
      </c>
      <c r="F2252" s="1" t="b">
        <v>0</v>
      </c>
    </row>
    <row r="2253">
      <c r="A2253" s="1" t="s">
        <v>874</v>
      </c>
      <c r="B2253" s="1" t="s">
        <v>2046</v>
      </c>
      <c r="C2253" s="1">
        <v>594863.0</v>
      </c>
      <c r="D2253" s="2">
        <v>46064.47021990741</v>
      </c>
      <c r="E2253" s="1" t="s">
        <v>3954</v>
      </c>
      <c r="F2253" s="1" t="b">
        <v>0</v>
      </c>
    </row>
    <row r="2254">
      <c r="A2254" s="1" t="s">
        <v>874</v>
      </c>
      <c r="B2254" s="1" t="s">
        <v>2046</v>
      </c>
      <c r="C2254" s="1">
        <v>594863.0</v>
      </c>
      <c r="D2254" s="2">
        <v>46064.474016203705</v>
      </c>
      <c r="E2254" s="1" t="s">
        <v>3955</v>
      </c>
      <c r="F2254" s="1" t="b">
        <v>0</v>
      </c>
    </row>
    <row r="2255">
      <c r="A2255" s="1" t="s">
        <v>874</v>
      </c>
      <c r="B2255" s="1" t="s">
        <v>2046</v>
      </c>
      <c r="C2255" s="1">
        <v>594863.0</v>
      </c>
      <c r="D2255" s="2">
        <v>46064.47408564815</v>
      </c>
      <c r="E2255" s="1" t="s">
        <v>2108</v>
      </c>
      <c r="F2255" s="1" t="b">
        <v>0</v>
      </c>
    </row>
    <row r="2256">
      <c r="A2256" s="1" t="s">
        <v>874</v>
      </c>
      <c r="B2256" s="1" t="s">
        <v>2042</v>
      </c>
      <c r="C2256" s="1" t="s">
        <v>876</v>
      </c>
      <c r="D2256" s="2">
        <v>46064.47690972222</v>
      </c>
      <c r="E2256" s="1" t="s">
        <v>3956</v>
      </c>
      <c r="F2256" s="1" t="b">
        <v>0</v>
      </c>
    </row>
    <row r="2257">
      <c r="A2257" s="1" t="s">
        <v>874</v>
      </c>
      <c r="B2257" s="1" t="s">
        <v>2042</v>
      </c>
      <c r="C2257" s="1" t="s">
        <v>876</v>
      </c>
      <c r="D2257" s="2">
        <v>46064.47696759259</v>
      </c>
      <c r="F2257" s="1" t="b">
        <v>0</v>
      </c>
    </row>
    <row r="2258">
      <c r="A2258" s="1" t="s">
        <v>874</v>
      </c>
      <c r="B2258" s="1" t="s">
        <v>2042</v>
      </c>
      <c r="C2258" s="1" t="s">
        <v>876</v>
      </c>
      <c r="D2258" s="2">
        <v>46064.479629629626</v>
      </c>
      <c r="F2258" s="1" t="b">
        <v>0</v>
      </c>
    </row>
    <row r="2259">
      <c r="A2259" s="1" t="s">
        <v>874</v>
      </c>
      <c r="B2259" s="1" t="s">
        <v>2042</v>
      </c>
      <c r="C2259" s="1" t="s">
        <v>876</v>
      </c>
      <c r="D2259" s="2">
        <v>46064.47969907407</v>
      </c>
      <c r="E2259" s="1" t="s">
        <v>3957</v>
      </c>
      <c r="F2259" s="1" t="b">
        <v>0</v>
      </c>
    </row>
    <row r="2260">
      <c r="A2260" s="1" t="s">
        <v>874</v>
      </c>
      <c r="B2260" s="1" t="s">
        <v>2042</v>
      </c>
      <c r="C2260" s="1" t="s">
        <v>876</v>
      </c>
      <c r="D2260" s="2">
        <v>46064.48103009259</v>
      </c>
      <c r="E2260" s="1" t="s">
        <v>3958</v>
      </c>
      <c r="F2260" s="1" t="b">
        <v>0</v>
      </c>
    </row>
    <row r="2261">
      <c r="A2261" s="1" t="s">
        <v>874</v>
      </c>
      <c r="B2261" s="1" t="s">
        <v>2046</v>
      </c>
      <c r="C2261" s="1">
        <v>607950.0</v>
      </c>
      <c r="D2261" s="2">
        <v>46064.48134259259</v>
      </c>
      <c r="E2261" s="1" t="s">
        <v>3959</v>
      </c>
      <c r="F2261" s="1" t="b">
        <v>0</v>
      </c>
    </row>
    <row r="2262">
      <c r="A2262" s="1" t="s">
        <v>874</v>
      </c>
      <c r="B2262" s="1" t="s">
        <v>2046</v>
      </c>
      <c r="C2262" s="1">
        <v>607950.0</v>
      </c>
      <c r="D2262" s="2">
        <v>46064.48148148148</v>
      </c>
      <c r="E2262" s="1" t="s">
        <v>3960</v>
      </c>
      <c r="F2262" s="1" t="b">
        <v>1</v>
      </c>
    </row>
    <row r="2263">
      <c r="A2263" s="1" t="s">
        <v>874</v>
      </c>
      <c r="B2263" s="1" t="s">
        <v>2046</v>
      </c>
      <c r="C2263" s="1">
        <v>594863.0</v>
      </c>
      <c r="D2263" s="2">
        <v>46064.481770833336</v>
      </c>
      <c r="E2263" s="1" t="s">
        <v>3961</v>
      </c>
      <c r="F2263" s="1" t="b">
        <v>1</v>
      </c>
    </row>
    <row r="2264">
      <c r="A2264" s="1" t="s">
        <v>874</v>
      </c>
      <c r="B2264" s="1" t="s">
        <v>2046</v>
      </c>
      <c r="C2264" s="1">
        <v>607950.0</v>
      </c>
      <c r="D2264" s="2">
        <v>46064.48185185185</v>
      </c>
      <c r="E2264" s="1" t="s">
        <v>3962</v>
      </c>
      <c r="F2264" s="1" t="b">
        <v>1</v>
      </c>
    </row>
    <row r="2265">
      <c r="A2265" s="1" t="s">
        <v>874</v>
      </c>
      <c r="B2265" s="1" t="s">
        <v>2046</v>
      </c>
      <c r="C2265" s="1">
        <v>594863.0</v>
      </c>
      <c r="D2265" s="2">
        <v>46064.56454861111</v>
      </c>
      <c r="E2265" s="1" t="s">
        <v>3963</v>
      </c>
      <c r="F2265" s="1" t="b">
        <v>0</v>
      </c>
    </row>
    <row r="2266">
      <c r="A2266" s="1" t="s">
        <v>874</v>
      </c>
      <c r="B2266" s="1" t="s">
        <v>2046</v>
      </c>
      <c r="C2266" s="1">
        <v>594863.0</v>
      </c>
      <c r="D2266" s="2">
        <v>46064.56538194444</v>
      </c>
      <c r="E2266" s="1" t="s">
        <v>2108</v>
      </c>
      <c r="F2266" s="1" t="b">
        <v>0</v>
      </c>
    </row>
    <row r="2267">
      <c r="A2267" s="1" t="s">
        <v>868</v>
      </c>
      <c r="B2267" s="1" t="s">
        <v>2042</v>
      </c>
      <c r="C2267" s="1" t="s">
        <v>872</v>
      </c>
      <c r="D2267" s="2">
        <v>46063.76871527778</v>
      </c>
      <c r="F2267" s="1" t="b">
        <v>0</v>
      </c>
    </row>
    <row r="2268">
      <c r="A2268" s="1" t="s">
        <v>868</v>
      </c>
      <c r="B2268" s="1" t="s">
        <v>2042</v>
      </c>
      <c r="C2268" s="1" t="s">
        <v>872</v>
      </c>
      <c r="D2268" s="2">
        <v>46063.76907407407</v>
      </c>
      <c r="E2268" s="1" t="s">
        <v>3964</v>
      </c>
      <c r="F2268" s="1" t="b">
        <v>0</v>
      </c>
    </row>
    <row r="2269">
      <c r="A2269" s="1" t="s">
        <v>868</v>
      </c>
      <c r="B2269" s="1" t="s">
        <v>2042</v>
      </c>
      <c r="C2269" s="1" t="s">
        <v>872</v>
      </c>
      <c r="D2269" s="2">
        <v>46063.769525462965</v>
      </c>
      <c r="E2269" s="1" t="s">
        <v>3965</v>
      </c>
      <c r="F2269" s="1" t="b">
        <v>0</v>
      </c>
    </row>
    <row r="2270">
      <c r="A2270" s="1" t="s">
        <v>868</v>
      </c>
      <c r="B2270" s="1" t="s">
        <v>2042</v>
      </c>
      <c r="C2270" s="1" t="s">
        <v>872</v>
      </c>
      <c r="D2270" s="2">
        <v>46063.7696875</v>
      </c>
      <c r="F2270" s="1" t="b">
        <v>0</v>
      </c>
    </row>
    <row r="2271">
      <c r="A2271" s="1" t="s">
        <v>868</v>
      </c>
      <c r="B2271" s="1" t="s">
        <v>2042</v>
      </c>
      <c r="C2271" s="1" t="s">
        <v>872</v>
      </c>
      <c r="D2271" s="2">
        <v>46063.76988425926</v>
      </c>
      <c r="E2271" s="1" t="s">
        <v>3966</v>
      </c>
      <c r="F2271" s="1" t="b">
        <v>0</v>
      </c>
    </row>
    <row r="2272">
      <c r="A2272" s="1" t="s">
        <v>868</v>
      </c>
      <c r="B2272" s="1" t="s">
        <v>2046</v>
      </c>
      <c r="C2272" s="1">
        <v>607950.0</v>
      </c>
      <c r="D2272" s="2">
        <v>46064.41769675926</v>
      </c>
      <c r="E2272" s="1" t="s">
        <v>2752</v>
      </c>
      <c r="F2272" s="1" t="b">
        <v>0</v>
      </c>
    </row>
    <row r="2273">
      <c r="A2273" s="1" t="s">
        <v>868</v>
      </c>
      <c r="B2273" s="1" t="s">
        <v>2046</v>
      </c>
      <c r="C2273" s="1">
        <v>607950.0</v>
      </c>
      <c r="D2273" s="2">
        <v>46064.41886574074</v>
      </c>
      <c r="E2273" s="1" t="s">
        <v>3967</v>
      </c>
      <c r="F2273" s="1" t="b">
        <v>0</v>
      </c>
    </row>
    <row r="2274">
      <c r="A2274" s="1" t="s">
        <v>868</v>
      </c>
      <c r="B2274" s="1" t="s">
        <v>2042</v>
      </c>
      <c r="C2274" s="1" t="s">
        <v>872</v>
      </c>
      <c r="D2274" s="2">
        <v>46064.44945601852</v>
      </c>
      <c r="E2274" s="1" t="s">
        <v>3968</v>
      </c>
      <c r="F2274" s="1" t="b">
        <v>0</v>
      </c>
    </row>
    <row r="2275">
      <c r="A2275" s="1" t="s">
        <v>868</v>
      </c>
      <c r="B2275" s="1" t="s">
        <v>2046</v>
      </c>
      <c r="C2275" s="1">
        <v>607950.0</v>
      </c>
      <c r="D2275" s="2">
        <v>46064.45142361111</v>
      </c>
      <c r="E2275" s="1" t="s">
        <v>3969</v>
      </c>
      <c r="F2275" s="1" t="b">
        <v>0</v>
      </c>
    </row>
    <row r="2276">
      <c r="A2276" s="1" t="s">
        <v>868</v>
      </c>
      <c r="B2276" s="1" t="s">
        <v>2046</v>
      </c>
      <c r="C2276" s="1">
        <v>607950.0</v>
      </c>
      <c r="D2276" s="2">
        <v>46064.51914351852</v>
      </c>
      <c r="E2276" s="1" t="s">
        <v>3970</v>
      </c>
      <c r="F2276" s="1" t="b">
        <v>1</v>
      </c>
    </row>
    <row r="2277">
      <c r="A2277" s="1" t="s">
        <v>868</v>
      </c>
      <c r="B2277" s="1" t="s">
        <v>2150</v>
      </c>
      <c r="C2277" s="1" t="s">
        <v>2151</v>
      </c>
      <c r="D2277" s="2">
        <v>46064.51930555556</v>
      </c>
      <c r="E2277" s="1" t="s">
        <v>3971</v>
      </c>
      <c r="F2277" s="1" t="b">
        <v>1</v>
      </c>
    </row>
    <row r="2278">
      <c r="A2278" s="1" t="s">
        <v>868</v>
      </c>
      <c r="B2278" s="1" t="s">
        <v>2046</v>
      </c>
      <c r="C2278" s="1">
        <v>607950.0</v>
      </c>
      <c r="D2278" s="2">
        <v>46064.51960648148</v>
      </c>
      <c r="E2278" s="1" t="s">
        <v>3972</v>
      </c>
      <c r="F2278" s="1" t="b">
        <v>1</v>
      </c>
    </row>
    <row r="2279">
      <c r="A2279" s="1" t="s">
        <v>868</v>
      </c>
      <c r="B2279" s="1" t="s">
        <v>2150</v>
      </c>
      <c r="C2279" s="1" t="s">
        <v>2151</v>
      </c>
      <c r="D2279" s="2">
        <v>46064.519733796296</v>
      </c>
      <c r="E2279" s="1" t="s">
        <v>3973</v>
      </c>
      <c r="F2279" s="1" t="b">
        <v>1</v>
      </c>
    </row>
    <row r="2280">
      <c r="A2280" s="1" t="s">
        <v>868</v>
      </c>
      <c r="B2280" s="1" t="s">
        <v>2046</v>
      </c>
      <c r="C2280" s="1">
        <v>574085.0</v>
      </c>
      <c r="D2280" s="2">
        <v>46064.51998842593</v>
      </c>
      <c r="E2280" s="1" t="s">
        <v>3974</v>
      </c>
      <c r="F2280" s="1" t="b">
        <v>1</v>
      </c>
    </row>
    <row r="2281">
      <c r="A2281" s="1" t="s">
        <v>868</v>
      </c>
      <c r="B2281" s="1" t="s">
        <v>2046</v>
      </c>
      <c r="C2281" s="1">
        <v>574085.0</v>
      </c>
      <c r="D2281" s="2">
        <v>46064.520625</v>
      </c>
      <c r="E2281" s="1" t="s">
        <v>3975</v>
      </c>
      <c r="F2281" s="1" t="b">
        <v>1</v>
      </c>
    </row>
    <row r="2282">
      <c r="A2282" s="1" t="s">
        <v>868</v>
      </c>
      <c r="B2282" s="1" t="s">
        <v>2042</v>
      </c>
      <c r="C2282" s="1" t="s">
        <v>872</v>
      </c>
      <c r="D2282" s="2">
        <v>46073.48296296296</v>
      </c>
      <c r="E2282" s="1" t="s">
        <v>3976</v>
      </c>
      <c r="F2282" s="1" t="b">
        <v>0</v>
      </c>
    </row>
    <row r="2283">
      <c r="A2283" s="1" t="s">
        <v>868</v>
      </c>
      <c r="B2283" s="1" t="s">
        <v>2046</v>
      </c>
      <c r="C2283" s="1">
        <v>607950.0</v>
      </c>
      <c r="D2283" s="2">
        <v>46073.485555555555</v>
      </c>
      <c r="E2283" s="1" t="s">
        <v>3977</v>
      </c>
      <c r="F2283" s="1" t="b">
        <v>0</v>
      </c>
    </row>
    <row r="2284">
      <c r="A2284" s="1" t="s">
        <v>868</v>
      </c>
      <c r="B2284" s="1" t="s">
        <v>2046</v>
      </c>
      <c r="C2284" s="1">
        <v>607950.0</v>
      </c>
      <c r="D2284" s="2">
        <v>46073.49496527778</v>
      </c>
      <c r="E2284" s="1" t="s">
        <v>3978</v>
      </c>
      <c r="F2284" s="1" t="b">
        <v>0</v>
      </c>
    </row>
    <row r="2285">
      <c r="A2285" s="1" t="s">
        <v>868</v>
      </c>
      <c r="B2285" s="1" t="s">
        <v>2042</v>
      </c>
      <c r="C2285" s="1" t="s">
        <v>872</v>
      </c>
      <c r="D2285" s="2">
        <v>46073.49769675926</v>
      </c>
      <c r="E2285" s="1" t="s">
        <v>3979</v>
      </c>
      <c r="F2285" s="1" t="b">
        <v>0</v>
      </c>
    </row>
    <row r="2286">
      <c r="A2286" s="1" t="s">
        <v>868</v>
      </c>
      <c r="B2286" s="1" t="s">
        <v>2046</v>
      </c>
      <c r="C2286" s="1">
        <v>607950.0</v>
      </c>
      <c r="D2286" s="2">
        <v>46073.500752314816</v>
      </c>
      <c r="E2286" s="1" t="s">
        <v>3980</v>
      </c>
      <c r="F2286" s="1" t="b">
        <v>0</v>
      </c>
    </row>
    <row r="2287">
      <c r="A2287" s="1" t="s">
        <v>868</v>
      </c>
      <c r="B2287" s="1" t="s">
        <v>2042</v>
      </c>
      <c r="C2287" s="1" t="s">
        <v>872</v>
      </c>
      <c r="D2287" s="2">
        <v>46073.50215277778</v>
      </c>
      <c r="E2287" s="1" t="s">
        <v>3981</v>
      </c>
      <c r="F2287" s="1" t="b">
        <v>0</v>
      </c>
    </row>
    <row r="2288">
      <c r="A2288" s="1" t="s">
        <v>868</v>
      </c>
      <c r="B2288" s="1" t="s">
        <v>2042</v>
      </c>
      <c r="C2288" s="1" t="s">
        <v>872</v>
      </c>
      <c r="D2288" s="2">
        <v>46073.50219907407</v>
      </c>
      <c r="E2288" s="1" t="s">
        <v>3982</v>
      </c>
      <c r="F2288" s="1" t="b">
        <v>0</v>
      </c>
    </row>
    <row r="2289">
      <c r="A2289" s="1" t="s">
        <v>868</v>
      </c>
      <c r="B2289" s="1" t="s">
        <v>2046</v>
      </c>
      <c r="C2289" s="1">
        <v>607950.0</v>
      </c>
      <c r="D2289" s="2">
        <v>46073.51592592592</v>
      </c>
      <c r="E2289" s="1" t="s">
        <v>3983</v>
      </c>
      <c r="F2289" s="1" t="b">
        <v>0</v>
      </c>
    </row>
    <row r="2290">
      <c r="A2290" s="1" t="s">
        <v>866</v>
      </c>
      <c r="B2290" s="1" t="s">
        <v>2042</v>
      </c>
      <c r="C2290" s="1" t="s">
        <v>228</v>
      </c>
      <c r="D2290" s="2">
        <v>46063.83453703704</v>
      </c>
      <c r="E2290" s="1" t="s">
        <v>3984</v>
      </c>
      <c r="F2290" s="1" t="b">
        <v>0</v>
      </c>
    </row>
    <row r="2291">
      <c r="A2291" s="1" t="s">
        <v>866</v>
      </c>
      <c r="B2291" s="1" t="s">
        <v>2042</v>
      </c>
      <c r="C2291" s="1" t="s">
        <v>228</v>
      </c>
      <c r="D2291" s="2">
        <v>46063.834814814814</v>
      </c>
      <c r="E2291" s="1" t="s">
        <v>3985</v>
      </c>
      <c r="F2291" s="1" t="b">
        <v>0</v>
      </c>
    </row>
    <row r="2292">
      <c r="A2292" s="1" t="s">
        <v>862</v>
      </c>
      <c r="B2292" s="1" t="s">
        <v>2042</v>
      </c>
      <c r="C2292" s="1" t="s">
        <v>864</v>
      </c>
      <c r="D2292" s="2">
        <v>46063.88314814815</v>
      </c>
      <c r="E2292" s="1" t="s">
        <v>3986</v>
      </c>
      <c r="F2292" s="1" t="b">
        <v>0</v>
      </c>
    </row>
    <row r="2293">
      <c r="A2293" s="1" t="s">
        <v>858</v>
      </c>
      <c r="B2293" s="1" t="s">
        <v>2042</v>
      </c>
      <c r="C2293" s="1" t="s">
        <v>860</v>
      </c>
      <c r="D2293" s="2">
        <v>46063.91950231481</v>
      </c>
      <c r="E2293" s="1" t="s">
        <v>3987</v>
      </c>
      <c r="F2293" s="1" t="b">
        <v>0</v>
      </c>
    </row>
    <row r="2294">
      <c r="A2294" s="1" t="s">
        <v>854</v>
      </c>
      <c r="B2294" s="1" t="s">
        <v>2042</v>
      </c>
      <c r="C2294" s="1" t="s">
        <v>856</v>
      </c>
      <c r="D2294" s="2">
        <v>46063.972719907404</v>
      </c>
      <c r="E2294" s="1" t="s">
        <v>3988</v>
      </c>
      <c r="F2294" s="1" t="b">
        <v>0</v>
      </c>
    </row>
    <row r="2295">
      <c r="A2295" s="1" t="s">
        <v>854</v>
      </c>
      <c r="B2295" s="1" t="s">
        <v>2042</v>
      </c>
      <c r="C2295" s="1" t="s">
        <v>856</v>
      </c>
      <c r="D2295" s="2">
        <v>46063.97284722222</v>
      </c>
      <c r="E2295" s="1" t="s">
        <v>3989</v>
      </c>
      <c r="F2295" s="1" t="b">
        <v>0</v>
      </c>
    </row>
    <row r="2296">
      <c r="A2296" s="1" t="s">
        <v>854</v>
      </c>
      <c r="B2296" s="1" t="s">
        <v>2042</v>
      </c>
      <c r="C2296" s="1" t="s">
        <v>856</v>
      </c>
      <c r="D2296" s="2">
        <v>46063.97399305556</v>
      </c>
      <c r="E2296" s="1" t="s">
        <v>3990</v>
      </c>
      <c r="F2296" s="1" t="b">
        <v>0</v>
      </c>
    </row>
    <row r="2297">
      <c r="A2297" s="1" t="s">
        <v>854</v>
      </c>
      <c r="B2297" s="1" t="s">
        <v>2042</v>
      </c>
      <c r="C2297" s="1" t="s">
        <v>856</v>
      </c>
      <c r="D2297" s="2">
        <v>46063.97429398148</v>
      </c>
      <c r="E2297" s="1" t="s">
        <v>3991</v>
      </c>
      <c r="F2297" s="1" t="b">
        <v>0</v>
      </c>
    </row>
    <row r="2298">
      <c r="A2298" s="1" t="s">
        <v>854</v>
      </c>
      <c r="B2298" s="1" t="s">
        <v>2042</v>
      </c>
      <c r="C2298" s="1" t="s">
        <v>856</v>
      </c>
      <c r="D2298" s="2">
        <v>46063.97552083333</v>
      </c>
      <c r="E2298" s="1" t="s">
        <v>3992</v>
      </c>
      <c r="F2298" s="1" t="b">
        <v>0</v>
      </c>
    </row>
    <row r="2299">
      <c r="A2299" s="1" t="s">
        <v>854</v>
      </c>
      <c r="B2299" s="1" t="s">
        <v>2042</v>
      </c>
      <c r="C2299" s="1" t="s">
        <v>856</v>
      </c>
      <c r="D2299" s="2">
        <v>46063.976111111115</v>
      </c>
      <c r="E2299" s="1" t="s">
        <v>3993</v>
      </c>
      <c r="F2299" s="1" t="b">
        <v>0</v>
      </c>
    </row>
    <row r="2300">
      <c r="A2300" s="1" t="s">
        <v>850</v>
      </c>
      <c r="B2300" s="1" t="s">
        <v>2042</v>
      </c>
      <c r="C2300" s="1" t="s">
        <v>852</v>
      </c>
      <c r="D2300" s="2">
        <v>46064.00166666666</v>
      </c>
      <c r="E2300" s="1" t="s">
        <v>3994</v>
      </c>
      <c r="F2300" s="1" t="b">
        <v>0</v>
      </c>
    </row>
    <row r="2301">
      <c r="A2301" s="1" t="s">
        <v>850</v>
      </c>
      <c r="B2301" s="1" t="s">
        <v>2042</v>
      </c>
      <c r="C2301" s="1" t="s">
        <v>852</v>
      </c>
      <c r="D2301" s="2">
        <v>46064.002233796295</v>
      </c>
      <c r="E2301" s="1" t="s">
        <v>3995</v>
      </c>
      <c r="F2301" s="1" t="b">
        <v>0</v>
      </c>
    </row>
    <row r="2302">
      <c r="A2302" s="1" t="s">
        <v>850</v>
      </c>
      <c r="B2302" s="1" t="s">
        <v>2042</v>
      </c>
      <c r="C2302" s="1" t="s">
        <v>852</v>
      </c>
      <c r="D2302" s="2">
        <v>46064.0030787037</v>
      </c>
      <c r="E2302" s="1" t="s">
        <v>3996</v>
      </c>
      <c r="F2302" s="1" t="b">
        <v>0</v>
      </c>
    </row>
    <row r="2303">
      <c r="A2303" s="1" t="s">
        <v>850</v>
      </c>
      <c r="B2303" s="1" t="s">
        <v>2042</v>
      </c>
      <c r="C2303" s="1" t="s">
        <v>852</v>
      </c>
      <c r="D2303" s="2">
        <v>46064.00340277778</v>
      </c>
      <c r="E2303" s="1" t="s">
        <v>3997</v>
      </c>
      <c r="F2303" s="1" t="b">
        <v>0</v>
      </c>
    </row>
    <row r="2304">
      <c r="A2304" s="1" t="s">
        <v>850</v>
      </c>
      <c r="B2304" s="1" t="s">
        <v>2042</v>
      </c>
      <c r="C2304" s="1" t="s">
        <v>852</v>
      </c>
      <c r="D2304" s="2">
        <v>46064.00467592593</v>
      </c>
      <c r="E2304" s="1" t="s">
        <v>3998</v>
      </c>
      <c r="F2304" s="1" t="b">
        <v>0</v>
      </c>
    </row>
    <row r="2305">
      <c r="A2305" s="1" t="s">
        <v>850</v>
      </c>
      <c r="B2305" s="1" t="s">
        <v>2042</v>
      </c>
      <c r="C2305" s="1" t="s">
        <v>852</v>
      </c>
      <c r="D2305" s="2">
        <v>46064.004837962966</v>
      </c>
      <c r="E2305" s="1" t="s">
        <v>3999</v>
      </c>
      <c r="F2305" s="1" t="b">
        <v>0</v>
      </c>
    </row>
    <row r="2306">
      <c r="A2306" s="1" t="s">
        <v>850</v>
      </c>
      <c r="B2306" s="1" t="s">
        <v>2042</v>
      </c>
      <c r="C2306" s="1" t="s">
        <v>852</v>
      </c>
      <c r="D2306" s="2">
        <v>46064.00509259259</v>
      </c>
      <c r="E2306" s="1" t="s">
        <v>4000</v>
      </c>
      <c r="F2306" s="1" t="b">
        <v>0</v>
      </c>
    </row>
    <row r="2307">
      <c r="A2307" s="1" t="s">
        <v>850</v>
      </c>
      <c r="B2307" s="1" t="s">
        <v>2042</v>
      </c>
      <c r="C2307" s="1" t="s">
        <v>852</v>
      </c>
      <c r="D2307" s="2">
        <v>46064.005266203705</v>
      </c>
      <c r="E2307" s="1" t="s">
        <v>4001</v>
      </c>
      <c r="F2307" s="1" t="b">
        <v>0</v>
      </c>
    </row>
    <row r="2308">
      <c r="A2308" s="1" t="s">
        <v>846</v>
      </c>
      <c r="B2308" s="1" t="s">
        <v>2042</v>
      </c>
      <c r="C2308" s="1" t="s">
        <v>848</v>
      </c>
      <c r="D2308" s="2">
        <v>46064.00271990741</v>
      </c>
      <c r="E2308" s="1" t="s">
        <v>4002</v>
      </c>
      <c r="F2308" s="1" t="b">
        <v>0</v>
      </c>
    </row>
    <row r="2309">
      <c r="A2309" s="1" t="s">
        <v>846</v>
      </c>
      <c r="B2309" s="1" t="s">
        <v>2042</v>
      </c>
      <c r="C2309" s="1" t="s">
        <v>848</v>
      </c>
      <c r="D2309" s="2">
        <v>46064.003067129626</v>
      </c>
      <c r="E2309" s="1" t="s">
        <v>4003</v>
      </c>
      <c r="F2309" s="1" t="b">
        <v>0</v>
      </c>
    </row>
    <row r="2310">
      <c r="A2310" s="1" t="s">
        <v>846</v>
      </c>
      <c r="B2310" s="1" t="s">
        <v>2042</v>
      </c>
      <c r="C2310" s="1" t="s">
        <v>848</v>
      </c>
      <c r="D2310" s="2">
        <v>46064.00340277778</v>
      </c>
      <c r="E2310" s="1" t="s">
        <v>4004</v>
      </c>
      <c r="F2310" s="1" t="b">
        <v>0</v>
      </c>
    </row>
    <row r="2311">
      <c r="A2311" s="1" t="s">
        <v>846</v>
      </c>
      <c r="B2311" s="1" t="s">
        <v>2046</v>
      </c>
      <c r="C2311" s="1">
        <v>607950.0</v>
      </c>
      <c r="D2311" s="2">
        <v>46064.41607638889</v>
      </c>
      <c r="E2311" s="1" t="s">
        <v>2752</v>
      </c>
      <c r="F2311" s="1" t="b">
        <v>0</v>
      </c>
    </row>
    <row r="2312">
      <c r="A2312" s="1" t="s">
        <v>846</v>
      </c>
      <c r="B2312" s="1" t="s">
        <v>2046</v>
      </c>
      <c r="C2312" s="1">
        <v>607950.0</v>
      </c>
      <c r="D2312" s="2">
        <v>46064.41763888889</v>
      </c>
      <c r="E2312" s="1" t="s">
        <v>4005</v>
      </c>
      <c r="F2312" s="1" t="b">
        <v>0</v>
      </c>
    </row>
    <row r="2313">
      <c r="A2313" s="1" t="s">
        <v>846</v>
      </c>
      <c r="B2313" s="1" t="s">
        <v>2046</v>
      </c>
      <c r="C2313" s="1">
        <v>607950.0</v>
      </c>
      <c r="D2313" s="2">
        <v>46064.436689814815</v>
      </c>
      <c r="E2313" s="1" t="s">
        <v>4006</v>
      </c>
      <c r="F2313" s="1" t="b">
        <v>0</v>
      </c>
    </row>
    <row r="2314">
      <c r="A2314" s="1" t="s">
        <v>846</v>
      </c>
      <c r="B2314" s="1" t="s">
        <v>2046</v>
      </c>
      <c r="C2314" s="1">
        <v>607950.0</v>
      </c>
      <c r="D2314" s="2">
        <v>46064.517118055555</v>
      </c>
      <c r="E2314" s="1" t="s">
        <v>2108</v>
      </c>
      <c r="F2314" s="1" t="b">
        <v>0</v>
      </c>
    </row>
    <row r="2315">
      <c r="A2315" s="1" t="s">
        <v>844</v>
      </c>
      <c r="B2315" s="1" t="s">
        <v>2042</v>
      </c>
      <c r="C2315" s="1" t="s">
        <v>842</v>
      </c>
      <c r="D2315" s="2">
        <v>46064.111284722225</v>
      </c>
      <c r="E2315" s="1" t="s">
        <v>4007</v>
      </c>
      <c r="F2315" s="1" t="b">
        <v>0</v>
      </c>
    </row>
    <row r="2316">
      <c r="A2316" s="1" t="s">
        <v>844</v>
      </c>
      <c r="B2316" s="1" t="s">
        <v>2042</v>
      </c>
      <c r="C2316" s="1" t="s">
        <v>842</v>
      </c>
      <c r="D2316" s="2">
        <v>46064.111921296295</v>
      </c>
      <c r="E2316" s="1" t="s">
        <v>4008</v>
      </c>
      <c r="F2316" s="1" t="b">
        <v>0</v>
      </c>
    </row>
    <row r="2317">
      <c r="A2317" s="1" t="s">
        <v>844</v>
      </c>
      <c r="B2317" s="1" t="s">
        <v>2042</v>
      </c>
      <c r="C2317" s="1" t="s">
        <v>842</v>
      </c>
      <c r="D2317" s="2">
        <v>46064.11246527778</v>
      </c>
      <c r="E2317" s="1" t="s">
        <v>4009</v>
      </c>
      <c r="F2317" s="1" t="b">
        <v>0</v>
      </c>
    </row>
    <row r="2318">
      <c r="A2318" s="1" t="s">
        <v>844</v>
      </c>
      <c r="B2318" s="1" t="s">
        <v>2042</v>
      </c>
      <c r="C2318" s="1" t="s">
        <v>842</v>
      </c>
      <c r="D2318" s="2">
        <v>46064.11311342593</v>
      </c>
      <c r="E2318" s="1" t="s">
        <v>4010</v>
      </c>
      <c r="F2318" s="1" t="b">
        <v>0</v>
      </c>
    </row>
    <row r="2319">
      <c r="A2319" s="1" t="s">
        <v>844</v>
      </c>
      <c r="B2319" s="1" t="s">
        <v>2042</v>
      </c>
      <c r="C2319" s="1" t="s">
        <v>842</v>
      </c>
      <c r="D2319" s="2">
        <v>46064.11372685185</v>
      </c>
      <c r="E2319" s="1" t="s">
        <v>4011</v>
      </c>
      <c r="F2319" s="1" t="b">
        <v>0</v>
      </c>
    </row>
    <row r="2320">
      <c r="A2320" s="1" t="s">
        <v>840</v>
      </c>
      <c r="B2320" s="1" t="s">
        <v>2042</v>
      </c>
      <c r="C2320" s="1" t="s">
        <v>842</v>
      </c>
      <c r="D2320" s="2">
        <v>46064.12157407407</v>
      </c>
      <c r="E2320" s="1" t="s">
        <v>4012</v>
      </c>
      <c r="F2320" s="1" t="b">
        <v>0</v>
      </c>
    </row>
    <row r="2321">
      <c r="A2321" s="1" t="s">
        <v>836</v>
      </c>
      <c r="B2321" s="1" t="s">
        <v>2042</v>
      </c>
      <c r="C2321" s="1" t="s">
        <v>838</v>
      </c>
      <c r="D2321" s="2">
        <v>46064.14927083333</v>
      </c>
      <c r="E2321" s="1" t="s">
        <v>4013</v>
      </c>
      <c r="F2321" s="1" t="b">
        <v>0</v>
      </c>
    </row>
    <row r="2322">
      <c r="A2322" s="1" t="s">
        <v>836</v>
      </c>
      <c r="B2322" s="1" t="s">
        <v>2042</v>
      </c>
      <c r="C2322" s="1" t="s">
        <v>838</v>
      </c>
      <c r="D2322" s="2">
        <v>46064.149363425924</v>
      </c>
      <c r="E2322" s="1" t="s">
        <v>4014</v>
      </c>
      <c r="F2322" s="1" t="b">
        <v>0</v>
      </c>
    </row>
    <row r="2323">
      <c r="A2323" s="1" t="s">
        <v>836</v>
      </c>
      <c r="B2323" s="1" t="s">
        <v>2042</v>
      </c>
      <c r="C2323" s="1" t="s">
        <v>838</v>
      </c>
      <c r="D2323" s="2">
        <v>46064.1496875</v>
      </c>
      <c r="E2323" s="1">
        <v>1.0</v>
      </c>
      <c r="F2323" s="1" t="b">
        <v>0</v>
      </c>
    </row>
    <row r="2324">
      <c r="A2324" s="1" t="s">
        <v>832</v>
      </c>
      <c r="B2324" s="1" t="s">
        <v>2042</v>
      </c>
      <c r="C2324" s="1" t="s">
        <v>834</v>
      </c>
      <c r="D2324" s="2">
        <v>46064.32193287037</v>
      </c>
      <c r="E2324" s="1" t="s">
        <v>3519</v>
      </c>
      <c r="F2324" s="1" t="b">
        <v>0</v>
      </c>
    </row>
    <row r="2325">
      <c r="A2325" s="1" t="s">
        <v>832</v>
      </c>
      <c r="B2325" s="1" t="s">
        <v>2042</v>
      </c>
      <c r="C2325" s="1" t="s">
        <v>834</v>
      </c>
      <c r="D2325" s="2">
        <v>46064.32251157407</v>
      </c>
      <c r="E2325" s="1" t="s">
        <v>4015</v>
      </c>
      <c r="F2325" s="1" t="b">
        <v>0</v>
      </c>
    </row>
    <row r="2326">
      <c r="A2326" s="1" t="s">
        <v>832</v>
      </c>
      <c r="B2326" s="1" t="s">
        <v>2042</v>
      </c>
      <c r="C2326" s="1" t="s">
        <v>834</v>
      </c>
      <c r="D2326" s="2">
        <v>46064.323171296295</v>
      </c>
      <c r="E2326" s="1" t="s">
        <v>4016</v>
      </c>
      <c r="F2326" s="1" t="b">
        <v>0</v>
      </c>
    </row>
    <row r="2327">
      <c r="A2327" s="1" t="s">
        <v>832</v>
      </c>
      <c r="B2327" s="1" t="s">
        <v>2042</v>
      </c>
      <c r="C2327" s="1" t="s">
        <v>834</v>
      </c>
      <c r="D2327" s="2">
        <v>46064.32365740741</v>
      </c>
      <c r="E2327" s="1" t="s">
        <v>4017</v>
      </c>
      <c r="F2327" s="1" t="b">
        <v>0</v>
      </c>
    </row>
    <row r="2328">
      <c r="A2328" s="1" t="s">
        <v>827</v>
      </c>
      <c r="B2328" s="1" t="s">
        <v>2042</v>
      </c>
      <c r="C2328" s="1" t="s">
        <v>830</v>
      </c>
      <c r="D2328" s="2">
        <v>46064.42519675926</v>
      </c>
      <c r="E2328" s="1" t="s">
        <v>4018</v>
      </c>
      <c r="F2328" s="1" t="b">
        <v>0</v>
      </c>
    </row>
    <row r="2329">
      <c r="A2329" s="1" t="s">
        <v>827</v>
      </c>
      <c r="B2329" s="1" t="s">
        <v>2042</v>
      </c>
      <c r="C2329" s="1" t="s">
        <v>830</v>
      </c>
      <c r="D2329" s="2">
        <v>46064.42523148148</v>
      </c>
      <c r="E2329" s="1" t="s">
        <v>4018</v>
      </c>
      <c r="F2329" s="1" t="b">
        <v>0</v>
      </c>
    </row>
    <row r="2330">
      <c r="A2330" s="1" t="s">
        <v>827</v>
      </c>
      <c r="B2330" s="1" t="s">
        <v>2042</v>
      </c>
      <c r="C2330" s="1" t="s">
        <v>830</v>
      </c>
      <c r="D2330" s="2">
        <v>46064.42542824074</v>
      </c>
      <c r="E2330" s="1" t="s">
        <v>4018</v>
      </c>
      <c r="F2330" s="1" t="b">
        <v>0</v>
      </c>
    </row>
    <row r="2331">
      <c r="A2331" s="1" t="s">
        <v>827</v>
      </c>
      <c r="B2331" s="1" t="s">
        <v>2042</v>
      </c>
      <c r="C2331" s="1" t="s">
        <v>830</v>
      </c>
      <c r="D2331" s="2">
        <v>46064.42554398148</v>
      </c>
      <c r="F2331" s="1" t="b">
        <v>0</v>
      </c>
    </row>
    <row r="2332">
      <c r="A2332" s="1" t="s">
        <v>827</v>
      </c>
      <c r="B2332" s="1" t="s">
        <v>2042</v>
      </c>
      <c r="C2332" s="1" t="s">
        <v>830</v>
      </c>
      <c r="D2332" s="2">
        <v>46064.426412037035</v>
      </c>
      <c r="E2332" s="1" t="s">
        <v>4019</v>
      </c>
      <c r="F2332" s="1" t="b">
        <v>0</v>
      </c>
    </row>
    <row r="2333">
      <c r="A2333" s="1" t="s">
        <v>827</v>
      </c>
      <c r="B2333" s="1" t="s">
        <v>2042</v>
      </c>
      <c r="C2333" s="1" t="s">
        <v>830</v>
      </c>
      <c r="D2333" s="2">
        <v>46064.426932870374</v>
      </c>
      <c r="E2333" s="1" t="s">
        <v>4020</v>
      </c>
      <c r="F2333" s="1" t="b">
        <v>0</v>
      </c>
    </row>
    <row r="2334">
      <c r="A2334" s="1" t="s">
        <v>827</v>
      </c>
      <c r="B2334" s="1" t="s">
        <v>2046</v>
      </c>
      <c r="C2334" s="1">
        <v>607950.0</v>
      </c>
      <c r="D2334" s="2">
        <v>46064.42762731481</v>
      </c>
      <c r="E2334" s="1" t="s">
        <v>3834</v>
      </c>
      <c r="F2334" s="1" t="b">
        <v>0</v>
      </c>
    </row>
    <row r="2335">
      <c r="A2335" s="1" t="s">
        <v>827</v>
      </c>
      <c r="B2335" s="1" t="s">
        <v>2046</v>
      </c>
      <c r="C2335" s="1">
        <v>607950.0</v>
      </c>
      <c r="D2335" s="2">
        <v>46064.429756944446</v>
      </c>
      <c r="E2335" s="1" t="s">
        <v>4021</v>
      </c>
      <c r="F2335" s="1" t="b">
        <v>0</v>
      </c>
    </row>
    <row r="2336">
      <c r="A2336" s="1" t="s">
        <v>827</v>
      </c>
      <c r="B2336" s="1" t="s">
        <v>2046</v>
      </c>
      <c r="C2336" s="1">
        <v>607950.0</v>
      </c>
      <c r="D2336" s="2">
        <v>46064.43037037037</v>
      </c>
      <c r="E2336" s="1" t="s">
        <v>2254</v>
      </c>
      <c r="F2336" s="1" t="b">
        <v>1</v>
      </c>
    </row>
    <row r="2337">
      <c r="A2337" s="1" t="s">
        <v>827</v>
      </c>
      <c r="B2337" s="1" t="s">
        <v>2150</v>
      </c>
      <c r="C2337" s="1" t="s">
        <v>2151</v>
      </c>
      <c r="D2337" s="2">
        <v>46064.4305787037</v>
      </c>
      <c r="E2337" s="1" t="s">
        <v>4022</v>
      </c>
      <c r="F2337" s="1" t="b">
        <v>1</v>
      </c>
    </row>
    <row r="2338">
      <c r="A2338" s="1" t="s">
        <v>827</v>
      </c>
      <c r="B2338" s="1" t="s">
        <v>2042</v>
      </c>
      <c r="C2338" s="1" t="s">
        <v>830</v>
      </c>
      <c r="D2338" s="2">
        <v>46064.431666666664</v>
      </c>
      <c r="E2338" s="1" t="s">
        <v>4023</v>
      </c>
      <c r="F2338" s="1" t="b">
        <v>0</v>
      </c>
    </row>
    <row r="2339">
      <c r="A2339" s="1" t="s">
        <v>827</v>
      </c>
      <c r="B2339" s="1" t="s">
        <v>2042</v>
      </c>
      <c r="C2339" s="1" t="s">
        <v>830</v>
      </c>
      <c r="D2339" s="2">
        <v>46064.43204861111</v>
      </c>
      <c r="E2339" s="1" t="s">
        <v>4024</v>
      </c>
      <c r="F2339" s="1" t="b">
        <v>0</v>
      </c>
    </row>
    <row r="2340">
      <c r="A2340" s="1" t="s">
        <v>827</v>
      </c>
      <c r="B2340" s="1" t="s">
        <v>2042</v>
      </c>
      <c r="C2340" s="1" t="s">
        <v>830</v>
      </c>
      <c r="D2340" s="2">
        <v>46064.43232638889</v>
      </c>
      <c r="E2340" s="1" t="s">
        <v>4025</v>
      </c>
      <c r="F2340" s="1" t="b">
        <v>0</v>
      </c>
    </row>
    <row r="2341">
      <c r="A2341" s="1" t="s">
        <v>827</v>
      </c>
      <c r="B2341" s="1" t="s">
        <v>2042</v>
      </c>
      <c r="C2341" s="1" t="s">
        <v>830</v>
      </c>
      <c r="D2341" s="2">
        <v>46064.43243055556</v>
      </c>
      <c r="E2341" s="1" t="s">
        <v>4026</v>
      </c>
      <c r="F2341" s="1" t="b">
        <v>0</v>
      </c>
    </row>
    <row r="2342">
      <c r="A2342" s="1" t="s">
        <v>827</v>
      </c>
      <c r="B2342" s="1" t="s">
        <v>2046</v>
      </c>
      <c r="C2342" s="1">
        <v>607950.0</v>
      </c>
      <c r="D2342" s="2">
        <v>46064.43314814815</v>
      </c>
      <c r="E2342" s="1" t="s">
        <v>4027</v>
      </c>
      <c r="F2342" s="1" t="b">
        <v>1</v>
      </c>
    </row>
    <row r="2343">
      <c r="A2343" s="1" t="s">
        <v>827</v>
      </c>
      <c r="B2343" s="1" t="s">
        <v>2046</v>
      </c>
      <c r="C2343" s="1">
        <v>607950.0</v>
      </c>
      <c r="D2343" s="2">
        <v>46064.43386574074</v>
      </c>
      <c r="E2343" s="1" t="s">
        <v>4028</v>
      </c>
      <c r="F2343" s="1" t="b">
        <v>1</v>
      </c>
    </row>
    <row r="2344">
      <c r="A2344" s="1" t="s">
        <v>827</v>
      </c>
      <c r="B2344" s="1" t="s">
        <v>2150</v>
      </c>
      <c r="C2344" s="1" t="s">
        <v>2151</v>
      </c>
      <c r="D2344" s="2">
        <v>46064.43398148148</v>
      </c>
      <c r="E2344" s="1" t="s">
        <v>4029</v>
      </c>
      <c r="F2344" s="1" t="b">
        <v>1</v>
      </c>
    </row>
    <row r="2345">
      <c r="A2345" s="1" t="s">
        <v>827</v>
      </c>
      <c r="B2345" s="1" t="s">
        <v>2046</v>
      </c>
      <c r="C2345" s="1">
        <v>607950.0</v>
      </c>
      <c r="D2345" s="2">
        <v>46064.43649305555</v>
      </c>
      <c r="E2345" s="1" t="s">
        <v>4030</v>
      </c>
      <c r="F2345" s="1" t="b">
        <v>0</v>
      </c>
    </row>
    <row r="2346">
      <c r="A2346" s="1" t="s">
        <v>827</v>
      </c>
      <c r="B2346" s="1" t="s">
        <v>2046</v>
      </c>
      <c r="C2346" s="1">
        <v>607950.0</v>
      </c>
      <c r="D2346" s="2">
        <v>46064.51751157407</v>
      </c>
      <c r="E2346" s="1" t="s">
        <v>4031</v>
      </c>
      <c r="F2346" s="1" t="b">
        <v>0</v>
      </c>
    </row>
    <row r="2347">
      <c r="A2347" s="1" t="s">
        <v>827</v>
      </c>
      <c r="B2347" s="1" t="s">
        <v>2042</v>
      </c>
      <c r="C2347" s="1" t="s">
        <v>830</v>
      </c>
      <c r="D2347" s="2">
        <v>46064.52</v>
      </c>
      <c r="E2347" s="1" t="s">
        <v>4032</v>
      </c>
      <c r="F2347" s="1" t="b">
        <v>0</v>
      </c>
    </row>
    <row r="2348">
      <c r="A2348" s="1" t="s">
        <v>827</v>
      </c>
      <c r="B2348" s="1" t="s">
        <v>2046</v>
      </c>
      <c r="C2348" s="1">
        <v>574085.0</v>
      </c>
      <c r="D2348" s="2">
        <v>46064.520104166666</v>
      </c>
      <c r="E2348" s="1" t="s">
        <v>2108</v>
      </c>
      <c r="F2348" s="1" t="b">
        <v>0</v>
      </c>
    </row>
    <row r="2349">
      <c r="A2349" s="1" t="s">
        <v>823</v>
      </c>
      <c r="B2349" s="1" t="s">
        <v>2042</v>
      </c>
      <c r="C2349" s="1" t="s">
        <v>825</v>
      </c>
      <c r="D2349" s="2">
        <v>46064.43067129629</v>
      </c>
      <c r="E2349" s="1" t="s">
        <v>4033</v>
      </c>
      <c r="F2349" s="1" t="b">
        <v>0</v>
      </c>
    </row>
    <row r="2350">
      <c r="A2350" s="1" t="s">
        <v>819</v>
      </c>
      <c r="B2350" s="1" t="s">
        <v>2042</v>
      </c>
      <c r="C2350" s="1" t="s">
        <v>821</v>
      </c>
      <c r="D2350" s="2">
        <v>46064.42938657408</v>
      </c>
      <c r="E2350" s="1" t="s">
        <v>4034</v>
      </c>
      <c r="F2350" s="1" t="b">
        <v>0</v>
      </c>
    </row>
    <row r="2351">
      <c r="A2351" s="1" t="s">
        <v>815</v>
      </c>
      <c r="B2351" s="1" t="s">
        <v>2042</v>
      </c>
      <c r="C2351" s="1" t="s">
        <v>817</v>
      </c>
      <c r="D2351" s="2">
        <v>46064.4365625</v>
      </c>
      <c r="E2351" s="1" t="s">
        <v>4035</v>
      </c>
      <c r="F2351" s="1" t="b">
        <v>0</v>
      </c>
    </row>
    <row r="2352">
      <c r="A2352" s="1" t="s">
        <v>815</v>
      </c>
      <c r="B2352" s="1" t="s">
        <v>2042</v>
      </c>
      <c r="C2352" s="1" t="s">
        <v>817</v>
      </c>
      <c r="D2352" s="2">
        <v>46064.439097222225</v>
      </c>
      <c r="E2352" s="1" t="s">
        <v>4036</v>
      </c>
      <c r="F2352" s="1" t="b">
        <v>0</v>
      </c>
    </row>
    <row r="2353">
      <c r="A2353" s="1" t="s">
        <v>815</v>
      </c>
      <c r="B2353" s="1" t="s">
        <v>2042</v>
      </c>
      <c r="C2353" s="1" t="s">
        <v>817</v>
      </c>
      <c r="D2353" s="2">
        <v>46064.439305555556</v>
      </c>
      <c r="E2353" s="1" t="s">
        <v>4037</v>
      </c>
      <c r="F2353" s="1" t="b">
        <v>0</v>
      </c>
    </row>
    <row r="2354">
      <c r="A2354" s="1" t="s">
        <v>811</v>
      </c>
      <c r="B2354" s="1" t="s">
        <v>2042</v>
      </c>
      <c r="C2354" s="1" t="s">
        <v>813</v>
      </c>
      <c r="D2354" s="2">
        <v>46064.43920138889</v>
      </c>
      <c r="E2354" s="1" t="s">
        <v>4038</v>
      </c>
      <c r="F2354" s="1" t="b">
        <v>0</v>
      </c>
    </row>
    <row r="2355">
      <c r="A2355" s="1" t="s">
        <v>807</v>
      </c>
      <c r="B2355" s="1" t="s">
        <v>2042</v>
      </c>
      <c r="C2355" s="1" t="s">
        <v>809</v>
      </c>
      <c r="D2355" s="2">
        <v>46064.44074074074</v>
      </c>
      <c r="E2355" s="1" t="s">
        <v>4039</v>
      </c>
      <c r="F2355" s="1" t="b">
        <v>0</v>
      </c>
    </row>
    <row r="2356">
      <c r="A2356" s="1" t="s">
        <v>807</v>
      </c>
      <c r="B2356" s="1" t="s">
        <v>2042</v>
      </c>
      <c r="C2356" s="1" t="s">
        <v>809</v>
      </c>
      <c r="D2356" s="2">
        <v>46064.44262731481</v>
      </c>
      <c r="E2356" s="1" t="s">
        <v>4040</v>
      </c>
      <c r="F2356" s="1" t="b">
        <v>0</v>
      </c>
    </row>
    <row r="2357">
      <c r="A2357" s="1" t="s">
        <v>807</v>
      </c>
      <c r="B2357" s="1" t="s">
        <v>2042</v>
      </c>
      <c r="C2357" s="1" t="s">
        <v>809</v>
      </c>
      <c r="D2357" s="2">
        <v>46064.58449074074</v>
      </c>
      <c r="E2357" s="1" t="s">
        <v>4041</v>
      </c>
      <c r="F2357" s="1" t="b">
        <v>0</v>
      </c>
    </row>
    <row r="2358">
      <c r="A2358" s="1" t="s">
        <v>807</v>
      </c>
      <c r="B2358" s="1" t="s">
        <v>2042</v>
      </c>
      <c r="C2358" s="1" t="s">
        <v>809</v>
      </c>
      <c r="D2358" s="2">
        <v>46064.58484953704</v>
      </c>
      <c r="E2358" s="1" t="s">
        <v>4042</v>
      </c>
      <c r="F2358" s="1" t="b">
        <v>0</v>
      </c>
    </row>
    <row r="2359">
      <c r="A2359" s="1" t="s">
        <v>807</v>
      </c>
      <c r="B2359" s="1" t="s">
        <v>2042</v>
      </c>
      <c r="C2359" s="1" t="s">
        <v>809</v>
      </c>
      <c r="D2359" s="2">
        <v>46064.598912037036</v>
      </c>
      <c r="E2359" s="1" t="s">
        <v>4043</v>
      </c>
      <c r="F2359" s="1" t="b">
        <v>0</v>
      </c>
    </row>
    <row r="2360">
      <c r="A2360" s="1" t="s">
        <v>807</v>
      </c>
      <c r="B2360" s="1" t="s">
        <v>2042</v>
      </c>
      <c r="C2360" s="1" t="s">
        <v>809</v>
      </c>
      <c r="D2360" s="2">
        <v>46064.610925925925</v>
      </c>
      <c r="E2360" s="1" t="s">
        <v>4044</v>
      </c>
      <c r="F2360" s="1" t="b">
        <v>0</v>
      </c>
    </row>
    <row r="2361">
      <c r="A2361" s="1" t="s">
        <v>807</v>
      </c>
      <c r="B2361" s="1" t="s">
        <v>2042</v>
      </c>
      <c r="C2361" s="1" t="s">
        <v>809</v>
      </c>
      <c r="D2361" s="2">
        <v>46064.61141203704</v>
      </c>
      <c r="E2361" s="1" t="s">
        <v>4045</v>
      </c>
      <c r="F2361" s="1" t="b">
        <v>0</v>
      </c>
    </row>
    <row r="2362">
      <c r="A2362" s="1" t="s">
        <v>807</v>
      </c>
      <c r="B2362" s="1" t="s">
        <v>2042</v>
      </c>
      <c r="C2362" s="1" t="s">
        <v>809</v>
      </c>
      <c r="D2362" s="2">
        <v>46065.44559027778</v>
      </c>
      <c r="E2362" s="1" t="s">
        <v>4046</v>
      </c>
      <c r="F2362" s="1" t="b">
        <v>0</v>
      </c>
    </row>
    <row r="2363">
      <c r="A2363" s="1" t="s">
        <v>805</v>
      </c>
      <c r="B2363" s="1" t="s">
        <v>2042</v>
      </c>
      <c r="C2363" s="1" t="s">
        <v>801</v>
      </c>
      <c r="D2363" s="2">
        <v>46064.45212962963</v>
      </c>
      <c r="E2363" s="1" t="s">
        <v>4047</v>
      </c>
      <c r="F2363" s="1" t="b">
        <v>0</v>
      </c>
    </row>
    <row r="2364">
      <c r="A2364" s="1" t="s">
        <v>805</v>
      </c>
      <c r="B2364" s="1" t="s">
        <v>2042</v>
      </c>
      <c r="C2364" s="1" t="s">
        <v>801</v>
      </c>
      <c r="D2364" s="2">
        <v>46064.4522337963</v>
      </c>
      <c r="E2364" s="1" t="s">
        <v>4048</v>
      </c>
      <c r="F2364" s="1" t="b">
        <v>0</v>
      </c>
    </row>
    <row r="2365">
      <c r="A2365" s="1" t="s">
        <v>805</v>
      </c>
      <c r="B2365" s="1" t="s">
        <v>2042</v>
      </c>
      <c r="C2365" s="1" t="s">
        <v>801</v>
      </c>
      <c r="D2365" s="2">
        <v>46064.45253472222</v>
      </c>
      <c r="E2365" s="1" t="s">
        <v>4049</v>
      </c>
      <c r="F2365" s="1" t="b">
        <v>0</v>
      </c>
    </row>
    <row r="2366">
      <c r="A2366" s="1" t="s">
        <v>803</v>
      </c>
      <c r="B2366" s="1" t="s">
        <v>2042</v>
      </c>
      <c r="C2366" s="1" t="s">
        <v>801</v>
      </c>
      <c r="D2366" s="2">
        <v>46064.4528587963</v>
      </c>
      <c r="E2366" s="1" t="s">
        <v>4050</v>
      </c>
      <c r="F2366" s="1" t="b">
        <v>0</v>
      </c>
    </row>
    <row r="2367">
      <c r="A2367" s="1" t="s">
        <v>799</v>
      </c>
      <c r="B2367" s="1" t="s">
        <v>2042</v>
      </c>
      <c r="C2367" s="1" t="s">
        <v>801</v>
      </c>
      <c r="D2367" s="2">
        <v>46064.453564814816</v>
      </c>
      <c r="E2367" s="1" t="s">
        <v>4051</v>
      </c>
      <c r="F2367" s="1" t="b">
        <v>0</v>
      </c>
    </row>
    <row r="2368">
      <c r="A2368" s="1" t="s">
        <v>799</v>
      </c>
      <c r="B2368" s="1" t="s">
        <v>2042</v>
      </c>
      <c r="C2368" s="1" t="s">
        <v>801</v>
      </c>
      <c r="D2368" s="2">
        <v>46064.453726851854</v>
      </c>
      <c r="E2368" s="1" t="s">
        <v>4052</v>
      </c>
      <c r="F2368" s="1" t="b">
        <v>0</v>
      </c>
    </row>
    <row r="2369">
      <c r="A2369" s="1" t="s">
        <v>795</v>
      </c>
      <c r="B2369" s="1" t="s">
        <v>2042</v>
      </c>
      <c r="C2369" s="1" t="s">
        <v>797</v>
      </c>
      <c r="D2369" s="2">
        <v>46064.468935185185</v>
      </c>
      <c r="E2369" s="1" t="s">
        <v>4053</v>
      </c>
      <c r="F2369" s="1" t="b">
        <v>0</v>
      </c>
    </row>
    <row r="2370">
      <c r="A2370" s="1" t="s">
        <v>791</v>
      </c>
      <c r="B2370" s="1" t="s">
        <v>2042</v>
      </c>
      <c r="C2370" s="1" t="s">
        <v>793</v>
      </c>
      <c r="D2370" s="2">
        <v>46064.50027777778</v>
      </c>
      <c r="E2370" s="1" t="s">
        <v>4054</v>
      </c>
      <c r="F2370" s="1" t="b">
        <v>0</v>
      </c>
    </row>
    <row r="2371">
      <c r="A2371" s="1" t="s">
        <v>787</v>
      </c>
      <c r="B2371" s="1" t="s">
        <v>2042</v>
      </c>
      <c r="C2371" s="1" t="s">
        <v>789</v>
      </c>
      <c r="D2371" s="2">
        <v>46064.556493055556</v>
      </c>
      <c r="E2371" s="1" t="s">
        <v>4055</v>
      </c>
      <c r="F2371" s="1" t="b">
        <v>0</v>
      </c>
    </row>
    <row r="2372">
      <c r="A2372" s="1" t="s">
        <v>784</v>
      </c>
      <c r="B2372" s="1" t="s">
        <v>2042</v>
      </c>
      <c r="C2372" s="1" t="s">
        <v>335</v>
      </c>
      <c r="D2372" s="2">
        <v>46064.557604166665</v>
      </c>
      <c r="E2372" s="1" t="s">
        <v>4056</v>
      </c>
      <c r="F2372" s="1" t="b">
        <v>0</v>
      </c>
    </row>
    <row r="2373">
      <c r="A2373" s="1" t="s">
        <v>784</v>
      </c>
      <c r="B2373" s="1" t="s">
        <v>2042</v>
      </c>
      <c r="C2373" s="1" t="s">
        <v>335</v>
      </c>
      <c r="D2373" s="2">
        <v>46065.44121527778</v>
      </c>
      <c r="E2373" s="1" t="s">
        <v>4057</v>
      </c>
      <c r="F2373" s="1" t="b">
        <v>0</v>
      </c>
    </row>
    <row r="2374">
      <c r="A2374" s="1" t="s">
        <v>784</v>
      </c>
      <c r="B2374" s="1" t="s">
        <v>2042</v>
      </c>
      <c r="C2374" s="1" t="s">
        <v>335</v>
      </c>
      <c r="D2374" s="2">
        <v>46065.44188657407</v>
      </c>
      <c r="E2374" s="1" t="s">
        <v>4058</v>
      </c>
      <c r="F2374" s="1" t="b">
        <v>0</v>
      </c>
    </row>
    <row r="2375">
      <c r="A2375" s="1" t="s">
        <v>784</v>
      </c>
      <c r="B2375" s="1" t="s">
        <v>2042</v>
      </c>
      <c r="C2375" s="1" t="s">
        <v>335</v>
      </c>
      <c r="D2375" s="2">
        <v>46065.446851851855</v>
      </c>
      <c r="E2375" s="1" t="s">
        <v>4059</v>
      </c>
      <c r="F2375" s="1" t="b">
        <v>0</v>
      </c>
    </row>
    <row r="2376">
      <c r="A2376" s="1" t="s">
        <v>784</v>
      </c>
      <c r="B2376" s="1" t="s">
        <v>2042</v>
      </c>
      <c r="C2376" s="1" t="s">
        <v>335</v>
      </c>
      <c r="D2376" s="2">
        <v>46065.44777777778</v>
      </c>
      <c r="E2376" s="1" t="s">
        <v>4060</v>
      </c>
      <c r="F2376" s="1" t="b">
        <v>0</v>
      </c>
    </row>
    <row r="2377">
      <c r="A2377" s="1" t="s">
        <v>784</v>
      </c>
      <c r="B2377" s="1" t="s">
        <v>2042</v>
      </c>
      <c r="C2377" s="1" t="s">
        <v>335</v>
      </c>
      <c r="D2377" s="2">
        <v>46065.44851851852</v>
      </c>
      <c r="E2377" s="1" t="s">
        <v>4061</v>
      </c>
      <c r="F2377" s="1" t="b">
        <v>0</v>
      </c>
    </row>
    <row r="2378">
      <c r="A2378" s="1" t="s">
        <v>784</v>
      </c>
      <c r="B2378" s="1" t="s">
        <v>2042</v>
      </c>
      <c r="C2378" s="1" t="s">
        <v>335</v>
      </c>
      <c r="D2378" s="2">
        <v>46065.448854166665</v>
      </c>
      <c r="F2378" s="1" t="b">
        <v>0</v>
      </c>
    </row>
    <row r="2379">
      <c r="A2379" s="1" t="s">
        <v>784</v>
      </c>
      <c r="B2379" s="1" t="s">
        <v>2042</v>
      </c>
      <c r="C2379" s="1" t="s">
        <v>335</v>
      </c>
      <c r="D2379" s="2">
        <v>46065.64753472222</v>
      </c>
      <c r="E2379" s="1" t="s">
        <v>4062</v>
      </c>
      <c r="F2379" s="1" t="b">
        <v>0</v>
      </c>
    </row>
    <row r="2380">
      <c r="A2380" s="1" t="s">
        <v>784</v>
      </c>
      <c r="B2380" s="1" t="s">
        <v>2042</v>
      </c>
      <c r="C2380" s="1" t="s">
        <v>335</v>
      </c>
      <c r="D2380" s="2">
        <v>46065.64879629629</v>
      </c>
      <c r="E2380" s="1" t="s">
        <v>4063</v>
      </c>
      <c r="F2380" s="1" t="b">
        <v>0</v>
      </c>
    </row>
    <row r="2381">
      <c r="A2381" s="1" t="s">
        <v>784</v>
      </c>
      <c r="B2381" s="1" t="s">
        <v>2042</v>
      </c>
      <c r="C2381" s="1" t="s">
        <v>335</v>
      </c>
      <c r="D2381" s="2">
        <v>46065.649189814816</v>
      </c>
      <c r="E2381" s="1" t="s">
        <v>4064</v>
      </c>
      <c r="F2381" s="1" t="b">
        <v>0</v>
      </c>
    </row>
    <row r="2382">
      <c r="A2382" s="1" t="s">
        <v>784</v>
      </c>
      <c r="B2382" s="1" t="s">
        <v>2042</v>
      </c>
      <c r="C2382" s="1" t="s">
        <v>335</v>
      </c>
      <c r="D2382" s="2">
        <v>46065.649363425924</v>
      </c>
      <c r="E2382" s="1" t="s">
        <v>2420</v>
      </c>
      <c r="F2382" s="1" t="b">
        <v>0</v>
      </c>
    </row>
    <row r="2383">
      <c r="A2383" s="1" t="s">
        <v>784</v>
      </c>
      <c r="B2383" s="1" t="s">
        <v>2046</v>
      </c>
      <c r="C2383" s="1">
        <v>607950.0</v>
      </c>
      <c r="D2383" s="2">
        <v>46065.64939814815</v>
      </c>
      <c r="E2383" s="1" t="s">
        <v>2752</v>
      </c>
      <c r="F2383" s="1" t="b">
        <v>0</v>
      </c>
    </row>
    <row r="2384">
      <c r="A2384" s="1" t="s">
        <v>784</v>
      </c>
      <c r="B2384" s="1" t="s">
        <v>2046</v>
      </c>
      <c r="C2384" s="1">
        <v>574085.0</v>
      </c>
      <c r="D2384" s="2">
        <v>46065.652037037034</v>
      </c>
      <c r="F2384" s="1" t="b">
        <v>1</v>
      </c>
    </row>
    <row r="2385">
      <c r="A2385" s="1" t="s">
        <v>784</v>
      </c>
      <c r="B2385" s="1" t="s">
        <v>2046</v>
      </c>
      <c r="C2385" s="1">
        <v>574085.0</v>
      </c>
      <c r="D2385" s="2">
        <v>46065.652650462966</v>
      </c>
      <c r="E2385" s="4" t="s">
        <v>4065</v>
      </c>
      <c r="F2385" s="1" t="b">
        <v>1</v>
      </c>
    </row>
    <row r="2386">
      <c r="A2386" s="1" t="s">
        <v>784</v>
      </c>
      <c r="B2386" s="1" t="s">
        <v>2046</v>
      </c>
      <c r="C2386" s="1">
        <v>607950.0</v>
      </c>
      <c r="D2386" s="2">
        <v>46065.654490740744</v>
      </c>
      <c r="E2386" s="1" t="s">
        <v>4066</v>
      </c>
      <c r="F2386" s="1" t="b">
        <v>0</v>
      </c>
    </row>
    <row r="2387">
      <c r="A2387" s="1" t="s">
        <v>784</v>
      </c>
      <c r="B2387" s="1" t="s">
        <v>2042</v>
      </c>
      <c r="C2387" s="1" t="s">
        <v>335</v>
      </c>
      <c r="D2387" s="2">
        <v>46065.65783564815</v>
      </c>
      <c r="E2387" s="1" t="s">
        <v>4067</v>
      </c>
      <c r="F2387" s="1" t="b">
        <v>0</v>
      </c>
    </row>
    <row r="2388">
      <c r="A2388" s="1" t="s">
        <v>784</v>
      </c>
      <c r="B2388" s="1" t="s">
        <v>2046</v>
      </c>
      <c r="C2388" s="1">
        <v>607950.0</v>
      </c>
      <c r="D2388" s="2">
        <v>46065.659837962965</v>
      </c>
      <c r="E2388" s="1" t="s">
        <v>4068</v>
      </c>
      <c r="F2388" s="1" t="b">
        <v>0</v>
      </c>
    </row>
    <row r="2389">
      <c r="A2389" s="1" t="s">
        <v>784</v>
      </c>
      <c r="B2389" s="1" t="s">
        <v>2046</v>
      </c>
      <c r="C2389" s="1">
        <v>607950.0</v>
      </c>
      <c r="D2389" s="2">
        <v>46065.67099537037</v>
      </c>
      <c r="E2389" s="1" t="s">
        <v>4006</v>
      </c>
      <c r="F2389" s="1" t="b">
        <v>0</v>
      </c>
    </row>
    <row r="2390">
      <c r="A2390" s="1" t="s">
        <v>784</v>
      </c>
      <c r="B2390" s="1" t="s">
        <v>2042</v>
      </c>
      <c r="C2390" s="1" t="s">
        <v>335</v>
      </c>
      <c r="D2390" s="2">
        <v>46065.673530092594</v>
      </c>
      <c r="E2390" s="1" t="s">
        <v>4069</v>
      </c>
      <c r="F2390" s="1" t="b">
        <v>0</v>
      </c>
    </row>
    <row r="2391">
      <c r="A2391" s="1" t="s">
        <v>784</v>
      </c>
      <c r="B2391" s="1" t="s">
        <v>2046</v>
      </c>
      <c r="C2391" s="1">
        <v>607950.0</v>
      </c>
      <c r="D2391" s="2">
        <v>46065.728738425925</v>
      </c>
      <c r="E2391" s="1" t="s">
        <v>4070</v>
      </c>
      <c r="F2391" s="1" t="b">
        <v>0</v>
      </c>
    </row>
    <row r="2392">
      <c r="A2392" s="1" t="s">
        <v>784</v>
      </c>
      <c r="B2392" s="1" t="s">
        <v>2046</v>
      </c>
      <c r="C2392" s="1">
        <v>607950.0</v>
      </c>
      <c r="D2392" s="2">
        <v>46065.75247685185</v>
      </c>
      <c r="E2392" s="1" t="s">
        <v>4006</v>
      </c>
      <c r="F2392" s="1" t="b">
        <v>0</v>
      </c>
    </row>
    <row r="2393">
      <c r="A2393" s="1" t="s">
        <v>784</v>
      </c>
      <c r="B2393" s="1" t="s">
        <v>2046</v>
      </c>
      <c r="C2393" s="1">
        <v>607950.0</v>
      </c>
      <c r="D2393" s="2">
        <v>46065.75730324074</v>
      </c>
      <c r="E2393" s="1" t="s">
        <v>3741</v>
      </c>
      <c r="F2393" s="1" t="b">
        <v>0</v>
      </c>
    </row>
    <row r="2394">
      <c r="A2394" s="1" t="s">
        <v>780</v>
      </c>
      <c r="B2394" s="1" t="s">
        <v>2042</v>
      </c>
      <c r="C2394" s="1" t="s">
        <v>782</v>
      </c>
      <c r="D2394" s="2">
        <v>46064.59386574074</v>
      </c>
      <c r="F2394" s="1" t="b">
        <v>0</v>
      </c>
    </row>
    <row r="2395">
      <c r="A2395" s="1" t="s">
        <v>780</v>
      </c>
      <c r="B2395" s="1" t="s">
        <v>2042</v>
      </c>
      <c r="C2395" s="1" t="s">
        <v>782</v>
      </c>
      <c r="D2395" s="2">
        <v>46064.59425925926</v>
      </c>
      <c r="E2395" s="1" t="s">
        <v>4071</v>
      </c>
      <c r="F2395" s="1" t="b">
        <v>0</v>
      </c>
    </row>
    <row r="2396">
      <c r="A2396" s="1" t="s">
        <v>776</v>
      </c>
      <c r="B2396" s="1" t="s">
        <v>2042</v>
      </c>
      <c r="C2396" s="1" t="s">
        <v>778</v>
      </c>
      <c r="D2396" s="2">
        <v>46064.59804398148</v>
      </c>
      <c r="E2396" s="1" t="s">
        <v>4072</v>
      </c>
      <c r="F2396" s="1" t="b">
        <v>0</v>
      </c>
    </row>
    <row r="2397">
      <c r="A2397" s="1" t="s">
        <v>772</v>
      </c>
      <c r="B2397" s="1" t="s">
        <v>2042</v>
      </c>
      <c r="C2397" s="1" t="s">
        <v>774</v>
      </c>
      <c r="D2397" s="2">
        <v>46064.598969907405</v>
      </c>
      <c r="E2397" s="1" t="s">
        <v>4073</v>
      </c>
      <c r="F2397" s="1" t="b">
        <v>0</v>
      </c>
    </row>
    <row r="2398">
      <c r="A2398" s="1" t="s">
        <v>772</v>
      </c>
      <c r="B2398" s="1" t="s">
        <v>2042</v>
      </c>
      <c r="C2398" s="1" t="s">
        <v>774</v>
      </c>
      <c r="D2398" s="2">
        <v>46064.60306712963</v>
      </c>
      <c r="E2398" s="1" t="s">
        <v>4074</v>
      </c>
      <c r="F2398" s="1" t="b">
        <v>0</v>
      </c>
    </row>
    <row r="2399">
      <c r="A2399" s="1" t="s">
        <v>772</v>
      </c>
      <c r="B2399" s="1" t="s">
        <v>2042</v>
      </c>
      <c r="C2399" s="1" t="s">
        <v>774</v>
      </c>
      <c r="D2399" s="2">
        <v>46064.60356481482</v>
      </c>
      <c r="E2399" s="1" t="s">
        <v>4075</v>
      </c>
      <c r="F2399" s="1" t="b">
        <v>0</v>
      </c>
    </row>
    <row r="2400">
      <c r="A2400" s="1" t="s">
        <v>770</v>
      </c>
      <c r="B2400" s="1" t="s">
        <v>2042</v>
      </c>
      <c r="C2400" s="1" t="s">
        <v>281</v>
      </c>
      <c r="D2400" s="2">
        <v>46064.59894675926</v>
      </c>
      <c r="E2400" s="1" t="s">
        <v>2133</v>
      </c>
      <c r="F2400" s="1" t="b">
        <v>0</v>
      </c>
    </row>
    <row r="2401">
      <c r="A2401" s="1" t="s">
        <v>770</v>
      </c>
      <c r="B2401" s="1" t="s">
        <v>2042</v>
      </c>
      <c r="C2401" s="1" t="s">
        <v>281</v>
      </c>
      <c r="D2401" s="2">
        <v>46064.599016203705</v>
      </c>
      <c r="E2401" s="1" t="s">
        <v>2133</v>
      </c>
      <c r="F2401" s="1" t="b">
        <v>0</v>
      </c>
    </row>
    <row r="2402">
      <c r="A2402" s="1" t="s">
        <v>770</v>
      </c>
      <c r="B2402" s="1" t="s">
        <v>2042</v>
      </c>
      <c r="C2402" s="1" t="s">
        <v>281</v>
      </c>
      <c r="D2402" s="2">
        <v>46064.599340277775</v>
      </c>
      <c r="E2402" s="1" t="s">
        <v>4076</v>
      </c>
      <c r="F2402" s="1" t="b">
        <v>0</v>
      </c>
    </row>
    <row r="2403">
      <c r="A2403" s="1" t="s">
        <v>770</v>
      </c>
      <c r="B2403" s="1" t="s">
        <v>2042</v>
      </c>
      <c r="C2403" s="1" t="s">
        <v>281</v>
      </c>
      <c r="D2403" s="2">
        <v>46064.59974537037</v>
      </c>
      <c r="E2403" s="1" t="s">
        <v>4077</v>
      </c>
      <c r="F2403" s="1" t="b">
        <v>0</v>
      </c>
    </row>
    <row r="2404">
      <c r="A2404" s="1" t="s">
        <v>770</v>
      </c>
      <c r="B2404" s="1" t="s">
        <v>2046</v>
      </c>
      <c r="C2404" s="1">
        <v>574085.0</v>
      </c>
      <c r="D2404" s="2">
        <v>46064.605833333335</v>
      </c>
      <c r="E2404" s="1" t="s">
        <v>4078</v>
      </c>
      <c r="F2404" s="1" t="b">
        <v>0</v>
      </c>
    </row>
    <row r="2405">
      <c r="A2405" s="1" t="s">
        <v>770</v>
      </c>
      <c r="B2405" s="1" t="s">
        <v>2042</v>
      </c>
      <c r="C2405" s="1" t="s">
        <v>281</v>
      </c>
      <c r="D2405" s="2">
        <v>46064.60734953704</v>
      </c>
      <c r="E2405" s="1" t="s">
        <v>4079</v>
      </c>
      <c r="F2405" s="1" t="b">
        <v>0</v>
      </c>
    </row>
    <row r="2406">
      <c r="A2406" s="1" t="s">
        <v>770</v>
      </c>
      <c r="B2406" s="1" t="s">
        <v>2042</v>
      </c>
      <c r="C2406" s="1" t="s">
        <v>281</v>
      </c>
      <c r="D2406" s="2">
        <v>46064.60888888889</v>
      </c>
      <c r="E2406" s="1" t="s">
        <v>4080</v>
      </c>
      <c r="F2406" s="1" t="b">
        <v>0</v>
      </c>
    </row>
    <row r="2407">
      <c r="A2407" s="1" t="s">
        <v>770</v>
      </c>
      <c r="B2407" s="1" t="s">
        <v>2046</v>
      </c>
      <c r="C2407" s="1">
        <v>574085.0</v>
      </c>
      <c r="D2407" s="2">
        <v>46064.609930555554</v>
      </c>
      <c r="E2407" s="1" t="s">
        <v>4081</v>
      </c>
      <c r="F2407" s="1" t="b">
        <v>0</v>
      </c>
    </row>
    <row r="2408">
      <c r="A2408" s="1" t="s">
        <v>770</v>
      </c>
      <c r="B2408" s="1" t="s">
        <v>2042</v>
      </c>
      <c r="C2408" s="1" t="s">
        <v>281</v>
      </c>
      <c r="D2408" s="2">
        <v>46064.61148148148</v>
      </c>
      <c r="E2408" s="1" t="s">
        <v>4082</v>
      </c>
      <c r="F2408" s="1" t="b">
        <v>0</v>
      </c>
    </row>
    <row r="2409">
      <c r="A2409" s="1" t="s">
        <v>770</v>
      </c>
      <c r="B2409" s="1" t="s">
        <v>2046</v>
      </c>
      <c r="C2409" s="1">
        <v>574085.0</v>
      </c>
      <c r="D2409" s="2">
        <v>46064.61686342592</v>
      </c>
      <c r="E2409" s="1" t="s">
        <v>4083</v>
      </c>
      <c r="F2409" s="1" t="b">
        <v>0</v>
      </c>
    </row>
    <row r="2410">
      <c r="A2410" s="1" t="s">
        <v>770</v>
      </c>
      <c r="B2410" s="1" t="s">
        <v>2042</v>
      </c>
      <c r="C2410" s="1" t="s">
        <v>281</v>
      </c>
      <c r="D2410" s="2">
        <v>46064.61696759259</v>
      </c>
      <c r="F2410" s="1" t="b">
        <v>0</v>
      </c>
    </row>
    <row r="2411">
      <c r="A2411" s="1" t="s">
        <v>770</v>
      </c>
      <c r="B2411" s="1" t="s">
        <v>2042</v>
      </c>
      <c r="C2411" s="1" t="s">
        <v>281</v>
      </c>
      <c r="D2411" s="2">
        <v>46064.61703703704</v>
      </c>
      <c r="E2411" s="1" t="s">
        <v>4084</v>
      </c>
      <c r="F2411" s="1" t="b">
        <v>0</v>
      </c>
    </row>
    <row r="2412">
      <c r="A2412" s="1" t="s">
        <v>770</v>
      </c>
      <c r="B2412" s="1" t="s">
        <v>2046</v>
      </c>
      <c r="C2412" s="1">
        <v>574085.0</v>
      </c>
      <c r="D2412" s="2">
        <v>46064.6174537037</v>
      </c>
      <c r="E2412" s="1" t="s">
        <v>4085</v>
      </c>
      <c r="F2412" s="1" t="b">
        <v>0</v>
      </c>
    </row>
    <row r="2413">
      <c r="A2413" s="1" t="s">
        <v>770</v>
      </c>
      <c r="B2413" s="1" t="s">
        <v>2046</v>
      </c>
      <c r="C2413" s="1">
        <v>574085.0</v>
      </c>
      <c r="D2413" s="2">
        <v>46064.617743055554</v>
      </c>
      <c r="E2413" s="1" t="s">
        <v>4086</v>
      </c>
      <c r="F2413" s="1" t="b">
        <v>0</v>
      </c>
    </row>
    <row r="2414">
      <c r="A2414" s="1" t="s">
        <v>770</v>
      </c>
      <c r="B2414" s="1" t="s">
        <v>2046</v>
      </c>
      <c r="C2414" s="1">
        <v>574085.0</v>
      </c>
      <c r="D2414" s="2">
        <v>46064.61833333333</v>
      </c>
      <c r="E2414" s="1" t="s">
        <v>4087</v>
      </c>
      <c r="F2414" s="1" t="b">
        <v>0</v>
      </c>
    </row>
    <row r="2415">
      <c r="A2415" s="1" t="s">
        <v>770</v>
      </c>
      <c r="B2415" s="1" t="s">
        <v>2042</v>
      </c>
      <c r="C2415" s="1" t="s">
        <v>281</v>
      </c>
      <c r="D2415" s="2">
        <v>46064.61850694445</v>
      </c>
      <c r="F2415" s="1" t="b">
        <v>0</v>
      </c>
    </row>
    <row r="2416">
      <c r="A2416" s="1" t="s">
        <v>770</v>
      </c>
      <c r="B2416" s="1" t="s">
        <v>2046</v>
      </c>
      <c r="C2416" s="1">
        <v>574085.0</v>
      </c>
      <c r="D2416" s="2">
        <v>46064.61945601852</v>
      </c>
      <c r="E2416" s="1" t="s">
        <v>4088</v>
      </c>
      <c r="F2416" s="1" t="b">
        <v>0</v>
      </c>
    </row>
    <row r="2417">
      <c r="A2417" s="1" t="s">
        <v>770</v>
      </c>
      <c r="B2417" s="1" t="s">
        <v>2042</v>
      </c>
      <c r="C2417" s="1" t="s">
        <v>281</v>
      </c>
      <c r="D2417" s="2">
        <v>46064.61988425926</v>
      </c>
      <c r="E2417" s="1" t="s">
        <v>2476</v>
      </c>
      <c r="F2417" s="1" t="b">
        <v>0</v>
      </c>
    </row>
    <row r="2418">
      <c r="A2418" s="1" t="s">
        <v>770</v>
      </c>
      <c r="B2418" s="1" t="s">
        <v>2046</v>
      </c>
      <c r="C2418" s="1">
        <v>574085.0</v>
      </c>
      <c r="D2418" s="2">
        <v>46064.620150462964</v>
      </c>
      <c r="E2418" s="1" t="s">
        <v>4089</v>
      </c>
      <c r="F2418" s="1" t="b">
        <v>0</v>
      </c>
    </row>
    <row r="2419">
      <c r="A2419" s="1" t="s">
        <v>770</v>
      </c>
      <c r="B2419" s="1" t="s">
        <v>2046</v>
      </c>
      <c r="C2419" s="1">
        <v>574085.0</v>
      </c>
      <c r="D2419" s="2">
        <v>46064.62024305556</v>
      </c>
      <c r="E2419" s="1" t="s">
        <v>4090</v>
      </c>
      <c r="F2419" s="1" t="b">
        <v>0</v>
      </c>
    </row>
    <row r="2420">
      <c r="A2420" s="1" t="s">
        <v>770</v>
      </c>
      <c r="B2420" s="1" t="s">
        <v>2046</v>
      </c>
      <c r="C2420" s="1">
        <v>574085.0</v>
      </c>
      <c r="D2420" s="2">
        <v>46064.62042824074</v>
      </c>
      <c r="E2420" s="1" t="s">
        <v>4091</v>
      </c>
      <c r="F2420" s="1" t="b">
        <v>0</v>
      </c>
    </row>
    <row r="2421">
      <c r="A2421" s="1" t="s">
        <v>770</v>
      </c>
      <c r="B2421" s="1" t="s">
        <v>2042</v>
      </c>
      <c r="C2421" s="1" t="s">
        <v>281</v>
      </c>
      <c r="D2421" s="2">
        <v>46064.62142361111</v>
      </c>
      <c r="E2421" s="1" t="s">
        <v>4092</v>
      </c>
      <c r="F2421" s="1" t="b">
        <v>0</v>
      </c>
    </row>
    <row r="2422">
      <c r="A2422" s="1" t="s">
        <v>770</v>
      </c>
      <c r="B2422" s="1" t="s">
        <v>2046</v>
      </c>
      <c r="C2422" s="1">
        <v>574085.0</v>
      </c>
      <c r="D2422" s="2">
        <v>46064.62700231482</v>
      </c>
      <c r="E2422" s="1" t="s">
        <v>4093</v>
      </c>
      <c r="F2422" s="1" t="b">
        <v>0</v>
      </c>
    </row>
    <row r="2423">
      <c r="A2423" s="1" t="s">
        <v>770</v>
      </c>
      <c r="B2423" s="1" t="s">
        <v>2042</v>
      </c>
      <c r="C2423" s="1" t="s">
        <v>281</v>
      </c>
      <c r="D2423" s="2">
        <v>46064.630520833336</v>
      </c>
      <c r="E2423" s="1" t="s">
        <v>4094</v>
      </c>
      <c r="F2423" s="1" t="b">
        <v>0</v>
      </c>
    </row>
    <row r="2424">
      <c r="A2424" s="1" t="s">
        <v>770</v>
      </c>
      <c r="B2424" s="1" t="s">
        <v>2046</v>
      </c>
      <c r="C2424" s="1">
        <v>574085.0</v>
      </c>
      <c r="D2424" s="2">
        <v>46064.63103009259</v>
      </c>
      <c r="E2424" s="1" t="s">
        <v>3843</v>
      </c>
      <c r="F2424" s="1" t="b">
        <v>0</v>
      </c>
    </row>
    <row r="2425">
      <c r="A2425" s="1" t="s">
        <v>770</v>
      </c>
      <c r="B2425" s="1" t="s">
        <v>2042</v>
      </c>
      <c r="C2425" s="1" t="s">
        <v>281</v>
      </c>
      <c r="D2425" s="2">
        <v>46064.64319444444</v>
      </c>
      <c r="F2425" s="1" t="b">
        <v>0</v>
      </c>
    </row>
    <row r="2426">
      <c r="A2426" s="1" t="s">
        <v>770</v>
      </c>
      <c r="B2426" s="1" t="s">
        <v>2046</v>
      </c>
      <c r="C2426" s="1">
        <v>574085.0</v>
      </c>
      <c r="D2426" s="2">
        <v>46064.656168981484</v>
      </c>
      <c r="E2426" s="1" t="s">
        <v>4095</v>
      </c>
      <c r="F2426" s="1" t="b">
        <v>0</v>
      </c>
    </row>
    <row r="2427">
      <c r="A2427" s="1" t="s">
        <v>770</v>
      </c>
      <c r="B2427" s="1" t="s">
        <v>2042</v>
      </c>
      <c r="C2427" s="1" t="s">
        <v>281</v>
      </c>
      <c r="D2427" s="2">
        <v>46064.67304398148</v>
      </c>
      <c r="E2427" s="1" t="s">
        <v>2383</v>
      </c>
      <c r="F2427" s="1" t="b">
        <v>0</v>
      </c>
    </row>
    <row r="2428">
      <c r="A2428" s="1" t="s">
        <v>770</v>
      </c>
      <c r="B2428" s="1" t="s">
        <v>2042</v>
      </c>
      <c r="C2428" s="1" t="s">
        <v>281</v>
      </c>
      <c r="D2428" s="2">
        <v>46064.673125</v>
      </c>
      <c r="E2428" s="1" t="s">
        <v>4096</v>
      </c>
      <c r="F2428" s="1" t="b">
        <v>0</v>
      </c>
    </row>
    <row r="2429">
      <c r="A2429" s="1" t="s">
        <v>770</v>
      </c>
      <c r="B2429" s="1" t="s">
        <v>2046</v>
      </c>
      <c r="C2429" s="1">
        <v>607950.0</v>
      </c>
      <c r="D2429" s="2">
        <v>46064.6765625</v>
      </c>
      <c r="E2429" s="1" t="s">
        <v>4097</v>
      </c>
      <c r="F2429" s="1" t="b">
        <v>1</v>
      </c>
    </row>
    <row r="2430">
      <c r="A2430" s="1" t="s">
        <v>770</v>
      </c>
      <c r="B2430" s="1" t="s">
        <v>2046</v>
      </c>
      <c r="C2430" s="1">
        <v>574085.0</v>
      </c>
      <c r="D2430" s="2">
        <v>46064.67670138889</v>
      </c>
      <c r="E2430" s="1" t="s">
        <v>4097</v>
      </c>
      <c r="F2430" s="1" t="b">
        <v>0</v>
      </c>
    </row>
    <row r="2431">
      <c r="A2431" s="1" t="s">
        <v>770</v>
      </c>
      <c r="B2431" s="1" t="s">
        <v>2046</v>
      </c>
      <c r="C2431" s="1">
        <v>607950.0</v>
      </c>
      <c r="D2431" s="2">
        <v>46065.47329861111</v>
      </c>
      <c r="E2431" s="1" t="s">
        <v>2917</v>
      </c>
      <c r="F2431" s="1" t="b">
        <v>0</v>
      </c>
    </row>
    <row r="2432">
      <c r="A2432" s="1" t="s">
        <v>770</v>
      </c>
      <c r="B2432" s="1" t="s">
        <v>2046</v>
      </c>
      <c r="C2432" s="1">
        <v>607950.0</v>
      </c>
      <c r="D2432" s="2">
        <v>46065.476805555554</v>
      </c>
      <c r="E2432" s="1" t="s">
        <v>2108</v>
      </c>
      <c r="F2432" s="1" t="b">
        <v>0</v>
      </c>
    </row>
    <row r="2433">
      <c r="A2433" s="1" t="s">
        <v>766</v>
      </c>
      <c r="B2433" s="1" t="s">
        <v>2042</v>
      </c>
      <c r="C2433" s="1" t="s">
        <v>768</v>
      </c>
      <c r="D2433" s="2">
        <v>46064.609606481485</v>
      </c>
      <c r="E2433" s="1" t="s">
        <v>4098</v>
      </c>
      <c r="F2433" s="1" t="b">
        <v>0</v>
      </c>
    </row>
    <row r="2434">
      <c r="A2434" s="1" t="s">
        <v>758</v>
      </c>
      <c r="B2434" s="1" t="s">
        <v>2042</v>
      </c>
      <c r="C2434" s="1" t="s">
        <v>760</v>
      </c>
      <c r="D2434" s="2">
        <v>46064.61280092593</v>
      </c>
      <c r="E2434" s="1" t="s">
        <v>4099</v>
      </c>
      <c r="F2434" s="1" t="b">
        <v>0</v>
      </c>
    </row>
    <row r="2435">
      <c r="A2435" s="1" t="s">
        <v>758</v>
      </c>
      <c r="B2435" s="1" t="s">
        <v>2042</v>
      </c>
      <c r="C2435" s="1" t="s">
        <v>760</v>
      </c>
      <c r="D2435" s="2">
        <v>46064.61518518518</v>
      </c>
      <c r="E2435" s="1" t="s">
        <v>4100</v>
      </c>
      <c r="F2435" s="1" t="b">
        <v>0</v>
      </c>
    </row>
    <row r="2436">
      <c r="A2436" s="1" t="s">
        <v>762</v>
      </c>
      <c r="B2436" s="1" t="s">
        <v>2042</v>
      </c>
      <c r="C2436" s="1" t="s">
        <v>764</v>
      </c>
      <c r="D2436" s="2">
        <v>46064.61261574074</v>
      </c>
      <c r="E2436" s="1" t="s">
        <v>4101</v>
      </c>
      <c r="F2436" s="1" t="b">
        <v>0</v>
      </c>
    </row>
    <row r="2437">
      <c r="A2437" s="1" t="s">
        <v>762</v>
      </c>
      <c r="B2437" s="1" t="s">
        <v>2042</v>
      </c>
      <c r="C2437" s="1" t="s">
        <v>764</v>
      </c>
      <c r="D2437" s="2">
        <v>46064.61269675926</v>
      </c>
      <c r="E2437" s="1" t="s">
        <v>4102</v>
      </c>
      <c r="F2437" s="1" t="b">
        <v>0</v>
      </c>
    </row>
    <row r="2438">
      <c r="A2438" s="1" t="s">
        <v>754</v>
      </c>
      <c r="B2438" s="1" t="s">
        <v>2042</v>
      </c>
      <c r="C2438" s="1" t="s">
        <v>756</v>
      </c>
      <c r="D2438" s="2">
        <v>46064.62449074074</v>
      </c>
      <c r="E2438" s="1" t="s">
        <v>4103</v>
      </c>
      <c r="F2438" s="1" t="b">
        <v>0</v>
      </c>
    </row>
    <row r="2439">
      <c r="A2439" s="1" t="s">
        <v>754</v>
      </c>
      <c r="B2439" s="1" t="s">
        <v>2042</v>
      </c>
      <c r="C2439" s="1" t="s">
        <v>756</v>
      </c>
      <c r="D2439" s="2">
        <v>46064.62525462963</v>
      </c>
      <c r="E2439" s="1" t="s">
        <v>4104</v>
      </c>
      <c r="F2439" s="1" t="b">
        <v>0</v>
      </c>
    </row>
    <row r="2440">
      <c r="A2440" s="1" t="s">
        <v>754</v>
      </c>
      <c r="B2440" s="1" t="s">
        <v>2042</v>
      </c>
      <c r="C2440" s="1" t="s">
        <v>756</v>
      </c>
      <c r="D2440" s="2">
        <v>46064.62540509259</v>
      </c>
      <c r="E2440" s="1" t="s">
        <v>4105</v>
      </c>
      <c r="F2440" s="1" t="b">
        <v>0</v>
      </c>
    </row>
    <row r="2441">
      <c r="A2441" s="1" t="s">
        <v>750</v>
      </c>
      <c r="B2441" s="1" t="s">
        <v>2042</v>
      </c>
      <c r="C2441" s="1" t="s">
        <v>344</v>
      </c>
      <c r="D2441" s="2">
        <v>46064.63107638889</v>
      </c>
      <c r="E2441" s="1" t="s">
        <v>4106</v>
      </c>
      <c r="F2441" s="1" t="b">
        <v>0</v>
      </c>
    </row>
    <row r="2442">
      <c r="A2442" s="1" t="s">
        <v>750</v>
      </c>
      <c r="B2442" s="1" t="s">
        <v>2042</v>
      </c>
      <c r="C2442" s="1" t="s">
        <v>344</v>
      </c>
      <c r="D2442" s="2">
        <v>46064.63135416667</v>
      </c>
      <c r="E2442" s="1" t="s">
        <v>4035</v>
      </c>
      <c r="F2442" s="1" t="b">
        <v>0</v>
      </c>
    </row>
    <row r="2443">
      <c r="A2443" s="1" t="s">
        <v>750</v>
      </c>
      <c r="B2443" s="1" t="s">
        <v>2046</v>
      </c>
      <c r="C2443" s="1">
        <v>607950.0</v>
      </c>
      <c r="D2443" s="2">
        <v>46064.639652777776</v>
      </c>
      <c r="E2443" s="1" t="s">
        <v>2752</v>
      </c>
      <c r="F2443" s="1" t="b">
        <v>0</v>
      </c>
    </row>
    <row r="2444">
      <c r="A2444" s="1" t="s">
        <v>750</v>
      </c>
      <c r="B2444" s="1" t="s">
        <v>2046</v>
      </c>
      <c r="C2444" s="1">
        <v>594863.0</v>
      </c>
      <c r="D2444" s="2">
        <v>46064.641377314816</v>
      </c>
      <c r="E2444" s="1" t="s">
        <v>4107</v>
      </c>
      <c r="F2444" s="1" t="b">
        <v>1</v>
      </c>
    </row>
    <row r="2445">
      <c r="A2445" s="1" t="s">
        <v>750</v>
      </c>
      <c r="B2445" s="1" t="s">
        <v>2046</v>
      </c>
      <c r="C2445" s="1">
        <v>594863.0</v>
      </c>
      <c r="D2445" s="2">
        <v>46065.50986111111</v>
      </c>
      <c r="E2445" s="1" t="s">
        <v>4108</v>
      </c>
      <c r="F2445" s="1" t="b">
        <v>0</v>
      </c>
    </row>
    <row r="2446">
      <c r="A2446" s="1" t="s">
        <v>750</v>
      </c>
      <c r="B2446" s="1" t="s">
        <v>2042</v>
      </c>
      <c r="C2446" s="1" t="s">
        <v>344</v>
      </c>
      <c r="D2446" s="2">
        <v>46065.547326388885</v>
      </c>
      <c r="E2446" s="1" t="s">
        <v>4109</v>
      </c>
      <c r="F2446" s="1" t="b">
        <v>0</v>
      </c>
    </row>
    <row r="2447">
      <c r="A2447" s="1" t="s">
        <v>750</v>
      </c>
      <c r="B2447" s="1" t="s">
        <v>2046</v>
      </c>
      <c r="C2447" s="1">
        <v>526753.0</v>
      </c>
      <c r="D2447" s="2">
        <v>46065.56046296296</v>
      </c>
      <c r="E2447" s="1" t="s">
        <v>4110</v>
      </c>
      <c r="F2447" s="1" t="b">
        <v>0</v>
      </c>
    </row>
    <row r="2448">
      <c r="A2448" s="1" t="s">
        <v>750</v>
      </c>
      <c r="B2448" s="1" t="s">
        <v>2046</v>
      </c>
      <c r="C2448" s="1">
        <v>594863.0</v>
      </c>
      <c r="D2448" s="2">
        <v>46065.752222222225</v>
      </c>
      <c r="E2448" s="1" t="s">
        <v>2108</v>
      </c>
      <c r="F2448" s="1" t="b">
        <v>0</v>
      </c>
    </row>
    <row r="2449">
      <c r="A2449" s="1" t="s">
        <v>746</v>
      </c>
      <c r="B2449" s="1" t="s">
        <v>2042</v>
      </c>
      <c r="C2449" s="1" t="s">
        <v>748</v>
      </c>
      <c r="D2449" s="2">
        <v>46064.63460648148</v>
      </c>
      <c r="E2449" s="1" t="s">
        <v>4111</v>
      </c>
      <c r="F2449" s="1" t="b">
        <v>0</v>
      </c>
    </row>
    <row r="2450">
      <c r="A2450" s="1" t="s">
        <v>746</v>
      </c>
      <c r="B2450" s="1" t="s">
        <v>2042</v>
      </c>
      <c r="C2450" s="1" t="s">
        <v>748</v>
      </c>
      <c r="D2450" s="2">
        <v>46064.635925925926</v>
      </c>
      <c r="E2450" s="1" t="s">
        <v>4112</v>
      </c>
      <c r="F2450" s="1" t="b">
        <v>0</v>
      </c>
    </row>
    <row r="2451">
      <c r="A2451" s="1" t="s">
        <v>742</v>
      </c>
      <c r="B2451" s="1" t="s">
        <v>2042</v>
      </c>
      <c r="C2451" s="1" t="s">
        <v>744</v>
      </c>
      <c r="D2451" s="2">
        <v>46064.63518518519</v>
      </c>
      <c r="E2451" s="1" t="s">
        <v>4113</v>
      </c>
      <c r="F2451" s="1" t="b">
        <v>0</v>
      </c>
    </row>
    <row r="2452">
      <c r="A2452" s="1" t="s">
        <v>734</v>
      </c>
      <c r="B2452" s="1" t="s">
        <v>2042</v>
      </c>
      <c r="C2452" s="1" t="s">
        <v>736</v>
      </c>
      <c r="D2452" s="2">
        <v>46064.71380787037</v>
      </c>
      <c r="E2452" s="1" t="s">
        <v>4114</v>
      </c>
      <c r="F2452" s="1" t="b">
        <v>0</v>
      </c>
    </row>
    <row r="2453">
      <c r="A2453" s="1" t="s">
        <v>727</v>
      </c>
      <c r="B2453" s="1" t="s">
        <v>2042</v>
      </c>
      <c r="C2453" s="1" t="s">
        <v>731</v>
      </c>
      <c r="D2453" s="2">
        <v>46064.7159375</v>
      </c>
      <c r="E2453" s="1" t="s">
        <v>4115</v>
      </c>
      <c r="F2453" s="1" t="b">
        <v>0</v>
      </c>
    </row>
    <row r="2454">
      <c r="A2454" s="1" t="s">
        <v>727</v>
      </c>
      <c r="B2454" s="1" t="s">
        <v>2042</v>
      </c>
      <c r="C2454" s="1" t="s">
        <v>731</v>
      </c>
      <c r="D2454" s="2">
        <v>46064.7171875</v>
      </c>
      <c r="E2454" s="1" t="s">
        <v>4116</v>
      </c>
      <c r="F2454" s="1" t="b">
        <v>0</v>
      </c>
    </row>
    <row r="2455">
      <c r="A2455" s="1" t="s">
        <v>727</v>
      </c>
      <c r="B2455" s="1" t="s">
        <v>2042</v>
      </c>
      <c r="C2455" s="1" t="s">
        <v>731</v>
      </c>
      <c r="D2455" s="2">
        <v>46064.71748842593</v>
      </c>
      <c r="E2455" s="1" t="s">
        <v>4117</v>
      </c>
      <c r="F2455" s="1" t="b">
        <v>0</v>
      </c>
    </row>
    <row r="2456">
      <c r="A2456" s="1" t="s">
        <v>727</v>
      </c>
      <c r="B2456" s="1" t="s">
        <v>2042</v>
      </c>
      <c r="C2456" s="1" t="s">
        <v>731</v>
      </c>
      <c r="D2456" s="2">
        <v>46064.71761574074</v>
      </c>
      <c r="E2456" s="1" t="s">
        <v>4116</v>
      </c>
      <c r="F2456" s="1" t="b">
        <v>0</v>
      </c>
    </row>
    <row r="2457">
      <c r="A2457" s="1" t="s">
        <v>727</v>
      </c>
      <c r="B2457" s="1" t="s">
        <v>2046</v>
      </c>
      <c r="C2457" s="1">
        <v>574085.0</v>
      </c>
      <c r="D2457" s="2">
        <v>46064.723032407404</v>
      </c>
      <c r="E2457" s="1" t="s">
        <v>4118</v>
      </c>
      <c r="F2457" s="1" t="b">
        <v>0</v>
      </c>
    </row>
    <row r="2458">
      <c r="A2458" s="1" t="s">
        <v>727</v>
      </c>
      <c r="B2458" s="1" t="s">
        <v>2042</v>
      </c>
      <c r="C2458" s="1" t="s">
        <v>731</v>
      </c>
      <c r="D2458" s="2">
        <v>46065.415347222224</v>
      </c>
      <c r="F2458" s="1" t="b">
        <v>0</v>
      </c>
    </row>
    <row r="2459">
      <c r="A2459" s="1" t="s">
        <v>727</v>
      </c>
      <c r="B2459" s="1" t="s">
        <v>2042</v>
      </c>
      <c r="C2459" s="1" t="s">
        <v>731</v>
      </c>
      <c r="D2459" s="2">
        <v>46065.415555555555</v>
      </c>
      <c r="E2459" s="1" t="s">
        <v>4119</v>
      </c>
      <c r="F2459" s="1" t="b">
        <v>0</v>
      </c>
    </row>
    <row r="2460">
      <c r="A2460" s="1" t="s">
        <v>727</v>
      </c>
      <c r="B2460" s="1" t="s">
        <v>2046</v>
      </c>
      <c r="C2460" s="1">
        <v>574085.0</v>
      </c>
      <c r="D2460" s="2">
        <v>46065.4178125</v>
      </c>
      <c r="E2460" s="1" t="s">
        <v>2254</v>
      </c>
      <c r="F2460" s="1" t="b">
        <v>1</v>
      </c>
    </row>
    <row r="2461">
      <c r="A2461" s="1" t="s">
        <v>727</v>
      </c>
      <c r="B2461" s="1" t="s">
        <v>2150</v>
      </c>
      <c r="C2461" s="1" t="s">
        <v>2151</v>
      </c>
      <c r="D2461" s="2">
        <v>46065.418032407404</v>
      </c>
      <c r="E2461" s="1" t="s">
        <v>4120</v>
      </c>
      <c r="F2461" s="1" t="b">
        <v>1</v>
      </c>
    </row>
    <row r="2462">
      <c r="A2462" s="1" t="s">
        <v>727</v>
      </c>
      <c r="B2462" s="1" t="s">
        <v>2046</v>
      </c>
      <c r="C2462" s="1">
        <v>574085.0</v>
      </c>
      <c r="D2462" s="2">
        <v>46065.41946759259</v>
      </c>
      <c r="E2462" s="1" t="s">
        <v>4121</v>
      </c>
      <c r="F2462" s="1" t="b">
        <v>0</v>
      </c>
    </row>
    <row r="2463">
      <c r="A2463" s="1" t="s">
        <v>727</v>
      </c>
      <c r="B2463" s="1" t="s">
        <v>2042</v>
      </c>
      <c r="C2463" s="1" t="s">
        <v>731</v>
      </c>
      <c r="D2463" s="2">
        <v>46065.419583333336</v>
      </c>
      <c r="F2463" s="1" t="b">
        <v>0</v>
      </c>
    </row>
    <row r="2464">
      <c r="A2464" s="1" t="s">
        <v>727</v>
      </c>
      <c r="B2464" s="1" t="s">
        <v>2046</v>
      </c>
      <c r="C2464" s="1">
        <v>574085.0</v>
      </c>
      <c r="D2464" s="2">
        <v>46065.41983796296</v>
      </c>
      <c r="E2464" s="1" t="s">
        <v>4122</v>
      </c>
      <c r="F2464" s="1" t="b">
        <v>0</v>
      </c>
    </row>
    <row r="2465">
      <c r="A2465" s="1" t="s">
        <v>727</v>
      </c>
      <c r="B2465" s="1" t="s">
        <v>2042</v>
      </c>
      <c r="C2465" s="1" t="s">
        <v>731</v>
      </c>
      <c r="D2465" s="2">
        <v>46065.41987268518</v>
      </c>
      <c r="F2465" s="1" t="b">
        <v>0</v>
      </c>
    </row>
    <row r="2466">
      <c r="A2466" s="1" t="s">
        <v>727</v>
      </c>
      <c r="B2466" s="1" t="s">
        <v>2046</v>
      </c>
      <c r="C2466" s="1">
        <v>574085.0</v>
      </c>
      <c r="D2466" s="2">
        <v>46065.4200462963</v>
      </c>
      <c r="E2466" s="1" t="s">
        <v>4123</v>
      </c>
      <c r="F2466" s="1" t="b">
        <v>0</v>
      </c>
    </row>
    <row r="2467">
      <c r="A2467" s="1" t="s">
        <v>727</v>
      </c>
      <c r="B2467" s="1" t="s">
        <v>2046</v>
      </c>
      <c r="C2467" s="1">
        <v>574085.0</v>
      </c>
      <c r="D2467" s="2">
        <v>46065.42023148148</v>
      </c>
      <c r="E2467" s="1" t="s">
        <v>4124</v>
      </c>
      <c r="F2467" s="1" t="b">
        <v>0</v>
      </c>
    </row>
    <row r="2468">
      <c r="A2468" s="1" t="s">
        <v>727</v>
      </c>
      <c r="B2468" s="1" t="s">
        <v>2042</v>
      </c>
      <c r="C2468" s="1" t="s">
        <v>731</v>
      </c>
      <c r="D2468" s="2">
        <v>46065.420381944445</v>
      </c>
      <c r="E2468" s="1" t="s">
        <v>4125</v>
      </c>
      <c r="F2468" s="1" t="b">
        <v>0</v>
      </c>
    </row>
    <row r="2469">
      <c r="A2469" s="1" t="s">
        <v>727</v>
      </c>
      <c r="B2469" s="1" t="s">
        <v>2042</v>
      </c>
      <c r="C2469" s="1" t="s">
        <v>731</v>
      </c>
      <c r="D2469" s="2">
        <v>46065.42083333333</v>
      </c>
      <c r="E2469" s="1" t="s">
        <v>4126</v>
      </c>
      <c r="F2469" s="1" t="b">
        <v>0</v>
      </c>
    </row>
    <row r="2470">
      <c r="A2470" s="1" t="s">
        <v>727</v>
      </c>
      <c r="B2470" s="1" t="s">
        <v>2046</v>
      </c>
      <c r="C2470" s="1">
        <v>574085.0</v>
      </c>
      <c r="D2470" s="2">
        <v>46065.42412037037</v>
      </c>
      <c r="E2470" s="1" t="s">
        <v>4127</v>
      </c>
      <c r="F2470" s="1" t="b">
        <v>1</v>
      </c>
    </row>
    <row r="2471">
      <c r="A2471" s="1" t="s">
        <v>727</v>
      </c>
      <c r="B2471" s="1" t="s">
        <v>2150</v>
      </c>
      <c r="C2471" s="1" t="s">
        <v>2151</v>
      </c>
      <c r="D2471" s="2">
        <v>46065.424212962964</v>
      </c>
      <c r="E2471" s="1" t="s">
        <v>4128</v>
      </c>
      <c r="F2471" s="1" t="b">
        <v>1</v>
      </c>
    </row>
    <row r="2472">
      <c r="A2472" s="1" t="s">
        <v>727</v>
      </c>
      <c r="B2472" s="1" t="s">
        <v>2046</v>
      </c>
      <c r="C2472" s="1">
        <v>574085.0</v>
      </c>
      <c r="D2472" s="2">
        <v>46065.42476851852</v>
      </c>
      <c r="E2472" s="1" t="s">
        <v>4129</v>
      </c>
      <c r="F2472" s="1" t="b">
        <v>0</v>
      </c>
    </row>
    <row r="2473">
      <c r="A2473" s="1" t="s">
        <v>727</v>
      </c>
      <c r="B2473" s="1" t="s">
        <v>2042</v>
      </c>
      <c r="C2473" s="1" t="s">
        <v>731</v>
      </c>
      <c r="D2473" s="2">
        <v>46065.43712962963</v>
      </c>
      <c r="F2473" s="1" t="b">
        <v>0</v>
      </c>
    </row>
    <row r="2474">
      <c r="A2474" s="1" t="s">
        <v>727</v>
      </c>
      <c r="B2474" s="1" t="s">
        <v>2042</v>
      </c>
      <c r="C2474" s="1" t="s">
        <v>731</v>
      </c>
      <c r="D2474" s="2">
        <v>46065.43734953704</v>
      </c>
      <c r="E2474" s="1" t="s">
        <v>4130</v>
      </c>
      <c r="F2474" s="1" t="b">
        <v>0</v>
      </c>
    </row>
    <row r="2475">
      <c r="A2475" s="1" t="s">
        <v>727</v>
      </c>
      <c r="B2475" s="1" t="s">
        <v>2042</v>
      </c>
      <c r="C2475" s="1" t="s">
        <v>731</v>
      </c>
      <c r="D2475" s="2">
        <v>46065.43875</v>
      </c>
      <c r="F2475" s="1" t="b">
        <v>0</v>
      </c>
    </row>
    <row r="2476">
      <c r="A2476" s="1" t="s">
        <v>727</v>
      </c>
      <c r="B2476" s="1" t="s">
        <v>2042</v>
      </c>
      <c r="C2476" s="1" t="s">
        <v>731</v>
      </c>
      <c r="D2476" s="2">
        <v>46065.43954861111</v>
      </c>
      <c r="E2476" s="1" t="s">
        <v>4131</v>
      </c>
      <c r="F2476" s="1" t="b">
        <v>0</v>
      </c>
    </row>
    <row r="2477">
      <c r="A2477" s="1" t="s">
        <v>727</v>
      </c>
      <c r="B2477" s="1" t="s">
        <v>2042</v>
      </c>
      <c r="C2477" s="1" t="s">
        <v>731</v>
      </c>
      <c r="D2477" s="2">
        <v>46065.44289351852</v>
      </c>
      <c r="F2477" s="1" t="b">
        <v>0</v>
      </c>
    </row>
    <row r="2478">
      <c r="A2478" s="1" t="s">
        <v>727</v>
      </c>
      <c r="B2478" s="1" t="s">
        <v>2042</v>
      </c>
      <c r="C2478" s="1" t="s">
        <v>731</v>
      </c>
      <c r="D2478" s="2">
        <v>46065.443402777775</v>
      </c>
      <c r="E2478" s="1" t="s">
        <v>4132</v>
      </c>
      <c r="F2478" s="1" t="b">
        <v>0</v>
      </c>
    </row>
    <row r="2479">
      <c r="A2479" s="1" t="s">
        <v>727</v>
      </c>
      <c r="B2479" s="1" t="s">
        <v>2046</v>
      </c>
      <c r="C2479" s="1">
        <v>574085.0</v>
      </c>
      <c r="D2479" s="2">
        <v>46065.4444212963</v>
      </c>
      <c r="E2479" s="1" t="s">
        <v>4133</v>
      </c>
      <c r="F2479" s="1" t="b">
        <v>1</v>
      </c>
    </row>
    <row r="2480">
      <c r="A2480" s="1" t="s">
        <v>727</v>
      </c>
      <c r="B2480" s="1" t="s">
        <v>2046</v>
      </c>
      <c r="C2480" s="1">
        <v>607950.0</v>
      </c>
      <c r="D2480" s="2">
        <v>46065.44449074074</v>
      </c>
      <c r="E2480" s="1" t="s">
        <v>4134</v>
      </c>
      <c r="F2480" s="1" t="b">
        <v>1</v>
      </c>
    </row>
    <row r="2481">
      <c r="A2481" s="1" t="s">
        <v>727</v>
      </c>
      <c r="B2481" s="1" t="s">
        <v>2046</v>
      </c>
      <c r="C2481" s="1">
        <v>574085.0</v>
      </c>
      <c r="D2481" s="2">
        <v>46065.44863425926</v>
      </c>
      <c r="E2481" s="1" t="s">
        <v>4135</v>
      </c>
      <c r="F2481" s="1" t="b">
        <v>0</v>
      </c>
    </row>
    <row r="2482">
      <c r="A2482" s="1" t="s">
        <v>727</v>
      </c>
      <c r="B2482" s="1" t="s">
        <v>2046</v>
      </c>
      <c r="C2482" s="1">
        <v>574085.0</v>
      </c>
      <c r="D2482" s="2">
        <v>46065.45611111111</v>
      </c>
      <c r="E2482" s="1" t="s">
        <v>3383</v>
      </c>
      <c r="F2482" s="1" t="b">
        <v>1</v>
      </c>
    </row>
    <row r="2483">
      <c r="A2483" s="1" t="s">
        <v>727</v>
      </c>
      <c r="B2483" s="1" t="s">
        <v>2150</v>
      </c>
      <c r="C2483" s="1" t="s">
        <v>2151</v>
      </c>
      <c r="D2483" s="2">
        <v>46065.45630787037</v>
      </c>
      <c r="E2483" s="1" t="s">
        <v>4136</v>
      </c>
      <c r="F2483" s="1" t="b">
        <v>1</v>
      </c>
    </row>
    <row r="2484">
      <c r="A2484" s="1" t="s">
        <v>727</v>
      </c>
      <c r="B2484" s="1" t="s">
        <v>2046</v>
      </c>
      <c r="C2484" s="1">
        <v>574085.0</v>
      </c>
      <c r="D2484" s="2">
        <v>46065.45664351852</v>
      </c>
      <c r="F2484" s="1" t="b">
        <v>1</v>
      </c>
    </row>
    <row r="2485">
      <c r="A2485" s="1" t="s">
        <v>727</v>
      </c>
      <c r="B2485" s="1" t="s">
        <v>2150</v>
      </c>
      <c r="C2485" s="1" t="s">
        <v>2151</v>
      </c>
      <c r="D2485" s="2">
        <v>46065.456770833334</v>
      </c>
      <c r="F2485" s="1" t="b">
        <v>1</v>
      </c>
    </row>
    <row r="2486">
      <c r="A2486" s="1" t="s">
        <v>727</v>
      </c>
      <c r="B2486" s="1" t="s">
        <v>2042</v>
      </c>
      <c r="C2486" s="1" t="s">
        <v>731</v>
      </c>
      <c r="D2486" s="2">
        <v>46065.471400462964</v>
      </c>
      <c r="E2486" s="1" t="s">
        <v>4137</v>
      </c>
      <c r="F2486" s="1" t="b">
        <v>0</v>
      </c>
    </row>
    <row r="2487">
      <c r="A2487" s="1" t="s">
        <v>727</v>
      </c>
      <c r="B2487" s="1" t="s">
        <v>2046</v>
      </c>
      <c r="C2487" s="1">
        <v>574085.0</v>
      </c>
      <c r="D2487" s="2">
        <v>46065.49857638889</v>
      </c>
      <c r="E2487" s="1" t="s">
        <v>4138</v>
      </c>
      <c r="F2487" s="1" t="b">
        <v>1</v>
      </c>
    </row>
    <row r="2488">
      <c r="A2488" s="1" t="s">
        <v>727</v>
      </c>
      <c r="B2488" s="1" t="s">
        <v>2150</v>
      </c>
      <c r="C2488" s="1" t="s">
        <v>2151</v>
      </c>
      <c r="D2488" s="2">
        <v>46065.498703703706</v>
      </c>
      <c r="E2488" s="1" t="s">
        <v>4139</v>
      </c>
      <c r="F2488" s="1" t="b">
        <v>1</v>
      </c>
    </row>
    <row r="2489">
      <c r="A2489" s="1" t="s">
        <v>727</v>
      </c>
      <c r="B2489" s="1" t="s">
        <v>2046</v>
      </c>
      <c r="C2489" s="1">
        <v>607950.0</v>
      </c>
      <c r="D2489" s="2">
        <v>46065.5093287037</v>
      </c>
      <c r="E2489" s="1" t="s">
        <v>4140</v>
      </c>
      <c r="F2489" s="1" t="b">
        <v>1</v>
      </c>
    </row>
    <row r="2490">
      <c r="A2490" s="1" t="s">
        <v>727</v>
      </c>
      <c r="B2490" s="1" t="s">
        <v>2150</v>
      </c>
      <c r="C2490" s="1" t="s">
        <v>2151</v>
      </c>
      <c r="D2490" s="2">
        <v>46065.50947916666</v>
      </c>
      <c r="E2490" s="1" t="s">
        <v>4141</v>
      </c>
      <c r="F2490" s="1" t="b">
        <v>1</v>
      </c>
    </row>
    <row r="2491">
      <c r="A2491" s="1" t="s">
        <v>727</v>
      </c>
      <c r="B2491" s="1" t="s">
        <v>2046</v>
      </c>
      <c r="C2491" s="1">
        <v>370963.0</v>
      </c>
      <c r="D2491" s="2">
        <v>46065.61247685185</v>
      </c>
      <c r="E2491" s="1" t="s">
        <v>4142</v>
      </c>
      <c r="F2491" s="1" t="b">
        <v>1</v>
      </c>
    </row>
    <row r="2492">
      <c r="A2492" s="1" t="s">
        <v>727</v>
      </c>
      <c r="B2492" s="1" t="s">
        <v>2046</v>
      </c>
      <c r="C2492" s="1">
        <v>607950.0</v>
      </c>
      <c r="D2492" s="2">
        <v>46065.61292824074</v>
      </c>
      <c r="E2492" s="1" t="s">
        <v>4143</v>
      </c>
      <c r="F2492" s="1" t="b">
        <v>1</v>
      </c>
    </row>
    <row r="2493">
      <c r="A2493" s="1" t="s">
        <v>727</v>
      </c>
      <c r="B2493" s="1" t="s">
        <v>2046</v>
      </c>
      <c r="C2493" s="1">
        <v>370963.0</v>
      </c>
      <c r="D2493" s="2">
        <v>46065.61319444444</v>
      </c>
      <c r="E2493" s="1" t="s">
        <v>4144</v>
      </c>
      <c r="F2493" s="1" t="b">
        <v>1</v>
      </c>
    </row>
    <row r="2494">
      <c r="A2494" s="1" t="s">
        <v>727</v>
      </c>
      <c r="B2494" s="1" t="s">
        <v>2046</v>
      </c>
      <c r="C2494" s="1">
        <v>370963.0</v>
      </c>
      <c r="D2494" s="2">
        <v>46065.61342592593</v>
      </c>
      <c r="E2494" s="1" t="s">
        <v>4145</v>
      </c>
      <c r="F2494" s="1" t="b">
        <v>1</v>
      </c>
    </row>
    <row r="2495">
      <c r="A2495" s="1" t="s">
        <v>727</v>
      </c>
      <c r="B2495" s="1" t="s">
        <v>2046</v>
      </c>
      <c r="C2495" s="1">
        <v>370963.0</v>
      </c>
      <c r="D2495" s="2">
        <v>46065.61350694444</v>
      </c>
      <c r="E2495" s="1" t="s">
        <v>4146</v>
      </c>
      <c r="F2495" s="1" t="b">
        <v>1</v>
      </c>
    </row>
    <row r="2496">
      <c r="A2496" s="1" t="s">
        <v>723</v>
      </c>
      <c r="B2496" s="1" t="s">
        <v>2042</v>
      </c>
      <c r="C2496" s="1" t="s">
        <v>725</v>
      </c>
      <c r="D2496" s="2">
        <v>46064.71628472222</v>
      </c>
      <c r="E2496" s="1" t="s">
        <v>4147</v>
      </c>
      <c r="F2496" s="1" t="b">
        <v>0</v>
      </c>
    </row>
    <row r="2497">
      <c r="A2497" s="1" t="s">
        <v>719</v>
      </c>
      <c r="B2497" s="1" t="s">
        <v>2042</v>
      </c>
      <c r="C2497" s="1" t="s">
        <v>721</v>
      </c>
      <c r="D2497" s="2">
        <v>46064.71722222222</v>
      </c>
      <c r="E2497" s="1" t="s">
        <v>2933</v>
      </c>
      <c r="F2497" s="1" t="b">
        <v>0</v>
      </c>
    </row>
    <row r="2498">
      <c r="A2498" s="1" t="s">
        <v>719</v>
      </c>
      <c r="B2498" s="1" t="s">
        <v>2042</v>
      </c>
      <c r="C2498" s="1" t="s">
        <v>721</v>
      </c>
      <c r="D2498" s="2">
        <v>46064.71729166667</v>
      </c>
      <c r="E2498" s="1" t="s">
        <v>4148</v>
      </c>
      <c r="F2498" s="1" t="b">
        <v>0</v>
      </c>
    </row>
    <row r="2499">
      <c r="A2499" s="1" t="s">
        <v>719</v>
      </c>
      <c r="B2499" s="1" t="s">
        <v>2042</v>
      </c>
      <c r="C2499" s="1" t="s">
        <v>721</v>
      </c>
      <c r="D2499" s="2">
        <v>46064.717361111114</v>
      </c>
      <c r="E2499" s="1" t="s">
        <v>4018</v>
      </c>
      <c r="F2499" s="1" t="b">
        <v>0</v>
      </c>
    </row>
    <row r="2500">
      <c r="A2500" s="1" t="s">
        <v>713</v>
      </c>
      <c r="B2500" s="1" t="s">
        <v>2042</v>
      </c>
      <c r="C2500" s="1" t="s">
        <v>717</v>
      </c>
      <c r="D2500" s="2">
        <v>46064.718148148146</v>
      </c>
      <c r="E2500" s="1" t="s">
        <v>4149</v>
      </c>
      <c r="F2500" s="1" t="b">
        <v>0</v>
      </c>
    </row>
    <row r="2501">
      <c r="A2501" s="1" t="s">
        <v>713</v>
      </c>
      <c r="B2501" s="1" t="s">
        <v>2042</v>
      </c>
      <c r="C2501" s="1" t="s">
        <v>717</v>
      </c>
      <c r="D2501" s="2">
        <v>46064.71824074074</v>
      </c>
      <c r="E2501" s="1" t="s">
        <v>4150</v>
      </c>
      <c r="F2501" s="1" t="b">
        <v>0</v>
      </c>
    </row>
    <row r="2502">
      <c r="A2502" s="1" t="s">
        <v>713</v>
      </c>
      <c r="B2502" s="1" t="s">
        <v>2042</v>
      </c>
      <c r="C2502" s="1" t="s">
        <v>717</v>
      </c>
      <c r="D2502" s="2">
        <v>46064.71833333333</v>
      </c>
      <c r="E2502" s="1" t="s">
        <v>4151</v>
      </c>
      <c r="F2502" s="1" t="b">
        <v>0</v>
      </c>
    </row>
    <row r="2503">
      <c r="A2503" s="1" t="s">
        <v>713</v>
      </c>
      <c r="B2503" s="1" t="s">
        <v>2042</v>
      </c>
      <c r="C2503" s="1" t="s">
        <v>717</v>
      </c>
      <c r="D2503" s="2">
        <v>46064.718726851854</v>
      </c>
      <c r="E2503" s="1" t="s">
        <v>4018</v>
      </c>
      <c r="F2503" s="1" t="b">
        <v>0</v>
      </c>
    </row>
    <row r="2504">
      <c r="A2504" s="1" t="s">
        <v>713</v>
      </c>
      <c r="B2504" s="1" t="s">
        <v>2042</v>
      </c>
      <c r="C2504" s="1" t="s">
        <v>717</v>
      </c>
      <c r="D2504" s="2">
        <v>46064.71908564815</v>
      </c>
      <c r="F2504" s="1" t="b">
        <v>0</v>
      </c>
    </row>
    <row r="2505">
      <c r="A2505" s="1" t="s">
        <v>713</v>
      </c>
      <c r="B2505" s="1" t="s">
        <v>2042</v>
      </c>
      <c r="C2505" s="1" t="s">
        <v>717</v>
      </c>
      <c r="D2505" s="2">
        <v>46064.71913194445</v>
      </c>
      <c r="E2505" s="1" t="s">
        <v>4152</v>
      </c>
      <c r="F2505" s="1" t="b">
        <v>0</v>
      </c>
    </row>
    <row r="2506">
      <c r="A2506" s="1" t="s">
        <v>713</v>
      </c>
      <c r="B2506" s="1" t="s">
        <v>2042</v>
      </c>
      <c r="C2506" s="1" t="s">
        <v>717</v>
      </c>
      <c r="D2506" s="2">
        <v>46064.71925925926</v>
      </c>
      <c r="E2506" s="1" t="s">
        <v>4153</v>
      </c>
      <c r="F2506" s="1" t="b">
        <v>0</v>
      </c>
    </row>
    <row r="2507">
      <c r="A2507" s="1" t="s">
        <v>713</v>
      </c>
      <c r="B2507" s="1" t="s">
        <v>2042</v>
      </c>
      <c r="C2507" s="1" t="s">
        <v>717</v>
      </c>
      <c r="D2507" s="2">
        <v>46064.71928240741</v>
      </c>
      <c r="E2507" s="1" t="s">
        <v>4154</v>
      </c>
      <c r="F2507" s="1" t="b">
        <v>0</v>
      </c>
    </row>
    <row r="2508">
      <c r="A2508" s="1" t="s">
        <v>713</v>
      </c>
      <c r="B2508" s="1" t="s">
        <v>2042</v>
      </c>
      <c r="C2508" s="1" t="s">
        <v>717</v>
      </c>
      <c r="D2508" s="2">
        <v>46064.71931712963</v>
      </c>
      <c r="E2508" s="1" t="s">
        <v>4155</v>
      </c>
      <c r="F2508" s="1" t="b">
        <v>0</v>
      </c>
    </row>
    <row r="2509">
      <c r="A2509" s="1" t="s">
        <v>713</v>
      </c>
      <c r="B2509" s="1" t="s">
        <v>2046</v>
      </c>
      <c r="C2509" s="1">
        <v>607950.0</v>
      </c>
      <c r="D2509" s="2">
        <v>46064.7196412037</v>
      </c>
      <c r="E2509" s="1" t="s">
        <v>4156</v>
      </c>
      <c r="F2509" s="1" t="b">
        <v>0</v>
      </c>
    </row>
    <row r="2510">
      <c r="A2510" s="1" t="s">
        <v>713</v>
      </c>
      <c r="B2510" s="1" t="s">
        <v>2046</v>
      </c>
      <c r="C2510" s="1">
        <v>607950.0</v>
      </c>
      <c r="D2510" s="2">
        <v>46064.719826388886</v>
      </c>
      <c r="E2510" s="1" t="s">
        <v>2254</v>
      </c>
      <c r="F2510" s="1" t="b">
        <v>1</v>
      </c>
    </row>
    <row r="2511">
      <c r="A2511" s="1" t="s">
        <v>713</v>
      </c>
      <c r="B2511" s="1" t="s">
        <v>2150</v>
      </c>
      <c r="C2511" s="1" t="s">
        <v>2151</v>
      </c>
      <c r="D2511" s="2">
        <v>46064.720034722224</v>
      </c>
      <c r="E2511" s="1" t="s">
        <v>4157</v>
      </c>
      <c r="F2511" s="1" t="b">
        <v>1</v>
      </c>
    </row>
    <row r="2512">
      <c r="A2512" s="1" t="s">
        <v>713</v>
      </c>
      <c r="B2512" s="1" t="s">
        <v>2046</v>
      </c>
      <c r="C2512" s="1">
        <v>607950.0</v>
      </c>
      <c r="D2512" s="2">
        <v>46064.72146990741</v>
      </c>
      <c r="E2512" s="1" t="s">
        <v>4158</v>
      </c>
      <c r="F2512" s="1" t="b">
        <v>1</v>
      </c>
    </row>
    <row r="2513">
      <c r="A2513" s="1" t="s">
        <v>713</v>
      </c>
      <c r="B2513" s="1" t="s">
        <v>2150</v>
      </c>
      <c r="C2513" s="1" t="s">
        <v>2151</v>
      </c>
      <c r="D2513" s="2">
        <v>46064.7215625</v>
      </c>
      <c r="E2513" s="1" t="s">
        <v>4159</v>
      </c>
      <c r="F2513" s="1" t="b">
        <v>1</v>
      </c>
    </row>
    <row r="2514">
      <c r="A2514" s="1" t="s">
        <v>713</v>
      </c>
      <c r="B2514" s="1" t="s">
        <v>2046</v>
      </c>
      <c r="C2514" s="1">
        <v>607950.0</v>
      </c>
      <c r="D2514" s="2">
        <v>46064.72790509259</v>
      </c>
      <c r="E2514" s="1" t="s">
        <v>4160</v>
      </c>
      <c r="F2514" s="1" t="b">
        <v>1</v>
      </c>
    </row>
    <row r="2515">
      <c r="A2515" s="1" t="s">
        <v>713</v>
      </c>
      <c r="B2515" s="1" t="s">
        <v>2046</v>
      </c>
      <c r="C2515" s="1">
        <v>607950.0</v>
      </c>
      <c r="D2515" s="2">
        <v>46065.39517361111</v>
      </c>
      <c r="E2515" s="1" t="s">
        <v>4161</v>
      </c>
      <c r="F2515" s="1" t="b">
        <v>1</v>
      </c>
    </row>
    <row r="2516">
      <c r="A2516" s="1" t="s">
        <v>702</v>
      </c>
      <c r="B2516" s="1" t="s">
        <v>2042</v>
      </c>
      <c r="C2516" s="1" t="s">
        <v>647</v>
      </c>
      <c r="D2516" s="2">
        <v>46064.78760416667</v>
      </c>
      <c r="E2516" s="1" t="s">
        <v>4162</v>
      </c>
      <c r="F2516" s="1" t="b">
        <v>0</v>
      </c>
    </row>
    <row r="2517">
      <c r="A2517" s="1" t="s">
        <v>702</v>
      </c>
      <c r="B2517" s="1" t="s">
        <v>2042</v>
      </c>
      <c r="C2517" s="1" t="s">
        <v>647</v>
      </c>
      <c r="D2517" s="2">
        <v>46064.79042824074</v>
      </c>
      <c r="E2517" s="1" t="s">
        <v>4163</v>
      </c>
      <c r="F2517" s="1" t="b">
        <v>0</v>
      </c>
    </row>
    <row r="2518">
      <c r="A2518" s="1" t="s">
        <v>702</v>
      </c>
      <c r="B2518" s="1" t="s">
        <v>2042</v>
      </c>
      <c r="C2518" s="1" t="s">
        <v>647</v>
      </c>
      <c r="D2518" s="2">
        <v>46064.79076388889</v>
      </c>
      <c r="E2518" s="1" t="s">
        <v>4164</v>
      </c>
      <c r="F2518" s="1" t="b">
        <v>0</v>
      </c>
    </row>
    <row r="2519">
      <c r="A2519" s="1" t="s">
        <v>702</v>
      </c>
      <c r="B2519" s="1" t="s">
        <v>2042</v>
      </c>
      <c r="C2519" s="1" t="s">
        <v>647</v>
      </c>
      <c r="D2519" s="2">
        <v>46064.79115740741</v>
      </c>
      <c r="E2519" s="1" t="s">
        <v>4165</v>
      </c>
      <c r="F2519" s="1" t="b">
        <v>0</v>
      </c>
    </row>
    <row r="2520">
      <c r="A2520" s="1" t="s">
        <v>702</v>
      </c>
      <c r="B2520" s="1" t="s">
        <v>2042</v>
      </c>
      <c r="C2520" s="1" t="s">
        <v>647</v>
      </c>
      <c r="D2520" s="2">
        <v>46064.79130787037</v>
      </c>
      <c r="E2520" s="1" t="s">
        <v>4166</v>
      </c>
      <c r="F2520" s="1" t="b">
        <v>0</v>
      </c>
    </row>
    <row r="2521">
      <c r="A2521" s="1" t="s">
        <v>702</v>
      </c>
      <c r="B2521" s="1" t="s">
        <v>2042</v>
      </c>
      <c r="C2521" s="1" t="s">
        <v>647</v>
      </c>
      <c r="D2521" s="2">
        <v>46064.79184027778</v>
      </c>
      <c r="E2521" s="1" t="s">
        <v>4167</v>
      </c>
      <c r="F2521" s="1" t="b">
        <v>0</v>
      </c>
    </row>
    <row r="2522">
      <c r="A2522" s="1" t="s">
        <v>702</v>
      </c>
      <c r="B2522" s="1" t="s">
        <v>2046</v>
      </c>
      <c r="C2522" s="1">
        <v>594863.0</v>
      </c>
      <c r="D2522" s="2">
        <v>46065.41748842593</v>
      </c>
      <c r="E2522" s="1" t="s">
        <v>4168</v>
      </c>
      <c r="F2522" s="1" t="b">
        <v>0</v>
      </c>
    </row>
    <row r="2523">
      <c r="A2523" s="1" t="s">
        <v>702</v>
      </c>
      <c r="B2523" s="1" t="s">
        <v>2046</v>
      </c>
      <c r="C2523" s="1">
        <v>594863.0</v>
      </c>
      <c r="D2523" s="2">
        <v>46065.44614583333</v>
      </c>
      <c r="E2523" s="1" t="s">
        <v>4169</v>
      </c>
      <c r="F2523" s="1" t="b">
        <v>0</v>
      </c>
    </row>
    <row r="2524">
      <c r="A2524" s="1" t="s">
        <v>702</v>
      </c>
      <c r="B2524" s="1" t="s">
        <v>2046</v>
      </c>
      <c r="C2524" s="1">
        <v>594863.0</v>
      </c>
      <c r="D2524" s="2">
        <v>46065.56082175926</v>
      </c>
      <c r="E2524" s="1" t="s">
        <v>4170</v>
      </c>
      <c r="F2524" s="1" t="b">
        <v>1</v>
      </c>
    </row>
    <row r="2525">
      <c r="A2525" s="1" t="s">
        <v>702</v>
      </c>
      <c r="B2525" s="1" t="s">
        <v>2046</v>
      </c>
      <c r="C2525" s="1">
        <v>594863.0</v>
      </c>
      <c r="D2525" s="2">
        <v>46065.566354166665</v>
      </c>
      <c r="E2525" s="1" t="s">
        <v>4171</v>
      </c>
      <c r="F2525" s="1" t="b">
        <v>1</v>
      </c>
    </row>
    <row r="2526">
      <c r="A2526" s="1" t="s">
        <v>698</v>
      </c>
      <c r="B2526" s="1" t="s">
        <v>2042</v>
      </c>
      <c r="C2526" s="1" t="s">
        <v>700</v>
      </c>
      <c r="D2526" s="2">
        <v>46064.82912037037</v>
      </c>
      <c r="E2526" s="1" t="s">
        <v>4172</v>
      </c>
      <c r="F2526" s="1" t="b">
        <v>0</v>
      </c>
    </row>
    <row r="2527">
      <c r="A2527" s="1" t="s">
        <v>690</v>
      </c>
      <c r="B2527" s="1" t="s">
        <v>2042</v>
      </c>
      <c r="C2527" s="1" t="s">
        <v>692</v>
      </c>
      <c r="D2527" s="2">
        <v>46065.002071759256</v>
      </c>
      <c r="E2527" s="1" t="s">
        <v>4173</v>
      </c>
      <c r="F2527" s="1" t="b">
        <v>0</v>
      </c>
    </row>
    <row r="2528">
      <c r="A2528" s="1" t="s">
        <v>680</v>
      </c>
      <c r="B2528" s="1" t="s">
        <v>2042</v>
      </c>
      <c r="C2528" s="1" t="s">
        <v>684</v>
      </c>
      <c r="D2528" s="2">
        <v>46065.43702546296</v>
      </c>
      <c r="E2528" s="1" t="s">
        <v>4174</v>
      </c>
      <c r="F2528" s="1" t="b">
        <v>0</v>
      </c>
    </row>
    <row r="2529">
      <c r="A2529" s="1" t="s">
        <v>680</v>
      </c>
      <c r="B2529" s="1" t="s">
        <v>2042</v>
      </c>
      <c r="C2529" s="1" t="s">
        <v>684</v>
      </c>
      <c r="D2529" s="2">
        <v>46065.437372685185</v>
      </c>
      <c r="E2529" s="1" t="s">
        <v>4175</v>
      </c>
      <c r="F2529" s="1" t="b">
        <v>0</v>
      </c>
    </row>
    <row r="2530">
      <c r="A2530" s="1" t="s">
        <v>680</v>
      </c>
      <c r="B2530" s="1" t="s">
        <v>2046</v>
      </c>
      <c r="C2530" s="1">
        <v>607950.0</v>
      </c>
      <c r="D2530" s="2">
        <v>46065.437430555554</v>
      </c>
      <c r="E2530" s="1" t="s">
        <v>2752</v>
      </c>
      <c r="F2530" s="1" t="b">
        <v>0</v>
      </c>
    </row>
    <row r="2531">
      <c r="A2531" s="1" t="s">
        <v>680</v>
      </c>
      <c r="B2531" s="1" t="s">
        <v>2042</v>
      </c>
      <c r="C2531" s="1" t="s">
        <v>684</v>
      </c>
      <c r="D2531" s="2">
        <v>46065.43751157408</v>
      </c>
      <c r="E2531" s="1" t="s">
        <v>4174</v>
      </c>
      <c r="F2531" s="1" t="b">
        <v>0</v>
      </c>
    </row>
    <row r="2532">
      <c r="A2532" s="1" t="s">
        <v>680</v>
      </c>
      <c r="B2532" s="1" t="s">
        <v>2042</v>
      </c>
      <c r="C2532" s="1" t="s">
        <v>684</v>
      </c>
      <c r="D2532" s="2">
        <v>46065.437581018516</v>
      </c>
      <c r="E2532" s="1" t="s">
        <v>4176</v>
      </c>
      <c r="F2532" s="1" t="b">
        <v>0</v>
      </c>
    </row>
    <row r="2533">
      <c r="A2533" s="1" t="s">
        <v>680</v>
      </c>
      <c r="B2533" s="1" t="s">
        <v>2046</v>
      </c>
      <c r="C2533" s="1">
        <v>607950.0</v>
      </c>
      <c r="D2533" s="2">
        <v>46065.437893518516</v>
      </c>
      <c r="E2533" s="1" t="s">
        <v>4177</v>
      </c>
      <c r="F2533" s="1" t="b">
        <v>1</v>
      </c>
    </row>
    <row r="2534">
      <c r="A2534" s="1" t="s">
        <v>680</v>
      </c>
      <c r="B2534" s="1" t="s">
        <v>2150</v>
      </c>
      <c r="C2534" s="1" t="s">
        <v>2151</v>
      </c>
      <c r="D2534" s="2">
        <v>46065.43806712963</v>
      </c>
      <c r="E2534" s="1" t="s">
        <v>4178</v>
      </c>
      <c r="F2534" s="1" t="b">
        <v>1</v>
      </c>
    </row>
    <row r="2535">
      <c r="A2535" s="1" t="s">
        <v>680</v>
      </c>
      <c r="B2535" s="1" t="s">
        <v>2046</v>
      </c>
      <c r="C2535" s="1">
        <v>607950.0</v>
      </c>
      <c r="D2535" s="2">
        <v>46065.4384375</v>
      </c>
      <c r="E2535" s="1" t="s">
        <v>4179</v>
      </c>
      <c r="F2535" s="1" t="b">
        <v>0</v>
      </c>
    </row>
    <row r="2536">
      <c r="A2536" s="1" t="s">
        <v>680</v>
      </c>
      <c r="B2536" s="1" t="s">
        <v>2042</v>
      </c>
      <c r="C2536" s="1" t="s">
        <v>684</v>
      </c>
      <c r="D2536" s="2">
        <v>46065.44001157407</v>
      </c>
      <c r="E2536" s="1" t="s">
        <v>4180</v>
      </c>
      <c r="F2536" s="1" t="b">
        <v>0</v>
      </c>
    </row>
    <row r="2537">
      <c r="A2537" s="1" t="s">
        <v>680</v>
      </c>
      <c r="B2537" s="1" t="s">
        <v>2042</v>
      </c>
      <c r="C2537" s="1" t="s">
        <v>684</v>
      </c>
      <c r="D2537" s="2">
        <v>46065.4437962963</v>
      </c>
      <c r="E2537" s="3" t="str">
        <f>+ 제 계정이 슈퍼관리자로 되어있습니다!</f>
        <v>#ERROR!</v>
      </c>
      <c r="F2537" s="1" t="b">
        <v>0</v>
      </c>
    </row>
    <row r="2538">
      <c r="A2538" s="1" t="s">
        <v>680</v>
      </c>
      <c r="B2538" s="1" t="s">
        <v>2046</v>
      </c>
      <c r="C2538" s="1">
        <v>607950.0</v>
      </c>
      <c r="D2538" s="2">
        <v>46065.447604166664</v>
      </c>
      <c r="E2538" s="1" t="s">
        <v>2254</v>
      </c>
      <c r="F2538" s="1" t="b">
        <v>1</v>
      </c>
    </row>
    <row r="2539">
      <c r="A2539" s="1" t="s">
        <v>680</v>
      </c>
      <c r="B2539" s="1" t="s">
        <v>2150</v>
      </c>
      <c r="C2539" s="1" t="s">
        <v>2151</v>
      </c>
      <c r="D2539" s="2">
        <v>46065.44771990741</v>
      </c>
      <c r="E2539" s="1" t="s">
        <v>4181</v>
      </c>
      <c r="F2539" s="1" t="b">
        <v>1</v>
      </c>
    </row>
    <row r="2540">
      <c r="A2540" s="1" t="s">
        <v>680</v>
      </c>
      <c r="B2540" s="1" t="s">
        <v>2046</v>
      </c>
      <c r="C2540" s="1">
        <v>607950.0</v>
      </c>
      <c r="D2540" s="2">
        <v>46065.47311342593</v>
      </c>
      <c r="E2540" s="1" t="s">
        <v>4182</v>
      </c>
      <c r="F2540" s="1" t="b">
        <v>0</v>
      </c>
    </row>
    <row r="2541">
      <c r="A2541" s="1" t="s">
        <v>680</v>
      </c>
      <c r="B2541" s="1" t="s">
        <v>2042</v>
      </c>
      <c r="C2541" s="1" t="s">
        <v>684</v>
      </c>
      <c r="D2541" s="2">
        <v>46065.48268518518</v>
      </c>
      <c r="E2541" s="1" t="s">
        <v>4183</v>
      </c>
      <c r="F2541" s="1" t="b">
        <v>0</v>
      </c>
    </row>
    <row r="2542">
      <c r="A2542" s="1" t="s">
        <v>680</v>
      </c>
      <c r="B2542" s="1" t="s">
        <v>2046</v>
      </c>
      <c r="C2542" s="1">
        <v>607950.0</v>
      </c>
      <c r="D2542" s="2">
        <v>46065.482777777775</v>
      </c>
      <c r="E2542" s="1" t="s">
        <v>2108</v>
      </c>
      <c r="F2542" s="1" t="b">
        <v>0</v>
      </c>
    </row>
    <row r="2543">
      <c r="A2543" s="1" t="s">
        <v>680</v>
      </c>
      <c r="B2543" s="1" t="s">
        <v>2046</v>
      </c>
      <c r="C2543" s="1">
        <v>607950.0</v>
      </c>
      <c r="D2543" s="2">
        <v>46065.51729166666</v>
      </c>
      <c r="E2543" s="1" t="s">
        <v>4184</v>
      </c>
      <c r="F2543" s="1" t="b">
        <v>0</v>
      </c>
    </row>
    <row r="2544">
      <c r="A2544" s="1" t="s">
        <v>675</v>
      </c>
      <c r="B2544" s="1" t="s">
        <v>2042</v>
      </c>
      <c r="C2544" s="1" t="s">
        <v>678</v>
      </c>
      <c r="D2544" s="2">
        <v>46065.43875</v>
      </c>
      <c r="F2544" s="1" t="b">
        <v>0</v>
      </c>
    </row>
    <row r="2545">
      <c r="A2545" s="1" t="s">
        <v>675</v>
      </c>
      <c r="B2545" s="1" t="s">
        <v>2042</v>
      </c>
      <c r="C2545" s="1" t="s">
        <v>678</v>
      </c>
      <c r="D2545" s="2">
        <v>46065.439050925925</v>
      </c>
      <c r="E2545" s="1" t="s">
        <v>4185</v>
      </c>
      <c r="F2545" s="1" t="b">
        <v>0</v>
      </c>
    </row>
    <row r="2546">
      <c r="A2546" s="1" t="s">
        <v>675</v>
      </c>
      <c r="B2546" s="1" t="s">
        <v>2046</v>
      </c>
      <c r="C2546" s="1">
        <v>607950.0</v>
      </c>
      <c r="D2546" s="2">
        <v>46065.43934027778</v>
      </c>
      <c r="E2546" s="1" t="s">
        <v>2752</v>
      </c>
      <c r="F2546" s="1" t="b">
        <v>0</v>
      </c>
    </row>
    <row r="2547">
      <c r="A2547" s="1" t="s">
        <v>675</v>
      </c>
      <c r="B2547" s="1" t="s">
        <v>2046</v>
      </c>
      <c r="C2547" s="1">
        <v>607950.0</v>
      </c>
      <c r="D2547" s="2">
        <v>46065.44378472222</v>
      </c>
      <c r="E2547" s="1" t="s">
        <v>4186</v>
      </c>
      <c r="F2547" s="1" t="b">
        <v>0</v>
      </c>
    </row>
    <row r="2548">
      <c r="A2548" s="1" t="s">
        <v>675</v>
      </c>
      <c r="B2548" s="1" t="s">
        <v>2042</v>
      </c>
      <c r="C2548" s="1" t="s">
        <v>678</v>
      </c>
      <c r="D2548" s="2">
        <v>46065.44625</v>
      </c>
      <c r="E2548" s="1" t="s">
        <v>4187</v>
      </c>
      <c r="F2548" s="1" t="b">
        <v>0</v>
      </c>
    </row>
    <row r="2549">
      <c r="A2549" s="1" t="s">
        <v>675</v>
      </c>
      <c r="B2549" s="1" t="s">
        <v>2046</v>
      </c>
      <c r="C2549" s="1">
        <v>574085.0</v>
      </c>
      <c r="D2549" s="2">
        <v>46065.44795138889</v>
      </c>
      <c r="E2549" s="1" t="s">
        <v>4188</v>
      </c>
      <c r="F2549" s="1" t="b">
        <v>1</v>
      </c>
    </row>
    <row r="2550">
      <c r="A2550" s="1" t="s">
        <v>675</v>
      </c>
      <c r="B2550" s="1" t="s">
        <v>2046</v>
      </c>
      <c r="C2550" s="1">
        <v>607950.0</v>
      </c>
      <c r="D2550" s="2">
        <v>46065.44899305556</v>
      </c>
      <c r="E2550" s="1" t="s">
        <v>4189</v>
      </c>
      <c r="F2550" s="1" t="b">
        <v>0</v>
      </c>
    </row>
    <row r="2551">
      <c r="A2551" s="1" t="s">
        <v>675</v>
      </c>
      <c r="B2551" s="1" t="s">
        <v>2042</v>
      </c>
      <c r="C2551" s="1" t="s">
        <v>678</v>
      </c>
      <c r="D2551" s="2">
        <v>46065.45061342593</v>
      </c>
      <c r="E2551" s="1" t="s">
        <v>4190</v>
      </c>
      <c r="F2551" s="1" t="b">
        <v>0</v>
      </c>
    </row>
    <row r="2552">
      <c r="A2552" s="1" t="s">
        <v>675</v>
      </c>
      <c r="B2552" s="1" t="s">
        <v>2046</v>
      </c>
      <c r="C2552" s="1">
        <v>607950.0</v>
      </c>
      <c r="D2552" s="2">
        <v>46065.450740740744</v>
      </c>
      <c r="E2552" s="1" t="s">
        <v>4191</v>
      </c>
      <c r="F2552" s="1" t="b">
        <v>0</v>
      </c>
    </row>
    <row r="2553">
      <c r="A2553" s="1" t="s">
        <v>675</v>
      </c>
      <c r="B2553" s="1" t="s">
        <v>2046</v>
      </c>
      <c r="C2553" s="1">
        <v>607950.0</v>
      </c>
      <c r="D2553" s="2">
        <v>46065.4712037037</v>
      </c>
      <c r="E2553" s="1" t="s">
        <v>2108</v>
      </c>
      <c r="F2553" s="1" t="b">
        <v>0</v>
      </c>
    </row>
    <row r="2554">
      <c r="A2554" s="1" t="s">
        <v>645</v>
      </c>
      <c r="B2554" s="1" t="s">
        <v>2150</v>
      </c>
      <c r="C2554" s="1">
        <v>81559.0</v>
      </c>
      <c r="D2554" s="2">
        <v>46065.44650462963</v>
      </c>
      <c r="E2554" s="1" t="s">
        <v>4192</v>
      </c>
      <c r="F2554" s="1" t="b">
        <v>1</v>
      </c>
    </row>
    <row r="2555">
      <c r="A2555" s="1" t="s">
        <v>645</v>
      </c>
      <c r="B2555" s="1" t="s">
        <v>2042</v>
      </c>
      <c r="C2555" s="1" t="s">
        <v>647</v>
      </c>
      <c r="D2555" s="2">
        <v>46065.56581018519</v>
      </c>
      <c r="E2555" s="1" t="s">
        <v>4193</v>
      </c>
      <c r="F2555" s="1" t="b">
        <v>0</v>
      </c>
    </row>
    <row r="2556">
      <c r="A2556" s="1" t="s">
        <v>671</v>
      </c>
      <c r="B2556" s="1" t="s">
        <v>2042</v>
      </c>
      <c r="C2556" s="1" t="s">
        <v>673</v>
      </c>
      <c r="D2556" s="2">
        <v>46065.45180555555</v>
      </c>
      <c r="E2556" s="1" t="s">
        <v>4194</v>
      </c>
      <c r="F2556" s="1" t="b">
        <v>0</v>
      </c>
    </row>
    <row r="2557">
      <c r="A2557" s="1" t="s">
        <v>667</v>
      </c>
      <c r="B2557" s="1" t="s">
        <v>2042</v>
      </c>
      <c r="C2557" s="1" t="s">
        <v>669</v>
      </c>
      <c r="D2557" s="2">
        <v>46065.452893518515</v>
      </c>
      <c r="E2557" s="1" t="s">
        <v>4195</v>
      </c>
      <c r="F2557" s="1" t="b">
        <v>0</v>
      </c>
    </row>
    <row r="2558">
      <c r="A2558" s="1" t="s">
        <v>663</v>
      </c>
      <c r="B2558" s="1" t="s">
        <v>2042</v>
      </c>
      <c r="C2558" s="1" t="s">
        <v>665</v>
      </c>
      <c r="D2558" s="2">
        <v>46065.456238425926</v>
      </c>
      <c r="E2558" s="1" t="s">
        <v>4196</v>
      </c>
      <c r="F2558" s="1" t="b">
        <v>0</v>
      </c>
    </row>
    <row r="2559">
      <c r="A2559" s="1" t="s">
        <v>663</v>
      </c>
      <c r="B2559" s="1" t="s">
        <v>2042</v>
      </c>
      <c r="C2559" s="1" t="s">
        <v>665</v>
      </c>
      <c r="D2559" s="2">
        <v>46065.45642361111</v>
      </c>
      <c r="E2559" s="1" t="s">
        <v>4197</v>
      </c>
      <c r="F2559" s="1" t="b">
        <v>0</v>
      </c>
    </row>
    <row r="2560">
      <c r="A2560" s="1" t="s">
        <v>663</v>
      </c>
      <c r="B2560" s="1" t="s">
        <v>2046</v>
      </c>
      <c r="C2560" s="1">
        <v>607950.0</v>
      </c>
      <c r="D2560" s="2">
        <v>46065.45668981481</v>
      </c>
      <c r="E2560" s="1" t="s">
        <v>2752</v>
      </c>
      <c r="F2560" s="1" t="b">
        <v>0</v>
      </c>
    </row>
    <row r="2561">
      <c r="A2561" s="1" t="s">
        <v>663</v>
      </c>
      <c r="B2561" s="1" t="s">
        <v>2046</v>
      </c>
      <c r="C2561" s="1">
        <v>607950.0</v>
      </c>
      <c r="D2561" s="2">
        <v>46065.456875</v>
      </c>
      <c r="E2561" s="1" t="s">
        <v>4198</v>
      </c>
      <c r="F2561" s="1" t="b">
        <v>0</v>
      </c>
    </row>
    <row r="2562">
      <c r="A2562" s="1" t="s">
        <v>663</v>
      </c>
      <c r="B2562" s="1" t="s">
        <v>2042</v>
      </c>
      <c r="C2562" s="1" t="s">
        <v>665</v>
      </c>
      <c r="D2562" s="2">
        <v>46065.45789351852</v>
      </c>
      <c r="E2562" s="1" t="s">
        <v>4199</v>
      </c>
      <c r="F2562" s="1" t="b">
        <v>0</v>
      </c>
    </row>
    <row r="2563">
      <c r="A2563" s="1" t="s">
        <v>663</v>
      </c>
      <c r="B2563" s="1" t="s">
        <v>2046</v>
      </c>
      <c r="C2563" s="1">
        <v>607950.0</v>
      </c>
      <c r="D2563" s="2">
        <v>46065.45995370371</v>
      </c>
      <c r="E2563" s="1" t="s">
        <v>4200</v>
      </c>
      <c r="F2563" s="1" t="b">
        <v>0</v>
      </c>
    </row>
    <row r="2564">
      <c r="A2564" s="1" t="s">
        <v>663</v>
      </c>
      <c r="B2564" s="1" t="s">
        <v>2042</v>
      </c>
      <c r="C2564" s="1" t="s">
        <v>665</v>
      </c>
      <c r="D2564" s="2">
        <v>46065.460543981484</v>
      </c>
      <c r="E2564" s="1" t="s">
        <v>4201</v>
      </c>
      <c r="F2564" s="1" t="b">
        <v>0</v>
      </c>
    </row>
    <row r="2565">
      <c r="A2565" s="1" t="s">
        <v>663</v>
      </c>
      <c r="B2565" s="1" t="s">
        <v>2046</v>
      </c>
      <c r="C2565" s="1">
        <v>574085.0</v>
      </c>
      <c r="D2565" s="2">
        <v>46065.46863425926</v>
      </c>
      <c r="E2565" s="1" t="s">
        <v>4202</v>
      </c>
      <c r="F2565" s="1" t="b">
        <v>0</v>
      </c>
    </row>
    <row r="2566">
      <c r="A2566" s="1" t="s">
        <v>663</v>
      </c>
      <c r="B2566" s="1" t="s">
        <v>2042</v>
      </c>
      <c r="C2566" s="1" t="s">
        <v>665</v>
      </c>
      <c r="D2566" s="2">
        <v>46065.47152777778</v>
      </c>
      <c r="E2566" s="1" t="s">
        <v>4203</v>
      </c>
      <c r="F2566" s="1" t="b">
        <v>0</v>
      </c>
    </row>
    <row r="2567">
      <c r="A2567" s="1" t="s">
        <v>663</v>
      </c>
      <c r="B2567" s="1" t="s">
        <v>2046</v>
      </c>
      <c r="C2567" s="1">
        <v>574085.0</v>
      </c>
      <c r="D2567" s="2">
        <v>46065.47194444444</v>
      </c>
      <c r="E2567" s="1" t="s">
        <v>4204</v>
      </c>
      <c r="F2567" s="1" t="b">
        <v>0</v>
      </c>
    </row>
    <row r="2568">
      <c r="A2568" s="1" t="s">
        <v>663</v>
      </c>
      <c r="B2568" s="1" t="s">
        <v>2042</v>
      </c>
      <c r="C2568" s="1" t="s">
        <v>665</v>
      </c>
      <c r="D2568" s="2">
        <v>46065.47238425926</v>
      </c>
      <c r="F2568" s="1" t="b">
        <v>0</v>
      </c>
    </row>
    <row r="2569">
      <c r="A2569" s="1" t="s">
        <v>663</v>
      </c>
      <c r="B2569" s="1" t="s">
        <v>2046</v>
      </c>
      <c r="C2569" s="1">
        <v>574085.0</v>
      </c>
      <c r="D2569" s="2">
        <v>46065.473275462966</v>
      </c>
      <c r="E2569" s="1" t="s">
        <v>4205</v>
      </c>
      <c r="F2569" s="1" t="b">
        <v>0</v>
      </c>
    </row>
    <row r="2570">
      <c r="A2570" s="1" t="s">
        <v>663</v>
      </c>
      <c r="B2570" s="1" t="s">
        <v>2042</v>
      </c>
      <c r="C2570" s="1" t="s">
        <v>665</v>
      </c>
      <c r="D2570" s="2">
        <v>46065.473657407405</v>
      </c>
      <c r="E2570" s="1" t="s">
        <v>4206</v>
      </c>
      <c r="F2570" s="1" t="b">
        <v>0</v>
      </c>
    </row>
    <row r="2571">
      <c r="A2571" s="1" t="s">
        <v>663</v>
      </c>
      <c r="B2571" s="1" t="s">
        <v>2046</v>
      </c>
      <c r="C2571" s="1">
        <v>574085.0</v>
      </c>
      <c r="D2571" s="2">
        <v>46065.4809837963</v>
      </c>
      <c r="E2571" s="1" t="s">
        <v>4207</v>
      </c>
      <c r="F2571" s="1" t="b">
        <v>0</v>
      </c>
    </row>
    <row r="2572">
      <c r="A2572" s="1" t="s">
        <v>663</v>
      </c>
      <c r="B2572" s="1" t="s">
        <v>2042</v>
      </c>
      <c r="C2572" s="1" t="s">
        <v>665</v>
      </c>
      <c r="D2572" s="2">
        <v>46065.48326388889</v>
      </c>
      <c r="E2572" s="1" t="s">
        <v>4208</v>
      </c>
      <c r="F2572" s="1" t="b">
        <v>0</v>
      </c>
    </row>
    <row r="2573">
      <c r="A2573" s="1" t="s">
        <v>663</v>
      </c>
      <c r="B2573" s="1" t="s">
        <v>2046</v>
      </c>
      <c r="C2573" s="1">
        <v>574085.0</v>
      </c>
      <c r="D2573" s="2">
        <v>46065.487395833334</v>
      </c>
      <c r="F2573" s="1" t="b">
        <v>1</v>
      </c>
    </row>
    <row r="2574">
      <c r="A2574" s="1" t="s">
        <v>663</v>
      </c>
      <c r="B2574" s="1" t="s">
        <v>2150</v>
      </c>
      <c r="C2574" s="1" t="s">
        <v>2151</v>
      </c>
      <c r="D2574" s="2">
        <v>46065.48752314815</v>
      </c>
      <c r="F2574" s="1" t="b">
        <v>1</v>
      </c>
    </row>
    <row r="2575">
      <c r="A2575" s="1" t="s">
        <v>663</v>
      </c>
      <c r="B2575" s="1" t="s">
        <v>2046</v>
      </c>
      <c r="C2575" s="1">
        <v>574085.0</v>
      </c>
      <c r="D2575" s="2">
        <v>46065.48883101852</v>
      </c>
      <c r="E2575" s="1" t="s">
        <v>4209</v>
      </c>
      <c r="F2575" s="1" t="b">
        <v>0</v>
      </c>
    </row>
    <row r="2576">
      <c r="A2576" s="1" t="s">
        <v>663</v>
      </c>
      <c r="B2576" s="1" t="s">
        <v>2042</v>
      </c>
      <c r="C2576" s="1" t="s">
        <v>665</v>
      </c>
      <c r="D2576" s="2">
        <v>46065.49215277778</v>
      </c>
      <c r="E2576" s="1" t="s">
        <v>4210</v>
      </c>
      <c r="F2576" s="1" t="b">
        <v>0</v>
      </c>
    </row>
    <row r="2577">
      <c r="A2577" s="1" t="s">
        <v>663</v>
      </c>
      <c r="B2577" s="1" t="s">
        <v>2046</v>
      </c>
      <c r="C2577" s="1">
        <v>574085.0</v>
      </c>
      <c r="D2577" s="2">
        <v>46065.49287037037</v>
      </c>
      <c r="E2577" s="1" t="s">
        <v>4211</v>
      </c>
      <c r="F2577" s="1" t="b">
        <v>0</v>
      </c>
    </row>
    <row r="2578">
      <c r="A2578" s="1" t="s">
        <v>663</v>
      </c>
      <c r="B2578" s="1" t="s">
        <v>2046</v>
      </c>
      <c r="C2578" s="1">
        <v>574085.0</v>
      </c>
      <c r="D2578" s="2">
        <v>46065.4940625</v>
      </c>
      <c r="E2578" s="1" t="s">
        <v>4212</v>
      </c>
      <c r="F2578" s="1" t="b">
        <v>0</v>
      </c>
    </row>
    <row r="2579">
      <c r="A2579" s="1" t="s">
        <v>663</v>
      </c>
      <c r="B2579" s="1" t="s">
        <v>2042</v>
      </c>
      <c r="C2579" s="1" t="s">
        <v>665</v>
      </c>
      <c r="D2579" s="2">
        <v>46065.49638888889</v>
      </c>
      <c r="E2579" s="1" t="s">
        <v>2383</v>
      </c>
      <c r="F2579" s="1" t="b">
        <v>0</v>
      </c>
    </row>
    <row r="2580">
      <c r="A2580" s="1" t="s">
        <v>663</v>
      </c>
      <c r="B2580" s="1" t="s">
        <v>2046</v>
      </c>
      <c r="C2580" s="1">
        <v>607950.0</v>
      </c>
      <c r="D2580" s="2">
        <v>46065.506423611114</v>
      </c>
      <c r="E2580" s="1" t="s">
        <v>4213</v>
      </c>
      <c r="F2580" s="1" t="b">
        <v>0</v>
      </c>
    </row>
    <row r="2581">
      <c r="A2581" s="1" t="s">
        <v>663</v>
      </c>
      <c r="B2581" s="1" t="s">
        <v>2042</v>
      </c>
      <c r="C2581" s="1" t="s">
        <v>665</v>
      </c>
      <c r="D2581" s="2">
        <v>46065.516689814816</v>
      </c>
      <c r="E2581" s="1" t="s">
        <v>3563</v>
      </c>
      <c r="F2581" s="1" t="b">
        <v>0</v>
      </c>
    </row>
    <row r="2582">
      <c r="A2582" s="1" t="s">
        <v>661</v>
      </c>
      <c r="B2582" s="1" t="s">
        <v>2042</v>
      </c>
      <c r="C2582" s="1" t="s">
        <v>200</v>
      </c>
      <c r="D2582" s="2">
        <v>46065.46396990741</v>
      </c>
      <c r="E2582" s="1" t="s">
        <v>4214</v>
      </c>
      <c r="F2582" s="1" t="b">
        <v>0</v>
      </c>
    </row>
    <row r="2583">
      <c r="A2583" s="1" t="s">
        <v>656</v>
      </c>
      <c r="B2583" s="1" t="s">
        <v>2042</v>
      </c>
      <c r="C2583" s="1" t="s">
        <v>659</v>
      </c>
      <c r="D2583" s="2">
        <v>46065.4643287037</v>
      </c>
      <c r="E2583" s="1" t="s">
        <v>2133</v>
      </c>
      <c r="F2583" s="1" t="b">
        <v>0</v>
      </c>
    </row>
    <row r="2584">
      <c r="A2584" s="1" t="s">
        <v>656</v>
      </c>
      <c r="B2584" s="1" t="s">
        <v>2042</v>
      </c>
      <c r="C2584" s="1" t="s">
        <v>659</v>
      </c>
      <c r="D2584" s="2">
        <v>46065.46469907407</v>
      </c>
      <c r="E2584" s="1" t="s">
        <v>4215</v>
      </c>
      <c r="F2584" s="1" t="b">
        <v>0</v>
      </c>
    </row>
    <row r="2585">
      <c r="A2585" s="1" t="s">
        <v>656</v>
      </c>
      <c r="B2585" s="1" t="s">
        <v>2042</v>
      </c>
      <c r="C2585" s="1" t="s">
        <v>659</v>
      </c>
      <c r="D2585" s="2">
        <v>46065.46528935185</v>
      </c>
      <c r="E2585" s="1" t="s">
        <v>4216</v>
      </c>
      <c r="F2585" s="1" t="b">
        <v>0</v>
      </c>
    </row>
    <row r="2586">
      <c r="A2586" s="1" t="s">
        <v>656</v>
      </c>
      <c r="B2586" s="1" t="s">
        <v>2042</v>
      </c>
      <c r="C2586" s="1" t="s">
        <v>659</v>
      </c>
      <c r="D2586" s="2">
        <v>46065.46591435185</v>
      </c>
      <c r="E2586" s="1" t="s">
        <v>4217</v>
      </c>
      <c r="F2586" s="1" t="b">
        <v>0</v>
      </c>
    </row>
    <row r="2587">
      <c r="A2587" s="1" t="s">
        <v>656</v>
      </c>
      <c r="B2587" s="1" t="s">
        <v>2042</v>
      </c>
      <c r="C2587" s="1" t="s">
        <v>659</v>
      </c>
      <c r="D2587" s="2">
        <v>46065.46608796297</v>
      </c>
      <c r="F2587" s="1" t="b">
        <v>0</v>
      </c>
    </row>
    <row r="2588">
      <c r="A2588" s="1" t="s">
        <v>656</v>
      </c>
      <c r="B2588" s="1" t="s">
        <v>2042</v>
      </c>
      <c r="C2588" s="1" t="s">
        <v>659</v>
      </c>
      <c r="D2588" s="2">
        <v>46065.467453703706</v>
      </c>
      <c r="E2588" s="1" t="s">
        <v>4218</v>
      </c>
      <c r="F2588" s="1" t="b">
        <v>0</v>
      </c>
    </row>
    <row r="2589">
      <c r="A2589" s="1" t="s">
        <v>656</v>
      </c>
      <c r="B2589" s="1" t="s">
        <v>2046</v>
      </c>
      <c r="C2589" s="1">
        <v>607950.0</v>
      </c>
      <c r="D2589" s="2">
        <v>46065.46878472222</v>
      </c>
      <c r="E2589" s="1" t="s">
        <v>2752</v>
      </c>
      <c r="F2589" s="1" t="b">
        <v>0</v>
      </c>
    </row>
    <row r="2590">
      <c r="A2590" s="1" t="s">
        <v>656</v>
      </c>
      <c r="B2590" s="1" t="s">
        <v>2042</v>
      </c>
      <c r="C2590" s="1" t="s">
        <v>659</v>
      </c>
      <c r="D2590" s="2">
        <v>46065.46944444445</v>
      </c>
      <c r="E2590" s="1" t="s">
        <v>3062</v>
      </c>
      <c r="F2590" s="1" t="b">
        <v>0</v>
      </c>
    </row>
    <row r="2591">
      <c r="A2591" s="1" t="s">
        <v>656</v>
      </c>
      <c r="B2591" s="1" t="s">
        <v>2046</v>
      </c>
      <c r="C2591" s="1">
        <v>574085.0</v>
      </c>
      <c r="D2591" s="2">
        <v>46065.4715625</v>
      </c>
      <c r="E2591" s="1" t="s">
        <v>4219</v>
      </c>
      <c r="F2591" s="1" t="b">
        <v>1</v>
      </c>
    </row>
    <row r="2592">
      <c r="A2592" s="1" t="s">
        <v>656</v>
      </c>
      <c r="B2592" s="1" t="s">
        <v>2046</v>
      </c>
      <c r="C2592" s="1">
        <v>607950.0</v>
      </c>
      <c r="D2592" s="2">
        <v>46065.47204861111</v>
      </c>
      <c r="E2592" s="1" t="s">
        <v>4220</v>
      </c>
      <c r="F2592" s="1" t="b">
        <v>0</v>
      </c>
    </row>
    <row r="2593">
      <c r="A2593" s="1" t="s">
        <v>656</v>
      </c>
      <c r="B2593" s="1" t="s">
        <v>2042</v>
      </c>
      <c r="C2593" s="1" t="s">
        <v>659</v>
      </c>
      <c r="D2593" s="2">
        <v>46065.47511574074</v>
      </c>
      <c r="E2593" s="1" t="s">
        <v>4221</v>
      </c>
      <c r="F2593" s="1" t="b">
        <v>0</v>
      </c>
    </row>
    <row r="2594">
      <c r="A2594" s="1" t="s">
        <v>656</v>
      </c>
      <c r="B2594" s="1" t="s">
        <v>2042</v>
      </c>
      <c r="C2594" s="1" t="s">
        <v>659</v>
      </c>
      <c r="D2594" s="2">
        <v>46065.47553240741</v>
      </c>
      <c r="E2594" s="1" t="s">
        <v>4222</v>
      </c>
      <c r="F2594" s="1" t="b">
        <v>0</v>
      </c>
    </row>
    <row r="2595">
      <c r="A2595" s="1" t="s">
        <v>656</v>
      </c>
      <c r="B2595" s="1" t="s">
        <v>2042</v>
      </c>
      <c r="C2595" s="1" t="s">
        <v>659</v>
      </c>
      <c r="D2595" s="2">
        <v>46065.475902777776</v>
      </c>
      <c r="E2595" s="1" t="s">
        <v>4223</v>
      </c>
      <c r="F2595" s="1" t="b">
        <v>0</v>
      </c>
    </row>
    <row r="2596">
      <c r="A2596" s="1" t="s">
        <v>656</v>
      </c>
      <c r="B2596" s="1" t="s">
        <v>2046</v>
      </c>
      <c r="C2596" s="1">
        <v>607950.0</v>
      </c>
      <c r="D2596" s="2">
        <v>46065.47659722222</v>
      </c>
      <c r="E2596" s="1" t="s">
        <v>4224</v>
      </c>
      <c r="F2596" s="1" t="b">
        <v>0</v>
      </c>
    </row>
    <row r="2597">
      <c r="A2597" s="1" t="s">
        <v>656</v>
      </c>
      <c r="B2597" s="1" t="s">
        <v>2042</v>
      </c>
      <c r="C2597" s="1" t="s">
        <v>659</v>
      </c>
      <c r="D2597" s="2">
        <v>46065.47678240741</v>
      </c>
      <c r="E2597" s="1" t="s">
        <v>4225</v>
      </c>
      <c r="F2597" s="1" t="b">
        <v>0</v>
      </c>
    </row>
    <row r="2598">
      <c r="A2598" s="1" t="s">
        <v>656</v>
      </c>
      <c r="B2598" s="1" t="s">
        <v>2046</v>
      </c>
      <c r="C2598" s="1">
        <v>607950.0</v>
      </c>
      <c r="D2598" s="2">
        <v>46065.5687962963</v>
      </c>
      <c r="E2598" s="1" t="s">
        <v>4226</v>
      </c>
      <c r="F2598" s="1" t="b">
        <v>0</v>
      </c>
    </row>
    <row r="2599">
      <c r="A2599" s="1" t="s">
        <v>656</v>
      </c>
      <c r="B2599" s="1" t="s">
        <v>2042</v>
      </c>
      <c r="C2599" s="1" t="s">
        <v>659</v>
      </c>
      <c r="D2599" s="2">
        <v>46065.577581018515</v>
      </c>
      <c r="E2599" s="1" t="s">
        <v>4227</v>
      </c>
      <c r="F2599" s="1" t="b">
        <v>0</v>
      </c>
    </row>
    <row r="2600">
      <c r="A2600" s="1" t="s">
        <v>656</v>
      </c>
      <c r="B2600" s="1" t="s">
        <v>2046</v>
      </c>
      <c r="C2600" s="1">
        <v>607950.0</v>
      </c>
      <c r="D2600" s="2">
        <v>46065.57864583333</v>
      </c>
      <c r="E2600" s="1" t="s">
        <v>4228</v>
      </c>
      <c r="F2600" s="1" t="b">
        <v>0</v>
      </c>
    </row>
    <row r="2601">
      <c r="A2601" s="1" t="s">
        <v>656</v>
      </c>
      <c r="B2601" s="1" t="s">
        <v>2046</v>
      </c>
      <c r="C2601" s="1">
        <v>607950.0</v>
      </c>
      <c r="D2601" s="2">
        <v>46065.75372685185</v>
      </c>
      <c r="E2601" s="1" t="s">
        <v>2754</v>
      </c>
      <c r="F2601" s="1" t="b">
        <v>0</v>
      </c>
    </row>
    <row r="2602">
      <c r="A2602" s="1" t="s">
        <v>656</v>
      </c>
      <c r="B2602" s="1" t="s">
        <v>2046</v>
      </c>
      <c r="C2602" s="1">
        <v>607950.0</v>
      </c>
      <c r="D2602" s="2">
        <v>46066.4071875</v>
      </c>
      <c r="E2602" s="1" t="s">
        <v>4229</v>
      </c>
      <c r="F2602" s="1" t="b">
        <v>0</v>
      </c>
    </row>
    <row r="2603">
      <c r="A2603" s="1" t="s">
        <v>653</v>
      </c>
      <c r="B2603" s="1" t="s">
        <v>2042</v>
      </c>
      <c r="C2603" s="1" t="s">
        <v>200</v>
      </c>
      <c r="D2603" s="2">
        <v>46065.482083333336</v>
      </c>
      <c r="E2603" s="1" t="s">
        <v>4230</v>
      </c>
      <c r="F2603" s="1" t="b">
        <v>0</v>
      </c>
    </row>
    <row r="2604">
      <c r="A2604" s="1" t="s">
        <v>653</v>
      </c>
      <c r="B2604" s="1" t="s">
        <v>2042</v>
      </c>
      <c r="C2604" s="1" t="s">
        <v>200</v>
      </c>
      <c r="D2604" s="2">
        <v>46065.48650462963</v>
      </c>
      <c r="E2604" s="1" t="s">
        <v>4231</v>
      </c>
      <c r="F2604" s="1" t="b">
        <v>0</v>
      </c>
    </row>
    <row r="2605">
      <c r="A2605" s="1" t="s">
        <v>653</v>
      </c>
      <c r="B2605" s="1" t="s">
        <v>2042</v>
      </c>
      <c r="C2605" s="1" t="s">
        <v>200</v>
      </c>
      <c r="D2605" s="2">
        <v>46065.48710648148</v>
      </c>
      <c r="E2605" s="1" t="s">
        <v>3850</v>
      </c>
      <c r="F2605" s="1" t="b">
        <v>0</v>
      </c>
    </row>
    <row r="2606">
      <c r="A2606" s="1" t="s">
        <v>653</v>
      </c>
      <c r="B2606" s="1" t="s">
        <v>2042</v>
      </c>
      <c r="C2606" s="1" t="s">
        <v>200</v>
      </c>
      <c r="D2606" s="2">
        <v>46065.6772337963</v>
      </c>
      <c r="E2606" s="1" t="s">
        <v>2070</v>
      </c>
      <c r="F2606" s="1" t="b">
        <v>0</v>
      </c>
    </row>
    <row r="2607">
      <c r="A2607" s="1" t="s">
        <v>653</v>
      </c>
      <c r="B2607" s="1" t="s">
        <v>2046</v>
      </c>
      <c r="C2607" s="1">
        <v>607950.0</v>
      </c>
      <c r="D2607" s="2">
        <v>46065.677407407406</v>
      </c>
      <c r="E2607" s="1" t="s">
        <v>2752</v>
      </c>
      <c r="F2607" s="1" t="b">
        <v>0</v>
      </c>
    </row>
    <row r="2608">
      <c r="A2608" s="1" t="s">
        <v>653</v>
      </c>
      <c r="B2608" s="1" t="s">
        <v>2042</v>
      </c>
      <c r="C2608" s="1" t="s">
        <v>200</v>
      </c>
      <c r="D2608" s="2">
        <v>46065.67802083334</v>
      </c>
      <c r="E2608" s="1" t="s">
        <v>4232</v>
      </c>
      <c r="F2608" s="1" t="b">
        <v>0</v>
      </c>
    </row>
    <row r="2609">
      <c r="A2609" s="1" t="s">
        <v>653</v>
      </c>
      <c r="B2609" s="1" t="s">
        <v>2042</v>
      </c>
      <c r="C2609" s="1" t="s">
        <v>200</v>
      </c>
      <c r="D2609" s="2">
        <v>46065.67805555555</v>
      </c>
      <c r="E2609" s="1" t="s">
        <v>4233</v>
      </c>
      <c r="F2609" s="1" t="b">
        <v>0</v>
      </c>
    </row>
    <row r="2610">
      <c r="A2610" s="1" t="s">
        <v>653</v>
      </c>
      <c r="B2610" s="1" t="s">
        <v>2046</v>
      </c>
      <c r="C2610" s="1">
        <v>574085.0</v>
      </c>
      <c r="D2610" s="2">
        <v>46065.685590277775</v>
      </c>
      <c r="E2610" s="1" t="s">
        <v>4234</v>
      </c>
      <c r="F2610" s="1" t="b">
        <v>1</v>
      </c>
    </row>
    <row r="2611">
      <c r="A2611" s="1" t="s">
        <v>653</v>
      </c>
      <c r="B2611" s="1" t="s">
        <v>2046</v>
      </c>
      <c r="C2611" s="1">
        <v>607950.0</v>
      </c>
      <c r="D2611" s="2">
        <v>46065.6908912037</v>
      </c>
      <c r="E2611" s="1" t="s">
        <v>4235</v>
      </c>
      <c r="F2611" s="1" t="b">
        <v>0</v>
      </c>
    </row>
    <row r="2612">
      <c r="A2612" s="1" t="s">
        <v>653</v>
      </c>
      <c r="B2612" s="1" t="s">
        <v>2046</v>
      </c>
      <c r="C2612" s="1">
        <v>607950.0</v>
      </c>
      <c r="D2612" s="2">
        <v>46065.75271990741</v>
      </c>
      <c r="E2612" s="1" t="s">
        <v>4236</v>
      </c>
      <c r="F2612" s="1" t="b">
        <v>0</v>
      </c>
    </row>
    <row r="2613">
      <c r="A2613" s="1" t="s">
        <v>653</v>
      </c>
      <c r="B2613" s="1" t="s">
        <v>2046</v>
      </c>
      <c r="C2613" s="1">
        <v>607950.0</v>
      </c>
      <c r="D2613" s="2">
        <v>46065.75712962963</v>
      </c>
      <c r="E2613" s="1" t="s">
        <v>3741</v>
      </c>
      <c r="F2613" s="1" t="b">
        <v>0</v>
      </c>
    </row>
    <row r="2614">
      <c r="A2614" s="1" t="s">
        <v>649</v>
      </c>
      <c r="B2614" s="1" t="s">
        <v>2042</v>
      </c>
      <c r="C2614" s="1" t="s">
        <v>651</v>
      </c>
      <c r="D2614" s="2">
        <v>46065.563796296294</v>
      </c>
      <c r="E2614" s="1" t="s">
        <v>4237</v>
      </c>
      <c r="F2614" s="1" t="b">
        <v>0</v>
      </c>
    </row>
    <row r="2615">
      <c r="A2615" s="1" t="s">
        <v>641</v>
      </c>
      <c r="B2615" s="1" t="s">
        <v>2042</v>
      </c>
      <c r="C2615" s="1" t="s">
        <v>643</v>
      </c>
      <c r="D2615" s="2">
        <v>46065.59951388889</v>
      </c>
      <c r="E2615" s="1" t="s">
        <v>2073</v>
      </c>
      <c r="F2615" s="1" t="b">
        <v>0</v>
      </c>
    </row>
    <row r="2616">
      <c r="A2616" s="1" t="s">
        <v>641</v>
      </c>
      <c r="B2616" s="1" t="s">
        <v>2042</v>
      </c>
      <c r="C2616" s="1" t="s">
        <v>643</v>
      </c>
      <c r="D2616" s="2">
        <v>46065.599756944444</v>
      </c>
      <c r="E2616" s="1" t="s">
        <v>4238</v>
      </c>
      <c r="F2616" s="1" t="b">
        <v>0</v>
      </c>
    </row>
    <row r="2617">
      <c r="A2617" s="1" t="s">
        <v>641</v>
      </c>
      <c r="B2617" s="1" t="s">
        <v>2042</v>
      </c>
      <c r="C2617" s="1" t="s">
        <v>643</v>
      </c>
      <c r="D2617" s="2">
        <v>46065.59986111111</v>
      </c>
      <c r="E2617" s="1" t="s">
        <v>4239</v>
      </c>
      <c r="F2617" s="1" t="b">
        <v>0</v>
      </c>
    </row>
    <row r="2618">
      <c r="A2618" s="1" t="s">
        <v>637</v>
      </c>
      <c r="B2618" s="1" t="s">
        <v>2042</v>
      </c>
      <c r="C2618" s="1" t="s">
        <v>639</v>
      </c>
      <c r="D2618" s="2">
        <v>46065.613020833334</v>
      </c>
      <c r="E2618" s="1" t="s">
        <v>4240</v>
      </c>
      <c r="F2618" s="1" t="b">
        <v>0</v>
      </c>
    </row>
    <row r="2619">
      <c r="A2619" s="1" t="s">
        <v>633</v>
      </c>
      <c r="B2619" s="1" t="s">
        <v>2042</v>
      </c>
      <c r="C2619" s="1" t="s">
        <v>635</v>
      </c>
      <c r="D2619" s="2">
        <v>46065.61728009259</v>
      </c>
      <c r="E2619" s="1" t="s">
        <v>4241</v>
      </c>
      <c r="F2619" s="1" t="b">
        <v>0</v>
      </c>
    </row>
    <row r="2620">
      <c r="A2620" s="1" t="s">
        <v>629</v>
      </c>
      <c r="B2620" s="1" t="s">
        <v>2042</v>
      </c>
      <c r="C2620" s="1" t="s">
        <v>631</v>
      </c>
      <c r="D2620" s="2">
        <v>46065.62054398148</v>
      </c>
      <c r="E2620" s="1" t="s">
        <v>4242</v>
      </c>
      <c r="F2620" s="1" t="b">
        <v>0</v>
      </c>
    </row>
    <row r="2621">
      <c r="A2621" s="1" t="s">
        <v>627</v>
      </c>
      <c r="B2621" s="1" t="s">
        <v>2042</v>
      </c>
      <c r="C2621" s="1" t="s">
        <v>625</v>
      </c>
      <c r="D2621" s="2">
        <v>46065.633425925924</v>
      </c>
      <c r="E2621" s="1" t="s">
        <v>4243</v>
      </c>
      <c r="F2621" s="1" t="b">
        <v>0</v>
      </c>
    </row>
    <row r="2622">
      <c r="A2622" s="1" t="s">
        <v>627</v>
      </c>
      <c r="B2622" s="1" t="s">
        <v>2042</v>
      </c>
      <c r="C2622" s="1" t="s">
        <v>625</v>
      </c>
      <c r="D2622" s="2">
        <v>46065.63350694445</v>
      </c>
      <c r="E2622" s="1" t="s">
        <v>4244</v>
      </c>
      <c r="F2622" s="1" t="b">
        <v>0</v>
      </c>
    </row>
    <row r="2623">
      <c r="A2623" s="1" t="s">
        <v>627</v>
      </c>
      <c r="B2623" s="1" t="s">
        <v>2042</v>
      </c>
      <c r="C2623" s="1" t="s">
        <v>625</v>
      </c>
      <c r="D2623" s="2">
        <v>46065.633726851855</v>
      </c>
      <c r="E2623" s="1" t="s">
        <v>4245</v>
      </c>
      <c r="F2623" s="1" t="b">
        <v>0</v>
      </c>
    </row>
    <row r="2624">
      <c r="A2624" s="1" t="s">
        <v>622</v>
      </c>
      <c r="B2624" s="1" t="s">
        <v>2042</v>
      </c>
      <c r="C2624" s="1" t="s">
        <v>625</v>
      </c>
      <c r="D2624" s="2">
        <v>46065.634467592594</v>
      </c>
      <c r="E2624" s="1" t="s">
        <v>2292</v>
      </c>
      <c r="F2624" s="1" t="b">
        <v>0</v>
      </c>
    </row>
    <row r="2625">
      <c r="A2625" s="1" t="s">
        <v>622</v>
      </c>
      <c r="B2625" s="1" t="s">
        <v>2046</v>
      </c>
      <c r="C2625" s="1">
        <v>607950.0</v>
      </c>
      <c r="D2625" s="2">
        <v>46065.63469907407</v>
      </c>
      <c r="E2625" s="1" t="s">
        <v>2752</v>
      </c>
      <c r="F2625" s="1" t="b">
        <v>0</v>
      </c>
    </row>
    <row r="2626">
      <c r="A2626" s="1" t="s">
        <v>622</v>
      </c>
      <c r="B2626" s="1" t="s">
        <v>2046</v>
      </c>
      <c r="C2626" s="1">
        <v>607950.0</v>
      </c>
      <c r="D2626" s="2">
        <v>46065.63554398148</v>
      </c>
      <c r="E2626" s="1" t="s">
        <v>4246</v>
      </c>
      <c r="F2626" s="1" t="b">
        <v>0</v>
      </c>
    </row>
    <row r="2627">
      <c r="A2627" s="1" t="s">
        <v>622</v>
      </c>
      <c r="B2627" s="1" t="s">
        <v>2042</v>
      </c>
      <c r="C2627" s="1" t="s">
        <v>625</v>
      </c>
      <c r="D2627" s="2">
        <v>46065.636712962965</v>
      </c>
      <c r="E2627" s="1" t="s">
        <v>4247</v>
      </c>
      <c r="F2627" s="1" t="b">
        <v>0</v>
      </c>
    </row>
    <row r="2628">
      <c r="A2628" s="1" t="s">
        <v>622</v>
      </c>
      <c r="B2628" s="1" t="s">
        <v>2042</v>
      </c>
      <c r="C2628" s="1" t="s">
        <v>625</v>
      </c>
      <c r="D2628" s="2">
        <v>46065.63684027778</v>
      </c>
      <c r="E2628" s="1" t="s">
        <v>4248</v>
      </c>
      <c r="F2628" s="1" t="b">
        <v>0</v>
      </c>
    </row>
    <row r="2629">
      <c r="A2629" s="1" t="s">
        <v>622</v>
      </c>
      <c r="B2629" s="1" t="s">
        <v>2046</v>
      </c>
      <c r="C2629" s="1">
        <v>607950.0</v>
      </c>
      <c r="D2629" s="2">
        <v>46065.63890046296</v>
      </c>
      <c r="E2629" s="1" t="s">
        <v>4249</v>
      </c>
      <c r="F2629" s="1" t="b">
        <v>0</v>
      </c>
    </row>
    <row r="2630">
      <c r="A2630" s="1" t="s">
        <v>622</v>
      </c>
      <c r="B2630" s="1" t="s">
        <v>2042</v>
      </c>
      <c r="C2630" s="1" t="s">
        <v>625</v>
      </c>
      <c r="D2630" s="2">
        <v>46065.64025462963</v>
      </c>
      <c r="F2630" s="1" t="b">
        <v>0</v>
      </c>
    </row>
    <row r="2631">
      <c r="A2631" s="1" t="s">
        <v>622</v>
      </c>
      <c r="B2631" s="1" t="s">
        <v>2042</v>
      </c>
      <c r="C2631" s="1" t="s">
        <v>625</v>
      </c>
      <c r="D2631" s="2">
        <v>46065.64034722222</v>
      </c>
      <c r="E2631" s="1" t="s">
        <v>4250</v>
      </c>
      <c r="F2631" s="1" t="b">
        <v>0</v>
      </c>
    </row>
    <row r="2632">
      <c r="A2632" s="1" t="s">
        <v>622</v>
      </c>
      <c r="B2632" s="1" t="s">
        <v>2046</v>
      </c>
      <c r="C2632" s="1">
        <v>607950.0</v>
      </c>
      <c r="D2632" s="2">
        <v>46065.64564814815</v>
      </c>
      <c r="E2632" s="1" t="s">
        <v>4251</v>
      </c>
      <c r="F2632" s="1" t="b">
        <v>0</v>
      </c>
    </row>
    <row r="2633">
      <c r="A2633" s="1" t="s">
        <v>622</v>
      </c>
      <c r="B2633" s="1" t="s">
        <v>2042</v>
      </c>
      <c r="C2633" s="1" t="s">
        <v>625</v>
      </c>
      <c r="D2633" s="2">
        <v>46065.646157407406</v>
      </c>
      <c r="E2633" s="1" t="s">
        <v>4252</v>
      </c>
      <c r="F2633" s="1" t="b">
        <v>0</v>
      </c>
    </row>
    <row r="2634">
      <c r="A2634" s="1" t="s">
        <v>622</v>
      </c>
      <c r="B2634" s="1" t="s">
        <v>2042</v>
      </c>
      <c r="C2634" s="1" t="s">
        <v>625</v>
      </c>
      <c r="D2634" s="2">
        <v>46065.6462962963</v>
      </c>
      <c r="E2634" s="1" t="s">
        <v>4253</v>
      </c>
      <c r="F2634" s="1" t="b">
        <v>0</v>
      </c>
    </row>
    <row r="2635">
      <c r="A2635" s="1" t="s">
        <v>622</v>
      </c>
      <c r="B2635" s="1" t="s">
        <v>2046</v>
      </c>
      <c r="C2635" s="1">
        <v>607950.0</v>
      </c>
      <c r="D2635" s="2">
        <v>46065.647152777776</v>
      </c>
      <c r="E2635" s="1" t="s">
        <v>4254</v>
      </c>
      <c r="F2635" s="1" t="b">
        <v>0</v>
      </c>
    </row>
    <row r="2636">
      <c r="A2636" s="1" t="s">
        <v>622</v>
      </c>
      <c r="B2636" s="1" t="s">
        <v>2042</v>
      </c>
      <c r="C2636" s="1" t="s">
        <v>625</v>
      </c>
      <c r="D2636" s="2">
        <v>46065.64907407408</v>
      </c>
      <c r="E2636" s="1" t="s">
        <v>4255</v>
      </c>
      <c r="F2636" s="1" t="b">
        <v>0</v>
      </c>
    </row>
    <row r="2637">
      <c r="A2637" s="1" t="s">
        <v>622</v>
      </c>
      <c r="B2637" s="1" t="s">
        <v>2046</v>
      </c>
      <c r="C2637" s="1">
        <v>607950.0</v>
      </c>
      <c r="D2637" s="2">
        <v>46065.64927083333</v>
      </c>
      <c r="E2637" s="1" t="s">
        <v>4256</v>
      </c>
      <c r="F2637" s="1" t="b">
        <v>0</v>
      </c>
    </row>
    <row r="2638">
      <c r="A2638" s="1" t="s">
        <v>622</v>
      </c>
      <c r="B2638" s="1" t="s">
        <v>2042</v>
      </c>
      <c r="C2638" s="1" t="s">
        <v>625</v>
      </c>
      <c r="D2638" s="2">
        <v>46065.65048611111</v>
      </c>
      <c r="E2638" s="1" t="s">
        <v>4257</v>
      </c>
      <c r="F2638" s="1" t="b">
        <v>0</v>
      </c>
    </row>
    <row r="2639">
      <c r="A2639" s="1" t="s">
        <v>622</v>
      </c>
      <c r="B2639" s="1" t="s">
        <v>2046</v>
      </c>
      <c r="C2639" s="1">
        <v>607950.0</v>
      </c>
      <c r="D2639" s="2">
        <v>46065.651238425926</v>
      </c>
      <c r="E2639" s="1" t="s">
        <v>4258</v>
      </c>
      <c r="F2639" s="1" t="b">
        <v>0</v>
      </c>
    </row>
    <row r="2640">
      <c r="A2640" s="1" t="s">
        <v>622</v>
      </c>
      <c r="B2640" s="1" t="s">
        <v>2042</v>
      </c>
      <c r="C2640" s="1" t="s">
        <v>625</v>
      </c>
      <c r="D2640" s="2">
        <v>46065.65319444444</v>
      </c>
      <c r="E2640" s="1" t="s">
        <v>4259</v>
      </c>
      <c r="F2640" s="1" t="b">
        <v>0</v>
      </c>
    </row>
    <row r="2641">
      <c r="A2641" s="1" t="s">
        <v>622</v>
      </c>
      <c r="B2641" s="1" t="s">
        <v>2046</v>
      </c>
      <c r="C2641" s="1">
        <v>607950.0</v>
      </c>
      <c r="D2641" s="2">
        <v>46065.66143518518</v>
      </c>
      <c r="E2641" s="1" t="s">
        <v>4260</v>
      </c>
      <c r="F2641" s="1" t="b">
        <v>0</v>
      </c>
    </row>
    <row r="2642">
      <c r="A2642" s="1" t="s">
        <v>622</v>
      </c>
      <c r="B2642" s="1" t="s">
        <v>2042</v>
      </c>
      <c r="C2642" s="1" t="s">
        <v>625</v>
      </c>
      <c r="D2642" s="2">
        <v>46065.669074074074</v>
      </c>
      <c r="E2642" s="1" t="s">
        <v>4261</v>
      </c>
      <c r="F2642" s="1" t="b">
        <v>0</v>
      </c>
    </row>
    <row r="2643">
      <c r="A2643" s="1" t="s">
        <v>622</v>
      </c>
      <c r="B2643" s="1" t="s">
        <v>2046</v>
      </c>
      <c r="C2643" s="1">
        <v>607950.0</v>
      </c>
      <c r="D2643" s="2">
        <v>46065.670625</v>
      </c>
      <c r="E2643" s="1" t="s">
        <v>3769</v>
      </c>
      <c r="F2643" s="1" t="b">
        <v>0</v>
      </c>
    </row>
    <row r="2644">
      <c r="A2644" s="1" t="s">
        <v>618</v>
      </c>
      <c r="B2644" s="1" t="s">
        <v>2042</v>
      </c>
      <c r="C2644" s="1" t="s">
        <v>620</v>
      </c>
      <c r="D2644" s="2">
        <v>46065.66233796296</v>
      </c>
      <c r="E2644" s="1" t="s">
        <v>4262</v>
      </c>
      <c r="F2644" s="1" t="b">
        <v>0</v>
      </c>
    </row>
    <row r="2645">
      <c r="A2645" s="1" t="s">
        <v>613</v>
      </c>
      <c r="B2645" s="1" t="s">
        <v>2042</v>
      </c>
      <c r="C2645" s="1" t="s">
        <v>615</v>
      </c>
      <c r="D2645" s="2">
        <v>46065.69032407407</v>
      </c>
      <c r="E2645" s="1" t="s">
        <v>4263</v>
      </c>
      <c r="F2645" s="1" t="b">
        <v>0</v>
      </c>
    </row>
    <row r="2646">
      <c r="A2646" s="1" t="s">
        <v>613</v>
      </c>
      <c r="B2646" s="1" t="s">
        <v>2042</v>
      </c>
      <c r="C2646" s="1" t="s">
        <v>615</v>
      </c>
      <c r="D2646" s="2">
        <v>46065.690775462965</v>
      </c>
      <c r="E2646" s="1" t="s">
        <v>4264</v>
      </c>
      <c r="F2646" s="1" t="b">
        <v>0</v>
      </c>
    </row>
    <row r="2647">
      <c r="A2647" s="1" t="s">
        <v>613</v>
      </c>
      <c r="B2647" s="1" t="s">
        <v>2042</v>
      </c>
      <c r="C2647" s="1" t="s">
        <v>615</v>
      </c>
      <c r="D2647" s="2">
        <v>46065.690983796296</v>
      </c>
      <c r="E2647" s="1" t="s">
        <v>4265</v>
      </c>
      <c r="F2647" s="1" t="b">
        <v>0</v>
      </c>
    </row>
    <row r="2648">
      <c r="A2648" s="1" t="s">
        <v>613</v>
      </c>
      <c r="B2648" s="1" t="s">
        <v>2042</v>
      </c>
      <c r="C2648" s="1" t="s">
        <v>615</v>
      </c>
      <c r="D2648" s="2">
        <v>46065.69180555556</v>
      </c>
      <c r="E2648" s="1" t="s">
        <v>4266</v>
      </c>
      <c r="F2648" s="1" t="b">
        <v>0</v>
      </c>
    </row>
    <row r="2649">
      <c r="A2649" s="1" t="s">
        <v>613</v>
      </c>
      <c r="B2649" s="1" t="s">
        <v>2046</v>
      </c>
      <c r="C2649" s="1">
        <v>594863.0</v>
      </c>
      <c r="D2649" s="2">
        <v>46065.693923611114</v>
      </c>
      <c r="E2649" s="1" t="s">
        <v>4267</v>
      </c>
      <c r="F2649" s="1" t="b">
        <v>0</v>
      </c>
    </row>
    <row r="2650">
      <c r="A2650" s="1" t="s">
        <v>613</v>
      </c>
      <c r="B2650" s="1" t="s">
        <v>2042</v>
      </c>
      <c r="C2650" s="1" t="s">
        <v>615</v>
      </c>
      <c r="D2650" s="2">
        <v>46065.69403935185</v>
      </c>
      <c r="E2650" s="1" t="s">
        <v>4268</v>
      </c>
      <c r="F2650" s="1" t="b">
        <v>0</v>
      </c>
    </row>
    <row r="2651">
      <c r="A2651" s="1" t="s">
        <v>613</v>
      </c>
      <c r="B2651" s="1" t="s">
        <v>2046</v>
      </c>
      <c r="C2651" s="1">
        <v>594863.0</v>
      </c>
      <c r="D2651" s="2">
        <v>46065.69432870371</v>
      </c>
      <c r="E2651" s="1" t="s">
        <v>4269</v>
      </c>
      <c r="F2651" s="1" t="b">
        <v>0</v>
      </c>
    </row>
    <row r="2652">
      <c r="A2652" s="1" t="s">
        <v>613</v>
      </c>
      <c r="B2652" s="1" t="s">
        <v>2046</v>
      </c>
      <c r="C2652" s="1">
        <v>594863.0</v>
      </c>
      <c r="D2652" s="2">
        <v>46065.69596064815</v>
      </c>
      <c r="E2652" s="1" t="s">
        <v>4270</v>
      </c>
      <c r="F2652" s="1" t="b">
        <v>1</v>
      </c>
    </row>
    <row r="2653">
      <c r="A2653" s="1" t="s">
        <v>613</v>
      </c>
      <c r="B2653" s="1" t="s">
        <v>2046</v>
      </c>
      <c r="C2653" s="1">
        <v>594863.0</v>
      </c>
      <c r="D2653" s="2">
        <v>46065.696018518516</v>
      </c>
      <c r="E2653" s="1" t="s">
        <v>4271</v>
      </c>
      <c r="F2653" s="1" t="b">
        <v>1</v>
      </c>
    </row>
    <row r="2654">
      <c r="A2654" s="1" t="s">
        <v>613</v>
      </c>
      <c r="B2654" s="1" t="s">
        <v>2042</v>
      </c>
      <c r="C2654" s="1" t="s">
        <v>615</v>
      </c>
      <c r="D2654" s="2">
        <v>46065.69795138889</v>
      </c>
      <c r="E2654" s="1" t="s">
        <v>4272</v>
      </c>
      <c r="F2654" s="1" t="b">
        <v>0</v>
      </c>
    </row>
    <row r="2655">
      <c r="A2655" s="1" t="s">
        <v>613</v>
      </c>
      <c r="B2655" s="1" t="s">
        <v>2046</v>
      </c>
      <c r="C2655" s="1">
        <v>594863.0</v>
      </c>
      <c r="D2655" s="2">
        <v>46065.701944444445</v>
      </c>
      <c r="E2655" s="1" t="s">
        <v>4273</v>
      </c>
      <c r="F2655" s="1" t="b">
        <v>0</v>
      </c>
    </row>
    <row r="2656">
      <c r="A2656" s="1" t="s">
        <v>613</v>
      </c>
      <c r="B2656" s="1" t="s">
        <v>2042</v>
      </c>
      <c r="C2656" s="1" t="s">
        <v>615</v>
      </c>
      <c r="D2656" s="2">
        <v>46065.70209490741</v>
      </c>
      <c r="E2656" s="1" t="s">
        <v>4274</v>
      </c>
      <c r="F2656" s="1" t="b">
        <v>0</v>
      </c>
    </row>
    <row r="2657">
      <c r="A2657" s="1" t="s">
        <v>613</v>
      </c>
      <c r="B2657" s="1" t="s">
        <v>2046</v>
      </c>
      <c r="C2657" s="1">
        <v>594863.0</v>
      </c>
      <c r="D2657" s="2">
        <v>46065.702511574076</v>
      </c>
      <c r="E2657" s="1" t="s">
        <v>4275</v>
      </c>
      <c r="F2657" s="1" t="b">
        <v>0</v>
      </c>
    </row>
    <row r="2658">
      <c r="A2658" s="1" t="s">
        <v>613</v>
      </c>
      <c r="B2658" s="1" t="s">
        <v>2042</v>
      </c>
      <c r="C2658" s="1" t="s">
        <v>615</v>
      </c>
      <c r="D2658" s="2">
        <v>46065.70280092592</v>
      </c>
      <c r="E2658" s="1" t="s">
        <v>4276</v>
      </c>
      <c r="F2658" s="1" t="b">
        <v>0</v>
      </c>
    </row>
    <row r="2659">
      <c r="A2659" s="1" t="s">
        <v>613</v>
      </c>
      <c r="B2659" s="1" t="s">
        <v>2046</v>
      </c>
      <c r="C2659" s="1">
        <v>594863.0</v>
      </c>
      <c r="D2659" s="2">
        <v>46065.702939814815</v>
      </c>
      <c r="E2659" s="1" t="s">
        <v>4277</v>
      </c>
      <c r="F2659" s="1" t="b">
        <v>0</v>
      </c>
    </row>
    <row r="2660">
      <c r="A2660" s="1" t="s">
        <v>613</v>
      </c>
      <c r="B2660" s="1" t="s">
        <v>2042</v>
      </c>
      <c r="C2660" s="1" t="s">
        <v>615</v>
      </c>
      <c r="D2660" s="2">
        <v>46065.703101851854</v>
      </c>
      <c r="E2660" s="1" t="s">
        <v>2302</v>
      </c>
      <c r="F2660" s="1" t="b">
        <v>0</v>
      </c>
    </row>
    <row r="2661">
      <c r="A2661" s="1" t="s">
        <v>613</v>
      </c>
      <c r="B2661" s="1" t="s">
        <v>2046</v>
      </c>
      <c r="C2661" s="1">
        <v>594863.0</v>
      </c>
      <c r="D2661" s="2">
        <v>46065.703414351854</v>
      </c>
      <c r="E2661" s="1" t="s">
        <v>2108</v>
      </c>
      <c r="F2661" s="1" t="b">
        <v>0</v>
      </c>
    </row>
    <row r="2662">
      <c r="A2662" s="1" t="s">
        <v>609</v>
      </c>
      <c r="B2662" s="1" t="s">
        <v>2042</v>
      </c>
      <c r="C2662" s="1" t="s">
        <v>611</v>
      </c>
      <c r="D2662" s="2">
        <v>46065.69540509259</v>
      </c>
      <c r="E2662" s="1" t="s">
        <v>4278</v>
      </c>
      <c r="F2662" s="1" t="b">
        <v>0</v>
      </c>
    </row>
    <row r="2663">
      <c r="A2663" s="1" t="s">
        <v>607</v>
      </c>
      <c r="B2663" s="1" t="s">
        <v>2042</v>
      </c>
      <c r="C2663" s="1" t="s">
        <v>590</v>
      </c>
      <c r="D2663" s="2">
        <v>46065.70364583333</v>
      </c>
      <c r="E2663" s="1" t="s">
        <v>4279</v>
      </c>
      <c r="F2663" s="1" t="b">
        <v>0</v>
      </c>
    </row>
    <row r="2664">
      <c r="A2664" s="1" t="s">
        <v>607</v>
      </c>
      <c r="B2664" s="1" t="s">
        <v>2042</v>
      </c>
      <c r="C2664" s="1" t="s">
        <v>590</v>
      </c>
      <c r="D2664" s="2">
        <v>46065.70415509259</v>
      </c>
      <c r="E2664" s="1" t="s">
        <v>4280</v>
      </c>
      <c r="F2664" s="1" t="b">
        <v>0</v>
      </c>
    </row>
    <row r="2665">
      <c r="A2665" s="1" t="s">
        <v>607</v>
      </c>
      <c r="B2665" s="1" t="s">
        <v>2042</v>
      </c>
      <c r="C2665" s="1" t="s">
        <v>590</v>
      </c>
      <c r="D2665" s="2">
        <v>46065.70469907407</v>
      </c>
      <c r="E2665" s="1" t="s">
        <v>4281</v>
      </c>
      <c r="F2665" s="1" t="b">
        <v>0</v>
      </c>
    </row>
    <row r="2666">
      <c r="A2666" s="1" t="s">
        <v>604</v>
      </c>
      <c r="B2666" s="1" t="s">
        <v>2042</v>
      </c>
      <c r="C2666" s="1" t="s">
        <v>590</v>
      </c>
      <c r="D2666" s="2">
        <v>46065.705625</v>
      </c>
      <c r="E2666" s="1" t="s">
        <v>4282</v>
      </c>
      <c r="F2666" s="1" t="b">
        <v>0</v>
      </c>
    </row>
    <row r="2667">
      <c r="A2667" s="1" t="s">
        <v>604</v>
      </c>
      <c r="B2667" s="1" t="s">
        <v>2042</v>
      </c>
      <c r="C2667" s="1" t="s">
        <v>590</v>
      </c>
      <c r="D2667" s="2">
        <v>46065.70605324074</v>
      </c>
      <c r="E2667" s="1" t="s">
        <v>4283</v>
      </c>
      <c r="F2667" s="1" t="b">
        <v>0</v>
      </c>
    </row>
    <row r="2668">
      <c r="A2668" s="1" t="s">
        <v>604</v>
      </c>
      <c r="B2668" s="1" t="s">
        <v>2042</v>
      </c>
      <c r="C2668" s="1" t="s">
        <v>590</v>
      </c>
      <c r="D2668" s="2">
        <v>46065.70627314815</v>
      </c>
      <c r="E2668" s="1" t="s">
        <v>2476</v>
      </c>
      <c r="F2668" s="1" t="b">
        <v>0</v>
      </c>
    </row>
    <row r="2669">
      <c r="A2669" s="1" t="s">
        <v>604</v>
      </c>
      <c r="B2669" s="1" t="s">
        <v>2046</v>
      </c>
      <c r="C2669" s="1">
        <v>607950.0</v>
      </c>
      <c r="D2669" s="2">
        <v>46065.72818287037</v>
      </c>
      <c r="E2669" s="1" t="s">
        <v>2752</v>
      </c>
      <c r="F2669" s="1" t="b">
        <v>0</v>
      </c>
    </row>
    <row r="2670">
      <c r="A2670" s="1" t="s">
        <v>604</v>
      </c>
      <c r="B2670" s="1" t="s">
        <v>2046</v>
      </c>
      <c r="C2670" s="1">
        <v>607950.0</v>
      </c>
      <c r="D2670" s="2">
        <v>46065.72846064815</v>
      </c>
      <c r="E2670" s="1" t="s">
        <v>4284</v>
      </c>
      <c r="F2670" s="1" t="b">
        <v>0</v>
      </c>
    </row>
    <row r="2671">
      <c r="A2671" s="1" t="s">
        <v>604</v>
      </c>
      <c r="B2671" s="1" t="s">
        <v>2042</v>
      </c>
      <c r="C2671" s="1" t="s">
        <v>590</v>
      </c>
      <c r="D2671" s="2">
        <v>46065.73133101852</v>
      </c>
      <c r="E2671" s="1" t="s">
        <v>4285</v>
      </c>
      <c r="F2671" s="1" t="b">
        <v>0</v>
      </c>
    </row>
    <row r="2672">
      <c r="A2672" s="1" t="s">
        <v>604</v>
      </c>
      <c r="B2672" s="1" t="s">
        <v>2046</v>
      </c>
      <c r="C2672" s="1">
        <v>607950.0</v>
      </c>
      <c r="D2672" s="2">
        <v>46065.7512037037</v>
      </c>
      <c r="E2672" s="1" t="s">
        <v>4286</v>
      </c>
      <c r="F2672" s="1" t="b">
        <v>0</v>
      </c>
    </row>
    <row r="2673">
      <c r="A2673" s="1" t="s">
        <v>604</v>
      </c>
      <c r="B2673" s="1" t="s">
        <v>2046</v>
      </c>
      <c r="C2673" s="1">
        <v>607950.0</v>
      </c>
      <c r="D2673" s="2">
        <v>46073.57116898148</v>
      </c>
      <c r="E2673" s="1" t="s">
        <v>4287</v>
      </c>
      <c r="F2673" s="1" t="b">
        <v>0</v>
      </c>
    </row>
    <row r="2674">
      <c r="A2674" s="1" t="s">
        <v>604</v>
      </c>
      <c r="B2674" s="1" t="s">
        <v>2046</v>
      </c>
      <c r="C2674" s="1">
        <v>607950.0</v>
      </c>
      <c r="D2674" s="2">
        <v>46073.57440972222</v>
      </c>
      <c r="E2674" s="1" t="s">
        <v>2108</v>
      </c>
      <c r="F2674" s="1" t="b">
        <v>0</v>
      </c>
    </row>
    <row r="2675">
      <c r="A2675" s="1" t="s">
        <v>600</v>
      </c>
      <c r="B2675" s="1" t="s">
        <v>2042</v>
      </c>
      <c r="C2675" s="1" t="s">
        <v>602</v>
      </c>
      <c r="D2675" s="2">
        <v>46065.71444444444</v>
      </c>
      <c r="E2675" s="1" t="s">
        <v>4288</v>
      </c>
      <c r="F2675" s="1" t="b">
        <v>0</v>
      </c>
    </row>
    <row r="2676">
      <c r="A2676" s="1" t="s">
        <v>600</v>
      </c>
      <c r="B2676" s="1" t="s">
        <v>2042</v>
      </c>
      <c r="C2676" s="1" t="s">
        <v>602</v>
      </c>
      <c r="D2676" s="2">
        <v>46065.71451388889</v>
      </c>
      <c r="E2676" s="1" t="s">
        <v>4289</v>
      </c>
      <c r="F2676" s="1" t="b">
        <v>0</v>
      </c>
    </row>
    <row r="2677">
      <c r="A2677" s="1" t="s">
        <v>600</v>
      </c>
      <c r="B2677" s="1" t="s">
        <v>2042</v>
      </c>
      <c r="C2677" s="1" t="s">
        <v>602</v>
      </c>
      <c r="D2677" s="2">
        <v>46065.71502314815</v>
      </c>
      <c r="E2677" s="1" t="s">
        <v>4290</v>
      </c>
      <c r="F2677" s="1" t="b">
        <v>0</v>
      </c>
    </row>
    <row r="2678">
      <c r="A2678" s="1" t="s">
        <v>596</v>
      </c>
      <c r="B2678" s="1" t="s">
        <v>2042</v>
      </c>
      <c r="C2678" s="1" t="s">
        <v>598</v>
      </c>
      <c r="D2678" s="2">
        <v>46065.71486111111</v>
      </c>
      <c r="E2678" s="1" t="s">
        <v>4291</v>
      </c>
      <c r="F2678" s="1" t="b">
        <v>0</v>
      </c>
    </row>
    <row r="2679">
      <c r="A2679" s="1" t="s">
        <v>592</v>
      </c>
      <c r="B2679" s="1" t="s">
        <v>2042</v>
      </c>
      <c r="C2679" s="1" t="s">
        <v>594</v>
      </c>
      <c r="D2679" s="2">
        <v>46065.721875</v>
      </c>
      <c r="E2679" s="1" t="s">
        <v>4292</v>
      </c>
      <c r="F2679" s="1" t="b">
        <v>0</v>
      </c>
    </row>
    <row r="2680">
      <c r="A2680" s="1" t="s">
        <v>587</v>
      </c>
      <c r="B2680" s="1" t="s">
        <v>2150</v>
      </c>
      <c r="C2680" s="1">
        <v>81559.0</v>
      </c>
      <c r="D2680" s="2">
        <v>46065.72881944444</v>
      </c>
      <c r="E2680" s="1" t="s">
        <v>4293</v>
      </c>
      <c r="F2680" s="1" t="b">
        <v>1</v>
      </c>
    </row>
    <row r="2681">
      <c r="A2681" s="1" t="s">
        <v>587</v>
      </c>
      <c r="B2681" s="1" t="s">
        <v>2042</v>
      </c>
      <c r="C2681" s="1" t="s">
        <v>590</v>
      </c>
      <c r="D2681" s="2">
        <v>46065.7309837963</v>
      </c>
      <c r="E2681" s="1" t="s">
        <v>4294</v>
      </c>
      <c r="F2681" s="1" t="b">
        <v>0</v>
      </c>
    </row>
    <row r="2682">
      <c r="A2682" s="1" t="s">
        <v>251</v>
      </c>
      <c r="B2682" s="1" t="s">
        <v>2150</v>
      </c>
      <c r="C2682" s="1">
        <v>81559.0</v>
      </c>
      <c r="D2682" s="2">
        <v>46065.7530787037</v>
      </c>
      <c r="E2682" s="1" t="s">
        <v>4295</v>
      </c>
      <c r="F2682" s="1" t="b">
        <v>1</v>
      </c>
    </row>
    <row r="2683">
      <c r="A2683" s="1" t="s">
        <v>251</v>
      </c>
      <c r="B2683" s="1" t="s">
        <v>2042</v>
      </c>
      <c r="C2683" s="1" t="s">
        <v>200</v>
      </c>
      <c r="D2683" s="2">
        <v>46072.49711805556</v>
      </c>
      <c r="E2683" s="1" t="s">
        <v>4296</v>
      </c>
      <c r="F2683" s="1" t="b">
        <v>0</v>
      </c>
    </row>
    <row r="2684">
      <c r="A2684" s="1" t="s">
        <v>251</v>
      </c>
      <c r="B2684" s="1" t="s">
        <v>2046</v>
      </c>
      <c r="C2684" s="1">
        <v>607950.0</v>
      </c>
      <c r="D2684" s="2">
        <v>46072.50407407407</v>
      </c>
      <c r="E2684" s="1" t="s">
        <v>4297</v>
      </c>
      <c r="F2684" s="1" t="b">
        <v>0</v>
      </c>
    </row>
    <row r="2685">
      <c r="A2685" s="1" t="s">
        <v>251</v>
      </c>
      <c r="B2685" s="1" t="s">
        <v>2046</v>
      </c>
      <c r="C2685" s="1">
        <v>607950.0</v>
      </c>
      <c r="D2685" s="2">
        <v>46072.5672337963</v>
      </c>
      <c r="E2685" s="1" t="s">
        <v>2917</v>
      </c>
      <c r="F2685" s="1" t="b">
        <v>0</v>
      </c>
    </row>
    <row r="2686">
      <c r="A2686" s="1" t="s">
        <v>251</v>
      </c>
      <c r="B2686" s="1" t="s">
        <v>2046</v>
      </c>
      <c r="C2686" s="1">
        <v>607950.0</v>
      </c>
      <c r="D2686" s="2">
        <v>46072.57413194444</v>
      </c>
      <c r="E2686" s="1" t="s">
        <v>2108</v>
      </c>
      <c r="F2686" s="1" t="b">
        <v>0</v>
      </c>
    </row>
    <row r="2687">
      <c r="A2687" s="1" t="s">
        <v>579</v>
      </c>
      <c r="B2687" s="1" t="s">
        <v>2042</v>
      </c>
      <c r="C2687" s="1" t="s">
        <v>581</v>
      </c>
      <c r="D2687" s="2">
        <v>46065.79349537037</v>
      </c>
      <c r="E2687" s="1" t="s">
        <v>3036</v>
      </c>
      <c r="F2687" s="1" t="b">
        <v>0</v>
      </c>
    </row>
    <row r="2688">
      <c r="A2688" s="1" t="s">
        <v>575</v>
      </c>
      <c r="B2688" s="1" t="s">
        <v>2042</v>
      </c>
      <c r="C2688" s="1" t="s">
        <v>577</v>
      </c>
      <c r="D2688" s="2">
        <v>46066.34478009259</v>
      </c>
      <c r="E2688" s="1" t="s">
        <v>4298</v>
      </c>
      <c r="F2688" s="1" t="b">
        <v>0</v>
      </c>
    </row>
    <row r="2689">
      <c r="A2689" s="1" t="s">
        <v>575</v>
      </c>
      <c r="B2689" s="1" t="s">
        <v>2042</v>
      </c>
      <c r="C2689" s="1" t="s">
        <v>577</v>
      </c>
      <c r="D2689" s="2">
        <v>46066.345046296294</v>
      </c>
      <c r="E2689" s="1" t="s">
        <v>4299</v>
      </c>
      <c r="F2689" s="1" t="b">
        <v>0</v>
      </c>
    </row>
    <row r="2690">
      <c r="A2690" s="1" t="s">
        <v>575</v>
      </c>
      <c r="B2690" s="1" t="s">
        <v>2042</v>
      </c>
      <c r="C2690" s="1" t="s">
        <v>577</v>
      </c>
      <c r="D2690" s="2">
        <v>46066.3453125</v>
      </c>
      <c r="E2690" s="1" t="s">
        <v>4300</v>
      </c>
      <c r="F2690" s="1" t="b">
        <v>0</v>
      </c>
    </row>
    <row r="2691">
      <c r="A2691" s="1" t="s">
        <v>568</v>
      </c>
      <c r="B2691" s="1" t="s">
        <v>2042</v>
      </c>
      <c r="C2691" s="1" t="s">
        <v>4301</v>
      </c>
      <c r="D2691" s="2">
        <v>46066.37777777778</v>
      </c>
      <c r="E2691" s="1" t="s">
        <v>4302</v>
      </c>
      <c r="F2691" s="1" t="b">
        <v>0</v>
      </c>
    </row>
    <row r="2692">
      <c r="A2692" s="1" t="s">
        <v>568</v>
      </c>
      <c r="B2692" s="1" t="s">
        <v>2042</v>
      </c>
      <c r="C2692" s="1" t="s">
        <v>4301</v>
      </c>
      <c r="D2692" s="2">
        <v>46066.38155092593</v>
      </c>
      <c r="E2692" s="1" t="s">
        <v>4303</v>
      </c>
      <c r="F2692" s="1" t="b">
        <v>0</v>
      </c>
    </row>
    <row r="2693">
      <c r="A2693" s="1" t="s">
        <v>563</v>
      </c>
      <c r="B2693" s="1" t="s">
        <v>2042</v>
      </c>
      <c r="C2693" s="1" t="s">
        <v>566</v>
      </c>
      <c r="D2693" s="2">
        <v>46066.41196759259</v>
      </c>
      <c r="E2693" s="1" t="s">
        <v>4304</v>
      </c>
      <c r="F2693" s="1" t="b">
        <v>0</v>
      </c>
    </row>
    <row r="2694">
      <c r="A2694" s="1" t="s">
        <v>559</v>
      </c>
      <c r="B2694" s="1" t="s">
        <v>2042</v>
      </c>
      <c r="C2694" s="1" t="s">
        <v>561</v>
      </c>
      <c r="D2694" s="2">
        <v>46066.43269675926</v>
      </c>
      <c r="E2694" s="1" t="s">
        <v>4305</v>
      </c>
      <c r="F2694" s="1" t="b">
        <v>0</v>
      </c>
    </row>
    <row r="2695">
      <c r="A2695" s="1" t="s">
        <v>555</v>
      </c>
      <c r="B2695" s="1" t="s">
        <v>2042</v>
      </c>
      <c r="C2695" s="1" t="s">
        <v>550</v>
      </c>
      <c r="D2695" s="2">
        <v>46066.45034722222</v>
      </c>
      <c r="E2695" s="1" t="s">
        <v>4306</v>
      </c>
      <c r="F2695" s="1" t="b">
        <v>0</v>
      </c>
    </row>
    <row r="2696">
      <c r="A2696" s="1" t="s">
        <v>552</v>
      </c>
      <c r="B2696" s="1" t="s">
        <v>2042</v>
      </c>
      <c r="C2696" s="1" t="s">
        <v>4307</v>
      </c>
      <c r="D2696" s="2">
        <v>46066.44872685185</v>
      </c>
      <c r="E2696" s="1" t="s">
        <v>4308</v>
      </c>
      <c r="F2696" s="1" t="b">
        <v>0</v>
      </c>
    </row>
    <row r="2697">
      <c r="A2697" s="1" t="s">
        <v>552</v>
      </c>
      <c r="B2697" s="1" t="s">
        <v>2046</v>
      </c>
      <c r="C2697" s="1">
        <v>574085.0</v>
      </c>
      <c r="D2697" s="2">
        <v>46066.44935185185</v>
      </c>
      <c r="E2697" s="1" t="s">
        <v>4309</v>
      </c>
      <c r="F2697" s="1" t="b">
        <v>0</v>
      </c>
    </row>
    <row r="2698">
      <c r="A2698" s="1" t="s">
        <v>552</v>
      </c>
      <c r="B2698" s="1" t="s">
        <v>2042</v>
      </c>
      <c r="C2698" s="1" t="s">
        <v>4307</v>
      </c>
      <c r="D2698" s="2">
        <v>46066.44951388889</v>
      </c>
      <c r="E2698" s="1" t="s">
        <v>4310</v>
      </c>
      <c r="F2698" s="1" t="b">
        <v>0</v>
      </c>
    </row>
    <row r="2699">
      <c r="A2699" s="1" t="s">
        <v>552</v>
      </c>
      <c r="B2699" s="1" t="s">
        <v>2046</v>
      </c>
      <c r="C2699" s="1">
        <v>574085.0</v>
      </c>
      <c r="D2699" s="2">
        <v>46066.45087962963</v>
      </c>
      <c r="E2699" s="1" t="s">
        <v>4311</v>
      </c>
      <c r="F2699" s="1" t="b">
        <v>0</v>
      </c>
    </row>
    <row r="2700">
      <c r="A2700" s="1" t="s">
        <v>552</v>
      </c>
      <c r="B2700" s="1" t="s">
        <v>2042</v>
      </c>
      <c r="C2700" s="1" t="s">
        <v>4307</v>
      </c>
      <c r="D2700" s="2">
        <v>46066.45207175926</v>
      </c>
      <c r="E2700" s="1" t="s">
        <v>4312</v>
      </c>
      <c r="F2700" s="1" t="b">
        <v>0</v>
      </c>
    </row>
    <row r="2701">
      <c r="A2701" s="1" t="s">
        <v>552</v>
      </c>
      <c r="B2701" s="1" t="s">
        <v>2046</v>
      </c>
      <c r="C2701" s="1">
        <v>574085.0</v>
      </c>
      <c r="D2701" s="2">
        <v>46066.4521875</v>
      </c>
      <c r="E2701" s="1" t="s">
        <v>2108</v>
      </c>
      <c r="F2701" s="1" t="b">
        <v>0</v>
      </c>
    </row>
    <row r="2702">
      <c r="A2702" s="1" t="s">
        <v>547</v>
      </c>
      <c r="B2702" s="1" t="s">
        <v>2042</v>
      </c>
      <c r="C2702" s="1" t="s">
        <v>550</v>
      </c>
      <c r="D2702" s="2">
        <v>46066.460439814815</v>
      </c>
      <c r="E2702" s="1" t="s">
        <v>4313</v>
      </c>
      <c r="F2702" s="1" t="b">
        <v>0</v>
      </c>
    </row>
    <row r="2703">
      <c r="A2703" s="1" t="s">
        <v>547</v>
      </c>
      <c r="B2703" s="1" t="s">
        <v>2042</v>
      </c>
      <c r="C2703" s="1" t="s">
        <v>550</v>
      </c>
      <c r="D2703" s="2">
        <v>46066.46077546296</v>
      </c>
      <c r="E2703" s="1" t="s">
        <v>4314</v>
      </c>
      <c r="F2703" s="1" t="b">
        <v>0</v>
      </c>
    </row>
    <row r="2704">
      <c r="A2704" s="1" t="s">
        <v>547</v>
      </c>
      <c r="B2704" s="1" t="s">
        <v>2042</v>
      </c>
      <c r="C2704" s="1" t="s">
        <v>550</v>
      </c>
      <c r="D2704" s="2">
        <v>46066.46126157408</v>
      </c>
      <c r="E2704" s="1" t="s">
        <v>4315</v>
      </c>
      <c r="F2704" s="1" t="b">
        <v>0</v>
      </c>
    </row>
    <row r="2705">
      <c r="A2705" s="1" t="s">
        <v>547</v>
      </c>
      <c r="B2705" s="1" t="s">
        <v>2042</v>
      </c>
      <c r="C2705" s="1" t="s">
        <v>550</v>
      </c>
      <c r="D2705" s="2">
        <v>46066.461481481485</v>
      </c>
      <c r="E2705" s="1" t="s">
        <v>4316</v>
      </c>
      <c r="F2705" s="1" t="b">
        <v>0</v>
      </c>
    </row>
    <row r="2706">
      <c r="A2706" s="1" t="s">
        <v>547</v>
      </c>
      <c r="B2706" s="1" t="s">
        <v>2042</v>
      </c>
      <c r="C2706" s="1" t="s">
        <v>550</v>
      </c>
      <c r="D2706" s="2">
        <v>46066.46184027778</v>
      </c>
      <c r="E2706" s="1" t="s">
        <v>4317</v>
      </c>
      <c r="F2706" s="1" t="b">
        <v>0</v>
      </c>
    </row>
    <row r="2707">
      <c r="A2707" s="1" t="s">
        <v>547</v>
      </c>
      <c r="B2707" s="1" t="s">
        <v>2042</v>
      </c>
      <c r="C2707" s="1" t="s">
        <v>550</v>
      </c>
      <c r="D2707" s="2">
        <v>46066.46240740741</v>
      </c>
      <c r="E2707" s="1" t="s">
        <v>4318</v>
      </c>
      <c r="F2707" s="1" t="b">
        <v>0</v>
      </c>
    </row>
    <row r="2708">
      <c r="A2708" s="1" t="s">
        <v>547</v>
      </c>
      <c r="B2708" s="1" t="s">
        <v>2042</v>
      </c>
      <c r="C2708" s="1" t="s">
        <v>550</v>
      </c>
      <c r="D2708" s="2">
        <v>46066.46256944445</v>
      </c>
      <c r="E2708" s="1" t="s">
        <v>3007</v>
      </c>
      <c r="F2708" s="1" t="b">
        <v>0</v>
      </c>
    </row>
    <row r="2709">
      <c r="A2709" s="1" t="s">
        <v>547</v>
      </c>
      <c r="B2709" s="1" t="s">
        <v>2046</v>
      </c>
      <c r="C2709" s="1">
        <v>607950.0</v>
      </c>
      <c r="D2709" s="2">
        <v>46066.48123842593</v>
      </c>
      <c r="E2709" s="1" t="s">
        <v>2752</v>
      </c>
      <c r="F2709" s="1" t="b">
        <v>0</v>
      </c>
    </row>
    <row r="2710">
      <c r="A2710" s="1" t="s">
        <v>547</v>
      </c>
      <c r="B2710" s="1" t="s">
        <v>2046</v>
      </c>
      <c r="C2710" s="1">
        <v>607950.0</v>
      </c>
      <c r="D2710" s="2">
        <v>46066.48292824074</v>
      </c>
      <c r="E2710" s="1" t="s">
        <v>4319</v>
      </c>
      <c r="F2710" s="1" t="b">
        <v>0</v>
      </c>
    </row>
    <row r="2711">
      <c r="A2711" s="1" t="s">
        <v>543</v>
      </c>
      <c r="B2711" s="1" t="s">
        <v>2042</v>
      </c>
      <c r="C2711" s="1" t="s">
        <v>545</v>
      </c>
      <c r="D2711" s="2">
        <v>46066.46679398148</v>
      </c>
      <c r="E2711" s="1" t="s">
        <v>4320</v>
      </c>
      <c r="F2711" s="1" t="b">
        <v>0</v>
      </c>
    </row>
    <row r="2712">
      <c r="A2712" s="1" t="s">
        <v>543</v>
      </c>
      <c r="B2712" s="1" t="s">
        <v>2042</v>
      </c>
      <c r="C2712" s="1" t="s">
        <v>545</v>
      </c>
      <c r="D2712" s="2">
        <v>46066.49275462963</v>
      </c>
      <c r="E2712" s="1" t="s">
        <v>4321</v>
      </c>
      <c r="F2712" s="1" t="b">
        <v>0</v>
      </c>
    </row>
    <row r="2713">
      <c r="A2713" s="1" t="s">
        <v>543</v>
      </c>
      <c r="B2713" s="1" t="s">
        <v>2042</v>
      </c>
      <c r="C2713" s="1" t="s">
        <v>545</v>
      </c>
      <c r="D2713" s="2">
        <v>46066.49321759259</v>
      </c>
      <c r="E2713" s="1" t="s">
        <v>4322</v>
      </c>
      <c r="F2713" s="1" t="b">
        <v>0</v>
      </c>
    </row>
    <row r="2714">
      <c r="A2714" s="1" t="s">
        <v>543</v>
      </c>
      <c r="B2714" s="1" t="s">
        <v>2042</v>
      </c>
      <c r="C2714" s="1" t="s">
        <v>545</v>
      </c>
      <c r="D2714" s="2">
        <v>46066.49340277778</v>
      </c>
      <c r="F2714" s="1" t="b">
        <v>0</v>
      </c>
    </row>
    <row r="2715">
      <c r="A2715" s="1" t="s">
        <v>543</v>
      </c>
      <c r="B2715" s="1" t="s">
        <v>2042</v>
      </c>
      <c r="C2715" s="1" t="s">
        <v>545</v>
      </c>
      <c r="D2715" s="2">
        <v>46066.49365740741</v>
      </c>
      <c r="E2715" s="1" t="s">
        <v>4323</v>
      </c>
      <c r="F2715" s="1" t="b">
        <v>0</v>
      </c>
    </row>
    <row r="2716">
      <c r="A2716" s="1" t="s">
        <v>543</v>
      </c>
      <c r="B2716" s="1" t="s">
        <v>2046</v>
      </c>
      <c r="C2716" s="1">
        <v>607950.0</v>
      </c>
      <c r="D2716" s="2">
        <v>46066.49591435185</v>
      </c>
      <c r="E2716" s="1" t="s">
        <v>2752</v>
      </c>
      <c r="F2716" s="1" t="b">
        <v>0</v>
      </c>
    </row>
    <row r="2717">
      <c r="A2717" s="1" t="s">
        <v>543</v>
      </c>
      <c r="B2717" s="1" t="s">
        <v>2046</v>
      </c>
      <c r="C2717" s="1">
        <v>607950.0</v>
      </c>
      <c r="D2717" s="2">
        <v>46066.49655092593</v>
      </c>
      <c r="E2717" s="1" t="s">
        <v>4324</v>
      </c>
      <c r="F2717" s="1" t="b">
        <v>0</v>
      </c>
    </row>
    <row r="2718">
      <c r="A2718" s="1" t="s">
        <v>543</v>
      </c>
      <c r="B2718" s="1" t="s">
        <v>2046</v>
      </c>
      <c r="C2718" s="1">
        <v>607950.0</v>
      </c>
      <c r="D2718" s="2">
        <v>46066.51563657408</v>
      </c>
      <c r="E2718" s="1" t="s">
        <v>4006</v>
      </c>
      <c r="F2718" s="1" t="b">
        <v>0</v>
      </c>
    </row>
    <row r="2719">
      <c r="A2719" s="1" t="s">
        <v>543</v>
      </c>
      <c r="B2719" s="1" t="s">
        <v>2046</v>
      </c>
      <c r="C2719" s="1">
        <v>607950.0</v>
      </c>
      <c r="D2719" s="2">
        <v>46066.57275462963</v>
      </c>
      <c r="E2719" s="1" t="s">
        <v>2108</v>
      </c>
      <c r="F2719" s="1" t="b">
        <v>0</v>
      </c>
    </row>
    <row r="2720">
      <c r="A2720" s="1" t="s">
        <v>535</v>
      </c>
      <c r="B2720" s="1" t="s">
        <v>2042</v>
      </c>
      <c r="C2720" s="1" t="s">
        <v>537</v>
      </c>
      <c r="D2720" s="2">
        <v>46066.482719907406</v>
      </c>
      <c r="E2720" s="1" t="s">
        <v>4325</v>
      </c>
      <c r="F2720" s="1" t="b">
        <v>0</v>
      </c>
    </row>
    <row r="2721">
      <c r="A2721" s="1" t="s">
        <v>535</v>
      </c>
      <c r="B2721" s="1" t="s">
        <v>2046</v>
      </c>
      <c r="C2721" s="1">
        <v>607950.0</v>
      </c>
      <c r="D2721" s="2">
        <v>46066.49140046296</v>
      </c>
      <c r="E2721" s="1" t="s">
        <v>3959</v>
      </c>
      <c r="F2721" s="1" t="b">
        <v>0</v>
      </c>
    </row>
    <row r="2722">
      <c r="A2722" s="1" t="s">
        <v>535</v>
      </c>
      <c r="B2722" s="1" t="s">
        <v>2046</v>
      </c>
      <c r="C2722" s="1">
        <v>594863.0</v>
      </c>
      <c r="D2722" s="2">
        <v>46066.501122685186</v>
      </c>
      <c r="E2722" s="1" t="s">
        <v>4326</v>
      </c>
      <c r="F2722" s="1" t="b">
        <v>0</v>
      </c>
    </row>
    <row r="2723">
      <c r="A2723" s="1" t="s">
        <v>535</v>
      </c>
      <c r="B2723" s="1" t="s">
        <v>2046</v>
      </c>
      <c r="C2723" s="1">
        <v>594863.0</v>
      </c>
      <c r="D2723" s="2">
        <v>46066.51525462963</v>
      </c>
      <c r="E2723" s="1" t="s">
        <v>2108</v>
      </c>
      <c r="F2723" s="1" t="b">
        <v>0</v>
      </c>
    </row>
    <row r="2724">
      <c r="A2724" s="1" t="s">
        <v>531</v>
      </c>
      <c r="B2724" s="1" t="s">
        <v>2042</v>
      </c>
      <c r="C2724" s="1" t="s">
        <v>533</v>
      </c>
      <c r="D2724" s="2">
        <v>46066.49302083333</v>
      </c>
      <c r="E2724" s="1" t="s">
        <v>4327</v>
      </c>
      <c r="F2724" s="1" t="b">
        <v>0</v>
      </c>
    </row>
    <row r="2725">
      <c r="A2725" s="1" t="s">
        <v>531</v>
      </c>
      <c r="B2725" s="1" t="s">
        <v>2042</v>
      </c>
      <c r="C2725" s="1" t="s">
        <v>533</v>
      </c>
      <c r="D2725" s="2">
        <v>46066.497708333336</v>
      </c>
      <c r="E2725" s="1" t="s">
        <v>4328</v>
      </c>
      <c r="F2725" s="1" t="b">
        <v>0</v>
      </c>
    </row>
    <row r="2726">
      <c r="A2726" s="1" t="s">
        <v>531</v>
      </c>
      <c r="B2726" s="1" t="s">
        <v>2042</v>
      </c>
      <c r="C2726" s="1" t="s">
        <v>533</v>
      </c>
      <c r="D2726" s="2">
        <v>46066.50341435185</v>
      </c>
      <c r="E2726" s="1" t="s">
        <v>4329</v>
      </c>
      <c r="F2726" s="1" t="b">
        <v>0</v>
      </c>
    </row>
    <row r="2727">
      <c r="A2727" s="1" t="s">
        <v>531</v>
      </c>
      <c r="B2727" s="1" t="s">
        <v>2042</v>
      </c>
      <c r="C2727" s="1" t="s">
        <v>533</v>
      </c>
      <c r="D2727" s="2">
        <v>46066.59809027778</v>
      </c>
      <c r="E2727" s="1" t="s">
        <v>4330</v>
      </c>
      <c r="F2727" s="1" t="b">
        <v>0</v>
      </c>
    </row>
    <row r="2728">
      <c r="A2728" s="1" t="s">
        <v>531</v>
      </c>
      <c r="B2728" s="1" t="s">
        <v>2042</v>
      </c>
      <c r="C2728" s="1" t="s">
        <v>533</v>
      </c>
      <c r="D2728" s="2">
        <v>46066.60074074074</v>
      </c>
      <c r="E2728" s="1" t="s">
        <v>4331</v>
      </c>
      <c r="F2728" s="1" t="b">
        <v>0</v>
      </c>
    </row>
    <row r="2729">
      <c r="A2729" s="1" t="s">
        <v>520</v>
      </c>
      <c r="B2729" s="1" t="s">
        <v>2042</v>
      </c>
      <c r="C2729" s="1" t="s">
        <v>4332</v>
      </c>
      <c r="D2729" s="2">
        <v>46066.51527777778</v>
      </c>
      <c r="E2729" s="1" t="s">
        <v>4333</v>
      </c>
      <c r="F2729" s="1" t="b">
        <v>0</v>
      </c>
    </row>
    <row r="2730">
      <c r="A2730" s="1" t="s">
        <v>514</v>
      </c>
      <c r="B2730" s="1" t="s">
        <v>2042</v>
      </c>
      <c r="C2730" s="1" t="s">
        <v>512</v>
      </c>
      <c r="D2730" s="2">
        <v>46066.52012731481</v>
      </c>
      <c r="E2730" s="1" t="s">
        <v>4334</v>
      </c>
      <c r="F2730" s="1" t="b">
        <v>0</v>
      </c>
    </row>
    <row r="2731">
      <c r="A2731" s="1" t="s">
        <v>510</v>
      </c>
      <c r="B2731" s="1" t="s">
        <v>2042</v>
      </c>
      <c r="C2731" s="1" t="s">
        <v>512</v>
      </c>
      <c r="D2731" s="2">
        <v>46066.52054398148</v>
      </c>
      <c r="E2731" s="1" t="s">
        <v>2292</v>
      </c>
      <c r="F2731" s="1" t="b">
        <v>0</v>
      </c>
    </row>
    <row r="2732">
      <c r="A2732" s="1" t="s">
        <v>510</v>
      </c>
      <c r="B2732" s="1" t="s">
        <v>2042</v>
      </c>
      <c r="C2732" s="1" t="s">
        <v>512</v>
      </c>
      <c r="D2732" s="2">
        <v>46066.52064814815</v>
      </c>
      <c r="E2732" s="1" t="s">
        <v>4335</v>
      </c>
      <c r="F2732" s="1" t="b">
        <v>0</v>
      </c>
    </row>
    <row r="2733">
      <c r="A2733" s="1" t="s">
        <v>506</v>
      </c>
      <c r="B2733" s="1" t="s">
        <v>2042</v>
      </c>
      <c r="C2733" s="1" t="s">
        <v>508</v>
      </c>
      <c r="D2733" s="2">
        <v>46066.52767361111</v>
      </c>
      <c r="E2733" s="1" t="s">
        <v>4336</v>
      </c>
      <c r="F2733" s="1" t="b">
        <v>0</v>
      </c>
    </row>
    <row r="2734">
      <c r="A2734" s="1" t="s">
        <v>506</v>
      </c>
      <c r="B2734" s="1" t="s">
        <v>2042</v>
      </c>
      <c r="C2734" s="1" t="s">
        <v>508</v>
      </c>
      <c r="D2734" s="2">
        <v>46066.58896990741</v>
      </c>
      <c r="E2734" s="1" t="s">
        <v>4337</v>
      </c>
      <c r="F2734" s="1" t="b">
        <v>0</v>
      </c>
    </row>
    <row r="2735">
      <c r="A2735" s="1" t="s">
        <v>498</v>
      </c>
      <c r="B2735" s="1" t="s">
        <v>2042</v>
      </c>
      <c r="C2735" s="1" t="s">
        <v>501</v>
      </c>
      <c r="D2735" s="2">
        <v>46066.54902777778</v>
      </c>
      <c r="E2735" s="1" t="s">
        <v>4338</v>
      </c>
      <c r="F2735" s="1" t="b">
        <v>0</v>
      </c>
    </row>
    <row r="2736">
      <c r="A2736" s="1" t="s">
        <v>498</v>
      </c>
      <c r="B2736" s="1" t="s">
        <v>2042</v>
      </c>
      <c r="C2736" s="1" t="s">
        <v>501</v>
      </c>
      <c r="D2736" s="2">
        <v>46066.55060185185</v>
      </c>
      <c r="E2736" s="1" t="s">
        <v>4339</v>
      </c>
      <c r="F2736" s="1" t="b">
        <v>0</v>
      </c>
    </row>
    <row r="2737">
      <c r="A2737" s="1" t="s">
        <v>498</v>
      </c>
      <c r="B2737" s="1" t="s">
        <v>2042</v>
      </c>
      <c r="C2737" s="1" t="s">
        <v>501</v>
      </c>
      <c r="D2737" s="2">
        <v>46066.55358796296</v>
      </c>
      <c r="E2737" s="1" t="s">
        <v>4340</v>
      </c>
      <c r="F2737" s="1" t="b">
        <v>0</v>
      </c>
    </row>
    <row r="2738">
      <c r="A2738" s="1" t="s">
        <v>498</v>
      </c>
      <c r="B2738" s="1" t="s">
        <v>2042</v>
      </c>
      <c r="C2738" s="1" t="s">
        <v>501</v>
      </c>
      <c r="D2738" s="2">
        <v>46066.553773148145</v>
      </c>
      <c r="F2738" s="1" t="b">
        <v>0</v>
      </c>
    </row>
    <row r="2739">
      <c r="A2739" s="1" t="s">
        <v>498</v>
      </c>
      <c r="B2739" s="1" t="s">
        <v>2042</v>
      </c>
      <c r="C2739" s="1" t="s">
        <v>501</v>
      </c>
      <c r="D2739" s="2">
        <v>46066.553935185184</v>
      </c>
      <c r="E2739" s="1" t="s">
        <v>3775</v>
      </c>
      <c r="F2739" s="1" t="b">
        <v>0</v>
      </c>
    </row>
    <row r="2740">
      <c r="A2740" s="1" t="s">
        <v>498</v>
      </c>
      <c r="B2740" s="1" t="s">
        <v>2042</v>
      </c>
      <c r="C2740" s="1" t="s">
        <v>501</v>
      </c>
      <c r="D2740" s="2">
        <v>46066.554236111115</v>
      </c>
      <c r="E2740" s="1" t="s">
        <v>4341</v>
      </c>
      <c r="F2740" s="1" t="b">
        <v>0</v>
      </c>
    </row>
    <row r="2741">
      <c r="A2741" s="1" t="s">
        <v>498</v>
      </c>
      <c r="B2741" s="1" t="s">
        <v>2042</v>
      </c>
      <c r="C2741" s="1" t="s">
        <v>501</v>
      </c>
      <c r="D2741" s="2">
        <v>46066.55440972222</v>
      </c>
      <c r="E2741" s="1" t="s">
        <v>3516</v>
      </c>
      <c r="F2741" s="1" t="b">
        <v>0</v>
      </c>
    </row>
    <row r="2742">
      <c r="A2742" s="1" t="s">
        <v>498</v>
      </c>
      <c r="B2742" s="1" t="s">
        <v>2046</v>
      </c>
      <c r="C2742" s="1">
        <v>607950.0</v>
      </c>
      <c r="D2742" s="2">
        <v>46066.572696759256</v>
      </c>
      <c r="E2742" s="1" t="s">
        <v>3959</v>
      </c>
      <c r="F2742" s="1" t="b">
        <v>0</v>
      </c>
    </row>
    <row r="2743">
      <c r="A2743" s="1" t="s">
        <v>498</v>
      </c>
      <c r="B2743" s="1" t="s">
        <v>2046</v>
      </c>
      <c r="C2743" s="1">
        <v>574085.0</v>
      </c>
      <c r="D2743" s="2">
        <v>46066.57724537037</v>
      </c>
      <c r="E2743" s="1" t="s">
        <v>4342</v>
      </c>
      <c r="F2743" s="1" t="b">
        <v>1</v>
      </c>
    </row>
    <row r="2744">
      <c r="A2744" s="1" t="s">
        <v>498</v>
      </c>
      <c r="B2744" s="1" t="s">
        <v>2042</v>
      </c>
      <c r="C2744" s="1" t="s">
        <v>501</v>
      </c>
      <c r="D2744" s="2">
        <v>46066.668657407405</v>
      </c>
      <c r="E2744" s="1" t="s">
        <v>4343</v>
      </c>
      <c r="F2744" s="1" t="b">
        <v>0</v>
      </c>
    </row>
    <row r="2745">
      <c r="A2745" s="1" t="s">
        <v>498</v>
      </c>
      <c r="B2745" s="1" t="s">
        <v>2042</v>
      </c>
      <c r="C2745" s="1" t="s">
        <v>501</v>
      </c>
      <c r="D2745" s="2">
        <v>46066.668761574074</v>
      </c>
      <c r="E2745" s="1" t="s">
        <v>4344</v>
      </c>
      <c r="F2745" s="1" t="b">
        <v>0</v>
      </c>
    </row>
    <row r="2746">
      <c r="A2746" s="1" t="s">
        <v>498</v>
      </c>
      <c r="B2746" s="1" t="s">
        <v>2046</v>
      </c>
      <c r="C2746" s="1">
        <v>607950.0</v>
      </c>
      <c r="D2746" s="2">
        <v>46066.69644675926</v>
      </c>
      <c r="E2746" s="1" t="s">
        <v>4345</v>
      </c>
      <c r="F2746" s="1" t="b">
        <v>0</v>
      </c>
    </row>
    <row r="2747">
      <c r="A2747" s="1" t="s">
        <v>498</v>
      </c>
      <c r="B2747" s="1" t="s">
        <v>2046</v>
      </c>
      <c r="C2747" s="1">
        <v>607950.0</v>
      </c>
      <c r="D2747" s="2">
        <v>46073.57100694445</v>
      </c>
      <c r="E2747" s="1" t="s">
        <v>4006</v>
      </c>
      <c r="F2747" s="1" t="b">
        <v>0</v>
      </c>
    </row>
    <row r="2748">
      <c r="A2748" s="1" t="s">
        <v>503</v>
      </c>
      <c r="B2748" s="1" t="s">
        <v>2042</v>
      </c>
      <c r="C2748" s="1" t="s">
        <v>4346</v>
      </c>
      <c r="D2748" s="2">
        <v>46066.54891203704</v>
      </c>
      <c r="E2748" s="1" t="s">
        <v>4347</v>
      </c>
      <c r="F2748" s="1" t="b">
        <v>0</v>
      </c>
    </row>
    <row r="2749">
      <c r="A2749" s="1" t="s">
        <v>503</v>
      </c>
      <c r="B2749" s="1" t="s">
        <v>2042</v>
      </c>
      <c r="C2749" s="1" t="s">
        <v>4346</v>
      </c>
      <c r="D2749" s="2">
        <v>46066.55039351852</v>
      </c>
      <c r="E2749" s="1" t="s">
        <v>4348</v>
      </c>
      <c r="F2749" s="1" t="b">
        <v>0</v>
      </c>
    </row>
    <row r="2750">
      <c r="A2750" s="1" t="s">
        <v>503</v>
      </c>
      <c r="B2750" s="1" t="s">
        <v>2042</v>
      </c>
      <c r="C2750" s="1" t="s">
        <v>4346</v>
      </c>
      <c r="D2750" s="2">
        <v>46066.5528125</v>
      </c>
      <c r="E2750" s="1" t="s">
        <v>2133</v>
      </c>
      <c r="F2750" s="1" t="b">
        <v>0</v>
      </c>
    </row>
    <row r="2751">
      <c r="A2751" s="1" t="s">
        <v>503</v>
      </c>
      <c r="B2751" s="1" t="s">
        <v>2042</v>
      </c>
      <c r="C2751" s="1" t="s">
        <v>4346</v>
      </c>
      <c r="D2751" s="2">
        <v>46066.55372685185</v>
      </c>
      <c r="E2751" s="1" t="s">
        <v>4349</v>
      </c>
      <c r="F2751" s="1" t="b">
        <v>0</v>
      </c>
    </row>
    <row r="2752">
      <c r="A2752" s="1" t="s">
        <v>503</v>
      </c>
      <c r="B2752" s="1" t="s">
        <v>2046</v>
      </c>
      <c r="C2752" s="1">
        <v>607950.0</v>
      </c>
      <c r="D2752" s="2">
        <v>46066.57266203704</v>
      </c>
      <c r="E2752" s="1" t="s">
        <v>3959</v>
      </c>
      <c r="F2752" s="1" t="b">
        <v>0</v>
      </c>
    </row>
    <row r="2753">
      <c r="A2753" s="1" t="s">
        <v>503</v>
      </c>
      <c r="B2753" s="1" t="s">
        <v>2046</v>
      </c>
      <c r="C2753" s="1">
        <v>574085.0</v>
      </c>
      <c r="D2753" s="2">
        <v>46066.57618055555</v>
      </c>
      <c r="E2753" s="1" t="s">
        <v>4350</v>
      </c>
      <c r="F2753" s="1" t="b">
        <v>1</v>
      </c>
    </row>
    <row r="2754">
      <c r="A2754" s="1" t="s">
        <v>503</v>
      </c>
      <c r="B2754" s="1" t="s">
        <v>2046</v>
      </c>
      <c r="C2754" s="1">
        <v>607950.0</v>
      </c>
      <c r="D2754" s="2">
        <v>46066.61402777778</v>
      </c>
      <c r="E2754" s="1" t="s">
        <v>4351</v>
      </c>
      <c r="F2754" s="1" t="b">
        <v>0</v>
      </c>
    </row>
    <row r="2755">
      <c r="A2755" s="1" t="s">
        <v>503</v>
      </c>
      <c r="B2755" s="1" t="s">
        <v>2046</v>
      </c>
      <c r="C2755" s="1">
        <v>607950.0</v>
      </c>
      <c r="D2755" s="2">
        <v>46066.693402777775</v>
      </c>
      <c r="E2755" s="1" t="s">
        <v>4006</v>
      </c>
      <c r="F2755" s="1" t="b">
        <v>0</v>
      </c>
    </row>
    <row r="2756">
      <c r="A2756" s="1" t="s">
        <v>503</v>
      </c>
      <c r="B2756" s="1" t="s">
        <v>2046</v>
      </c>
      <c r="C2756" s="1">
        <v>607950.0</v>
      </c>
      <c r="D2756" s="2">
        <v>46066.70271990741</v>
      </c>
      <c r="E2756" s="1" t="s">
        <v>2108</v>
      </c>
      <c r="F2756" s="1" t="b">
        <v>0</v>
      </c>
    </row>
    <row r="2757">
      <c r="A2757" s="1" t="s">
        <v>493</v>
      </c>
      <c r="B2757" s="1" t="s">
        <v>2042</v>
      </c>
      <c r="C2757" s="1" t="s">
        <v>496</v>
      </c>
      <c r="D2757" s="2">
        <v>46066.554085648146</v>
      </c>
      <c r="E2757" s="1" t="s">
        <v>4352</v>
      </c>
      <c r="F2757" s="1" t="b">
        <v>0</v>
      </c>
    </row>
    <row r="2758">
      <c r="A2758" s="1" t="s">
        <v>493</v>
      </c>
      <c r="B2758" s="1" t="s">
        <v>2042</v>
      </c>
      <c r="C2758" s="1" t="s">
        <v>496</v>
      </c>
      <c r="D2758" s="2">
        <v>46066.554756944446</v>
      </c>
      <c r="E2758" s="1" t="s">
        <v>4353</v>
      </c>
      <c r="F2758" s="1" t="b">
        <v>0</v>
      </c>
    </row>
    <row r="2759">
      <c r="A2759" s="1" t="s">
        <v>493</v>
      </c>
      <c r="B2759" s="1" t="s">
        <v>2042</v>
      </c>
      <c r="C2759" s="1" t="s">
        <v>496</v>
      </c>
      <c r="D2759" s="2">
        <v>46066.55541666667</v>
      </c>
      <c r="E2759" s="1" t="s">
        <v>4354</v>
      </c>
      <c r="F2759" s="1" t="b">
        <v>0</v>
      </c>
    </row>
    <row r="2760">
      <c r="A2760" s="1" t="s">
        <v>493</v>
      </c>
      <c r="B2760" s="1" t="s">
        <v>2042</v>
      </c>
      <c r="C2760" s="1" t="s">
        <v>496</v>
      </c>
      <c r="D2760" s="2">
        <v>46066.555752314816</v>
      </c>
      <c r="E2760" s="1" t="s">
        <v>4355</v>
      </c>
      <c r="F2760" s="1" t="b">
        <v>0</v>
      </c>
    </row>
    <row r="2761">
      <c r="A2761" s="1" t="s">
        <v>493</v>
      </c>
      <c r="B2761" s="1" t="s">
        <v>2046</v>
      </c>
      <c r="C2761" s="1">
        <v>607950.0</v>
      </c>
      <c r="D2761" s="2">
        <v>46066.69548611111</v>
      </c>
      <c r="E2761" s="1" t="s">
        <v>4356</v>
      </c>
      <c r="F2761" s="1" t="b">
        <v>0</v>
      </c>
    </row>
    <row r="2762">
      <c r="A2762" s="1" t="s">
        <v>489</v>
      </c>
      <c r="B2762" s="1" t="s">
        <v>2042</v>
      </c>
      <c r="C2762" s="1" t="s">
        <v>491</v>
      </c>
      <c r="D2762" s="2">
        <v>46066.57037037037</v>
      </c>
      <c r="E2762" s="1" t="s">
        <v>4357</v>
      </c>
      <c r="F2762" s="1" t="b">
        <v>0</v>
      </c>
    </row>
    <row r="2763">
      <c r="A2763" s="1" t="s">
        <v>489</v>
      </c>
      <c r="B2763" s="1" t="s">
        <v>2042</v>
      </c>
      <c r="C2763" s="1" t="s">
        <v>491</v>
      </c>
      <c r="D2763" s="2">
        <v>46066.572743055556</v>
      </c>
      <c r="E2763" s="1" t="s">
        <v>4358</v>
      </c>
      <c r="F2763" s="1" t="b">
        <v>0</v>
      </c>
    </row>
    <row r="2764">
      <c r="A2764" s="1" t="s">
        <v>485</v>
      </c>
      <c r="B2764" s="1" t="s">
        <v>2042</v>
      </c>
      <c r="C2764" s="1" t="s">
        <v>487</v>
      </c>
      <c r="D2764" s="2">
        <v>46066.581724537034</v>
      </c>
      <c r="E2764" s="1" t="s">
        <v>4359</v>
      </c>
      <c r="F2764" s="1" t="b">
        <v>0</v>
      </c>
    </row>
    <row r="2765">
      <c r="A2765" s="1" t="s">
        <v>485</v>
      </c>
      <c r="B2765" s="1" t="s">
        <v>2042</v>
      </c>
      <c r="C2765" s="1" t="s">
        <v>487</v>
      </c>
      <c r="D2765" s="2">
        <v>46066.58243055556</v>
      </c>
      <c r="E2765" s="1" t="s">
        <v>4360</v>
      </c>
      <c r="F2765" s="1" t="b">
        <v>0</v>
      </c>
    </row>
    <row r="2766">
      <c r="A2766" s="1" t="s">
        <v>485</v>
      </c>
      <c r="B2766" s="1" t="s">
        <v>2042</v>
      </c>
      <c r="C2766" s="1" t="s">
        <v>487</v>
      </c>
      <c r="D2766" s="2">
        <v>46066.582662037035</v>
      </c>
      <c r="E2766" s="1" t="s">
        <v>4361</v>
      </c>
      <c r="F2766" s="1" t="b">
        <v>0</v>
      </c>
    </row>
    <row r="2767">
      <c r="A2767" s="1" t="s">
        <v>481</v>
      </c>
      <c r="B2767" s="1" t="s">
        <v>2042</v>
      </c>
      <c r="C2767" s="1" t="s">
        <v>483</v>
      </c>
      <c r="D2767" s="2">
        <v>46066.58819444444</v>
      </c>
      <c r="E2767" s="1" t="s">
        <v>4362</v>
      </c>
      <c r="F2767" s="1" t="b">
        <v>0</v>
      </c>
    </row>
    <row r="2768">
      <c r="A2768" s="1" t="s">
        <v>481</v>
      </c>
      <c r="B2768" s="1" t="s">
        <v>2042</v>
      </c>
      <c r="C2768" s="1" t="s">
        <v>483</v>
      </c>
      <c r="D2768" s="2">
        <v>46066.65224537037</v>
      </c>
      <c r="E2768" s="1" t="s">
        <v>4363</v>
      </c>
      <c r="F2768" s="1" t="b">
        <v>0</v>
      </c>
    </row>
    <row r="2769">
      <c r="A2769" s="1" t="s">
        <v>477</v>
      </c>
      <c r="B2769" s="1" t="s">
        <v>2042</v>
      </c>
      <c r="C2769" s="1" t="s">
        <v>479</v>
      </c>
      <c r="D2769" s="2">
        <v>46066.59912037037</v>
      </c>
      <c r="E2769" s="1" t="s">
        <v>4364</v>
      </c>
      <c r="F2769" s="1" t="b">
        <v>0</v>
      </c>
    </row>
    <row r="2770">
      <c r="A2770" s="1" t="s">
        <v>473</v>
      </c>
      <c r="B2770" s="1" t="s">
        <v>2042</v>
      </c>
      <c r="C2770" s="1" t="s">
        <v>475</v>
      </c>
      <c r="D2770" s="2">
        <v>46066.61969907407</v>
      </c>
      <c r="E2770" s="1" t="s">
        <v>4365</v>
      </c>
      <c r="F2770" s="1" t="b">
        <v>0</v>
      </c>
    </row>
    <row r="2771">
      <c r="A2771" s="1" t="s">
        <v>473</v>
      </c>
      <c r="B2771" s="1" t="s">
        <v>2042</v>
      </c>
      <c r="C2771" s="1" t="s">
        <v>475</v>
      </c>
      <c r="D2771" s="2">
        <v>46066.6209375</v>
      </c>
      <c r="E2771" s="1" t="s">
        <v>4366</v>
      </c>
      <c r="F2771" s="1" t="b">
        <v>0</v>
      </c>
    </row>
    <row r="2772">
      <c r="A2772" s="1" t="s">
        <v>473</v>
      </c>
      <c r="B2772" s="1" t="s">
        <v>2042</v>
      </c>
      <c r="C2772" s="1" t="s">
        <v>475</v>
      </c>
      <c r="D2772" s="2">
        <v>46066.622349537036</v>
      </c>
      <c r="E2772" s="1" t="s">
        <v>4367</v>
      </c>
      <c r="F2772" s="1" t="b">
        <v>0</v>
      </c>
    </row>
    <row r="2773">
      <c r="A2773" s="1" t="s">
        <v>473</v>
      </c>
      <c r="B2773" s="1" t="s">
        <v>2042</v>
      </c>
      <c r="C2773" s="1" t="s">
        <v>475</v>
      </c>
      <c r="D2773" s="2">
        <v>46066.625069444446</v>
      </c>
      <c r="E2773" s="1" t="s">
        <v>4368</v>
      </c>
      <c r="F2773" s="1" t="b">
        <v>0</v>
      </c>
    </row>
    <row r="2774">
      <c r="A2774" s="1" t="s">
        <v>473</v>
      </c>
      <c r="B2774" s="1" t="s">
        <v>2042</v>
      </c>
      <c r="C2774" s="1" t="s">
        <v>475</v>
      </c>
      <c r="D2774" s="2">
        <v>46066.626851851855</v>
      </c>
      <c r="E2774" s="1" t="s">
        <v>4369</v>
      </c>
      <c r="F2774" s="1" t="b">
        <v>0</v>
      </c>
    </row>
    <row r="2775">
      <c r="A2775" s="1" t="s">
        <v>473</v>
      </c>
      <c r="B2775" s="1" t="s">
        <v>2042</v>
      </c>
      <c r="C2775" s="1" t="s">
        <v>475</v>
      </c>
      <c r="D2775" s="2">
        <v>46066.62971064815</v>
      </c>
      <c r="E2775" s="1" t="s">
        <v>4370</v>
      </c>
      <c r="F2775" s="1" t="b">
        <v>0</v>
      </c>
    </row>
    <row r="2776">
      <c r="A2776" s="1" t="s">
        <v>473</v>
      </c>
      <c r="B2776" s="1" t="s">
        <v>2042</v>
      </c>
      <c r="C2776" s="1" t="s">
        <v>475</v>
      </c>
      <c r="D2776" s="2">
        <v>46066.63244212963</v>
      </c>
      <c r="E2776" s="1" t="s">
        <v>4371</v>
      </c>
      <c r="F2776" s="1" t="b">
        <v>0</v>
      </c>
    </row>
    <row r="2777">
      <c r="A2777" s="1" t="s">
        <v>469</v>
      </c>
      <c r="B2777" s="1" t="s">
        <v>2042</v>
      </c>
      <c r="C2777" s="1" t="s">
        <v>471</v>
      </c>
      <c r="D2777" s="2">
        <v>46066.63015046297</v>
      </c>
      <c r="E2777" s="1" t="s">
        <v>4372</v>
      </c>
      <c r="F2777" s="1" t="b">
        <v>0</v>
      </c>
    </row>
    <row r="2778">
      <c r="A2778" s="1" t="s">
        <v>465</v>
      </c>
      <c r="B2778" s="1" t="s">
        <v>2042</v>
      </c>
      <c r="C2778" s="1" t="s">
        <v>467</v>
      </c>
      <c r="D2778" s="2">
        <v>46066.64325231482</v>
      </c>
      <c r="E2778" s="1" t="s">
        <v>4373</v>
      </c>
      <c r="F2778" s="1" t="b">
        <v>0</v>
      </c>
    </row>
    <row r="2779">
      <c r="A2779" s="1" t="s">
        <v>465</v>
      </c>
      <c r="B2779" s="1" t="s">
        <v>2042</v>
      </c>
      <c r="C2779" s="1" t="s">
        <v>467</v>
      </c>
      <c r="D2779" s="2">
        <v>46066.64555555556</v>
      </c>
      <c r="E2779" s="1" t="s">
        <v>4374</v>
      </c>
      <c r="F2779" s="1" t="b">
        <v>0</v>
      </c>
    </row>
    <row r="2780">
      <c r="A2780" s="1" t="s">
        <v>461</v>
      </c>
      <c r="B2780" s="1" t="s">
        <v>2042</v>
      </c>
      <c r="C2780" s="1" t="s">
        <v>463</v>
      </c>
      <c r="D2780" s="2">
        <v>46066.64806712963</v>
      </c>
      <c r="E2780" s="1" t="s">
        <v>4362</v>
      </c>
      <c r="F2780" s="1" t="b">
        <v>0</v>
      </c>
    </row>
    <row r="2781">
      <c r="A2781" s="1" t="s">
        <v>457</v>
      </c>
      <c r="B2781" s="1" t="s">
        <v>2042</v>
      </c>
      <c r="C2781" s="1" t="s">
        <v>4375</v>
      </c>
      <c r="D2781" s="2">
        <v>46066.70993055555</v>
      </c>
      <c r="E2781" s="1" t="s">
        <v>4376</v>
      </c>
      <c r="F2781" s="1" t="b">
        <v>0</v>
      </c>
    </row>
    <row r="2782">
      <c r="A2782" s="1" t="s">
        <v>453</v>
      </c>
      <c r="B2782" s="1" t="s">
        <v>2042</v>
      </c>
      <c r="C2782" s="1" t="s">
        <v>455</v>
      </c>
      <c r="D2782" s="2">
        <v>46066.66402777778</v>
      </c>
      <c r="E2782" s="1" t="s">
        <v>4377</v>
      </c>
      <c r="F2782" s="1" t="b">
        <v>0</v>
      </c>
    </row>
    <row r="2783">
      <c r="A2783" s="1" t="s">
        <v>449</v>
      </c>
      <c r="B2783" s="1" t="s">
        <v>2042</v>
      </c>
      <c r="C2783" s="1" t="s">
        <v>451</v>
      </c>
      <c r="D2783" s="2">
        <v>46066.669965277775</v>
      </c>
      <c r="E2783" s="1" t="s">
        <v>4378</v>
      </c>
      <c r="F2783" s="1" t="b">
        <v>0</v>
      </c>
    </row>
    <row r="2784">
      <c r="A2784" s="1" t="s">
        <v>449</v>
      </c>
      <c r="B2784" s="1" t="s">
        <v>2042</v>
      </c>
      <c r="C2784" s="1" t="s">
        <v>451</v>
      </c>
      <c r="D2784" s="2">
        <v>46066.670381944445</v>
      </c>
      <c r="E2784" s="1" t="s">
        <v>4379</v>
      </c>
      <c r="F2784" s="1" t="b">
        <v>0</v>
      </c>
    </row>
    <row r="2785">
      <c r="A2785" s="1" t="s">
        <v>445</v>
      </c>
      <c r="B2785" s="1" t="s">
        <v>2042</v>
      </c>
      <c r="C2785" s="1" t="s">
        <v>447</v>
      </c>
      <c r="D2785" s="2">
        <v>46066.71372685185</v>
      </c>
      <c r="F2785" s="1" t="b">
        <v>0</v>
      </c>
    </row>
    <row r="2786">
      <c r="A2786" s="1" t="s">
        <v>445</v>
      </c>
      <c r="B2786" s="1" t="s">
        <v>2042</v>
      </c>
      <c r="C2786" s="1" t="s">
        <v>447</v>
      </c>
      <c r="D2786" s="2">
        <v>46066.714166666665</v>
      </c>
      <c r="E2786" s="1" t="s">
        <v>4380</v>
      </c>
      <c r="F2786" s="1" t="b">
        <v>0</v>
      </c>
    </row>
    <row r="2787">
      <c r="A2787" s="1" t="s">
        <v>445</v>
      </c>
      <c r="B2787" s="1" t="s">
        <v>2042</v>
      </c>
      <c r="C2787" s="1" t="s">
        <v>447</v>
      </c>
      <c r="D2787" s="2">
        <v>46066.71502314815</v>
      </c>
      <c r="E2787" s="1" t="s">
        <v>4381</v>
      </c>
      <c r="F2787" s="1" t="b">
        <v>0</v>
      </c>
    </row>
    <row r="2788">
      <c r="A2788" s="1" t="s">
        <v>431</v>
      </c>
      <c r="B2788" s="1" t="s">
        <v>2042</v>
      </c>
      <c r="C2788" s="1" t="s">
        <v>433</v>
      </c>
      <c r="D2788" s="2">
        <v>46067.44969907407</v>
      </c>
      <c r="E2788" s="1" t="s">
        <v>4382</v>
      </c>
      <c r="F2788" s="1" t="b">
        <v>0</v>
      </c>
    </row>
    <row r="2789">
      <c r="A2789" s="1" t="s">
        <v>427</v>
      </c>
      <c r="B2789" s="1" t="s">
        <v>2042</v>
      </c>
      <c r="C2789" s="1" t="s">
        <v>429</v>
      </c>
      <c r="D2789" s="2">
        <v>46067.51793981482</v>
      </c>
      <c r="E2789" s="1" t="s">
        <v>4383</v>
      </c>
      <c r="F2789" s="1" t="b">
        <v>0</v>
      </c>
    </row>
    <row r="2790">
      <c r="A2790" s="1" t="s">
        <v>423</v>
      </c>
      <c r="B2790" s="1" t="s">
        <v>2042</v>
      </c>
      <c r="C2790" s="1" t="s">
        <v>425</v>
      </c>
      <c r="D2790" s="2">
        <v>46067.69315972222</v>
      </c>
      <c r="E2790" s="1" t="s">
        <v>4384</v>
      </c>
      <c r="F2790" s="1" t="b">
        <v>0</v>
      </c>
    </row>
    <row r="2791">
      <c r="A2791" s="1" t="s">
        <v>421</v>
      </c>
      <c r="B2791" s="1" t="s">
        <v>2042</v>
      </c>
      <c r="C2791" s="1" t="s">
        <v>419</v>
      </c>
      <c r="D2791" s="2">
        <v>46068.007361111115</v>
      </c>
      <c r="E2791" s="1" t="s">
        <v>4385</v>
      </c>
      <c r="F2791" s="1" t="b">
        <v>0</v>
      </c>
    </row>
    <row r="2792">
      <c r="A2792" s="1" t="s">
        <v>421</v>
      </c>
      <c r="B2792" s="1" t="s">
        <v>2042</v>
      </c>
      <c r="C2792" s="1" t="s">
        <v>419</v>
      </c>
      <c r="D2792" s="2">
        <v>46068.00787037037</v>
      </c>
      <c r="E2792" s="1" t="s">
        <v>4386</v>
      </c>
      <c r="F2792" s="1" t="b">
        <v>0</v>
      </c>
    </row>
    <row r="2793">
      <c r="A2793" s="1" t="s">
        <v>417</v>
      </c>
      <c r="B2793" s="1" t="s">
        <v>2042</v>
      </c>
      <c r="C2793" s="1" t="s">
        <v>419</v>
      </c>
      <c r="D2793" s="2">
        <v>46068.00943287037</v>
      </c>
      <c r="E2793" s="1" t="s">
        <v>4387</v>
      </c>
      <c r="F2793" s="1" t="b">
        <v>0</v>
      </c>
    </row>
    <row r="2794">
      <c r="A2794" s="1" t="s">
        <v>415</v>
      </c>
      <c r="B2794" s="1" t="s">
        <v>2042</v>
      </c>
      <c r="C2794" s="1" t="s">
        <v>164</v>
      </c>
      <c r="D2794" s="2">
        <v>46068.47232638889</v>
      </c>
      <c r="E2794" s="1" t="s">
        <v>4388</v>
      </c>
      <c r="F2794" s="1" t="b">
        <v>0</v>
      </c>
    </row>
    <row r="2795">
      <c r="A2795" s="1" t="s">
        <v>411</v>
      </c>
      <c r="B2795" s="1" t="s">
        <v>2042</v>
      </c>
      <c r="C2795" s="1" t="s">
        <v>413</v>
      </c>
      <c r="D2795" s="2">
        <v>46069.51055555556</v>
      </c>
      <c r="E2795" s="1" t="s">
        <v>4389</v>
      </c>
      <c r="F2795" s="1" t="b">
        <v>0</v>
      </c>
    </row>
    <row r="2796">
      <c r="A2796" s="1" t="s">
        <v>411</v>
      </c>
      <c r="B2796" s="1" t="s">
        <v>2042</v>
      </c>
      <c r="C2796" s="1" t="s">
        <v>413</v>
      </c>
      <c r="D2796" s="2">
        <v>46069.510671296295</v>
      </c>
      <c r="E2796" s="1" t="s">
        <v>4390</v>
      </c>
      <c r="F2796" s="1" t="b">
        <v>0</v>
      </c>
    </row>
    <row r="2797">
      <c r="A2797" s="1" t="s">
        <v>411</v>
      </c>
      <c r="B2797" s="1" t="s">
        <v>2042</v>
      </c>
      <c r="C2797" s="1" t="s">
        <v>413</v>
      </c>
      <c r="D2797" s="2">
        <v>46069.51119212963</v>
      </c>
      <c r="E2797" s="1" t="s">
        <v>4391</v>
      </c>
      <c r="F2797" s="1" t="b">
        <v>0</v>
      </c>
    </row>
    <row r="2798">
      <c r="A2798" s="1" t="s">
        <v>407</v>
      </c>
      <c r="B2798" s="1" t="s">
        <v>2042</v>
      </c>
      <c r="C2798" s="1" t="s">
        <v>409</v>
      </c>
      <c r="D2798" s="2">
        <v>46069.52378472222</v>
      </c>
      <c r="E2798" s="1" t="s">
        <v>4392</v>
      </c>
      <c r="F2798" s="1" t="b">
        <v>0</v>
      </c>
    </row>
    <row r="2799">
      <c r="A2799" s="1" t="s">
        <v>403</v>
      </c>
      <c r="B2799" s="1" t="s">
        <v>2042</v>
      </c>
      <c r="C2799" s="1" t="s">
        <v>405</v>
      </c>
      <c r="D2799" s="2">
        <v>46069.62731481482</v>
      </c>
      <c r="E2799" s="1" t="s">
        <v>4393</v>
      </c>
      <c r="F2799" s="1" t="b">
        <v>0</v>
      </c>
    </row>
    <row r="2800">
      <c r="A2800" s="1" t="s">
        <v>403</v>
      </c>
      <c r="B2800" s="1" t="s">
        <v>2042</v>
      </c>
      <c r="C2800" s="1" t="s">
        <v>405</v>
      </c>
      <c r="D2800" s="2">
        <v>46069.62751157407</v>
      </c>
      <c r="E2800" s="1" t="s">
        <v>4394</v>
      </c>
      <c r="F2800" s="1" t="b">
        <v>0</v>
      </c>
    </row>
    <row r="2801">
      <c r="A2801" s="1" t="s">
        <v>403</v>
      </c>
      <c r="B2801" s="1" t="s">
        <v>2042</v>
      </c>
      <c r="C2801" s="1" t="s">
        <v>405</v>
      </c>
      <c r="D2801" s="2">
        <v>46069.62795138889</v>
      </c>
      <c r="E2801" s="1" t="s">
        <v>4395</v>
      </c>
      <c r="F2801" s="1" t="b">
        <v>0</v>
      </c>
    </row>
    <row r="2802">
      <c r="A2802" s="1" t="s">
        <v>395</v>
      </c>
      <c r="B2802" s="1" t="s">
        <v>2042</v>
      </c>
      <c r="C2802" s="1" t="s">
        <v>397</v>
      </c>
      <c r="D2802" s="2">
        <v>46070.26563657408</v>
      </c>
      <c r="E2802" s="1" t="s">
        <v>4396</v>
      </c>
      <c r="F2802" s="1" t="b">
        <v>0</v>
      </c>
    </row>
    <row r="2803">
      <c r="A2803" s="1" t="s">
        <v>390</v>
      </c>
      <c r="B2803" s="1" t="s">
        <v>2042</v>
      </c>
      <c r="C2803" s="1" t="s">
        <v>393</v>
      </c>
      <c r="D2803" s="2">
        <v>46070.48064814815</v>
      </c>
      <c r="E2803" s="1" t="s">
        <v>4397</v>
      </c>
      <c r="F2803" s="1" t="b">
        <v>0</v>
      </c>
    </row>
    <row r="2804">
      <c r="A2804" s="1" t="s">
        <v>390</v>
      </c>
      <c r="B2804" s="1" t="s">
        <v>2042</v>
      </c>
      <c r="C2804" s="1" t="s">
        <v>393</v>
      </c>
      <c r="D2804" s="2">
        <v>46070.481041666666</v>
      </c>
      <c r="E2804" s="1" t="s">
        <v>4398</v>
      </c>
      <c r="F2804" s="1" t="b">
        <v>0</v>
      </c>
    </row>
    <row r="2805">
      <c r="A2805" s="1" t="s">
        <v>390</v>
      </c>
      <c r="B2805" s="1" t="s">
        <v>2042</v>
      </c>
      <c r="C2805" s="1" t="s">
        <v>393</v>
      </c>
      <c r="D2805" s="2">
        <v>46070.48195601852</v>
      </c>
      <c r="E2805" s="1" t="s">
        <v>4399</v>
      </c>
      <c r="F2805" s="1" t="b">
        <v>0</v>
      </c>
    </row>
    <row r="2806">
      <c r="A2806" s="1" t="s">
        <v>390</v>
      </c>
      <c r="B2806" s="1" t="s">
        <v>2042</v>
      </c>
      <c r="C2806" s="1" t="s">
        <v>393</v>
      </c>
      <c r="D2806" s="2">
        <v>46070.484131944446</v>
      </c>
      <c r="E2806" s="1" t="s">
        <v>4400</v>
      </c>
      <c r="F2806" s="1" t="b">
        <v>0</v>
      </c>
    </row>
    <row r="2807">
      <c r="A2807" s="1" t="s">
        <v>390</v>
      </c>
      <c r="B2807" s="1" t="s">
        <v>2042</v>
      </c>
      <c r="C2807" s="1" t="s">
        <v>393</v>
      </c>
      <c r="D2807" s="2">
        <v>46070.48539351852</v>
      </c>
      <c r="E2807" s="1" t="s">
        <v>4401</v>
      </c>
      <c r="F2807" s="1" t="b">
        <v>0</v>
      </c>
    </row>
    <row r="2808">
      <c r="A2808" s="1" t="s">
        <v>390</v>
      </c>
      <c r="B2808" s="1" t="s">
        <v>2042</v>
      </c>
      <c r="C2808" s="1" t="s">
        <v>393</v>
      </c>
      <c r="D2808" s="2">
        <v>46070.49024305555</v>
      </c>
      <c r="E2808" s="1" t="s">
        <v>4402</v>
      </c>
      <c r="F2808" s="1" t="b">
        <v>0</v>
      </c>
    </row>
    <row r="2809">
      <c r="A2809" s="1" t="s">
        <v>386</v>
      </c>
      <c r="B2809" s="1" t="s">
        <v>2042</v>
      </c>
      <c r="C2809" s="1" t="s">
        <v>388</v>
      </c>
      <c r="D2809" s="2">
        <v>46070.55950231481</v>
      </c>
      <c r="E2809" s="1" t="s">
        <v>4403</v>
      </c>
      <c r="F2809" s="1" t="b">
        <v>0</v>
      </c>
    </row>
    <row r="2810">
      <c r="A2810" s="1" t="s">
        <v>386</v>
      </c>
      <c r="B2810" s="1" t="s">
        <v>2042</v>
      </c>
      <c r="C2810" s="1" t="s">
        <v>388</v>
      </c>
      <c r="D2810" s="2">
        <v>46070.55988425926</v>
      </c>
      <c r="E2810" s="1" t="s">
        <v>4404</v>
      </c>
      <c r="F2810" s="1" t="b">
        <v>0</v>
      </c>
    </row>
    <row r="2811">
      <c r="A2811" s="1" t="s">
        <v>374</v>
      </c>
      <c r="B2811" s="1" t="s">
        <v>2042</v>
      </c>
      <c r="C2811" s="1" t="s">
        <v>376</v>
      </c>
      <c r="D2811" s="2">
        <v>46070.88752314815</v>
      </c>
      <c r="E2811" s="1" t="s">
        <v>4405</v>
      </c>
      <c r="F2811" s="1" t="b">
        <v>0</v>
      </c>
    </row>
    <row r="2812">
      <c r="A2812" s="1" t="s">
        <v>370</v>
      </c>
      <c r="B2812" s="1" t="s">
        <v>2042</v>
      </c>
      <c r="C2812" s="1" t="s">
        <v>372</v>
      </c>
      <c r="D2812" s="2">
        <v>46071.469293981485</v>
      </c>
      <c r="E2812" s="1" t="s">
        <v>4406</v>
      </c>
      <c r="F2812" s="1" t="b">
        <v>0</v>
      </c>
    </row>
    <row r="2813">
      <c r="A2813" s="1" t="s">
        <v>362</v>
      </c>
      <c r="B2813" s="1" t="s">
        <v>2042</v>
      </c>
      <c r="C2813" s="1" t="s">
        <v>364</v>
      </c>
      <c r="D2813" s="2">
        <v>46071.77675925926</v>
      </c>
      <c r="F2813" s="1" t="b">
        <v>0</v>
      </c>
    </row>
    <row r="2814">
      <c r="A2814" s="1" t="s">
        <v>362</v>
      </c>
      <c r="B2814" s="1" t="s">
        <v>2042</v>
      </c>
      <c r="C2814" s="1" t="s">
        <v>364</v>
      </c>
      <c r="D2814" s="2">
        <v>46071.77700231481</v>
      </c>
      <c r="E2814" s="1" t="s">
        <v>4407</v>
      </c>
      <c r="F2814" s="1" t="b">
        <v>0</v>
      </c>
    </row>
    <row r="2815">
      <c r="A2815" s="1" t="s">
        <v>362</v>
      </c>
      <c r="B2815" s="1" t="s">
        <v>2042</v>
      </c>
      <c r="C2815" s="1" t="s">
        <v>364</v>
      </c>
      <c r="D2815" s="2">
        <v>46071.77744212963</v>
      </c>
      <c r="E2815" s="1" t="s">
        <v>4408</v>
      </c>
      <c r="F2815" s="1" t="b">
        <v>0</v>
      </c>
    </row>
    <row r="2816">
      <c r="A2816" s="1" t="s">
        <v>358</v>
      </c>
      <c r="B2816" s="1" t="s">
        <v>2042</v>
      </c>
      <c r="C2816" s="1" t="s">
        <v>360</v>
      </c>
      <c r="D2816" s="2">
        <v>46071.96461805556</v>
      </c>
      <c r="E2816" s="1" t="s">
        <v>4409</v>
      </c>
      <c r="F2816" s="1" t="b">
        <v>0</v>
      </c>
    </row>
    <row r="2817">
      <c r="A2817" s="1" t="s">
        <v>358</v>
      </c>
      <c r="B2817" s="1" t="s">
        <v>2042</v>
      </c>
      <c r="C2817" s="1" t="s">
        <v>360</v>
      </c>
      <c r="D2817" s="2">
        <v>46071.96555555556</v>
      </c>
      <c r="E2817" s="1" t="s">
        <v>4410</v>
      </c>
      <c r="F2817" s="1" t="b">
        <v>0</v>
      </c>
    </row>
    <row r="2818">
      <c r="A2818" s="1" t="s">
        <v>358</v>
      </c>
      <c r="B2818" s="1" t="s">
        <v>2042</v>
      </c>
      <c r="C2818" s="1" t="s">
        <v>360</v>
      </c>
      <c r="D2818" s="2">
        <v>46071.9662962963</v>
      </c>
      <c r="E2818" s="1" t="s">
        <v>4411</v>
      </c>
      <c r="F2818" s="1" t="b">
        <v>0</v>
      </c>
    </row>
    <row r="2819">
      <c r="A2819" s="1" t="s">
        <v>350</v>
      </c>
      <c r="B2819" s="1" t="s">
        <v>2042</v>
      </c>
      <c r="C2819" s="1" t="s">
        <v>352</v>
      </c>
      <c r="D2819" s="2">
        <v>46072.045636574076</v>
      </c>
      <c r="E2819" s="1" t="s">
        <v>4412</v>
      </c>
      <c r="F2819" s="1" t="b">
        <v>0</v>
      </c>
    </row>
    <row r="2820">
      <c r="A2820" s="1" t="s">
        <v>346</v>
      </c>
      <c r="B2820" s="1" t="s">
        <v>2042</v>
      </c>
      <c r="C2820" s="1" t="s">
        <v>348</v>
      </c>
      <c r="D2820" s="2">
        <v>46072.13482638889</v>
      </c>
      <c r="E2820" s="1" t="s">
        <v>4413</v>
      </c>
      <c r="F2820" s="1" t="b">
        <v>0</v>
      </c>
    </row>
    <row r="2821">
      <c r="A2821" s="1" t="s">
        <v>342</v>
      </c>
      <c r="B2821" s="1" t="s">
        <v>2042</v>
      </c>
      <c r="C2821" s="1" t="s">
        <v>344</v>
      </c>
      <c r="D2821" s="2">
        <v>46072.34502314815</v>
      </c>
      <c r="E2821" s="1" t="s">
        <v>4414</v>
      </c>
      <c r="F2821" s="1" t="b">
        <v>0</v>
      </c>
    </row>
    <row r="2822">
      <c r="A2822" s="1" t="s">
        <v>342</v>
      </c>
      <c r="B2822" s="1" t="s">
        <v>2042</v>
      </c>
      <c r="C2822" s="1" t="s">
        <v>344</v>
      </c>
      <c r="D2822" s="2">
        <v>46072.34512731482</v>
      </c>
      <c r="F2822" s="1" t="b">
        <v>0</v>
      </c>
    </row>
    <row r="2823">
      <c r="A2823" s="1" t="s">
        <v>342</v>
      </c>
      <c r="B2823" s="1" t="s">
        <v>2042</v>
      </c>
      <c r="C2823" s="1" t="s">
        <v>344</v>
      </c>
      <c r="D2823" s="2">
        <v>46072.345185185186</v>
      </c>
      <c r="F2823" s="1" t="b">
        <v>0</v>
      </c>
    </row>
    <row r="2824">
      <c r="A2824" s="1" t="s">
        <v>342</v>
      </c>
      <c r="B2824" s="1" t="s">
        <v>2042</v>
      </c>
      <c r="C2824" s="1" t="s">
        <v>344</v>
      </c>
      <c r="D2824" s="2">
        <v>46072.345555555556</v>
      </c>
      <c r="E2824" s="1" t="s">
        <v>4415</v>
      </c>
      <c r="F2824" s="1" t="b">
        <v>0</v>
      </c>
    </row>
    <row r="2825">
      <c r="A2825" s="1" t="s">
        <v>342</v>
      </c>
      <c r="B2825" s="1" t="s">
        <v>2042</v>
      </c>
      <c r="C2825" s="1" t="s">
        <v>344</v>
      </c>
      <c r="D2825" s="2">
        <v>46072.34581018519</v>
      </c>
      <c r="E2825" s="1" t="s">
        <v>4416</v>
      </c>
      <c r="F2825" s="1" t="b">
        <v>0</v>
      </c>
    </row>
    <row r="2826">
      <c r="A2826" s="1" t="s">
        <v>342</v>
      </c>
      <c r="B2826" s="1" t="s">
        <v>2042</v>
      </c>
      <c r="C2826" s="1" t="s">
        <v>344</v>
      </c>
      <c r="D2826" s="2">
        <v>46072.34596064815</v>
      </c>
      <c r="E2826" s="1" t="s">
        <v>4417</v>
      </c>
      <c r="F2826" s="1" t="b">
        <v>0</v>
      </c>
    </row>
    <row r="2827">
      <c r="A2827" s="1" t="s">
        <v>342</v>
      </c>
      <c r="B2827" s="1" t="s">
        <v>2042</v>
      </c>
      <c r="C2827" s="1" t="s">
        <v>344</v>
      </c>
      <c r="D2827" s="2">
        <v>46072.448645833334</v>
      </c>
      <c r="E2827" s="1" t="s">
        <v>4418</v>
      </c>
      <c r="F2827" s="1" t="b">
        <v>0</v>
      </c>
    </row>
    <row r="2828">
      <c r="A2828" s="1" t="s">
        <v>337</v>
      </c>
      <c r="B2828" s="1" t="s">
        <v>2042</v>
      </c>
      <c r="C2828" s="1" t="s">
        <v>340</v>
      </c>
      <c r="D2828" s="2">
        <v>46072.37170138889</v>
      </c>
      <c r="E2828" s="1" t="s">
        <v>4419</v>
      </c>
      <c r="F2828" s="1" t="b">
        <v>0</v>
      </c>
    </row>
    <row r="2829">
      <c r="A2829" s="1" t="s">
        <v>337</v>
      </c>
      <c r="B2829" s="1" t="s">
        <v>2042</v>
      </c>
      <c r="C2829" s="1" t="s">
        <v>340</v>
      </c>
      <c r="D2829" s="2">
        <v>46072.37353009259</v>
      </c>
      <c r="E2829" s="1" t="s">
        <v>4420</v>
      </c>
      <c r="F2829" s="1" t="b">
        <v>0</v>
      </c>
    </row>
    <row r="2830">
      <c r="A2830" s="1" t="s">
        <v>337</v>
      </c>
      <c r="B2830" s="1" t="s">
        <v>2042</v>
      </c>
      <c r="C2830" s="1" t="s">
        <v>340</v>
      </c>
      <c r="D2830" s="2">
        <v>46072.37380787037</v>
      </c>
      <c r="E2830" s="1" t="s">
        <v>4421</v>
      </c>
      <c r="F2830" s="1" t="b">
        <v>0</v>
      </c>
    </row>
    <row r="2831">
      <c r="A2831" s="1" t="s">
        <v>337</v>
      </c>
      <c r="B2831" s="1" t="s">
        <v>2042</v>
      </c>
      <c r="C2831" s="1" t="s">
        <v>340</v>
      </c>
      <c r="D2831" s="2">
        <v>46072.37480324074</v>
      </c>
      <c r="E2831" s="1" t="s">
        <v>4422</v>
      </c>
      <c r="F2831" s="1" t="b">
        <v>0</v>
      </c>
    </row>
    <row r="2832">
      <c r="A2832" s="1" t="s">
        <v>337</v>
      </c>
      <c r="B2832" s="1" t="s">
        <v>2042</v>
      </c>
      <c r="C2832" s="1" t="s">
        <v>340</v>
      </c>
      <c r="D2832" s="2">
        <v>46072.542349537034</v>
      </c>
      <c r="E2832" s="1" t="s">
        <v>4422</v>
      </c>
      <c r="F2832" s="1" t="b">
        <v>0</v>
      </c>
    </row>
    <row r="2833">
      <c r="A2833" s="1" t="s">
        <v>337</v>
      </c>
      <c r="B2833" s="1" t="s">
        <v>2046</v>
      </c>
      <c r="C2833" s="1">
        <v>533671.0</v>
      </c>
      <c r="D2833" s="2">
        <v>46072.54939814815</v>
      </c>
      <c r="E2833" s="1" t="s">
        <v>4423</v>
      </c>
      <c r="F2833" s="1" t="b">
        <v>0</v>
      </c>
    </row>
    <row r="2834">
      <c r="A2834" s="1" t="s">
        <v>337</v>
      </c>
      <c r="B2834" s="1" t="s">
        <v>2042</v>
      </c>
      <c r="C2834" s="1" t="s">
        <v>340</v>
      </c>
      <c r="D2834" s="2">
        <v>46072.555497685185</v>
      </c>
      <c r="E2834" s="1" t="s">
        <v>4424</v>
      </c>
      <c r="F2834" s="1" t="b">
        <v>0</v>
      </c>
    </row>
    <row r="2835">
      <c r="A2835" s="1" t="s">
        <v>337</v>
      </c>
      <c r="B2835" s="1" t="s">
        <v>2046</v>
      </c>
      <c r="C2835" s="1">
        <v>533671.0</v>
      </c>
      <c r="D2835" s="2">
        <v>46072.60743055555</v>
      </c>
      <c r="E2835" s="1" t="s">
        <v>4425</v>
      </c>
      <c r="F2835" s="1" t="b">
        <v>0</v>
      </c>
    </row>
    <row r="2836">
      <c r="A2836" s="1" t="s">
        <v>337</v>
      </c>
      <c r="B2836" s="1" t="s">
        <v>2042</v>
      </c>
      <c r="C2836" s="1" t="s">
        <v>340</v>
      </c>
      <c r="D2836" s="2">
        <v>46072.608460648145</v>
      </c>
      <c r="E2836" s="1" t="s">
        <v>3616</v>
      </c>
      <c r="F2836" s="1" t="b">
        <v>0</v>
      </c>
    </row>
    <row r="2837">
      <c r="A2837" s="1" t="s">
        <v>337</v>
      </c>
      <c r="B2837" s="1" t="s">
        <v>2046</v>
      </c>
      <c r="C2837" s="1">
        <v>533671.0</v>
      </c>
      <c r="D2837" s="2">
        <v>46072.61252314815</v>
      </c>
      <c r="E2837" s="1" t="s">
        <v>4426</v>
      </c>
      <c r="F2837" s="1" t="b">
        <v>1</v>
      </c>
    </row>
    <row r="2838">
      <c r="A2838" s="1" t="s">
        <v>333</v>
      </c>
      <c r="B2838" s="1" t="s">
        <v>2042</v>
      </c>
      <c r="C2838" s="1" t="s">
        <v>335</v>
      </c>
      <c r="D2838" s="2">
        <v>46072.37195601852</v>
      </c>
      <c r="E2838" s="1" t="s">
        <v>4427</v>
      </c>
      <c r="F2838" s="1" t="b">
        <v>0</v>
      </c>
    </row>
    <row r="2839">
      <c r="A2839" s="1" t="s">
        <v>333</v>
      </c>
      <c r="B2839" s="1" t="s">
        <v>2042</v>
      </c>
      <c r="C2839" s="1" t="s">
        <v>335</v>
      </c>
      <c r="D2839" s="2">
        <v>46072.37241898148</v>
      </c>
      <c r="E2839" s="1" t="s">
        <v>4428</v>
      </c>
      <c r="F2839" s="1" t="b">
        <v>0</v>
      </c>
    </row>
    <row r="2840">
      <c r="A2840" s="1" t="s">
        <v>333</v>
      </c>
      <c r="B2840" s="1" t="s">
        <v>2042</v>
      </c>
      <c r="C2840" s="1" t="s">
        <v>335</v>
      </c>
      <c r="D2840" s="2">
        <v>46072.681446759256</v>
      </c>
      <c r="E2840" s="1" t="s">
        <v>4429</v>
      </c>
      <c r="F2840" s="1" t="b">
        <v>0</v>
      </c>
    </row>
    <row r="2841">
      <c r="A2841" s="1" t="s">
        <v>333</v>
      </c>
      <c r="B2841" s="1" t="s">
        <v>2042</v>
      </c>
      <c r="C2841" s="1" t="s">
        <v>335</v>
      </c>
      <c r="D2841" s="2">
        <v>46072.68256944444</v>
      </c>
      <c r="F2841" s="1" t="b">
        <v>0</v>
      </c>
    </row>
    <row r="2842">
      <c r="A2842" s="1" t="s">
        <v>333</v>
      </c>
      <c r="B2842" s="1" t="s">
        <v>2042</v>
      </c>
      <c r="C2842" s="1" t="s">
        <v>335</v>
      </c>
      <c r="D2842" s="2">
        <v>46072.688252314816</v>
      </c>
      <c r="E2842" s="1" t="s">
        <v>4430</v>
      </c>
      <c r="F2842" s="1" t="b">
        <v>0</v>
      </c>
    </row>
    <row r="2843">
      <c r="A2843" s="1" t="s">
        <v>333</v>
      </c>
      <c r="B2843" s="1" t="s">
        <v>2042</v>
      </c>
      <c r="C2843" s="1" t="s">
        <v>335</v>
      </c>
      <c r="D2843" s="2">
        <v>46072.68844907408</v>
      </c>
      <c r="F2843" s="1" t="b">
        <v>0</v>
      </c>
    </row>
    <row r="2844">
      <c r="A2844" s="1" t="s">
        <v>333</v>
      </c>
      <c r="B2844" s="1" t="s">
        <v>2042</v>
      </c>
      <c r="C2844" s="1" t="s">
        <v>335</v>
      </c>
      <c r="D2844" s="2">
        <v>46072.688680555555</v>
      </c>
      <c r="E2844" s="1" t="s">
        <v>4431</v>
      </c>
      <c r="F2844" s="1" t="b">
        <v>0</v>
      </c>
    </row>
    <row r="2845">
      <c r="A2845" s="1" t="s">
        <v>333</v>
      </c>
      <c r="B2845" s="1" t="s">
        <v>2042</v>
      </c>
      <c r="C2845" s="1" t="s">
        <v>335</v>
      </c>
      <c r="D2845" s="2">
        <v>46072.688993055555</v>
      </c>
      <c r="F2845" s="1" t="b">
        <v>0</v>
      </c>
    </row>
    <row r="2846">
      <c r="A2846" s="1" t="s">
        <v>328</v>
      </c>
      <c r="B2846" s="1" t="s">
        <v>2042</v>
      </c>
      <c r="C2846" s="1" t="s">
        <v>331</v>
      </c>
      <c r="D2846" s="2">
        <v>46072.38898148148</v>
      </c>
      <c r="E2846" s="1" t="s">
        <v>2292</v>
      </c>
      <c r="F2846" s="1" t="b">
        <v>0</v>
      </c>
    </row>
    <row r="2847">
      <c r="A2847" s="1" t="s">
        <v>328</v>
      </c>
      <c r="B2847" s="1" t="s">
        <v>2042</v>
      </c>
      <c r="C2847" s="1" t="s">
        <v>331</v>
      </c>
      <c r="D2847" s="2">
        <v>46072.38916666667</v>
      </c>
      <c r="E2847" s="1" t="s">
        <v>4432</v>
      </c>
      <c r="F2847" s="1" t="b">
        <v>0</v>
      </c>
    </row>
    <row r="2848">
      <c r="A2848" s="1" t="s">
        <v>328</v>
      </c>
      <c r="B2848" s="1" t="s">
        <v>2046</v>
      </c>
      <c r="C2848" s="1">
        <v>574085.0</v>
      </c>
      <c r="D2848" s="2">
        <v>46072.40354166667</v>
      </c>
      <c r="E2848" s="1" t="s">
        <v>4433</v>
      </c>
      <c r="F2848" s="1" t="b">
        <v>0</v>
      </c>
    </row>
    <row r="2849">
      <c r="A2849" s="1" t="s">
        <v>328</v>
      </c>
      <c r="B2849" s="1" t="s">
        <v>2042</v>
      </c>
      <c r="C2849" s="1" t="s">
        <v>331</v>
      </c>
      <c r="D2849" s="2">
        <v>46072.405497685184</v>
      </c>
      <c r="E2849" s="1" t="s">
        <v>4434</v>
      </c>
      <c r="F2849" s="1" t="b">
        <v>0</v>
      </c>
    </row>
    <row r="2850">
      <c r="A2850" s="1" t="s">
        <v>328</v>
      </c>
      <c r="B2850" s="1" t="s">
        <v>2046</v>
      </c>
      <c r="C2850" s="1">
        <v>607950.0</v>
      </c>
      <c r="D2850" s="2">
        <v>46072.42466435185</v>
      </c>
      <c r="E2850" s="1" t="s">
        <v>4435</v>
      </c>
      <c r="F2850" s="1" t="b">
        <v>1</v>
      </c>
    </row>
    <row r="2851">
      <c r="A2851" s="1" t="s">
        <v>328</v>
      </c>
      <c r="B2851" s="1" t="s">
        <v>2046</v>
      </c>
      <c r="C2851" s="1">
        <v>574085.0</v>
      </c>
      <c r="D2851" s="2">
        <v>46072.42490740741</v>
      </c>
      <c r="E2851" s="1" t="s">
        <v>4435</v>
      </c>
      <c r="F2851" s="1" t="b">
        <v>0</v>
      </c>
    </row>
    <row r="2852">
      <c r="A2852" s="1" t="s">
        <v>328</v>
      </c>
      <c r="B2852" s="1" t="s">
        <v>2042</v>
      </c>
      <c r="C2852" s="1" t="s">
        <v>331</v>
      </c>
      <c r="D2852" s="2">
        <v>46072.43347222222</v>
      </c>
      <c r="E2852" s="1" t="s">
        <v>4436</v>
      </c>
      <c r="F2852" s="1" t="b">
        <v>0</v>
      </c>
    </row>
    <row r="2853">
      <c r="A2853" s="1" t="s">
        <v>328</v>
      </c>
      <c r="B2853" s="1" t="s">
        <v>2046</v>
      </c>
      <c r="C2853" s="1">
        <v>607950.0</v>
      </c>
      <c r="D2853" s="2">
        <v>46072.43420138889</v>
      </c>
      <c r="E2853" s="1" t="s">
        <v>4437</v>
      </c>
      <c r="F2853" s="1" t="b">
        <v>0</v>
      </c>
    </row>
    <row r="2854">
      <c r="A2854" s="1" t="s">
        <v>328</v>
      </c>
      <c r="B2854" s="1" t="s">
        <v>2042</v>
      </c>
      <c r="C2854" s="1" t="s">
        <v>331</v>
      </c>
      <c r="D2854" s="2">
        <v>46072.43509259259</v>
      </c>
      <c r="E2854" s="1" t="s">
        <v>4438</v>
      </c>
      <c r="F2854" s="1" t="b">
        <v>0</v>
      </c>
    </row>
    <row r="2855">
      <c r="A2855" s="1" t="s">
        <v>328</v>
      </c>
      <c r="B2855" s="1" t="s">
        <v>2046</v>
      </c>
      <c r="C2855" s="1">
        <v>607950.0</v>
      </c>
      <c r="D2855" s="2">
        <v>46072.43540509259</v>
      </c>
      <c r="E2855" s="1" t="s">
        <v>2108</v>
      </c>
      <c r="F2855" s="1" t="b">
        <v>0</v>
      </c>
    </row>
    <row r="2856">
      <c r="A2856" s="1" t="s">
        <v>323</v>
      </c>
      <c r="B2856" s="1" t="s">
        <v>2042</v>
      </c>
      <c r="C2856" s="1" t="s">
        <v>326</v>
      </c>
      <c r="D2856" s="2">
        <v>46072.406006944446</v>
      </c>
      <c r="E2856" s="1" t="s">
        <v>4439</v>
      </c>
      <c r="F2856" s="1" t="b">
        <v>0</v>
      </c>
    </row>
    <row r="2857">
      <c r="A2857" s="1" t="s">
        <v>319</v>
      </c>
      <c r="B2857" s="1" t="s">
        <v>2042</v>
      </c>
      <c r="C2857" s="1" t="s">
        <v>321</v>
      </c>
      <c r="D2857" s="2">
        <v>46072.41537037037</v>
      </c>
      <c r="E2857" s="1" t="s">
        <v>4440</v>
      </c>
      <c r="F2857" s="1" t="b">
        <v>0</v>
      </c>
    </row>
    <row r="2858">
      <c r="A2858" s="1" t="s">
        <v>313</v>
      </c>
      <c r="B2858" s="1" t="s">
        <v>2042</v>
      </c>
      <c r="C2858" s="1" t="s">
        <v>316</v>
      </c>
      <c r="D2858" s="2">
        <v>46072.42832175926</v>
      </c>
      <c r="E2858" s="1" t="s">
        <v>2070</v>
      </c>
      <c r="F2858" s="1" t="b">
        <v>0</v>
      </c>
    </row>
    <row r="2859">
      <c r="A2859" s="1" t="s">
        <v>313</v>
      </c>
      <c r="B2859" s="1" t="s">
        <v>2042</v>
      </c>
      <c r="C2859" s="1" t="s">
        <v>316</v>
      </c>
      <c r="D2859" s="2">
        <v>46072.428449074076</v>
      </c>
      <c r="E2859" s="1" t="s">
        <v>4441</v>
      </c>
      <c r="F2859" s="1" t="b">
        <v>0</v>
      </c>
    </row>
    <row r="2860">
      <c r="A2860" s="1" t="s">
        <v>313</v>
      </c>
      <c r="B2860" s="1" t="s">
        <v>2042</v>
      </c>
      <c r="C2860" s="1" t="s">
        <v>316</v>
      </c>
      <c r="D2860" s="2">
        <v>46072.42859953704</v>
      </c>
      <c r="E2860" s="1" t="s">
        <v>4442</v>
      </c>
      <c r="F2860" s="1" t="b">
        <v>0</v>
      </c>
    </row>
    <row r="2861">
      <c r="A2861" s="1" t="s">
        <v>313</v>
      </c>
      <c r="B2861" s="1" t="s">
        <v>2042</v>
      </c>
      <c r="C2861" s="1" t="s">
        <v>316</v>
      </c>
      <c r="D2861" s="2">
        <v>46072.43040509259</v>
      </c>
      <c r="E2861" s="1" t="s">
        <v>4443</v>
      </c>
      <c r="F2861" s="1" t="b">
        <v>0</v>
      </c>
    </row>
    <row r="2862">
      <c r="A2862" s="1" t="s">
        <v>313</v>
      </c>
      <c r="B2862" s="1" t="s">
        <v>2042</v>
      </c>
      <c r="C2862" s="1" t="s">
        <v>316</v>
      </c>
      <c r="D2862" s="2">
        <v>46072.43056712963</v>
      </c>
      <c r="E2862" s="1" t="s">
        <v>4444</v>
      </c>
      <c r="F2862" s="1" t="b">
        <v>0</v>
      </c>
    </row>
    <row r="2863">
      <c r="A2863" s="1" t="s">
        <v>313</v>
      </c>
      <c r="B2863" s="1" t="s">
        <v>2042</v>
      </c>
      <c r="C2863" s="1" t="s">
        <v>316</v>
      </c>
      <c r="D2863" s="2">
        <v>46072.43083333333</v>
      </c>
      <c r="E2863" s="1" t="s">
        <v>4445</v>
      </c>
      <c r="F2863" s="1" t="b">
        <v>0</v>
      </c>
    </row>
    <row r="2864">
      <c r="A2864" s="1" t="s">
        <v>313</v>
      </c>
      <c r="B2864" s="1" t="s">
        <v>2042</v>
      </c>
      <c r="C2864" s="1" t="s">
        <v>316</v>
      </c>
      <c r="D2864" s="2">
        <v>46072.430925925924</v>
      </c>
      <c r="E2864" s="1" t="s">
        <v>4446</v>
      </c>
      <c r="F2864" s="1" t="b">
        <v>0</v>
      </c>
    </row>
    <row r="2865">
      <c r="A2865" s="1" t="s">
        <v>313</v>
      </c>
      <c r="B2865" s="1" t="s">
        <v>2046</v>
      </c>
      <c r="C2865" s="1">
        <v>607950.0</v>
      </c>
      <c r="D2865" s="2">
        <v>46072.434270833335</v>
      </c>
      <c r="E2865" s="1" t="s">
        <v>2752</v>
      </c>
      <c r="F2865" s="1" t="b">
        <v>0</v>
      </c>
    </row>
    <row r="2866">
      <c r="A2866" s="1" t="s">
        <v>313</v>
      </c>
      <c r="B2866" s="1" t="s">
        <v>2042</v>
      </c>
      <c r="C2866" s="1" t="s">
        <v>316</v>
      </c>
      <c r="D2866" s="2">
        <v>46072.440775462965</v>
      </c>
      <c r="E2866" s="1" t="s">
        <v>2476</v>
      </c>
      <c r="F2866" s="1" t="b">
        <v>0</v>
      </c>
    </row>
    <row r="2867">
      <c r="A2867" s="1" t="s">
        <v>313</v>
      </c>
      <c r="B2867" s="1" t="s">
        <v>2042</v>
      </c>
      <c r="C2867" s="1" t="s">
        <v>316</v>
      </c>
      <c r="D2867" s="2">
        <v>46072.54644675926</v>
      </c>
      <c r="E2867" s="1" t="s">
        <v>4447</v>
      </c>
      <c r="F2867" s="1" t="b">
        <v>0</v>
      </c>
    </row>
    <row r="2868">
      <c r="A2868" s="1" t="s">
        <v>313</v>
      </c>
      <c r="B2868" s="1" t="s">
        <v>2046</v>
      </c>
      <c r="C2868" s="1">
        <v>533671.0</v>
      </c>
      <c r="D2868" s="2">
        <v>46072.54892361111</v>
      </c>
      <c r="E2868" s="1" t="s">
        <v>4448</v>
      </c>
      <c r="F2868" s="1" t="b">
        <v>0</v>
      </c>
    </row>
    <row r="2869">
      <c r="A2869" s="1" t="s">
        <v>313</v>
      </c>
      <c r="B2869" s="1" t="s">
        <v>2042</v>
      </c>
      <c r="C2869" s="1" t="s">
        <v>316</v>
      </c>
      <c r="D2869" s="2">
        <v>46072.550787037035</v>
      </c>
      <c r="E2869" s="1" t="s">
        <v>4449</v>
      </c>
      <c r="F2869" s="1" t="b">
        <v>0</v>
      </c>
    </row>
    <row r="2870">
      <c r="A2870" s="1" t="s">
        <v>313</v>
      </c>
      <c r="B2870" s="1" t="s">
        <v>2042</v>
      </c>
      <c r="C2870" s="1" t="s">
        <v>316</v>
      </c>
      <c r="D2870" s="2">
        <v>46072.550891203704</v>
      </c>
      <c r="E2870" s="1" t="s">
        <v>4450</v>
      </c>
      <c r="F2870" s="1" t="b">
        <v>0</v>
      </c>
    </row>
    <row r="2871">
      <c r="A2871" s="1" t="s">
        <v>313</v>
      </c>
      <c r="B2871" s="1" t="s">
        <v>2042</v>
      </c>
      <c r="C2871" s="1" t="s">
        <v>316</v>
      </c>
      <c r="D2871" s="2">
        <v>46072.55094907407</v>
      </c>
      <c r="E2871" s="1" t="s">
        <v>4451</v>
      </c>
      <c r="F2871" s="1" t="b">
        <v>0</v>
      </c>
    </row>
    <row r="2872">
      <c r="A2872" s="1" t="s">
        <v>313</v>
      </c>
      <c r="B2872" s="1" t="s">
        <v>2046</v>
      </c>
      <c r="C2872" s="1">
        <v>533671.0</v>
      </c>
      <c r="D2872" s="2">
        <v>46072.55806712963</v>
      </c>
      <c r="E2872" s="1" t="s">
        <v>4452</v>
      </c>
      <c r="F2872" s="1" t="b">
        <v>0</v>
      </c>
    </row>
    <row r="2873">
      <c r="A2873" s="1" t="s">
        <v>313</v>
      </c>
      <c r="B2873" s="1" t="s">
        <v>2042</v>
      </c>
      <c r="C2873" s="1" t="s">
        <v>316</v>
      </c>
      <c r="D2873" s="2">
        <v>46072.56491898148</v>
      </c>
      <c r="E2873" s="1" t="s">
        <v>4453</v>
      </c>
      <c r="F2873" s="1" t="b">
        <v>0</v>
      </c>
    </row>
    <row r="2874">
      <c r="A2874" s="1" t="s">
        <v>313</v>
      </c>
      <c r="B2874" s="1" t="s">
        <v>2046</v>
      </c>
      <c r="C2874" s="1">
        <v>533671.0</v>
      </c>
      <c r="D2874" s="2">
        <v>46072.61071759259</v>
      </c>
      <c r="E2874" s="1" t="s">
        <v>4454</v>
      </c>
      <c r="F2874" s="1" t="b">
        <v>0</v>
      </c>
    </row>
    <row r="2875">
      <c r="A2875" s="1" t="s">
        <v>313</v>
      </c>
      <c r="B2875" s="1" t="s">
        <v>2042</v>
      </c>
      <c r="C2875" s="1" t="s">
        <v>316</v>
      </c>
      <c r="D2875" s="2">
        <v>46073.426932870374</v>
      </c>
      <c r="E2875" s="1" t="s">
        <v>4455</v>
      </c>
      <c r="F2875" s="1" t="b">
        <v>0</v>
      </c>
    </row>
    <row r="2876">
      <c r="A2876" s="1" t="s">
        <v>313</v>
      </c>
      <c r="B2876" s="1" t="s">
        <v>2042</v>
      </c>
      <c r="C2876" s="1" t="s">
        <v>316</v>
      </c>
      <c r="D2876" s="2">
        <v>46073.42697916667</v>
      </c>
      <c r="E2876" s="1" t="s">
        <v>4456</v>
      </c>
      <c r="F2876" s="1" t="b">
        <v>0</v>
      </c>
    </row>
    <row r="2877">
      <c r="A2877" s="1" t="s">
        <v>313</v>
      </c>
      <c r="B2877" s="1" t="s">
        <v>2046</v>
      </c>
      <c r="C2877" s="1">
        <v>594863.0</v>
      </c>
      <c r="D2877" s="2">
        <v>46073.467002314814</v>
      </c>
      <c r="E2877" s="1" t="s">
        <v>4457</v>
      </c>
      <c r="F2877" s="1" t="b">
        <v>0</v>
      </c>
    </row>
    <row r="2878">
      <c r="A2878" s="1" t="s">
        <v>313</v>
      </c>
      <c r="B2878" s="1" t="s">
        <v>2046</v>
      </c>
      <c r="C2878" s="1">
        <v>594863.0</v>
      </c>
      <c r="D2878" s="2">
        <v>46073.46728009259</v>
      </c>
      <c r="E2878" s="1" t="s">
        <v>4458</v>
      </c>
      <c r="F2878" s="1" t="b">
        <v>0</v>
      </c>
    </row>
    <row r="2879">
      <c r="A2879" s="1" t="s">
        <v>313</v>
      </c>
      <c r="B2879" s="1" t="s">
        <v>2042</v>
      </c>
      <c r="C2879" s="1" t="s">
        <v>316</v>
      </c>
      <c r="D2879" s="2">
        <v>46073.46775462963</v>
      </c>
      <c r="F2879" s="1" t="b">
        <v>0</v>
      </c>
    </row>
    <row r="2880">
      <c r="A2880" s="1" t="s">
        <v>313</v>
      </c>
      <c r="B2880" s="1" t="s">
        <v>2042</v>
      </c>
      <c r="C2880" s="1" t="s">
        <v>316</v>
      </c>
      <c r="D2880" s="2">
        <v>46073.467986111114</v>
      </c>
      <c r="E2880" s="1" t="s">
        <v>4459</v>
      </c>
      <c r="F2880" s="1" t="b">
        <v>0</v>
      </c>
    </row>
    <row r="2881">
      <c r="A2881" s="1" t="s">
        <v>313</v>
      </c>
      <c r="B2881" s="1" t="s">
        <v>2046</v>
      </c>
      <c r="C2881" s="1">
        <v>594863.0</v>
      </c>
      <c r="D2881" s="2">
        <v>46073.48541666667</v>
      </c>
      <c r="E2881" s="1" t="s">
        <v>4460</v>
      </c>
      <c r="F2881" s="1" t="b">
        <v>0</v>
      </c>
    </row>
    <row r="2882">
      <c r="A2882" s="1" t="s">
        <v>313</v>
      </c>
      <c r="B2882" s="1" t="s">
        <v>2046</v>
      </c>
      <c r="C2882" s="1">
        <v>594863.0</v>
      </c>
      <c r="D2882" s="2">
        <v>46073.51798611111</v>
      </c>
      <c r="E2882" s="1" t="s">
        <v>4461</v>
      </c>
      <c r="F2882" s="1" t="b">
        <v>0</v>
      </c>
    </row>
    <row r="2883">
      <c r="A2883" s="1" t="s">
        <v>313</v>
      </c>
      <c r="B2883" s="1" t="s">
        <v>2046</v>
      </c>
      <c r="C2883" s="1">
        <v>594863.0</v>
      </c>
      <c r="D2883" s="2">
        <v>46073.58290509259</v>
      </c>
      <c r="E2883" s="1" t="s">
        <v>4462</v>
      </c>
      <c r="F2883" s="1" t="b">
        <v>0</v>
      </c>
    </row>
    <row r="2884">
      <c r="A2884" s="1" t="s">
        <v>313</v>
      </c>
      <c r="B2884" s="1" t="s">
        <v>2046</v>
      </c>
      <c r="C2884" s="1">
        <v>594863.0</v>
      </c>
      <c r="D2884" s="2">
        <v>46073.58293981481</v>
      </c>
      <c r="E2884" s="1" t="s">
        <v>2108</v>
      </c>
      <c r="F2884" s="1" t="b">
        <v>0</v>
      </c>
    </row>
    <row r="2885">
      <c r="A2885" s="1" t="s">
        <v>309</v>
      </c>
      <c r="B2885" s="1" t="s">
        <v>2042</v>
      </c>
      <c r="C2885" s="1" t="s">
        <v>311</v>
      </c>
      <c r="D2885" s="2">
        <v>46072.44347222222</v>
      </c>
      <c r="E2885" s="1" t="s">
        <v>4463</v>
      </c>
      <c r="F2885" s="1" t="b">
        <v>0</v>
      </c>
    </row>
    <row r="2886">
      <c r="A2886" s="1" t="s">
        <v>309</v>
      </c>
      <c r="B2886" s="1" t="s">
        <v>2042</v>
      </c>
      <c r="C2886" s="1" t="s">
        <v>311</v>
      </c>
      <c r="D2886" s="2">
        <v>46072.445023148146</v>
      </c>
      <c r="E2886" s="1" t="s">
        <v>4464</v>
      </c>
      <c r="F2886" s="1" t="b">
        <v>0</v>
      </c>
    </row>
    <row r="2887">
      <c r="A2887" s="1" t="s">
        <v>303</v>
      </c>
      <c r="B2887" s="1" t="s">
        <v>2042</v>
      </c>
      <c r="C2887" s="1" t="s">
        <v>307</v>
      </c>
      <c r="D2887" s="2">
        <v>46072.447384259256</v>
      </c>
      <c r="E2887" s="1" t="s">
        <v>4465</v>
      </c>
      <c r="F2887" s="1" t="b">
        <v>0</v>
      </c>
    </row>
    <row r="2888">
      <c r="A2888" s="1" t="s">
        <v>303</v>
      </c>
      <c r="B2888" s="1" t="s">
        <v>2042</v>
      </c>
      <c r="C2888" s="1" t="s">
        <v>307</v>
      </c>
      <c r="D2888" s="2">
        <v>46072.44782407407</v>
      </c>
      <c r="E2888" s="1" t="s">
        <v>2070</v>
      </c>
      <c r="F2888" s="1" t="b">
        <v>0</v>
      </c>
    </row>
    <row r="2889">
      <c r="A2889" s="1" t="s">
        <v>303</v>
      </c>
      <c r="B2889" s="1" t="s">
        <v>2046</v>
      </c>
      <c r="C2889" s="1">
        <v>607950.0</v>
      </c>
      <c r="D2889" s="2">
        <v>46072.45133101852</v>
      </c>
      <c r="E2889" s="1" t="s">
        <v>2752</v>
      </c>
      <c r="F2889" s="1" t="b">
        <v>0</v>
      </c>
    </row>
    <row r="2890">
      <c r="A2890" s="1" t="s">
        <v>303</v>
      </c>
      <c r="B2890" s="1" t="s">
        <v>2042</v>
      </c>
      <c r="C2890" s="1" t="s">
        <v>307</v>
      </c>
      <c r="D2890" s="2">
        <v>46072.45159722222</v>
      </c>
      <c r="E2890" s="1" t="s">
        <v>4466</v>
      </c>
      <c r="F2890" s="1" t="b">
        <v>0</v>
      </c>
    </row>
    <row r="2891">
      <c r="A2891" s="1" t="s">
        <v>303</v>
      </c>
      <c r="B2891" s="1" t="s">
        <v>2046</v>
      </c>
      <c r="C2891" s="1">
        <v>607950.0</v>
      </c>
      <c r="D2891" s="2">
        <v>46072.4528587963</v>
      </c>
      <c r="E2891" s="1" t="s">
        <v>4467</v>
      </c>
      <c r="F2891" s="1" t="b">
        <v>0</v>
      </c>
    </row>
    <row r="2892">
      <c r="A2892" s="1" t="s">
        <v>303</v>
      </c>
      <c r="B2892" s="1" t="s">
        <v>2046</v>
      </c>
      <c r="C2892" s="1">
        <v>607950.0</v>
      </c>
      <c r="D2892" s="2">
        <v>46072.454201388886</v>
      </c>
      <c r="E2892" s="1" t="s">
        <v>4468</v>
      </c>
      <c r="F2892" s="1" t="b">
        <v>0</v>
      </c>
    </row>
    <row r="2893">
      <c r="A2893" s="1" t="s">
        <v>303</v>
      </c>
      <c r="B2893" s="1" t="s">
        <v>2042</v>
      </c>
      <c r="C2893" s="1" t="s">
        <v>307</v>
      </c>
      <c r="D2893" s="2">
        <v>46072.45763888889</v>
      </c>
      <c r="E2893" s="1" t="s">
        <v>4469</v>
      </c>
      <c r="F2893" s="1" t="b">
        <v>0</v>
      </c>
    </row>
    <row r="2894">
      <c r="A2894" s="1" t="s">
        <v>303</v>
      </c>
      <c r="B2894" s="1" t="s">
        <v>2046</v>
      </c>
      <c r="C2894" s="1">
        <v>574085.0</v>
      </c>
      <c r="D2894" s="2">
        <v>46072.45799768518</v>
      </c>
      <c r="E2894" s="1" t="s">
        <v>4470</v>
      </c>
      <c r="F2894" s="1" t="b">
        <v>0</v>
      </c>
    </row>
    <row r="2895">
      <c r="A2895" s="1" t="s">
        <v>303</v>
      </c>
      <c r="B2895" s="1" t="s">
        <v>2042</v>
      </c>
      <c r="C2895" s="1" t="s">
        <v>307</v>
      </c>
      <c r="D2895" s="2">
        <v>46072.45858796296</v>
      </c>
      <c r="E2895" s="1" t="s">
        <v>4471</v>
      </c>
      <c r="F2895" s="1" t="b">
        <v>0</v>
      </c>
    </row>
    <row r="2896">
      <c r="A2896" s="1" t="s">
        <v>303</v>
      </c>
      <c r="B2896" s="1" t="s">
        <v>2046</v>
      </c>
      <c r="C2896" s="1">
        <v>574085.0</v>
      </c>
      <c r="D2896" s="2">
        <v>46072.46034722222</v>
      </c>
      <c r="E2896" s="1" t="s">
        <v>4472</v>
      </c>
      <c r="F2896" s="1" t="b">
        <v>0</v>
      </c>
    </row>
    <row r="2897">
      <c r="A2897" s="1" t="s">
        <v>303</v>
      </c>
      <c r="B2897" s="1" t="s">
        <v>2042</v>
      </c>
      <c r="C2897" s="1" t="s">
        <v>307</v>
      </c>
      <c r="D2897" s="2">
        <v>46072.46127314815</v>
      </c>
      <c r="E2897" s="1" t="s">
        <v>4473</v>
      </c>
      <c r="F2897" s="1" t="b">
        <v>0</v>
      </c>
    </row>
    <row r="2898">
      <c r="A2898" s="1" t="s">
        <v>303</v>
      </c>
      <c r="B2898" s="1" t="s">
        <v>2046</v>
      </c>
      <c r="C2898" s="1">
        <v>607950.0</v>
      </c>
      <c r="D2898" s="2">
        <v>46072.50628472222</v>
      </c>
      <c r="E2898" s="1" t="s">
        <v>2108</v>
      </c>
      <c r="F2898" s="1" t="b">
        <v>0</v>
      </c>
    </row>
    <row r="2899">
      <c r="A2899" s="1" t="s">
        <v>299</v>
      </c>
      <c r="B2899" s="1" t="s">
        <v>2042</v>
      </c>
      <c r="C2899" s="1" t="s">
        <v>301</v>
      </c>
      <c r="D2899" s="2">
        <v>46072.44773148148</v>
      </c>
      <c r="E2899" s="1" t="s">
        <v>4474</v>
      </c>
      <c r="F2899" s="1" t="b">
        <v>0</v>
      </c>
    </row>
    <row r="2900">
      <c r="A2900" s="1" t="s">
        <v>295</v>
      </c>
      <c r="B2900" s="1" t="s">
        <v>2042</v>
      </c>
      <c r="C2900" s="1" t="s">
        <v>297</v>
      </c>
      <c r="D2900" s="2">
        <v>46072.455092592594</v>
      </c>
      <c r="E2900" s="1" t="s">
        <v>4475</v>
      </c>
      <c r="F2900" s="1" t="b">
        <v>0</v>
      </c>
    </row>
    <row r="2901">
      <c r="A2901" s="1" t="s">
        <v>291</v>
      </c>
      <c r="B2901" s="1" t="s">
        <v>2042</v>
      </c>
      <c r="C2901" s="1" t="s">
        <v>293</v>
      </c>
      <c r="D2901" s="2">
        <v>46072.45912037037</v>
      </c>
      <c r="E2901" s="1" t="s">
        <v>4476</v>
      </c>
      <c r="F2901" s="1" t="b">
        <v>0</v>
      </c>
    </row>
    <row r="2902">
      <c r="A2902" s="1" t="s">
        <v>291</v>
      </c>
      <c r="B2902" s="1" t="s">
        <v>2042</v>
      </c>
      <c r="C2902" s="1" t="s">
        <v>293</v>
      </c>
      <c r="D2902" s="2">
        <v>46072.459965277776</v>
      </c>
      <c r="E2902" s="1" t="s">
        <v>4477</v>
      </c>
      <c r="F2902" s="1" t="b">
        <v>0</v>
      </c>
    </row>
    <row r="2903">
      <c r="A2903" s="1" t="s">
        <v>287</v>
      </c>
      <c r="B2903" s="1" t="s">
        <v>2042</v>
      </c>
      <c r="C2903" s="1" t="s">
        <v>289</v>
      </c>
      <c r="D2903" s="2">
        <v>46072.469722222224</v>
      </c>
      <c r="E2903" s="1" t="s">
        <v>4478</v>
      </c>
      <c r="F2903" s="1" t="b">
        <v>0</v>
      </c>
    </row>
    <row r="2904">
      <c r="A2904" s="1" t="s">
        <v>287</v>
      </c>
      <c r="B2904" s="1" t="s">
        <v>2042</v>
      </c>
      <c r="C2904" s="1" t="s">
        <v>289</v>
      </c>
      <c r="D2904" s="2">
        <v>46072.47015046296</v>
      </c>
      <c r="E2904" s="1" t="s">
        <v>4479</v>
      </c>
      <c r="F2904" s="1" t="b">
        <v>0</v>
      </c>
    </row>
    <row r="2905">
      <c r="A2905" s="1" t="s">
        <v>287</v>
      </c>
      <c r="B2905" s="1" t="s">
        <v>2042</v>
      </c>
      <c r="C2905" s="1" t="s">
        <v>289</v>
      </c>
      <c r="D2905" s="2">
        <v>46072.470601851855</v>
      </c>
      <c r="E2905" s="1" t="s">
        <v>4480</v>
      </c>
      <c r="F2905" s="1" t="b">
        <v>0</v>
      </c>
    </row>
    <row r="2906">
      <c r="A2906" s="1" t="s">
        <v>287</v>
      </c>
      <c r="B2906" s="1" t="s">
        <v>2042</v>
      </c>
      <c r="C2906" s="1" t="s">
        <v>289</v>
      </c>
      <c r="D2906" s="2">
        <v>46072.47262731481</v>
      </c>
      <c r="E2906" s="1" t="s">
        <v>4481</v>
      </c>
      <c r="F2906" s="1" t="b">
        <v>0</v>
      </c>
    </row>
    <row r="2907">
      <c r="A2907" s="1" t="s">
        <v>283</v>
      </c>
      <c r="B2907" s="1" t="s">
        <v>2042</v>
      </c>
      <c r="C2907" s="1" t="s">
        <v>285</v>
      </c>
      <c r="D2907" s="2">
        <v>46072.47837962963</v>
      </c>
      <c r="E2907" s="1" t="s">
        <v>4482</v>
      </c>
      <c r="F2907" s="1" t="b">
        <v>0</v>
      </c>
    </row>
    <row r="2908">
      <c r="A2908" s="1" t="s">
        <v>283</v>
      </c>
      <c r="B2908" s="1" t="s">
        <v>2042</v>
      </c>
      <c r="C2908" s="1" t="s">
        <v>285</v>
      </c>
      <c r="D2908" s="2">
        <v>46072.48420138889</v>
      </c>
      <c r="E2908" s="1" t="s">
        <v>4483</v>
      </c>
      <c r="F2908" s="1" t="b">
        <v>0</v>
      </c>
    </row>
    <row r="2909">
      <c r="A2909" s="1" t="s">
        <v>283</v>
      </c>
      <c r="B2909" s="1" t="s">
        <v>2042</v>
      </c>
      <c r="C2909" s="1" t="s">
        <v>285</v>
      </c>
      <c r="D2909" s="2">
        <v>46072.48478009259</v>
      </c>
      <c r="E2909" s="1" t="s">
        <v>4484</v>
      </c>
      <c r="F2909" s="1" t="b">
        <v>0</v>
      </c>
    </row>
    <row r="2910">
      <c r="A2910" s="1" t="s">
        <v>283</v>
      </c>
      <c r="B2910" s="1" t="s">
        <v>2042</v>
      </c>
      <c r="C2910" s="1" t="s">
        <v>285</v>
      </c>
      <c r="D2910" s="2">
        <v>46072.52767361111</v>
      </c>
      <c r="E2910" s="1" t="s">
        <v>4485</v>
      </c>
      <c r="F2910" s="1" t="b">
        <v>0</v>
      </c>
    </row>
    <row r="2911">
      <c r="A2911" s="1" t="s">
        <v>279</v>
      </c>
      <c r="B2911" s="1" t="s">
        <v>2042</v>
      </c>
      <c r="C2911" s="1" t="s">
        <v>281</v>
      </c>
      <c r="D2911" s="2">
        <v>46072.479363425926</v>
      </c>
      <c r="E2911" s="1" t="s">
        <v>2133</v>
      </c>
      <c r="F2911" s="1" t="b">
        <v>0</v>
      </c>
    </row>
    <row r="2912">
      <c r="A2912" s="1" t="s">
        <v>279</v>
      </c>
      <c r="B2912" s="1" t="s">
        <v>2042</v>
      </c>
      <c r="C2912" s="1" t="s">
        <v>281</v>
      </c>
      <c r="D2912" s="2">
        <v>46072.48033564815</v>
      </c>
      <c r="E2912" s="1" t="s">
        <v>2133</v>
      </c>
      <c r="F2912" s="1" t="b">
        <v>0</v>
      </c>
    </row>
    <row r="2913">
      <c r="A2913" s="1" t="s">
        <v>279</v>
      </c>
      <c r="B2913" s="1" t="s">
        <v>2042</v>
      </c>
      <c r="C2913" s="1" t="s">
        <v>281</v>
      </c>
      <c r="D2913" s="2">
        <v>46072.480462962965</v>
      </c>
      <c r="E2913" s="1" t="s">
        <v>4486</v>
      </c>
      <c r="F2913" s="1" t="b">
        <v>0</v>
      </c>
    </row>
    <row r="2914">
      <c r="A2914" s="1" t="s">
        <v>279</v>
      </c>
      <c r="B2914" s="1" t="s">
        <v>2046</v>
      </c>
      <c r="C2914" s="1">
        <v>607950.0</v>
      </c>
      <c r="D2914" s="2">
        <v>46072.480891203704</v>
      </c>
      <c r="E2914" s="1" t="s">
        <v>2752</v>
      </c>
      <c r="F2914" s="1" t="b">
        <v>0</v>
      </c>
    </row>
    <row r="2915">
      <c r="A2915" s="1" t="s">
        <v>279</v>
      </c>
      <c r="B2915" s="1" t="s">
        <v>2046</v>
      </c>
      <c r="C2915" s="1">
        <v>607950.0</v>
      </c>
      <c r="D2915" s="2">
        <v>46072.50678240741</v>
      </c>
      <c r="E2915" s="1" t="s">
        <v>4487</v>
      </c>
      <c r="F2915" s="1" t="b">
        <v>0</v>
      </c>
    </row>
    <row r="2916">
      <c r="A2916" s="1" t="s">
        <v>279</v>
      </c>
      <c r="B2916" s="1" t="s">
        <v>2046</v>
      </c>
      <c r="C2916" s="1">
        <v>607950.0</v>
      </c>
      <c r="D2916" s="2">
        <v>46072.56712962963</v>
      </c>
      <c r="E2916" s="1" t="s">
        <v>2917</v>
      </c>
      <c r="F2916" s="1" t="b">
        <v>0</v>
      </c>
    </row>
    <row r="2917">
      <c r="A2917" s="1" t="s">
        <v>279</v>
      </c>
      <c r="B2917" s="1" t="s">
        <v>2046</v>
      </c>
      <c r="C2917" s="1">
        <v>607950.0</v>
      </c>
      <c r="D2917" s="2">
        <v>46072.574212962965</v>
      </c>
      <c r="E2917" s="1" t="s">
        <v>2108</v>
      </c>
      <c r="F2917" s="1" t="b">
        <v>0</v>
      </c>
    </row>
    <row r="2918">
      <c r="A2918" s="1" t="s">
        <v>269</v>
      </c>
      <c r="B2918" s="1" t="s">
        <v>2042</v>
      </c>
      <c r="C2918" s="1" t="s">
        <v>272</v>
      </c>
      <c r="D2918" s="2">
        <v>46072.480150462965</v>
      </c>
      <c r="E2918" s="1" t="s">
        <v>4488</v>
      </c>
      <c r="F2918" s="1" t="b">
        <v>0</v>
      </c>
    </row>
    <row r="2919">
      <c r="A2919" s="1" t="s">
        <v>269</v>
      </c>
      <c r="B2919" s="1" t="s">
        <v>2042</v>
      </c>
      <c r="C2919" s="1" t="s">
        <v>272</v>
      </c>
      <c r="D2919" s="2">
        <v>46072.48055555556</v>
      </c>
      <c r="E2919" s="1" t="s">
        <v>4489</v>
      </c>
      <c r="F2919" s="1" t="b">
        <v>0</v>
      </c>
    </row>
    <row r="2920">
      <c r="A2920" s="1" t="s">
        <v>269</v>
      </c>
      <c r="B2920" s="1" t="s">
        <v>2042</v>
      </c>
      <c r="C2920" s="1" t="s">
        <v>272</v>
      </c>
      <c r="D2920" s="2">
        <v>46072.48065972222</v>
      </c>
      <c r="E2920" s="1" t="s">
        <v>4490</v>
      </c>
      <c r="F2920" s="1" t="b">
        <v>0</v>
      </c>
    </row>
    <row r="2921">
      <c r="A2921" s="1" t="s">
        <v>269</v>
      </c>
      <c r="B2921" s="1" t="s">
        <v>2046</v>
      </c>
      <c r="C2921" s="1">
        <v>607950.0</v>
      </c>
      <c r="D2921" s="2">
        <v>46072.4809375</v>
      </c>
      <c r="E2921" s="1" t="s">
        <v>2752</v>
      </c>
      <c r="F2921" s="1" t="b">
        <v>0</v>
      </c>
    </row>
    <row r="2922">
      <c r="A2922" s="1" t="s">
        <v>269</v>
      </c>
      <c r="B2922" s="1" t="s">
        <v>2042</v>
      </c>
      <c r="C2922" s="1" t="s">
        <v>272</v>
      </c>
      <c r="D2922" s="2">
        <v>46072.48096064815</v>
      </c>
      <c r="E2922" s="1" t="s">
        <v>4488</v>
      </c>
      <c r="F2922" s="1" t="b">
        <v>0</v>
      </c>
    </row>
    <row r="2923">
      <c r="A2923" s="1" t="s">
        <v>269</v>
      </c>
      <c r="B2923" s="1" t="s">
        <v>2042</v>
      </c>
      <c r="C2923" s="1" t="s">
        <v>272</v>
      </c>
      <c r="D2923" s="2">
        <v>46072.481412037036</v>
      </c>
      <c r="E2923" s="1" t="s">
        <v>4491</v>
      </c>
      <c r="F2923" s="1" t="b">
        <v>0</v>
      </c>
    </row>
    <row r="2924">
      <c r="A2924" s="1" t="s">
        <v>269</v>
      </c>
      <c r="B2924" s="1" t="s">
        <v>2046</v>
      </c>
      <c r="C2924" s="1">
        <v>533671.0</v>
      </c>
      <c r="D2924" s="2">
        <v>46072.559479166666</v>
      </c>
      <c r="E2924" s="1" t="s">
        <v>4492</v>
      </c>
      <c r="F2924" s="1" t="b">
        <v>0</v>
      </c>
    </row>
    <row r="2925">
      <c r="A2925" s="1" t="s">
        <v>269</v>
      </c>
      <c r="B2925" s="1" t="s">
        <v>2042</v>
      </c>
      <c r="C2925" s="1" t="s">
        <v>272</v>
      </c>
      <c r="D2925" s="2">
        <v>46072.571018518516</v>
      </c>
      <c r="E2925" s="1" t="s">
        <v>4493</v>
      </c>
      <c r="F2925" s="1" t="b">
        <v>0</v>
      </c>
    </row>
    <row r="2926">
      <c r="A2926" s="1" t="s">
        <v>269</v>
      </c>
      <c r="B2926" s="1" t="s">
        <v>2046</v>
      </c>
      <c r="C2926" s="1">
        <v>533671.0</v>
      </c>
      <c r="D2926" s="2">
        <v>46072.59972222222</v>
      </c>
      <c r="E2926" s="1" t="s">
        <v>4494</v>
      </c>
      <c r="F2926" s="1" t="b">
        <v>0</v>
      </c>
    </row>
    <row r="2927">
      <c r="A2927" s="1" t="s">
        <v>269</v>
      </c>
      <c r="B2927" s="1" t="s">
        <v>2046</v>
      </c>
      <c r="C2927" s="1">
        <v>533671.0</v>
      </c>
      <c r="D2927" s="2">
        <v>46072.61152777778</v>
      </c>
      <c r="E2927" s="1" t="s">
        <v>4495</v>
      </c>
      <c r="F2927" s="1" t="b">
        <v>0</v>
      </c>
    </row>
    <row r="2928">
      <c r="A2928" s="1" t="s">
        <v>269</v>
      </c>
      <c r="B2928" s="1" t="s">
        <v>2042</v>
      </c>
      <c r="C2928" s="1" t="s">
        <v>272</v>
      </c>
      <c r="D2928" s="2">
        <v>46072.614699074074</v>
      </c>
      <c r="E2928" s="1" t="s">
        <v>4496</v>
      </c>
      <c r="F2928" s="1" t="b">
        <v>0</v>
      </c>
    </row>
    <row r="2929">
      <c r="A2929" s="1" t="s">
        <v>269</v>
      </c>
      <c r="B2929" s="1" t="s">
        <v>2042</v>
      </c>
      <c r="C2929" s="1" t="s">
        <v>272</v>
      </c>
      <c r="D2929" s="2">
        <v>46072.61546296296</v>
      </c>
      <c r="E2929" s="1" t="s">
        <v>4497</v>
      </c>
      <c r="F2929" s="1" t="b">
        <v>0</v>
      </c>
    </row>
    <row r="2930">
      <c r="A2930" s="1" t="s">
        <v>269</v>
      </c>
      <c r="B2930" s="1" t="s">
        <v>2046</v>
      </c>
      <c r="C2930" s="1">
        <v>533671.0</v>
      </c>
      <c r="D2930" s="2">
        <v>46072.6575</v>
      </c>
      <c r="E2930" s="1" t="s">
        <v>4498</v>
      </c>
      <c r="F2930" s="1" t="b">
        <v>0</v>
      </c>
    </row>
    <row r="2931">
      <c r="A2931" s="1" t="s">
        <v>269</v>
      </c>
      <c r="B2931" s="1" t="s">
        <v>2042</v>
      </c>
      <c r="C2931" s="1" t="s">
        <v>272</v>
      </c>
      <c r="D2931" s="2">
        <v>46072.657638888886</v>
      </c>
      <c r="E2931" s="1" t="s">
        <v>4499</v>
      </c>
      <c r="F2931" s="1" t="b">
        <v>0</v>
      </c>
    </row>
    <row r="2932">
      <c r="A2932" s="1" t="s">
        <v>269</v>
      </c>
      <c r="B2932" s="1" t="s">
        <v>2046</v>
      </c>
      <c r="C2932" s="1">
        <v>533671.0</v>
      </c>
      <c r="D2932" s="2">
        <v>46072.66752314815</v>
      </c>
      <c r="E2932" s="1" t="s">
        <v>4500</v>
      </c>
      <c r="F2932" s="1" t="b">
        <v>0</v>
      </c>
    </row>
    <row r="2933">
      <c r="A2933" s="1" t="s">
        <v>269</v>
      </c>
      <c r="B2933" s="1" t="s">
        <v>2046</v>
      </c>
      <c r="C2933" s="1">
        <v>533671.0</v>
      </c>
      <c r="D2933" s="2">
        <v>46072.66810185185</v>
      </c>
      <c r="E2933" s="1" t="s">
        <v>4501</v>
      </c>
      <c r="F2933" s="1" t="b">
        <v>0</v>
      </c>
    </row>
    <row r="2934">
      <c r="A2934" s="1" t="s">
        <v>269</v>
      </c>
      <c r="B2934" s="1" t="s">
        <v>2042</v>
      </c>
      <c r="C2934" s="1" t="s">
        <v>272</v>
      </c>
      <c r="D2934" s="2">
        <v>46072.6743287037</v>
      </c>
      <c r="E2934" s="1" t="s">
        <v>4502</v>
      </c>
      <c r="F2934" s="1" t="b">
        <v>0</v>
      </c>
    </row>
    <row r="2935">
      <c r="A2935" s="1" t="s">
        <v>269</v>
      </c>
      <c r="B2935" s="1" t="s">
        <v>2046</v>
      </c>
      <c r="C2935" s="1">
        <v>533671.0</v>
      </c>
      <c r="D2935" s="2">
        <v>46072.68041666667</v>
      </c>
      <c r="E2935" s="1" t="s">
        <v>4503</v>
      </c>
      <c r="F2935" s="1" t="b">
        <v>0</v>
      </c>
    </row>
    <row r="2936">
      <c r="A2936" s="1" t="s">
        <v>269</v>
      </c>
      <c r="B2936" s="1" t="s">
        <v>2042</v>
      </c>
      <c r="C2936" s="1" t="s">
        <v>272</v>
      </c>
      <c r="D2936" s="2">
        <v>46072.68052083333</v>
      </c>
      <c r="E2936" s="1" t="s">
        <v>4504</v>
      </c>
      <c r="F2936" s="1" t="b">
        <v>0</v>
      </c>
    </row>
    <row r="2937">
      <c r="A2937" s="1" t="s">
        <v>269</v>
      </c>
      <c r="B2937" s="1" t="s">
        <v>2046</v>
      </c>
      <c r="C2937" s="1">
        <v>533671.0</v>
      </c>
      <c r="D2937" s="2">
        <v>46072.68079861111</v>
      </c>
      <c r="E2937" s="1" t="s">
        <v>4505</v>
      </c>
      <c r="F2937" s="1" t="b">
        <v>0</v>
      </c>
    </row>
    <row r="2938">
      <c r="A2938" s="1" t="s">
        <v>269</v>
      </c>
      <c r="B2938" s="1" t="s">
        <v>2042</v>
      </c>
      <c r="C2938" s="1" t="s">
        <v>272</v>
      </c>
      <c r="D2938" s="2">
        <v>46072.68094907407</v>
      </c>
      <c r="E2938" s="1" t="s">
        <v>3616</v>
      </c>
      <c r="F2938" s="1" t="b">
        <v>0</v>
      </c>
    </row>
    <row r="2939">
      <c r="A2939" s="1" t="s">
        <v>269</v>
      </c>
      <c r="B2939" s="1" t="s">
        <v>2046</v>
      </c>
      <c r="C2939" s="1">
        <v>533671.0</v>
      </c>
      <c r="D2939" s="2">
        <v>46072.68141203704</v>
      </c>
      <c r="E2939" s="1" t="s">
        <v>4506</v>
      </c>
      <c r="F2939" s="1" t="b">
        <v>1</v>
      </c>
    </row>
    <row r="2940">
      <c r="A2940" s="1" t="s">
        <v>275</v>
      </c>
      <c r="B2940" s="1" t="s">
        <v>2042</v>
      </c>
      <c r="C2940" s="1" t="s">
        <v>277</v>
      </c>
      <c r="D2940" s="2">
        <v>46072.480462962965</v>
      </c>
      <c r="E2940" s="1" t="s">
        <v>4507</v>
      </c>
      <c r="F2940" s="1" t="b">
        <v>0</v>
      </c>
    </row>
    <row r="2941">
      <c r="A2941" s="1" t="s">
        <v>264</v>
      </c>
      <c r="B2941" s="1" t="s">
        <v>2042</v>
      </c>
      <c r="C2941" s="1" t="s">
        <v>267</v>
      </c>
      <c r="D2941" s="2">
        <v>46072.4909837963</v>
      </c>
      <c r="E2941" s="1" t="s">
        <v>4508</v>
      </c>
      <c r="F2941" s="1" t="b">
        <v>0</v>
      </c>
    </row>
    <row r="2942">
      <c r="A2942" s="1" t="s">
        <v>264</v>
      </c>
      <c r="B2942" s="1" t="s">
        <v>2042</v>
      </c>
      <c r="C2942" s="1" t="s">
        <v>267</v>
      </c>
      <c r="D2942" s="2">
        <v>46072.50372685185</v>
      </c>
      <c r="E2942" s="1" t="s">
        <v>4509</v>
      </c>
      <c r="F2942" s="1" t="b">
        <v>0</v>
      </c>
    </row>
    <row r="2943">
      <c r="A2943" s="1" t="s">
        <v>264</v>
      </c>
      <c r="B2943" s="1" t="s">
        <v>2042</v>
      </c>
      <c r="C2943" s="1" t="s">
        <v>267</v>
      </c>
      <c r="D2943" s="2">
        <v>46072.503900462965</v>
      </c>
      <c r="E2943" s="1" t="s">
        <v>3007</v>
      </c>
      <c r="F2943" s="1" t="b">
        <v>0</v>
      </c>
    </row>
    <row r="2944">
      <c r="A2944" s="1" t="s">
        <v>264</v>
      </c>
      <c r="B2944" s="1" t="s">
        <v>2046</v>
      </c>
      <c r="C2944" s="1">
        <v>607950.0</v>
      </c>
      <c r="D2944" s="2">
        <v>46072.504166666666</v>
      </c>
      <c r="E2944" s="1" t="s">
        <v>2752</v>
      </c>
      <c r="F2944" s="1" t="b">
        <v>0</v>
      </c>
    </row>
    <row r="2945">
      <c r="A2945" s="1" t="s">
        <v>264</v>
      </c>
      <c r="B2945" s="1" t="s">
        <v>2046</v>
      </c>
      <c r="C2945" s="1">
        <v>607950.0</v>
      </c>
      <c r="D2945" s="2">
        <v>46072.50565972222</v>
      </c>
      <c r="E2945" s="1" t="s">
        <v>4487</v>
      </c>
      <c r="F2945" s="1" t="b">
        <v>0</v>
      </c>
    </row>
    <row r="2946">
      <c r="A2946" s="1" t="s">
        <v>264</v>
      </c>
      <c r="B2946" s="1" t="s">
        <v>2042</v>
      </c>
      <c r="C2946" s="1" t="s">
        <v>267</v>
      </c>
      <c r="D2946" s="2">
        <v>46072.50597222222</v>
      </c>
      <c r="E2946" s="1" t="s">
        <v>4510</v>
      </c>
      <c r="F2946" s="1" t="b">
        <v>0</v>
      </c>
    </row>
    <row r="2947">
      <c r="A2947" s="1" t="s">
        <v>264</v>
      </c>
      <c r="B2947" s="1" t="s">
        <v>2046</v>
      </c>
      <c r="C2947" s="1">
        <v>607950.0</v>
      </c>
      <c r="D2947" s="2">
        <v>46072.50611111111</v>
      </c>
      <c r="E2947" s="1" t="s">
        <v>4511</v>
      </c>
      <c r="F2947" s="1" t="b">
        <v>0</v>
      </c>
    </row>
    <row r="2948">
      <c r="A2948" s="1" t="s">
        <v>264</v>
      </c>
      <c r="B2948" s="1" t="s">
        <v>2042</v>
      </c>
      <c r="C2948" s="1" t="s">
        <v>267</v>
      </c>
      <c r="D2948" s="2">
        <v>46072.50622685185</v>
      </c>
      <c r="E2948" s="1" t="s">
        <v>4512</v>
      </c>
      <c r="F2948" s="1" t="b">
        <v>0</v>
      </c>
    </row>
    <row r="2949">
      <c r="A2949" s="1" t="s">
        <v>264</v>
      </c>
      <c r="B2949" s="1" t="s">
        <v>2046</v>
      </c>
      <c r="C2949" s="1">
        <v>607950.0</v>
      </c>
      <c r="D2949" s="2">
        <v>46072.50646990741</v>
      </c>
      <c r="E2949" s="1" t="s">
        <v>2108</v>
      </c>
      <c r="F2949" s="1" t="b">
        <v>0</v>
      </c>
    </row>
    <row r="2950">
      <c r="A2950" s="1" t="s">
        <v>262</v>
      </c>
      <c r="B2950" s="1" t="s">
        <v>2042</v>
      </c>
      <c r="C2950" s="1" t="s">
        <v>259</v>
      </c>
      <c r="D2950" s="2">
        <v>46072.49332175926</v>
      </c>
      <c r="E2950" s="1" t="s">
        <v>4513</v>
      </c>
      <c r="F2950" s="1" t="b">
        <v>0</v>
      </c>
    </row>
    <row r="2951">
      <c r="A2951" s="1" t="s">
        <v>255</v>
      </c>
      <c r="B2951" s="1" t="s">
        <v>2042</v>
      </c>
      <c r="C2951" s="1" t="s">
        <v>259</v>
      </c>
      <c r="D2951" s="2">
        <v>46072.495092592595</v>
      </c>
      <c r="E2951" s="1" t="s">
        <v>4514</v>
      </c>
      <c r="F2951" s="1" t="b">
        <v>0</v>
      </c>
    </row>
    <row r="2952">
      <c r="A2952" s="1" t="s">
        <v>255</v>
      </c>
      <c r="B2952" s="1" t="s">
        <v>2042</v>
      </c>
      <c r="C2952" s="1" t="s">
        <v>259</v>
      </c>
      <c r="D2952" s="2">
        <v>46072.49524305556</v>
      </c>
      <c r="F2952" s="1" t="b">
        <v>0</v>
      </c>
    </row>
    <row r="2953">
      <c r="A2953" s="1" t="s">
        <v>255</v>
      </c>
      <c r="B2953" s="1" t="s">
        <v>2042</v>
      </c>
      <c r="C2953" s="1" t="s">
        <v>259</v>
      </c>
      <c r="D2953" s="2">
        <v>46072.49542824074</v>
      </c>
      <c r="E2953" s="1" t="s">
        <v>4515</v>
      </c>
      <c r="F2953" s="1" t="b">
        <v>0</v>
      </c>
    </row>
    <row r="2954">
      <c r="A2954" s="1" t="s">
        <v>255</v>
      </c>
      <c r="B2954" s="1" t="s">
        <v>2042</v>
      </c>
      <c r="C2954" s="1" t="s">
        <v>259</v>
      </c>
      <c r="D2954" s="2">
        <v>46072.495717592596</v>
      </c>
      <c r="F2954" s="1" t="b">
        <v>0</v>
      </c>
    </row>
    <row r="2955">
      <c r="A2955" s="1" t="s">
        <v>255</v>
      </c>
      <c r="B2955" s="1" t="s">
        <v>2042</v>
      </c>
      <c r="C2955" s="1" t="s">
        <v>259</v>
      </c>
      <c r="D2955" s="2">
        <v>46072.496099537035</v>
      </c>
      <c r="E2955" s="1" t="s">
        <v>4516</v>
      </c>
      <c r="F2955" s="1" t="b">
        <v>0</v>
      </c>
    </row>
    <row r="2956">
      <c r="A2956" s="1" t="s">
        <v>255</v>
      </c>
      <c r="B2956" s="1" t="s">
        <v>2042</v>
      </c>
      <c r="C2956" s="1" t="s">
        <v>259</v>
      </c>
      <c r="D2956" s="2">
        <v>46072.49633101852</v>
      </c>
      <c r="E2956" s="1" t="s">
        <v>4517</v>
      </c>
      <c r="F2956" s="1" t="b">
        <v>0</v>
      </c>
    </row>
    <row r="2957">
      <c r="A2957" s="1" t="s">
        <v>255</v>
      </c>
      <c r="B2957" s="1" t="s">
        <v>2042</v>
      </c>
      <c r="C2957" s="1" t="s">
        <v>259</v>
      </c>
      <c r="D2957" s="2">
        <v>46072.49712962963</v>
      </c>
      <c r="E2957" s="1" t="s">
        <v>4518</v>
      </c>
      <c r="F2957" s="1" t="b">
        <v>0</v>
      </c>
    </row>
    <row r="2958">
      <c r="A2958" s="1" t="s">
        <v>255</v>
      </c>
      <c r="B2958" s="1" t="s">
        <v>2046</v>
      </c>
      <c r="C2958" s="1">
        <v>594863.0</v>
      </c>
      <c r="D2958" s="2">
        <v>46072.50572916667</v>
      </c>
      <c r="E2958" s="1" t="s">
        <v>4519</v>
      </c>
      <c r="F2958" s="1" t="b">
        <v>0</v>
      </c>
    </row>
    <row r="2959">
      <c r="A2959" s="1" t="s">
        <v>247</v>
      </c>
      <c r="B2959" s="1" t="s">
        <v>2042</v>
      </c>
      <c r="C2959" s="1" t="s">
        <v>249</v>
      </c>
      <c r="D2959" s="2">
        <v>46072.49773148148</v>
      </c>
      <c r="E2959" s="1" t="s">
        <v>4520</v>
      </c>
      <c r="F2959" s="1" t="b">
        <v>0</v>
      </c>
    </row>
    <row r="2960">
      <c r="A2960" s="1" t="s">
        <v>242</v>
      </c>
      <c r="B2960" s="1" t="s">
        <v>2042</v>
      </c>
      <c r="C2960" s="1" t="s">
        <v>245</v>
      </c>
      <c r="D2960" s="2">
        <v>46072.51025462963</v>
      </c>
      <c r="E2960" s="1" t="s">
        <v>4521</v>
      </c>
      <c r="F2960" s="1" t="b">
        <v>0</v>
      </c>
    </row>
    <row r="2961">
      <c r="A2961" s="1" t="s">
        <v>242</v>
      </c>
      <c r="B2961" s="1" t="s">
        <v>2042</v>
      </c>
      <c r="C2961" s="1" t="s">
        <v>245</v>
      </c>
      <c r="D2961" s="2">
        <v>46072.75137731482</v>
      </c>
      <c r="E2961" s="1" t="s">
        <v>4522</v>
      </c>
      <c r="F2961" s="1" t="b">
        <v>0</v>
      </c>
    </row>
    <row r="2962">
      <c r="A2962" s="1" t="s">
        <v>242</v>
      </c>
      <c r="B2962" s="1" t="s">
        <v>2042</v>
      </c>
      <c r="C2962" s="1" t="s">
        <v>245</v>
      </c>
      <c r="D2962" s="2">
        <v>46072.75145833333</v>
      </c>
      <c r="E2962" s="1" t="s">
        <v>4523</v>
      </c>
      <c r="F2962" s="1" t="b">
        <v>0</v>
      </c>
    </row>
    <row r="2963">
      <c r="A2963" s="1" t="s">
        <v>238</v>
      </c>
      <c r="B2963" s="1" t="s">
        <v>2042</v>
      </c>
      <c r="C2963" s="1" t="s">
        <v>240</v>
      </c>
      <c r="D2963" s="2">
        <v>46072.51336805556</v>
      </c>
      <c r="E2963" s="1" t="s">
        <v>4524</v>
      </c>
      <c r="F2963" s="1" t="b">
        <v>0</v>
      </c>
    </row>
    <row r="2964">
      <c r="A2964" s="1" t="s">
        <v>238</v>
      </c>
      <c r="B2964" s="1" t="s">
        <v>2042</v>
      </c>
      <c r="C2964" s="1" t="s">
        <v>240</v>
      </c>
      <c r="D2964" s="2">
        <v>46072.513761574075</v>
      </c>
      <c r="E2964" s="1" t="s">
        <v>4525</v>
      </c>
      <c r="F2964" s="1" t="b">
        <v>0</v>
      </c>
    </row>
    <row r="2965">
      <c r="A2965" s="1" t="s">
        <v>238</v>
      </c>
      <c r="B2965" s="1" t="s">
        <v>2042</v>
      </c>
      <c r="C2965" s="1" t="s">
        <v>240</v>
      </c>
      <c r="D2965" s="2">
        <v>46072.51429398148</v>
      </c>
      <c r="E2965" s="1" t="s">
        <v>4526</v>
      </c>
      <c r="F2965" s="1" t="b">
        <v>0</v>
      </c>
    </row>
    <row r="2966">
      <c r="A2966" s="1" t="s">
        <v>232</v>
      </c>
      <c r="B2966" s="1" t="s">
        <v>2042</v>
      </c>
      <c r="C2966" s="1" t="s">
        <v>236</v>
      </c>
      <c r="D2966" s="2">
        <v>46072.544027777774</v>
      </c>
      <c r="E2966" s="1" t="s">
        <v>4527</v>
      </c>
      <c r="F2966" s="1" t="b">
        <v>0</v>
      </c>
    </row>
    <row r="2967">
      <c r="A2967" s="1" t="s">
        <v>232</v>
      </c>
      <c r="B2967" s="1" t="s">
        <v>2042</v>
      </c>
      <c r="C2967" s="1" t="s">
        <v>236</v>
      </c>
      <c r="D2967" s="2">
        <v>46072.54454861111</v>
      </c>
      <c r="E2967" s="1" t="s">
        <v>4528</v>
      </c>
      <c r="F2967" s="1" t="b">
        <v>0</v>
      </c>
    </row>
    <row r="2968">
      <c r="A2968" s="1" t="s">
        <v>232</v>
      </c>
      <c r="B2968" s="1" t="s">
        <v>2042</v>
      </c>
      <c r="C2968" s="1" t="s">
        <v>236</v>
      </c>
      <c r="D2968" s="2">
        <v>46072.54462962963</v>
      </c>
      <c r="E2968" s="1" t="s">
        <v>4529</v>
      </c>
      <c r="F2968" s="1" t="b">
        <v>0</v>
      </c>
    </row>
    <row r="2969">
      <c r="A2969" s="1" t="s">
        <v>232</v>
      </c>
      <c r="B2969" s="1" t="s">
        <v>2046</v>
      </c>
      <c r="C2969" s="1">
        <v>607950.0</v>
      </c>
      <c r="D2969" s="2">
        <v>46072.566979166666</v>
      </c>
      <c r="E2969" s="1" t="s">
        <v>2752</v>
      </c>
      <c r="F2969" s="1" t="b">
        <v>0</v>
      </c>
    </row>
    <row r="2970">
      <c r="A2970" s="1" t="s">
        <v>232</v>
      </c>
      <c r="B2970" s="1" t="s">
        <v>2046</v>
      </c>
      <c r="C2970" s="1">
        <v>607950.0</v>
      </c>
      <c r="D2970" s="2">
        <v>46072.56940972222</v>
      </c>
      <c r="E2970" s="1" t="s">
        <v>4530</v>
      </c>
      <c r="F2970" s="1" t="b">
        <v>0</v>
      </c>
    </row>
    <row r="2971">
      <c r="A2971" s="1" t="s">
        <v>232</v>
      </c>
      <c r="B2971" s="1" t="s">
        <v>2042</v>
      </c>
      <c r="C2971" s="1" t="s">
        <v>236</v>
      </c>
      <c r="D2971" s="2">
        <v>46072.572800925926</v>
      </c>
      <c r="F2971" s="1" t="b">
        <v>0</v>
      </c>
    </row>
    <row r="2972">
      <c r="A2972" s="1" t="s">
        <v>232</v>
      </c>
      <c r="B2972" s="1" t="s">
        <v>2046</v>
      </c>
      <c r="C2972" s="1">
        <v>607950.0</v>
      </c>
      <c r="D2972" s="2">
        <v>46072.57388888889</v>
      </c>
      <c r="E2972" s="1" t="s">
        <v>4531</v>
      </c>
      <c r="F2972" s="1" t="b">
        <v>0</v>
      </c>
    </row>
    <row r="2973">
      <c r="A2973" s="1" t="s">
        <v>232</v>
      </c>
      <c r="B2973" s="1" t="s">
        <v>2042</v>
      </c>
      <c r="C2973" s="1" t="s">
        <v>236</v>
      </c>
      <c r="D2973" s="2">
        <v>46072.57745370371</v>
      </c>
      <c r="E2973" s="1" t="s">
        <v>4532</v>
      </c>
      <c r="F2973" s="1" t="b">
        <v>0</v>
      </c>
    </row>
    <row r="2974">
      <c r="A2974" s="1" t="s">
        <v>232</v>
      </c>
      <c r="B2974" s="1" t="s">
        <v>2042</v>
      </c>
      <c r="C2974" s="1" t="s">
        <v>236</v>
      </c>
      <c r="D2974" s="2">
        <v>46072.57777777778</v>
      </c>
      <c r="E2974" s="1" t="s">
        <v>4533</v>
      </c>
      <c r="F2974" s="1" t="b">
        <v>0</v>
      </c>
    </row>
    <row r="2975">
      <c r="A2975" s="1" t="s">
        <v>232</v>
      </c>
      <c r="B2975" s="1" t="s">
        <v>2046</v>
      </c>
      <c r="C2975" s="1">
        <v>607950.0</v>
      </c>
      <c r="D2975" s="2">
        <v>46072.577939814815</v>
      </c>
      <c r="E2975" s="1" t="s">
        <v>4534</v>
      </c>
      <c r="F2975" s="1" t="b">
        <v>0</v>
      </c>
    </row>
    <row r="2976">
      <c r="A2976" s="1" t="s">
        <v>232</v>
      </c>
      <c r="B2976" s="1" t="s">
        <v>2042</v>
      </c>
      <c r="C2976" s="1" t="s">
        <v>236</v>
      </c>
      <c r="D2976" s="2">
        <v>46072.578148148146</v>
      </c>
      <c r="E2976" s="1" t="s">
        <v>4535</v>
      </c>
      <c r="F2976" s="1" t="b">
        <v>0</v>
      </c>
    </row>
    <row r="2977">
      <c r="A2977" s="1" t="s">
        <v>232</v>
      </c>
      <c r="B2977" s="1" t="s">
        <v>2042</v>
      </c>
      <c r="C2977" s="1" t="s">
        <v>236</v>
      </c>
      <c r="D2977" s="2">
        <v>46072.578935185185</v>
      </c>
      <c r="F2977" s="1" t="b">
        <v>0</v>
      </c>
    </row>
    <row r="2978">
      <c r="A2978" s="1" t="s">
        <v>232</v>
      </c>
      <c r="B2978" s="1" t="s">
        <v>2042</v>
      </c>
      <c r="C2978" s="1" t="s">
        <v>236</v>
      </c>
      <c r="D2978" s="2">
        <v>46072.579247685186</v>
      </c>
      <c r="E2978" s="1" t="s">
        <v>4536</v>
      </c>
      <c r="F2978" s="1" t="b">
        <v>0</v>
      </c>
    </row>
    <row r="2979">
      <c r="A2979" s="1" t="s">
        <v>232</v>
      </c>
      <c r="B2979" s="1" t="s">
        <v>2046</v>
      </c>
      <c r="C2979" s="1">
        <v>607950.0</v>
      </c>
      <c r="D2979" s="2">
        <v>46072.57974537037</v>
      </c>
      <c r="E2979" s="1" t="s">
        <v>4537</v>
      </c>
      <c r="F2979" s="1" t="b">
        <v>0</v>
      </c>
    </row>
    <row r="2980">
      <c r="A2980" s="1" t="s">
        <v>232</v>
      </c>
      <c r="B2980" s="1" t="s">
        <v>2046</v>
      </c>
      <c r="C2980" s="1">
        <v>607950.0</v>
      </c>
      <c r="D2980" s="2">
        <v>46072.58565972222</v>
      </c>
      <c r="E2980" s="1" t="s">
        <v>4538</v>
      </c>
      <c r="F2980" s="1" t="b">
        <v>0</v>
      </c>
    </row>
    <row r="2981">
      <c r="A2981" s="1" t="s">
        <v>232</v>
      </c>
      <c r="B2981" s="1" t="s">
        <v>2046</v>
      </c>
      <c r="C2981" s="1">
        <v>607950.0</v>
      </c>
      <c r="D2981" s="2">
        <v>46072.59851851852</v>
      </c>
      <c r="E2981" s="1" t="s">
        <v>2108</v>
      </c>
      <c r="F2981" s="1" t="b">
        <v>0</v>
      </c>
    </row>
    <row r="2982">
      <c r="A2982" s="1" t="s">
        <v>232</v>
      </c>
      <c r="B2982" s="1" t="s">
        <v>2042</v>
      </c>
      <c r="C2982" s="1" t="s">
        <v>236</v>
      </c>
      <c r="D2982" s="2">
        <v>46072.607256944444</v>
      </c>
      <c r="E2982" s="1" t="s">
        <v>4539</v>
      </c>
      <c r="F2982" s="1" t="b">
        <v>0</v>
      </c>
    </row>
    <row r="2983">
      <c r="A2983" s="1" t="s">
        <v>226</v>
      </c>
      <c r="B2983" s="1" t="s">
        <v>2042</v>
      </c>
      <c r="C2983" s="1" t="s">
        <v>228</v>
      </c>
      <c r="D2983" s="2">
        <v>46072.557488425926</v>
      </c>
      <c r="E2983" s="1" t="s">
        <v>4540</v>
      </c>
      <c r="F2983" s="1" t="b">
        <v>0</v>
      </c>
    </row>
    <row r="2984">
      <c r="A2984" s="1" t="s">
        <v>226</v>
      </c>
      <c r="B2984" s="1" t="s">
        <v>2042</v>
      </c>
      <c r="C2984" s="1" t="s">
        <v>228</v>
      </c>
      <c r="D2984" s="2">
        <v>46072.55755787037</v>
      </c>
      <c r="E2984" s="1" t="s">
        <v>4541</v>
      </c>
      <c r="F2984" s="1" t="b">
        <v>0</v>
      </c>
    </row>
    <row r="2985">
      <c r="A2985" s="1" t="s">
        <v>226</v>
      </c>
      <c r="B2985" s="1" t="s">
        <v>2042</v>
      </c>
      <c r="C2985" s="1" t="s">
        <v>228</v>
      </c>
      <c r="D2985" s="2">
        <v>46072.557905092595</v>
      </c>
      <c r="E2985" s="1" t="s">
        <v>4542</v>
      </c>
      <c r="F2985" s="1" t="b">
        <v>0</v>
      </c>
    </row>
    <row r="2986">
      <c r="A2986" s="1" t="s">
        <v>222</v>
      </c>
      <c r="B2986" s="1" t="s">
        <v>2042</v>
      </c>
      <c r="C2986" s="1" t="s">
        <v>224</v>
      </c>
      <c r="D2986" s="2">
        <v>46072.570439814815</v>
      </c>
      <c r="E2986" s="1" t="s">
        <v>4543</v>
      </c>
      <c r="F2986" s="1" t="b">
        <v>0</v>
      </c>
    </row>
    <row r="2987">
      <c r="A2987" s="1" t="s">
        <v>218</v>
      </c>
      <c r="B2987" s="1" t="s">
        <v>2042</v>
      </c>
      <c r="C2987" s="1" t="s">
        <v>220</v>
      </c>
      <c r="D2987" s="2">
        <v>46072.58804398148</v>
      </c>
      <c r="E2987" s="1" t="s">
        <v>4544</v>
      </c>
      <c r="F2987" s="1" t="b">
        <v>0</v>
      </c>
    </row>
    <row r="2988">
      <c r="A2988" s="1" t="s">
        <v>214</v>
      </c>
      <c r="B2988" s="1" t="s">
        <v>2042</v>
      </c>
      <c r="C2988" s="1" t="s">
        <v>216</v>
      </c>
      <c r="D2988" s="2">
        <v>46072.59170138889</v>
      </c>
      <c r="E2988" s="1" t="s">
        <v>4545</v>
      </c>
      <c r="F2988" s="1" t="b">
        <v>0</v>
      </c>
    </row>
    <row r="2989">
      <c r="A2989" s="1" t="s">
        <v>214</v>
      </c>
      <c r="B2989" s="1" t="s">
        <v>2042</v>
      </c>
      <c r="C2989" s="1" t="s">
        <v>216</v>
      </c>
      <c r="D2989" s="2">
        <v>46072.59238425926</v>
      </c>
      <c r="E2989" s="1" t="s">
        <v>4546</v>
      </c>
      <c r="F2989" s="1" t="b">
        <v>0</v>
      </c>
    </row>
    <row r="2990">
      <c r="A2990" s="1" t="s">
        <v>210</v>
      </c>
      <c r="B2990" s="1" t="s">
        <v>2042</v>
      </c>
      <c r="C2990" s="1" t="s">
        <v>212</v>
      </c>
      <c r="D2990" s="2">
        <v>46072.610451388886</v>
      </c>
      <c r="E2990" s="1" t="s">
        <v>4547</v>
      </c>
      <c r="F2990" s="1" t="b">
        <v>0</v>
      </c>
    </row>
    <row r="2991">
      <c r="A2991" s="1" t="s">
        <v>210</v>
      </c>
      <c r="B2991" s="1" t="s">
        <v>2042</v>
      </c>
      <c r="C2991" s="1" t="s">
        <v>212</v>
      </c>
      <c r="D2991" s="2">
        <v>46072.61599537037</v>
      </c>
      <c r="E2991" s="1" t="s">
        <v>3062</v>
      </c>
      <c r="F2991" s="1" t="b">
        <v>0</v>
      </c>
    </row>
    <row r="2992">
      <c r="A2992" s="1" t="s">
        <v>210</v>
      </c>
      <c r="B2992" s="1" t="s">
        <v>2042</v>
      </c>
      <c r="C2992" s="1" t="s">
        <v>212</v>
      </c>
      <c r="D2992" s="2">
        <v>46072.760787037034</v>
      </c>
      <c r="E2992" s="1" t="s">
        <v>4548</v>
      </c>
      <c r="F2992" s="1" t="b">
        <v>0</v>
      </c>
    </row>
    <row r="2993">
      <c r="A2993" s="1" t="s">
        <v>210</v>
      </c>
      <c r="B2993" s="1" t="s">
        <v>2042</v>
      </c>
      <c r="C2993" s="1" t="s">
        <v>212</v>
      </c>
      <c r="D2993" s="2">
        <v>46072.77908564815</v>
      </c>
      <c r="E2993" s="1" t="s">
        <v>4549</v>
      </c>
      <c r="F2993" s="1" t="b">
        <v>0</v>
      </c>
    </row>
    <row r="2994">
      <c r="A2994" s="1" t="s">
        <v>206</v>
      </c>
      <c r="B2994" s="1" t="s">
        <v>2042</v>
      </c>
      <c r="C2994" s="1" t="s">
        <v>208</v>
      </c>
      <c r="D2994" s="2">
        <v>46072.61645833333</v>
      </c>
      <c r="E2994" s="1" t="s">
        <v>4550</v>
      </c>
      <c r="F2994" s="1" t="b">
        <v>0</v>
      </c>
    </row>
    <row r="2995">
      <c r="A2995" s="1" t="s">
        <v>206</v>
      </c>
      <c r="B2995" s="1" t="s">
        <v>2042</v>
      </c>
      <c r="C2995" s="1" t="s">
        <v>208</v>
      </c>
      <c r="D2995" s="2">
        <v>46072.6165625</v>
      </c>
      <c r="E2995" s="1" t="s">
        <v>4551</v>
      </c>
      <c r="F2995" s="1" t="b">
        <v>0</v>
      </c>
    </row>
    <row r="2996">
      <c r="A2996" s="1" t="s">
        <v>206</v>
      </c>
      <c r="B2996" s="1" t="s">
        <v>2042</v>
      </c>
      <c r="C2996" s="1" t="s">
        <v>208</v>
      </c>
      <c r="D2996" s="2">
        <v>46072.61671296296</v>
      </c>
      <c r="E2996" s="1" t="s">
        <v>4552</v>
      </c>
      <c r="F2996" s="1" t="b">
        <v>0</v>
      </c>
    </row>
    <row r="2997">
      <c r="A2997" s="1" t="s">
        <v>206</v>
      </c>
      <c r="B2997" s="1" t="s">
        <v>2042</v>
      </c>
      <c r="C2997" s="1" t="s">
        <v>208</v>
      </c>
      <c r="D2997" s="2">
        <v>46072.61685185185</v>
      </c>
      <c r="E2997" s="1" t="s">
        <v>4553</v>
      </c>
      <c r="F2997" s="1" t="b">
        <v>0</v>
      </c>
    </row>
    <row r="2998">
      <c r="A2998" s="1" t="s">
        <v>202</v>
      </c>
      <c r="B2998" s="1" t="s">
        <v>2042</v>
      </c>
      <c r="C2998" s="1" t="s">
        <v>204</v>
      </c>
      <c r="D2998" s="2">
        <v>46072.621041666665</v>
      </c>
      <c r="E2998" s="1" t="s">
        <v>2933</v>
      </c>
      <c r="F2998" s="1" t="b">
        <v>0</v>
      </c>
    </row>
    <row r="2999">
      <c r="A2999" s="1" t="s">
        <v>202</v>
      </c>
      <c r="B2999" s="1" t="s">
        <v>2042</v>
      </c>
      <c r="C2999" s="1" t="s">
        <v>204</v>
      </c>
      <c r="D2999" s="2">
        <v>46072.62121527778</v>
      </c>
      <c r="E2999" s="1" t="s">
        <v>4554</v>
      </c>
      <c r="F2999" s="1" t="b">
        <v>0</v>
      </c>
    </row>
    <row r="3000">
      <c r="A3000" s="1" t="s">
        <v>202</v>
      </c>
      <c r="B3000" s="1" t="s">
        <v>2042</v>
      </c>
      <c r="C3000" s="1" t="s">
        <v>204</v>
      </c>
      <c r="D3000" s="2">
        <v>46072.62152777778</v>
      </c>
      <c r="E3000" s="1" t="s">
        <v>4555</v>
      </c>
      <c r="F3000" s="1" t="b">
        <v>0</v>
      </c>
    </row>
    <row r="3001">
      <c r="A3001" s="1" t="s">
        <v>198</v>
      </c>
      <c r="B3001" s="1" t="s">
        <v>2042</v>
      </c>
      <c r="C3001" s="1" t="s">
        <v>200</v>
      </c>
      <c r="D3001" s="2">
        <v>46072.62185185185</v>
      </c>
      <c r="E3001" s="1" t="s">
        <v>4556</v>
      </c>
      <c r="F3001" s="1" t="b">
        <v>0</v>
      </c>
    </row>
    <row r="3002">
      <c r="A3002" s="1" t="s">
        <v>186</v>
      </c>
      <c r="B3002" s="1" t="s">
        <v>2042</v>
      </c>
      <c r="C3002" s="1" t="s">
        <v>188</v>
      </c>
      <c r="D3002" s="2">
        <v>46072.64109953704</v>
      </c>
      <c r="E3002" s="1" t="s">
        <v>4557</v>
      </c>
      <c r="F3002" s="1" t="b">
        <v>0</v>
      </c>
    </row>
    <row r="3003">
      <c r="A3003" s="1" t="s">
        <v>186</v>
      </c>
      <c r="B3003" s="1" t="s">
        <v>2042</v>
      </c>
      <c r="C3003" s="1" t="s">
        <v>188</v>
      </c>
      <c r="D3003" s="2">
        <v>46072.64398148148</v>
      </c>
      <c r="E3003" s="1" t="s">
        <v>4558</v>
      </c>
      <c r="F3003" s="1" t="b">
        <v>0</v>
      </c>
    </row>
    <row r="3004">
      <c r="A3004" s="1" t="s">
        <v>182</v>
      </c>
      <c r="B3004" s="1" t="s">
        <v>2042</v>
      </c>
      <c r="C3004" s="1" t="s">
        <v>184</v>
      </c>
      <c r="D3004" s="2">
        <v>46072.641909722224</v>
      </c>
      <c r="E3004" s="1" t="s">
        <v>4559</v>
      </c>
      <c r="F3004" s="1" t="b">
        <v>0</v>
      </c>
    </row>
    <row r="3005">
      <c r="A3005" s="1" t="s">
        <v>178</v>
      </c>
      <c r="B3005" s="1" t="s">
        <v>2042</v>
      </c>
      <c r="C3005" s="1" t="s">
        <v>174</v>
      </c>
      <c r="D3005" s="2">
        <v>46072.65059027778</v>
      </c>
      <c r="E3005" s="1" t="s">
        <v>4560</v>
      </c>
      <c r="F3005" s="1" t="b">
        <v>0</v>
      </c>
    </row>
    <row r="3006">
      <c r="A3006" s="1" t="s">
        <v>178</v>
      </c>
      <c r="B3006" s="1" t="s">
        <v>2046</v>
      </c>
      <c r="C3006" s="1">
        <v>607950.0</v>
      </c>
      <c r="D3006" s="2">
        <v>46072.65193287037</v>
      </c>
      <c r="E3006" s="1" t="s">
        <v>2752</v>
      </c>
      <c r="F3006" s="1" t="b">
        <v>0</v>
      </c>
    </row>
    <row r="3007">
      <c r="A3007" s="1" t="s">
        <v>178</v>
      </c>
      <c r="B3007" s="1" t="s">
        <v>2046</v>
      </c>
      <c r="C3007" s="1">
        <v>607950.0</v>
      </c>
      <c r="D3007" s="2">
        <v>46072.65251157407</v>
      </c>
      <c r="E3007" s="1" t="s">
        <v>4561</v>
      </c>
      <c r="F3007" s="1" t="b">
        <v>0</v>
      </c>
    </row>
    <row r="3008">
      <c r="A3008" s="1" t="s">
        <v>170</v>
      </c>
      <c r="B3008" s="1" t="s">
        <v>2150</v>
      </c>
      <c r="C3008" s="1">
        <v>81559.0</v>
      </c>
      <c r="D3008" s="2">
        <v>46072.6528587963</v>
      </c>
      <c r="E3008" s="1" t="s">
        <v>4562</v>
      </c>
      <c r="F3008" s="1" t="b">
        <v>1</v>
      </c>
    </row>
    <row r="3009">
      <c r="A3009" s="1" t="s">
        <v>170</v>
      </c>
      <c r="B3009" s="1" t="s">
        <v>2042</v>
      </c>
      <c r="C3009" s="1" t="s">
        <v>174</v>
      </c>
      <c r="D3009" s="2">
        <v>46072.65625</v>
      </c>
      <c r="E3009" s="1" t="s">
        <v>4563</v>
      </c>
      <c r="F3009" s="1" t="b">
        <v>0</v>
      </c>
    </row>
    <row r="3010">
      <c r="A3010" s="1" t="s">
        <v>170</v>
      </c>
      <c r="B3010" s="1" t="s">
        <v>2046</v>
      </c>
      <c r="C3010" s="1">
        <v>607950.0</v>
      </c>
      <c r="D3010" s="2">
        <v>46072.660625</v>
      </c>
      <c r="E3010" s="1" t="s">
        <v>4564</v>
      </c>
      <c r="F3010" s="1" t="b">
        <v>0</v>
      </c>
    </row>
    <row r="3011">
      <c r="A3011" s="1" t="s">
        <v>166</v>
      </c>
      <c r="B3011" s="1" t="s">
        <v>2042</v>
      </c>
      <c r="C3011" s="1" t="s">
        <v>168</v>
      </c>
      <c r="D3011" s="2">
        <v>46072.66085648148</v>
      </c>
      <c r="E3011" s="1" t="s">
        <v>4565</v>
      </c>
      <c r="F3011" s="1" t="b">
        <v>0</v>
      </c>
    </row>
    <row r="3012">
      <c r="A3012" s="1" t="s">
        <v>162</v>
      </c>
      <c r="B3012" s="1" t="s">
        <v>2042</v>
      </c>
      <c r="C3012" s="1" t="s">
        <v>164</v>
      </c>
      <c r="D3012" s="2">
        <v>46072.67895833333</v>
      </c>
      <c r="E3012" s="1" t="s">
        <v>4566</v>
      </c>
      <c r="F3012" s="1" t="b">
        <v>0</v>
      </c>
    </row>
    <row r="3013">
      <c r="A3013" s="1" t="s">
        <v>162</v>
      </c>
      <c r="B3013" s="1" t="s">
        <v>2042</v>
      </c>
      <c r="C3013" s="1" t="s">
        <v>164</v>
      </c>
      <c r="D3013" s="2">
        <v>46072.68696759259</v>
      </c>
      <c r="E3013" s="1" t="s">
        <v>4567</v>
      </c>
      <c r="F3013" s="1" t="b">
        <v>0</v>
      </c>
    </row>
    <row r="3014">
      <c r="A3014" s="1" t="s">
        <v>157</v>
      </c>
      <c r="B3014" s="1" t="s">
        <v>2042</v>
      </c>
      <c r="C3014" s="1" t="s">
        <v>160</v>
      </c>
      <c r="D3014" s="2">
        <v>46072.68172453704</v>
      </c>
      <c r="E3014" s="1" t="s">
        <v>4568</v>
      </c>
      <c r="F3014" s="1" t="b">
        <v>0</v>
      </c>
    </row>
    <row r="3015">
      <c r="A3015" s="1" t="s">
        <v>157</v>
      </c>
      <c r="B3015" s="1" t="s">
        <v>2042</v>
      </c>
      <c r="C3015" s="1" t="s">
        <v>160</v>
      </c>
      <c r="D3015" s="2">
        <v>46072.68193287037</v>
      </c>
      <c r="E3015" s="1" t="s">
        <v>4569</v>
      </c>
      <c r="F3015" s="1" t="b">
        <v>0</v>
      </c>
    </row>
    <row r="3016">
      <c r="A3016" s="1" t="s">
        <v>153</v>
      </c>
      <c r="B3016" s="1" t="s">
        <v>2042</v>
      </c>
      <c r="C3016" s="1" t="s">
        <v>155</v>
      </c>
      <c r="D3016" s="2">
        <v>46072.710277777776</v>
      </c>
      <c r="E3016" s="1" t="s">
        <v>4570</v>
      </c>
      <c r="F3016" s="1" t="b">
        <v>0</v>
      </c>
    </row>
    <row r="3017">
      <c r="A3017" s="1" t="s">
        <v>153</v>
      </c>
      <c r="B3017" s="1" t="s">
        <v>2042</v>
      </c>
      <c r="C3017" s="1" t="s">
        <v>155</v>
      </c>
      <c r="D3017" s="2">
        <v>46072.71188657408</v>
      </c>
      <c r="E3017" s="1" t="s">
        <v>4571</v>
      </c>
      <c r="F3017" s="1" t="b">
        <v>0</v>
      </c>
    </row>
    <row r="3018">
      <c r="A3018" s="1" t="s">
        <v>147</v>
      </c>
      <c r="B3018" s="1" t="s">
        <v>2042</v>
      </c>
      <c r="C3018" s="1" t="s">
        <v>150</v>
      </c>
      <c r="D3018" s="2">
        <v>46072.73234953704</v>
      </c>
      <c r="E3018" s="1" t="s">
        <v>2133</v>
      </c>
      <c r="F3018" s="1" t="b">
        <v>0</v>
      </c>
    </row>
    <row r="3019">
      <c r="A3019" s="1" t="s">
        <v>147</v>
      </c>
      <c r="B3019" s="1" t="s">
        <v>2046</v>
      </c>
      <c r="C3019" s="1">
        <v>607950.0</v>
      </c>
      <c r="D3019" s="2">
        <v>46072.73255787037</v>
      </c>
      <c r="E3019" s="1" t="s">
        <v>4572</v>
      </c>
      <c r="F3019" s="1" t="b">
        <v>0</v>
      </c>
    </row>
    <row r="3020">
      <c r="A3020" s="1" t="s">
        <v>147</v>
      </c>
      <c r="B3020" s="1" t="s">
        <v>2042</v>
      </c>
      <c r="C3020" s="1" t="s">
        <v>150</v>
      </c>
      <c r="D3020" s="2">
        <v>46072.732824074075</v>
      </c>
      <c r="F3020" s="1" t="b">
        <v>0</v>
      </c>
    </row>
    <row r="3021">
      <c r="A3021" s="1" t="s">
        <v>147</v>
      </c>
      <c r="B3021" s="1" t="s">
        <v>2042</v>
      </c>
      <c r="C3021" s="1" t="s">
        <v>150</v>
      </c>
      <c r="D3021" s="2">
        <v>46072.73746527778</v>
      </c>
      <c r="E3021" s="1" t="s">
        <v>4573</v>
      </c>
      <c r="F3021" s="1" t="b">
        <v>0</v>
      </c>
    </row>
    <row r="3022">
      <c r="A3022" s="1" t="s">
        <v>147</v>
      </c>
      <c r="B3022" s="1" t="s">
        <v>2042</v>
      </c>
      <c r="C3022" s="1" t="s">
        <v>150</v>
      </c>
      <c r="D3022" s="2">
        <v>46072.7378125</v>
      </c>
      <c r="E3022" s="1" t="s">
        <v>4574</v>
      </c>
      <c r="F3022" s="1" t="b">
        <v>0</v>
      </c>
    </row>
    <row r="3023">
      <c r="A3023" s="1" t="s">
        <v>147</v>
      </c>
      <c r="B3023" s="1" t="s">
        <v>2046</v>
      </c>
      <c r="C3023" s="1">
        <v>607950.0</v>
      </c>
      <c r="D3023" s="2">
        <v>46073.421006944445</v>
      </c>
      <c r="E3023" s="1" t="s">
        <v>4575</v>
      </c>
      <c r="F3023" s="1" t="b">
        <v>0</v>
      </c>
    </row>
    <row r="3024">
      <c r="A3024" s="1" t="s">
        <v>136</v>
      </c>
      <c r="B3024" s="1" t="s">
        <v>2042</v>
      </c>
      <c r="C3024" s="1" t="s">
        <v>138</v>
      </c>
      <c r="D3024" s="2">
        <v>46072.73866898148</v>
      </c>
      <c r="E3024" s="1" t="s">
        <v>4576</v>
      </c>
      <c r="F3024" s="1" t="b">
        <v>0</v>
      </c>
    </row>
    <row r="3025">
      <c r="A3025" s="1" t="s">
        <v>132</v>
      </c>
      <c r="B3025" s="1" t="s">
        <v>2042</v>
      </c>
      <c r="C3025" s="1" t="s">
        <v>134</v>
      </c>
      <c r="D3025" s="2">
        <v>46072.74228009259</v>
      </c>
      <c r="E3025" s="1" t="s">
        <v>4577</v>
      </c>
      <c r="F3025" s="1" t="b">
        <v>0</v>
      </c>
    </row>
    <row r="3026">
      <c r="A3026" s="1" t="s">
        <v>125</v>
      </c>
      <c r="B3026" s="1" t="s">
        <v>2042</v>
      </c>
      <c r="C3026" s="1" t="s">
        <v>129</v>
      </c>
      <c r="D3026" s="2">
        <v>46072.763287037036</v>
      </c>
      <c r="E3026" s="1" t="s">
        <v>4578</v>
      </c>
      <c r="F3026" s="1" t="b">
        <v>0</v>
      </c>
    </row>
    <row r="3027">
      <c r="A3027" s="1" t="s">
        <v>125</v>
      </c>
      <c r="B3027" s="1" t="s">
        <v>2042</v>
      </c>
      <c r="C3027" s="1" t="s">
        <v>129</v>
      </c>
      <c r="D3027" s="2">
        <v>46072.763657407406</v>
      </c>
      <c r="E3027" s="1" t="s">
        <v>4579</v>
      </c>
      <c r="F3027" s="1" t="b">
        <v>0</v>
      </c>
    </row>
    <row r="3028">
      <c r="A3028" s="1" t="s">
        <v>125</v>
      </c>
      <c r="B3028" s="1" t="s">
        <v>2042</v>
      </c>
      <c r="C3028" s="1" t="s">
        <v>129</v>
      </c>
      <c r="D3028" s="2">
        <v>46072.76405092593</v>
      </c>
      <c r="E3028" s="1" t="s">
        <v>4580</v>
      </c>
      <c r="F3028" s="1" t="b">
        <v>0</v>
      </c>
    </row>
    <row r="3029">
      <c r="A3029" s="1" t="s">
        <v>125</v>
      </c>
      <c r="B3029" s="1" t="s">
        <v>2046</v>
      </c>
      <c r="C3029" s="1">
        <v>540030.0</v>
      </c>
      <c r="D3029" s="2">
        <v>46072.826840277776</v>
      </c>
      <c r="E3029" s="1" t="s">
        <v>4581</v>
      </c>
      <c r="F3029" s="1" t="b">
        <v>0</v>
      </c>
    </row>
    <row r="3030">
      <c r="A3030" s="1" t="s">
        <v>125</v>
      </c>
      <c r="B3030" s="1" t="s">
        <v>2046</v>
      </c>
      <c r="C3030" s="1">
        <v>607950.0</v>
      </c>
      <c r="D3030" s="2">
        <v>46073.420578703706</v>
      </c>
      <c r="E3030" s="1" t="s">
        <v>4582</v>
      </c>
      <c r="F3030" s="1" t="b">
        <v>0</v>
      </c>
    </row>
    <row r="3031">
      <c r="A3031" s="1" t="s">
        <v>125</v>
      </c>
      <c r="B3031" s="1" t="s">
        <v>2046</v>
      </c>
      <c r="C3031" s="1">
        <v>607950.0</v>
      </c>
      <c r="D3031" s="2">
        <v>46073.450277777774</v>
      </c>
      <c r="E3031" s="1" t="s">
        <v>4583</v>
      </c>
      <c r="F3031" s="1" t="b">
        <v>0</v>
      </c>
    </row>
    <row r="3032">
      <c r="A3032" s="1" t="s">
        <v>121</v>
      </c>
      <c r="B3032" s="1" t="s">
        <v>2042</v>
      </c>
      <c r="C3032" s="1" t="s">
        <v>123</v>
      </c>
      <c r="D3032" s="2">
        <v>46072.78872685185</v>
      </c>
      <c r="E3032" s="1" t="s">
        <v>4584</v>
      </c>
      <c r="F3032" s="1" t="b">
        <v>0</v>
      </c>
    </row>
    <row r="3033">
      <c r="A3033" s="1" t="s">
        <v>112</v>
      </c>
      <c r="B3033" s="1" t="s">
        <v>2042</v>
      </c>
      <c r="C3033" s="1" t="s">
        <v>116</v>
      </c>
      <c r="D3033" s="2">
        <v>46072.79740740741</v>
      </c>
      <c r="E3033" s="1" t="s">
        <v>4585</v>
      </c>
      <c r="F3033" s="1" t="b">
        <v>0</v>
      </c>
    </row>
    <row r="3034">
      <c r="A3034" s="1" t="s">
        <v>112</v>
      </c>
      <c r="B3034" s="1" t="s">
        <v>2042</v>
      </c>
      <c r="C3034" s="1" t="s">
        <v>116</v>
      </c>
      <c r="D3034" s="2">
        <v>46072.79760416667</v>
      </c>
      <c r="E3034" s="1" t="s">
        <v>4586</v>
      </c>
      <c r="F3034" s="1" t="b">
        <v>0</v>
      </c>
    </row>
    <row r="3035">
      <c r="A3035" s="1" t="s">
        <v>112</v>
      </c>
      <c r="B3035" s="1" t="s">
        <v>2046</v>
      </c>
      <c r="C3035" s="1">
        <v>607950.0</v>
      </c>
      <c r="D3035" s="2">
        <v>46073.41957175926</v>
      </c>
      <c r="E3035" s="1" t="s">
        <v>2752</v>
      </c>
      <c r="F3035" s="1" t="b">
        <v>0</v>
      </c>
    </row>
    <row r="3036">
      <c r="A3036" s="1" t="s">
        <v>112</v>
      </c>
      <c r="B3036" s="1" t="s">
        <v>2046</v>
      </c>
      <c r="C3036" s="1">
        <v>607950.0</v>
      </c>
      <c r="D3036" s="2">
        <v>46073.419907407406</v>
      </c>
      <c r="E3036" s="1" t="s">
        <v>4587</v>
      </c>
      <c r="F3036" s="1" t="b">
        <v>0</v>
      </c>
    </row>
    <row r="3037">
      <c r="A3037" s="1" t="s">
        <v>112</v>
      </c>
      <c r="B3037" s="1" t="s">
        <v>2046</v>
      </c>
      <c r="C3037" s="1">
        <v>594863.0</v>
      </c>
      <c r="D3037" s="2">
        <v>46073.42265046296</v>
      </c>
      <c r="E3037" s="1" t="s">
        <v>4588</v>
      </c>
      <c r="F3037" s="1" t="b">
        <v>1</v>
      </c>
    </row>
    <row r="3038">
      <c r="A3038" s="1" t="s">
        <v>112</v>
      </c>
      <c r="B3038" s="1" t="s">
        <v>2042</v>
      </c>
      <c r="C3038" s="1" t="s">
        <v>116</v>
      </c>
      <c r="D3038" s="2">
        <v>46073.43236111111</v>
      </c>
      <c r="E3038" s="1" t="s">
        <v>2642</v>
      </c>
      <c r="F3038" s="1" t="b">
        <v>0</v>
      </c>
    </row>
    <row r="3039">
      <c r="A3039" s="1" t="s">
        <v>112</v>
      </c>
      <c r="B3039" s="1" t="s">
        <v>2042</v>
      </c>
      <c r="C3039" s="1" t="s">
        <v>116</v>
      </c>
      <c r="D3039" s="2">
        <v>46073.43361111111</v>
      </c>
      <c r="E3039" s="1" t="s">
        <v>4589</v>
      </c>
      <c r="F3039" s="1" t="b">
        <v>0</v>
      </c>
    </row>
    <row r="3040">
      <c r="A3040" s="1" t="s">
        <v>112</v>
      </c>
      <c r="B3040" s="1" t="s">
        <v>2046</v>
      </c>
      <c r="C3040" s="1">
        <v>607950.0</v>
      </c>
      <c r="D3040" s="2">
        <v>46073.434328703705</v>
      </c>
      <c r="E3040" s="1" t="s">
        <v>4590</v>
      </c>
      <c r="F3040" s="1" t="b">
        <v>0</v>
      </c>
    </row>
    <row r="3041">
      <c r="A3041" s="1" t="s">
        <v>112</v>
      </c>
      <c r="B3041" s="1" t="s">
        <v>2042</v>
      </c>
      <c r="C3041" s="1" t="s">
        <v>116</v>
      </c>
      <c r="D3041" s="2">
        <v>46073.434479166666</v>
      </c>
      <c r="E3041" s="1" t="s">
        <v>4591</v>
      </c>
      <c r="F3041" s="1" t="b">
        <v>0</v>
      </c>
    </row>
    <row r="3042">
      <c r="A3042" s="1" t="s">
        <v>112</v>
      </c>
      <c r="B3042" s="1" t="s">
        <v>2042</v>
      </c>
      <c r="C3042" s="1" t="s">
        <v>116</v>
      </c>
      <c r="D3042" s="2">
        <v>46073.43493055556</v>
      </c>
      <c r="E3042" s="1" t="s">
        <v>4592</v>
      </c>
      <c r="F3042" s="1" t="b">
        <v>0</v>
      </c>
    </row>
    <row r="3043">
      <c r="A3043" s="1" t="s">
        <v>112</v>
      </c>
      <c r="B3043" s="1" t="s">
        <v>2046</v>
      </c>
      <c r="C3043" s="1">
        <v>607950.0</v>
      </c>
      <c r="D3043" s="2">
        <v>46073.43561342593</v>
      </c>
      <c r="E3043" s="1" t="s">
        <v>4593</v>
      </c>
      <c r="F3043" s="1" t="b">
        <v>0</v>
      </c>
    </row>
    <row r="3044">
      <c r="A3044" s="1" t="s">
        <v>112</v>
      </c>
      <c r="B3044" s="1" t="s">
        <v>2042</v>
      </c>
      <c r="C3044" s="1" t="s">
        <v>116</v>
      </c>
      <c r="D3044" s="2">
        <v>46073.436006944445</v>
      </c>
      <c r="E3044" s="1" t="s">
        <v>4594</v>
      </c>
      <c r="F3044" s="1" t="b">
        <v>0</v>
      </c>
    </row>
    <row r="3045">
      <c r="A3045" s="1" t="s">
        <v>112</v>
      </c>
      <c r="B3045" s="1" t="s">
        <v>2042</v>
      </c>
      <c r="C3045" s="1" t="s">
        <v>116</v>
      </c>
      <c r="D3045" s="2">
        <v>46073.43619212963</v>
      </c>
      <c r="E3045" s="1" t="s">
        <v>4595</v>
      </c>
      <c r="F3045" s="1" t="b">
        <v>0</v>
      </c>
    </row>
    <row r="3046">
      <c r="A3046" s="1" t="s">
        <v>112</v>
      </c>
      <c r="B3046" s="1" t="s">
        <v>2046</v>
      </c>
      <c r="C3046" s="1">
        <v>607950.0</v>
      </c>
      <c r="D3046" s="2">
        <v>46073.43788194445</v>
      </c>
      <c r="E3046" s="1" t="s">
        <v>4596</v>
      </c>
      <c r="F3046" s="1" t="b">
        <v>0</v>
      </c>
    </row>
    <row r="3047">
      <c r="A3047" s="1" t="s">
        <v>112</v>
      </c>
      <c r="B3047" s="1" t="s">
        <v>2042</v>
      </c>
      <c r="C3047" s="1" t="s">
        <v>116</v>
      </c>
      <c r="D3047" s="2">
        <v>46073.43832175926</v>
      </c>
      <c r="E3047" s="1" t="s">
        <v>4597</v>
      </c>
      <c r="F3047" s="1" t="b">
        <v>0</v>
      </c>
    </row>
    <row r="3048">
      <c r="A3048" s="1" t="s">
        <v>112</v>
      </c>
      <c r="B3048" s="1" t="s">
        <v>2042</v>
      </c>
      <c r="C3048" s="1" t="s">
        <v>116</v>
      </c>
      <c r="D3048" s="2">
        <v>46073.43863425926</v>
      </c>
      <c r="E3048" s="1" t="s">
        <v>4598</v>
      </c>
      <c r="F3048" s="1" t="b">
        <v>0</v>
      </c>
    </row>
    <row r="3049">
      <c r="A3049" s="1" t="s">
        <v>112</v>
      </c>
      <c r="B3049" s="1" t="s">
        <v>2046</v>
      </c>
      <c r="C3049" s="1">
        <v>607950.0</v>
      </c>
      <c r="D3049" s="2">
        <v>46073.44126157407</v>
      </c>
      <c r="E3049" s="1" t="s">
        <v>2254</v>
      </c>
      <c r="F3049" s="1" t="b">
        <v>1</v>
      </c>
    </row>
    <row r="3050">
      <c r="A3050" s="1" t="s">
        <v>112</v>
      </c>
      <c r="B3050" s="1" t="s">
        <v>2150</v>
      </c>
      <c r="C3050" s="1" t="s">
        <v>2151</v>
      </c>
      <c r="D3050" s="2">
        <v>46073.441412037035</v>
      </c>
      <c r="E3050" s="1" t="s">
        <v>4599</v>
      </c>
      <c r="F3050" s="1" t="b">
        <v>1</v>
      </c>
    </row>
    <row r="3051">
      <c r="A3051" s="1" t="s">
        <v>112</v>
      </c>
      <c r="B3051" s="1" t="s">
        <v>2046</v>
      </c>
      <c r="C3051" s="1">
        <v>607950.0</v>
      </c>
      <c r="D3051" s="2">
        <v>46073.452881944446</v>
      </c>
      <c r="E3051" s="1" t="s">
        <v>4600</v>
      </c>
      <c r="F3051" s="1" t="b">
        <v>0</v>
      </c>
    </row>
    <row r="3052">
      <c r="A3052" s="1" t="s">
        <v>112</v>
      </c>
      <c r="B3052" s="1" t="s">
        <v>2042</v>
      </c>
      <c r="C3052" s="1" t="s">
        <v>116</v>
      </c>
      <c r="D3052" s="2">
        <v>46073.45707175926</v>
      </c>
      <c r="E3052" s="1" t="s">
        <v>4601</v>
      </c>
      <c r="F3052" s="1" t="b">
        <v>0</v>
      </c>
    </row>
    <row r="3053">
      <c r="A3053" s="1" t="s">
        <v>112</v>
      </c>
      <c r="B3053" s="1" t="s">
        <v>2046</v>
      </c>
      <c r="C3053" s="1">
        <v>607950.0</v>
      </c>
      <c r="D3053" s="2">
        <v>46073.472766203704</v>
      </c>
      <c r="E3053" s="1" t="s">
        <v>4602</v>
      </c>
      <c r="F3053" s="1" t="b">
        <v>0</v>
      </c>
    </row>
    <row r="3054">
      <c r="A3054" s="1" t="s">
        <v>112</v>
      </c>
      <c r="B3054" s="1" t="s">
        <v>2046</v>
      </c>
      <c r="C3054" s="1">
        <v>607950.0</v>
      </c>
      <c r="D3054" s="2">
        <v>46073.57423611111</v>
      </c>
      <c r="E3054" s="1" t="s">
        <v>2754</v>
      </c>
      <c r="F3054" s="1" t="b">
        <v>0</v>
      </c>
    </row>
    <row r="3055">
      <c r="A3055" s="1" t="s">
        <v>112</v>
      </c>
      <c r="B3055" s="1" t="s">
        <v>2046</v>
      </c>
      <c r="C3055" s="1">
        <v>607950.0</v>
      </c>
      <c r="D3055" s="2">
        <v>46073.575844907406</v>
      </c>
      <c r="E3055" s="1" t="s">
        <v>4603</v>
      </c>
      <c r="F3055" s="1" t="b">
        <v>0</v>
      </c>
    </row>
    <row r="3056">
      <c r="A3056" s="1" t="s">
        <v>98</v>
      </c>
      <c r="B3056" s="1" t="s">
        <v>2042</v>
      </c>
      <c r="C3056" s="1" t="s">
        <v>4604</v>
      </c>
      <c r="D3056" s="2">
        <v>46072.85943287037</v>
      </c>
      <c r="E3056" s="1" t="s">
        <v>4605</v>
      </c>
      <c r="F3056" s="1" t="b">
        <v>0</v>
      </c>
    </row>
    <row r="3057">
      <c r="A3057" s="1" t="s">
        <v>98</v>
      </c>
      <c r="B3057" s="1" t="s">
        <v>2042</v>
      </c>
      <c r="C3057" s="1" t="s">
        <v>4604</v>
      </c>
      <c r="D3057" s="2">
        <v>46072.86005787037</v>
      </c>
      <c r="E3057" s="1" t="s">
        <v>4606</v>
      </c>
      <c r="F3057" s="1" t="b">
        <v>0</v>
      </c>
    </row>
  </sheetData>
  <mergeCells count="135">
    <mergeCell ref="D49:E49"/>
    <mergeCell ref="D50:E50"/>
    <mergeCell ref="D51:E51"/>
    <mergeCell ref="D52:E52"/>
    <mergeCell ref="D60:E60"/>
    <mergeCell ref="D64:E64"/>
    <mergeCell ref="D65:E65"/>
    <mergeCell ref="D66:E66"/>
    <mergeCell ref="D79:E79"/>
    <mergeCell ref="D100:E100"/>
    <mergeCell ref="D124:E124"/>
    <mergeCell ref="D126:E126"/>
    <mergeCell ref="D171:E171"/>
    <mergeCell ref="D300:E300"/>
    <mergeCell ref="D310:E310"/>
    <mergeCell ref="D324:E324"/>
    <mergeCell ref="D327:E327"/>
    <mergeCell ref="D380:E380"/>
    <mergeCell ref="D387:E387"/>
    <mergeCell ref="D388:E388"/>
    <mergeCell ref="D431:E431"/>
    <mergeCell ref="D496:E496"/>
    <mergeCell ref="D499:E499"/>
    <mergeCell ref="D524:E524"/>
    <mergeCell ref="D579:E579"/>
    <mergeCell ref="D584:E584"/>
    <mergeCell ref="D585:E585"/>
    <mergeCell ref="D601:E601"/>
    <mergeCell ref="D698:E698"/>
    <mergeCell ref="D718:E718"/>
    <mergeCell ref="D727:E727"/>
    <mergeCell ref="D728:E728"/>
    <mergeCell ref="D731:E731"/>
    <mergeCell ref="D736:E736"/>
    <mergeCell ref="D739:E739"/>
    <mergeCell ref="D743:E743"/>
    <mergeCell ref="D757:E757"/>
    <mergeCell ref="D902:E902"/>
    <mergeCell ref="D1006:E1006"/>
    <mergeCell ref="D1058:E1058"/>
    <mergeCell ref="D1086:E1086"/>
    <mergeCell ref="D1101:E1101"/>
    <mergeCell ref="D1154:E1154"/>
    <mergeCell ref="D1183:E1183"/>
    <mergeCell ref="D1190:E1190"/>
    <mergeCell ref="D1224:E1224"/>
    <mergeCell ref="D1225:E1225"/>
    <mergeCell ref="D1233:E1233"/>
    <mergeCell ref="D1265:E1265"/>
    <mergeCell ref="D2331:E2331"/>
    <mergeCell ref="D2378:E2378"/>
    <mergeCell ref="D2384:E2384"/>
    <mergeCell ref="D2394:E2394"/>
    <mergeCell ref="D2410:E2410"/>
    <mergeCell ref="D2415:E2415"/>
    <mergeCell ref="D2425:E2425"/>
    <mergeCell ref="D2458:E2458"/>
    <mergeCell ref="D2463:E2463"/>
    <mergeCell ref="D2465:E2465"/>
    <mergeCell ref="D2473:E2473"/>
    <mergeCell ref="D2475:E2475"/>
    <mergeCell ref="D2477:E2477"/>
    <mergeCell ref="D2484:E2484"/>
    <mergeCell ref="D2485:E2485"/>
    <mergeCell ref="D2504:E2504"/>
    <mergeCell ref="D2544:E2544"/>
    <mergeCell ref="D2568:E2568"/>
    <mergeCell ref="D2573:E2573"/>
    <mergeCell ref="D2574:E2574"/>
    <mergeCell ref="D2587:E2587"/>
    <mergeCell ref="D2630:E2630"/>
    <mergeCell ref="D2714:E2714"/>
    <mergeCell ref="D2738:E2738"/>
    <mergeCell ref="D2785:E2785"/>
    <mergeCell ref="D2813:E2813"/>
    <mergeCell ref="D2822:E2822"/>
    <mergeCell ref="D2823:E2823"/>
    <mergeCell ref="D2977:E2977"/>
    <mergeCell ref="D3020:E3020"/>
    <mergeCell ref="D2841:E2841"/>
    <mergeCell ref="D2843:E2843"/>
    <mergeCell ref="D2845:E2845"/>
    <mergeCell ref="D2879:E2879"/>
    <mergeCell ref="D2952:E2952"/>
    <mergeCell ref="D2954:E2954"/>
    <mergeCell ref="D2971:E2971"/>
    <mergeCell ref="D1324:E1324"/>
    <mergeCell ref="D1326:E1326"/>
    <mergeCell ref="D1339:E1339"/>
    <mergeCell ref="D1386:E1386"/>
    <mergeCell ref="D1416:E1416"/>
    <mergeCell ref="D1440:E1440"/>
    <mergeCell ref="D1441:E1441"/>
    <mergeCell ref="D1462:E1462"/>
    <mergeCell ref="D1479:E1479"/>
    <mergeCell ref="D1519:E1519"/>
    <mergeCell ref="D1543:E1543"/>
    <mergeCell ref="D1554:E1554"/>
    <mergeCell ref="D1558:E1558"/>
    <mergeCell ref="D1571:E1571"/>
    <mergeCell ref="D1573:E1573"/>
    <mergeCell ref="D1634:E1634"/>
    <mergeCell ref="D1654:E1654"/>
    <mergeCell ref="D1655:E1655"/>
    <mergeCell ref="D1668:E1668"/>
    <mergeCell ref="D1671:E1671"/>
    <mergeCell ref="D1676:E1676"/>
    <mergeCell ref="D1725:E1725"/>
    <mergeCell ref="D1761:E1761"/>
    <mergeCell ref="D1784:E1784"/>
    <mergeCell ref="D1821:E1821"/>
    <mergeCell ref="D1826:E1826"/>
    <mergeCell ref="D1843:E1843"/>
    <mergeCell ref="D1873:E1873"/>
    <mergeCell ref="D1923:E1923"/>
    <mergeCell ref="D1924:E1924"/>
    <mergeCell ref="D1956:E1956"/>
    <mergeCell ref="D1964:E1964"/>
    <mergeCell ref="D1975:E1975"/>
    <mergeCell ref="D1977:E1977"/>
    <mergeCell ref="D1987:E1987"/>
    <mergeCell ref="D1999:E1999"/>
    <mergeCell ref="D2003:E2003"/>
    <mergeCell ref="D2019:E2019"/>
    <mergeCell ref="D2021:E2021"/>
    <mergeCell ref="D2041:E2041"/>
    <mergeCell ref="D2071:E2071"/>
    <mergeCell ref="D2091:E2091"/>
    <mergeCell ref="D2148:E2148"/>
    <mergeCell ref="D2154:E2154"/>
    <mergeCell ref="D2171:E2171"/>
    <mergeCell ref="D2257:E2257"/>
    <mergeCell ref="D2258:E2258"/>
    <mergeCell ref="D2267:E2267"/>
    <mergeCell ref="D2270:E2270"/>
  </mergeCells>
  <hyperlinks>
    <hyperlink r:id="rId1" location="%EC%B9%B4%EB%93%9C%EB%B3%84-%ED%95%9C%EB%8F%84-%EC%84%A4%EC%A0%95-%EB%B0%A9%EB%B2%95" ref="E1688"/>
    <hyperlink r:id="rId2" ref="E1864"/>
    <hyperlink r:id="rId3" location="%EB%B9%84%EC%94%A8%EC%B9%B4%EB%93%9C" ref="E238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4" t="s">
        <v>4607</v>
      </c>
      <c r="D1" s="1" t="s">
        <v>4608</v>
      </c>
      <c r="E1" s="1" t="s">
        <v>4609</v>
      </c>
      <c r="F1" s="1" t="s">
        <v>4610</v>
      </c>
      <c r="G1" s="1" t="s">
        <v>4611</v>
      </c>
      <c r="H1" s="1" t="s">
        <v>4612</v>
      </c>
      <c r="I1" s="1" t="s">
        <v>8</v>
      </c>
      <c r="J1" s="1" t="s">
        <v>4613</v>
      </c>
      <c r="K1" s="1" t="s">
        <v>4614</v>
      </c>
      <c r="L1" s="1" t="s">
        <v>4615</v>
      </c>
      <c r="M1" s="1" t="s">
        <v>4616</v>
      </c>
      <c r="N1" s="1" t="s">
        <v>4617</v>
      </c>
      <c r="O1" s="1" t="s">
        <v>4618</v>
      </c>
      <c r="P1" s="1" t="s">
        <v>4619</v>
      </c>
      <c r="Q1" s="1" t="s">
        <v>4620</v>
      </c>
      <c r="R1" s="1" t="s">
        <v>4621</v>
      </c>
      <c r="S1" s="1" t="s">
        <v>4622</v>
      </c>
      <c r="T1" s="1" t="s">
        <v>4623</v>
      </c>
      <c r="U1" s="1" t="s">
        <v>4624</v>
      </c>
      <c r="V1" s="1" t="s">
        <v>4625</v>
      </c>
      <c r="W1" s="1" t="s">
        <v>35</v>
      </c>
      <c r="X1" s="1" t="s">
        <v>4626</v>
      </c>
      <c r="Y1" s="1" t="s">
        <v>4627</v>
      </c>
      <c r="Z1" s="1" t="s">
        <v>4628</v>
      </c>
      <c r="AA1" s="1" t="s">
        <v>4629</v>
      </c>
      <c r="AB1" s="1" t="s">
        <v>4630</v>
      </c>
      <c r="AC1" s="1" t="s">
        <v>4631</v>
      </c>
      <c r="AD1" s="1" t="s">
        <v>4632</v>
      </c>
      <c r="AE1" s="1" t="s">
        <v>4633</v>
      </c>
      <c r="AF1" s="1" t="s">
        <v>4634</v>
      </c>
      <c r="AG1" s="1" t="s">
        <v>4635</v>
      </c>
      <c r="AH1" s="1" t="s">
        <v>4636</v>
      </c>
      <c r="AI1" s="1" t="s">
        <v>4637</v>
      </c>
      <c r="AJ1" s="1" t="s">
        <v>4638</v>
      </c>
      <c r="AK1" s="1" t="s">
        <v>36</v>
      </c>
      <c r="AL1" s="1" t="s">
        <v>4639</v>
      </c>
      <c r="AM1" s="1" t="s">
        <v>4640</v>
      </c>
      <c r="AN1" s="1" t="s">
        <v>4641</v>
      </c>
      <c r="AO1" s="1" t="s">
        <v>4642</v>
      </c>
      <c r="AP1" s="1" t="s">
        <v>4643</v>
      </c>
      <c r="AQ1" s="1" t="s">
        <v>4644</v>
      </c>
      <c r="AR1" s="1" t="s">
        <v>4645</v>
      </c>
      <c r="AS1" s="1" t="s">
        <v>4646</v>
      </c>
      <c r="AT1" s="1" t="s">
        <v>4647</v>
      </c>
      <c r="AU1" s="1" t="s">
        <v>4648</v>
      </c>
      <c r="AV1" s="1" t="s">
        <v>4649</v>
      </c>
      <c r="AW1" s="1" t="s">
        <v>4650</v>
      </c>
      <c r="AX1" s="1" t="s">
        <v>4651</v>
      </c>
      <c r="AY1" s="1" t="s">
        <v>4652</v>
      </c>
      <c r="AZ1" s="1" t="s">
        <v>4653</v>
      </c>
      <c r="BA1" s="1" t="s">
        <v>4654</v>
      </c>
      <c r="BB1" s="1" t="s">
        <v>4655</v>
      </c>
      <c r="BC1" s="1" t="s">
        <v>4656</v>
      </c>
      <c r="BD1" s="1" t="s">
        <v>4657</v>
      </c>
      <c r="BE1" s="1" t="s">
        <v>4658</v>
      </c>
      <c r="BF1" s="1" t="s">
        <v>4659</v>
      </c>
      <c r="BG1" s="1" t="s">
        <v>4660</v>
      </c>
      <c r="BH1" s="1" t="s">
        <v>4661</v>
      </c>
      <c r="BI1" s="1" t="s">
        <v>4662</v>
      </c>
      <c r="BJ1" s="1" t="s">
        <v>4663</v>
      </c>
      <c r="BK1" s="1" t="s">
        <v>4664</v>
      </c>
      <c r="BL1" s="1" t="s">
        <v>4665</v>
      </c>
    </row>
    <row r="2">
      <c r="A2" s="1" t="s">
        <v>1328</v>
      </c>
      <c r="B2" s="1" t="s">
        <v>1327</v>
      </c>
      <c r="C2" s="1" t="s">
        <v>1327</v>
      </c>
      <c r="D2" s="1" t="s">
        <v>4666</v>
      </c>
      <c r="E2" s="1" t="s">
        <v>4667</v>
      </c>
      <c r="F2" s="1" t="s">
        <v>4668</v>
      </c>
      <c r="G2" s="3"/>
      <c r="H2" s="3"/>
      <c r="I2" s="1" t="s">
        <v>4669</v>
      </c>
      <c r="J2" s="1" t="s">
        <v>4670</v>
      </c>
      <c r="L2" s="3"/>
      <c r="M2" s="3"/>
      <c r="N2" s="3"/>
      <c r="O2" s="3"/>
      <c r="P2" s="1">
        <v>2.085710732E9</v>
      </c>
      <c r="Q2" s="1" t="b">
        <v>1</v>
      </c>
      <c r="R2" s="1">
        <v>340.0</v>
      </c>
      <c r="S2" s="1" t="s">
        <v>4671</v>
      </c>
      <c r="T2" s="3"/>
      <c r="U2" s="1" t="s">
        <v>4672</v>
      </c>
      <c r="V2" s="1" t="s">
        <v>4673</v>
      </c>
      <c r="W2" s="1" t="s">
        <v>4674</v>
      </c>
      <c r="X2" s="1" t="b">
        <v>0</v>
      </c>
      <c r="Y2" s="1" t="s">
        <v>4675</v>
      </c>
      <c r="Z2" s="1" t="s">
        <v>4676</v>
      </c>
      <c r="AB2" s="1" t="s">
        <v>4677</v>
      </c>
      <c r="AC2" s="1" t="s">
        <v>4678</v>
      </c>
      <c r="AD2" s="1" t="s">
        <v>4679</v>
      </c>
      <c r="AE2" s="1" t="s">
        <v>4680</v>
      </c>
      <c r="AF2" s="1" t="s">
        <v>4681</v>
      </c>
      <c r="AG2" s="1" t="s">
        <v>4682</v>
      </c>
      <c r="AH2" s="1">
        <v>13.0</v>
      </c>
      <c r="AI2" s="1" t="b">
        <v>0</v>
      </c>
      <c r="AJ2" s="1" t="b">
        <v>0</v>
      </c>
      <c r="AK2" s="1" t="s">
        <v>4683</v>
      </c>
      <c r="AL2" s="1" t="s">
        <v>4684</v>
      </c>
      <c r="AM2" s="1" t="s">
        <v>4685</v>
      </c>
      <c r="AN2" s="1" t="s">
        <v>4686</v>
      </c>
      <c r="AO2" s="1" t="s">
        <v>4676</v>
      </c>
      <c r="AP2" s="1" t="s">
        <v>4687</v>
      </c>
      <c r="AQ2" s="1" t="s">
        <v>4688</v>
      </c>
      <c r="AR2" s="1">
        <v>327.0</v>
      </c>
      <c r="AS2" s="3"/>
      <c r="AT2" s="3"/>
      <c r="AU2" s="4" t="s">
        <v>4689</v>
      </c>
      <c r="AV2" s="1" t="s">
        <v>4690</v>
      </c>
      <c r="AW2" s="1" t="s">
        <v>4691</v>
      </c>
      <c r="AX2" s="1" t="s">
        <v>4692</v>
      </c>
      <c r="AY2" s="1" t="s">
        <v>4693</v>
      </c>
      <c r="AZ2" s="1" t="s">
        <v>4694</v>
      </c>
      <c r="BA2" s="3"/>
      <c r="BB2" s="3"/>
      <c r="BC2" s="3"/>
      <c r="BD2" s="3"/>
      <c r="BE2" s="1" t="b">
        <v>1</v>
      </c>
      <c r="BF2" s="1" t="s">
        <v>4693</v>
      </c>
      <c r="BG2" s="1" t="s">
        <v>4692</v>
      </c>
      <c r="BH2" s="1" t="s">
        <v>4690</v>
      </c>
      <c r="BI2" s="1" t="s">
        <v>4691</v>
      </c>
      <c r="BJ2" s="1" t="s">
        <v>4694</v>
      </c>
      <c r="BK2" s="4" t="s">
        <v>4695</v>
      </c>
    </row>
    <row r="3">
      <c r="A3" s="1" t="s">
        <v>1785</v>
      </c>
      <c r="B3" s="1" t="s">
        <v>1784</v>
      </c>
      <c r="C3" s="1" t="s">
        <v>1784</v>
      </c>
      <c r="D3" s="1" t="s">
        <v>4696</v>
      </c>
      <c r="E3" s="1" t="s">
        <v>4697</v>
      </c>
      <c r="F3" s="1" t="s">
        <v>4698</v>
      </c>
      <c r="G3" s="3"/>
      <c r="H3" s="3"/>
      <c r="I3" s="1" t="s">
        <v>4699</v>
      </c>
      <c r="J3" s="1" t="s">
        <v>4700</v>
      </c>
      <c r="K3" s="3">
        <f>+821095736591</f>
        <v>821095736591</v>
      </c>
      <c r="L3" s="3"/>
      <c r="M3" s="3"/>
      <c r="N3" s="3"/>
      <c r="O3" s="3"/>
      <c r="P3" s="1">
        <v>1.11347732E8</v>
      </c>
      <c r="Q3" s="1" t="b">
        <v>1</v>
      </c>
      <c r="R3" s="1">
        <v>198.0</v>
      </c>
      <c r="S3" s="1" t="s">
        <v>4701</v>
      </c>
      <c r="T3" s="3"/>
      <c r="U3" s="1" t="s">
        <v>4672</v>
      </c>
      <c r="V3" s="1" t="s">
        <v>4673</v>
      </c>
      <c r="W3" s="1" t="s">
        <v>4702</v>
      </c>
      <c r="X3" s="1" t="b">
        <v>0</v>
      </c>
      <c r="Y3" s="1" t="s">
        <v>4675</v>
      </c>
      <c r="Z3" s="1" t="s">
        <v>4703</v>
      </c>
      <c r="AB3" s="1" t="s">
        <v>4677</v>
      </c>
      <c r="AC3" s="1" t="s">
        <v>4678</v>
      </c>
      <c r="AD3" s="1" t="s">
        <v>4679</v>
      </c>
      <c r="AE3" s="1" t="s">
        <v>4704</v>
      </c>
      <c r="AF3" s="1" t="s">
        <v>4705</v>
      </c>
      <c r="AG3" s="1" t="s">
        <v>4682</v>
      </c>
      <c r="AH3" s="1">
        <v>9.0</v>
      </c>
      <c r="AI3" s="1" t="b">
        <v>0</v>
      </c>
      <c r="AJ3" s="1" t="b">
        <v>0</v>
      </c>
      <c r="AK3" s="1" t="s">
        <v>4706</v>
      </c>
      <c r="AL3" s="1" t="s">
        <v>4707</v>
      </c>
      <c r="AM3" s="1" t="s">
        <v>4708</v>
      </c>
      <c r="AN3" s="1" t="s">
        <v>4686</v>
      </c>
      <c r="AO3" s="1" t="s">
        <v>4703</v>
      </c>
      <c r="AP3" s="1" t="s">
        <v>4709</v>
      </c>
      <c r="AQ3" s="1" t="s">
        <v>4688</v>
      </c>
      <c r="AR3" s="1">
        <v>189.0</v>
      </c>
      <c r="AS3" s="3"/>
      <c r="AT3" s="3"/>
      <c r="AU3" s="4" t="s">
        <v>4710</v>
      </c>
      <c r="AX3" s="3"/>
      <c r="AY3" s="3"/>
      <c r="AZ3" s="3"/>
      <c r="BA3" s="3"/>
      <c r="BB3" s="3"/>
      <c r="BC3" s="3"/>
      <c r="BD3" s="3"/>
      <c r="BE3" s="1" t="b">
        <v>1</v>
      </c>
      <c r="BF3" s="3"/>
      <c r="BG3" s="3"/>
      <c r="BH3" s="3"/>
      <c r="BI3" s="3"/>
      <c r="BJ3" s="3"/>
      <c r="BK3" s="4" t="s">
        <v>4710</v>
      </c>
    </row>
    <row r="4">
      <c r="A4" s="1" t="s">
        <v>918</v>
      </c>
      <c r="B4" s="1" t="s">
        <v>916</v>
      </c>
      <c r="C4" s="1" t="s">
        <v>916</v>
      </c>
      <c r="D4" s="1" t="s">
        <v>4711</v>
      </c>
      <c r="E4" s="1" t="s">
        <v>4712</v>
      </c>
      <c r="F4" s="1" t="s">
        <v>4713</v>
      </c>
      <c r="G4" s="3"/>
      <c r="H4" s="3"/>
      <c r="I4" s="3"/>
      <c r="J4" s="1" t="s">
        <v>4714</v>
      </c>
      <c r="K4" s="3">
        <f>+821026927481</f>
        <v>821026927481</v>
      </c>
      <c r="L4" s="3"/>
      <c r="M4" s="3"/>
      <c r="N4" s="3"/>
      <c r="O4" s="3"/>
      <c r="P4" s="1">
        <v>2.08574785E9</v>
      </c>
      <c r="Q4" s="1" t="b">
        <v>1</v>
      </c>
      <c r="R4" s="1">
        <v>59.0</v>
      </c>
      <c r="S4" s="1" t="s">
        <v>4715</v>
      </c>
      <c r="T4" s="3"/>
      <c r="U4" s="1" t="s">
        <v>4672</v>
      </c>
      <c r="V4" s="1" t="s">
        <v>4673</v>
      </c>
      <c r="W4" s="1" t="s">
        <v>4716</v>
      </c>
      <c r="X4" s="1" t="b">
        <v>0</v>
      </c>
      <c r="Y4" s="1" t="s">
        <v>4675</v>
      </c>
      <c r="Z4" s="1" t="s">
        <v>4717</v>
      </c>
      <c r="AB4" s="3"/>
      <c r="AC4" s="3"/>
      <c r="AD4" s="3"/>
      <c r="AE4" s="3"/>
      <c r="AF4" s="3"/>
      <c r="AG4" s="3"/>
      <c r="AH4" s="3"/>
      <c r="AI4" s="1" t="b">
        <v>0</v>
      </c>
      <c r="AJ4" s="1" t="b">
        <v>0</v>
      </c>
      <c r="AK4" s="1" t="s">
        <v>4718</v>
      </c>
      <c r="AL4" s="1" t="s">
        <v>4719</v>
      </c>
      <c r="AM4" s="1" t="s">
        <v>4685</v>
      </c>
      <c r="AN4" s="1" t="s">
        <v>4720</v>
      </c>
      <c r="AO4" s="1" t="s">
        <v>4717</v>
      </c>
      <c r="AP4" s="1" t="s">
        <v>4721</v>
      </c>
      <c r="AQ4" s="1" t="s">
        <v>4722</v>
      </c>
      <c r="AR4" s="1">
        <v>59.0</v>
      </c>
      <c r="AS4" s="3"/>
      <c r="AT4" s="3"/>
      <c r="AU4" s="4" t="s">
        <v>4695</v>
      </c>
      <c r="AW4" s="3"/>
      <c r="AX4" s="3"/>
      <c r="AY4" s="3"/>
      <c r="AZ4" s="3"/>
      <c r="BA4" s="3"/>
      <c r="BB4" s="3"/>
      <c r="BC4" s="3"/>
      <c r="BD4" s="3"/>
      <c r="BE4" s="1" t="b">
        <v>1</v>
      </c>
      <c r="BF4" s="3"/>
      <c r="BG4" s="3"/>
      <c r="BH4" s="3"/>
      <c r="BI4" s="3"/>
      <c r="BJ4" s="3"/>
      <c r="BK4" s="4" t="s">
        <v>4695</v>
      </c>
      <c r="BL4" s="1" t="s">
        <v>4723</v>
      </c>
    </row>
    <row r="5">
      <c r="A5" s="1" t="s">
        <v>1703</v>
      </c>
      <c r="B5" s="1" t="s">
        <v>1508</v>
      </c>
      <c r="C5" s="1" t="s">
        <v>1508</v>
      </c>
      <c r="D5" s="1" t="s">
        <v>4724</v>
      </c>
      <c r="E5" s="1" t="s">
        <v>4725</v>
      </c>
      <c r="F5" s="1" t="s">
        <v>4726</v>
      </c>
      <c r="G5" s="3"/>
      <c r="H5" s="3"/>
      <c r="I5" s="1" t="s">
        <v>4669</v>
      </c>
      <c r="J5" s="1" t="s">
        <v>4727</v>
      </c>
      <c r="K5" s="3">
        <f>+821058510346</f>
        <v>821058510346</v>
      </c>
      <c r="L5" s="3"/>
      <c r="M5" s="3"/>
      <c r="N5" s="3"/>
      <c r="O5" s="3"/>
      <c r="P5" s="1">
        <v>1.08835543E8</v>
      </c>
      <c r="Q5" s="1" t="b">
        <v>1</v>
      </c>
      <c r="R5" s="1">
        <v>1.0</v>
      </c>
      <c r="S5" s="1" t="s">
        <v>4728</v>
      </c>
      <c r="T5" s="3"/>
      <c r="U5" s="1" t="s">
        <v>4672</v>
      </c>
      <c r="V5" s="1" t="s">
        <v>4673</v>
      </c>
      <c r="W5" s="1" t="s">
        <v>4729</v>
      </c>
      <c r="X5" s="1" t="b">
        <v>0</v>
      </c>
      <c r="Y5" s="1" t="s">
        <v>4675</v>
      </c>
      <c r="Z5" s="1" t="s">
        <v>4729</v>
      </c>
      <c r="AB5" s="3"/>
      <c r="AC5" s="3"/>
      <c r="AD5" s="3"/>
      <c r="AE5" s="3"/>
      <c r="AF5" s="3"/>
      <c r="AG5" s="3"/>
      <c r="AH5" s="3"/>
      <c r="AI5" s="1" t="b">
        <v>0</v>
      </c>
      <c r="AJ5" s="1" t="b">
        <v>0</v>
      </c>
      <c r="AK5" s="1" t="s">
        <v>4730</v>
      </c>
      <c r="AL5" s="1" t="s">
        <v>4719</v>
      </c>
      <c r="AM5" s="1" t="s">
        <v>4685</v>
      </c>
      <c r="AN5" s="1" t="s">
        <v>4686</v>
      </c>
      <c r="AO5" s="1" t="s">
        <v>4729</v>
      </c>
      <c r="AP5" s="1" t="s">
        <v>4687</v>
      </c>
      <c r="AQ5" s="1" t="s">
        <v>4688</v>
      </c>
      <c r="AR5" s="1">
        <v>1.0</v>
      </c>
      <c r="AS5" s="3"/>
      <c r="AT5" s="3"/>
      <c r="AU5" s="3"/>
      <c r="AV5" s="3"/>
      <c r="AW5" s="3"/>
      <c r="AX5" s="3"/>
      <c r="AY5" s="3"/>
      <c r="AZ5" s="3"/>
      <c r="BA5" s="3"/>
      <c r="BB5" s="3"/>
      <c r="BC5" s="3"/>
      <c r="BD5" s="3"/>
      <c r="BE5" s="1" t="b">
        <v>1</v>
      </c>
      <c r="BF5" s="3"/>
      <c r="BG5" s="3"/>
      <c r="BH5" s="3"/>
      <c r="BI5" s="3"/>
      <c r="BJ5" s="3"/>
      <c r="BK5" s="3"/>
      <c r="BL5" s="3"/>
    </row>
    <row r="6">
      <c r="A6" s="1" t="s">
        <v>1917</v>
      </c>
      <c r="B6" s="1" t="s">
        <v>1916</v>
      </c>
      <c r="C6" s="1" t="s">
        <v>1916</v>
      </c>
      <c r="D6" s="1" t="s">
        <v>4696</v>
      </c>
      <c r="E6" s="1" t="s">
        <v>4731</v>
      </c>
      <c r="F6" s="1" t="s">
        <v>4732</v>
      </c>
      <c r="G6" s="3"/>
      <c r="H6" s="3"/>
      <c r="I6" s="1" t="s">
        <v>4733</v>
      </c>
      <c r="J6" s="1" t="s">
        <v>4734</v>
      </c>
      <c r="K6" s="3">
        <f>+821055252890</f>
        <v>821055252890</v>
      </c>
      <c r="L6" s="3"/>
      <c r="M6" s="3"/>
      <c r="N6" s="3"/>
      <c r="O6" s="3"/>
      <c r="P6" s="1">
        <v>1.10205691E8</v>
      </c>
      <c r="Q6" s="1" t="b">
        <v>1</v>
      </c>
      <c r="R6" s="1">
        <v>46.0</v>
      </c>
      <c r="S6" s="1" t="s">
        <v>4735</v>
      </c>
      <c r="T6" s="3"/>
      <c r="U6" s="1" t="s">
        <v>4672</v>
      </c>
      <c r="V6" s="1" t="s">
        <v>4673</v>
      </c>
      <c r="W6" s="1" t="s">
        <v>4736</v>
      </c>
      <c r="X6" s="1" t="b">
        <v>0</v>
      </c>
      <c r="Y6" s="1" t="s">
        <v>4675</v>
      </c>
      <c r="Z6" s="1" t="s">
        <v>4737</v>
      </c>
      <c r="AB6" s="3"/>
      <c r="AC6" s="3"/>
      <c r="AD6" s="3"/>
      <c r="AE6" s="3"/>
      <c r="AF6" s="3"/>
      <c r="AG6" s="3"/>
      <c r="AH6" s="3"/>
      <c r="AI6" s="1" t="b">
        <v>0</v>
      </c>
      <c r="AJ6" s="1" t="b">
        <v>0</v>
      </c>
      <c r="AK6" s="1" t="s">
        <v>4738</v>
      </c>
      <c r="AL6" s="1" t="s">
        <v>4719</v>
      </c>
      <c r="AM6" s="1" t="s">
        <v>4685</v>
      </c>
      <c r="AN6" s="1" t="s">
        <v>4720</v>
      </c>
      <c r="AO6" s="1" t="s">
        <v>4737</v>
      </c>
      <c r="AP6" s="1" t="s">
        <v>4721</v>
      </c>
      <c r="AQ6" s="1" t="s">
        <v>4722</v>
      </c>
      <c r="AR6" s="1">
        <v>46.0</v>
      </c>
      <c r="AS6" s="3"/>
      <c r="AT6" s="3"/>
      <c r="AU6" s="4" t="s">
        <v>4695</v>
      </c>
      <c r="AW6" s="3"/>
      <c r="AX6" s="3"/>
      <c r="AY6" s="3"/>
      <c r="AZ6" s="3"/>
      <c r="BA6" s="3"/>
      <c r="BB6" s="3"/>
      <c r="BC6" s="3"/>
      <c r="BD6" s="3"/>
      <c r="BE6" s="1" t="b">
        <v>1</v>
      </c>
      <c r="BF6" s="3"/>
      <c r="BG6" s="3"/>
      <c r="BH6" s="3"/>
      <c r="BI6" s="3"/>
      <c r="BJ6" s="3"/>
      <c r="BK6" s="4" t="s">
        <v>4695</v>
      </c>
      <c r="BL6" s="1" t="s">
        <v>4723</v>
      </c>
    </row>
    <row r="7">
      <c r="A7" s="1" t="s">
        <v>684</v>
      </c>
      <c r="B7" s="1" t="s">
        <v>681</v>
      </c>
      <c r="C7" s="1" t="s">
        <v>681</v>
      </c>
      <c r="D7" s="1" t="s">
        <v>4739</v>
      </c>
      <c r="E7" s="1" t="s">
        <v>4740</v>
      </c>
      <c r="F7" s="1" t="s">
        <v>4741</v>
      </c>
      <c r="G7" s="3"/>
      <c r="H7" s="3"/>
      <c r="I7" s="1" t="s">
        <v>4742</v>
      </c>
      <c r="J7" s="1" t="s">
        <v>4743</v>
      </c>
      <c r="L7" s="3"/>
      <c r="M7" s="3"/>
      <c r="N7" s="3"/>
      <c r="O7" s="3"/>
      <c r="P7" s="1">
        <v>2.085707427E9</v>
      </c>
      <c r="Q7" s="1" t="b">
        <v>1</v>
      </c>
      <c r="R7" s="1">
        <v>109.0</v>
      </c>
      <c r="S7" s="1" t="s">
        <v>4744</v>
      </c>
      <c r="T7" s="3"/>
      <c r="U7" s="1" t="s">
        <v>4672</v>
      </c>
      <c r="V7" s="1" t="s">
        <v>4673</v>
      </c>
      <c r="W7" s="1" t="s">
        <v>4745</v>
      </c>
      <c r="X7" s="1" t="b">
        <v>0</v>
      </c>
      <c r="Y7" s="1" t="s">
        <v>4675</v>
      </c>
      <c r="Z7" s="1" t="s">
        <v>4746</v>
      </c>
      <c r="AB7" s="3"/>
      <c r="AC7" s="3"/>
      <c r="AD7" s="3"/>
      <c r="AE7" s="3"/>
      <c r="AF7" s="3"/>
      <c r="AG7" s="3"/>
      <c r="AH7" s="3"/>
      <c r="AI7" s="1" t="b">
        <v>0</v>
      </c>
      <c r="AJ7" s="1" t="b">
        <v>0</v>
      </c>
      <c r="AK7" s="1" t="s">
        <v>4747</v>
      </c>
      <c r="AL7" s="1" t="s">
        <v>4719</v>
      </c>
      <c r="AM7" s="1" t="s">
        <v>4685</v>
      </c>
      <c r="AN7" s="1" t="s">
        <v>4686</v>
      </c>
      <c r="AO7" s="1" t="s">
        <v>4748</v>
      </c>
      <c r="AP7" s="1" t="s">
        <v>4687</v>
      </c>
      <c r="AQ7" s="1" t="s">
        <v>4688</v>
      </c>
      <c r="AR7" s="1">
        <v>109.0</v>
      </c>
      <c r="AS7" s="3"/>
      <c r="AT7" s="3"/>
      <c r="AU7" s="4" t="s">
        <v>4695</v>
      </c>
      <c r="AW7" s="3"/>
      <c r="AX7" s="3"/>
      <c r="AY7" s="3"/>
      <c r="AZ7" s="3"/>
      <c r="BA7" s="3"/>
      <c r="BB7" s="3"/>
      <c r="BC7" s="3"/>
      <c r="BD7" s="3"/>
      <c r="BE7" s="1" t="b">
        <v>1</v>
      </c>
      <c r="BF7" s="3"/>
      <c r="BG7" s="3"/>
      <c r="BH7" s="3"/>
      <c r="BI7" s="3"/>
      <c r="BJ7" s="3"/>
      <c r="BK7" s="4" t="s">
        <v>4695</v>
      </c>
    </row>
    <row r="8">
      <c r="A8" s="1" t="s">
        <v>577</v>
      </c>
      <c r="B8" s="1" t="s">
        <v>576</v>
      </c>
      <c r="C8" s="1" t="s">
        <v>576</v>
      </c>
      <c r="D8" s="1" t="s">
        <v>4696</v>
      </c>
      <c r="E8" s="1" t="s">
        <v>4749</v>
      </c>
      <c r="F8" s="1" t="s">
        <v>4750</v>
      </c>
      <c r="G8" s="3"/>
      <c r="H8" s="3"/>
      <c r="I8" s="1" t="s">
        <v>4742</v>
      </c>
      <c r="J8" s="1" t="s">
        <v>4751</v>
      </c>
      <c r="K8" s="3">
        <f>+821027901704</f>
        <v>821027901704</v>
      </c>
      <c r="L8" s="3"/>
      <c r="M8" s="3"/>
      <c r="N8" s="3"/>
      <c r="O8" s="3"/>
      <c r="P8" s="1">
        <v>1.11104222E8</v>
      </c>
      <c r="Q8" s="1" t="b">
        <v>1</v>
      </c>
      <c r="R8" s="1">
        <v>474.0</v>
      </c>
      <c r="S8" s="1" t="s">
        <v>4752</v>
      </c>
      <c r="T8" s="3"/>
      <c r="U8" s="1" t="s">
        <v>4672</v>
      </c>
      <c r="V8" s="1" t="s">
        <v>4673</v>
      </c>
      <c r="W8" s="1" t="s">
        <v>4753</v>
      </c>
      <c r="X8" s="1" t="b">
        <v>0</v>
      </c>
      <c r="Y8" s="1" t="s">
        <v>4675</v>
      </c>
      <c r="Z8" s="1" t="s">
        <v>4754</v>
      </c>
      <c r="AB8" s="1" t="s">
        <v>4677</v>
      </c>
      <c r="AC8" s="1" t="s">
        <v>4678</v>
      </c>
      <c r="AD8" s="1" t="s">
        <v>4755</v>
      </c>
      <c r="AE8" s="1" t="s">
        <v>4756</v>
      </c>
      <c r="AF8" s="1" t="s">
        <v>4757</v>
      </c>
      <c r="AG8" s="1" t="s">
        <v>4758</v>
      </c>
      <c r="AH8" s="1">
        <v>4.0</v>
      </c>
      <c r="AI8" s="1" t="b">
        <v>0</v>
      </c>
      <c r="AJ8" s="1" t="b">
        <v>0</v>
      </c>
      <c r="AK8" s="1" t="s">
        <v>4759</v>
      </c>
      <c r="AL8" s="1" t="s">
        <v>4684</v>
      </c>
      <c r="AM8" s="1" t="s">
        <v>4685</v>
      </c>
      <c r="AN8" s="1" t="s">
        <v>4686</v>
      </c>
      <c r="AO8" s="1" t="s">
        <v>4754</v>
      </c>
      <c r="AP8" s="1" t="s">
        <v>4687</v>
      </c>
      <c r="AQ8" s="1" t="s">
        <v>4688</v>
      </c>
      <c r="AR8" s="1">
        <v>470.0</v>
      </c>
      <c r="AS8" s="3"/>
      <c r="AT8" s="3"/>
      <c r="AU8" s="4" t="s">
        <v>4760</v>
      </c>
      <c r="AY8" s="1" t="s">
        <v>4761</v>
      </c>
      <c r="AZ8" s="3"/>
      <c r="BA8" s="3"/>
      <c r="BB8" s="3"/>
      <c r="BC8" s="3"/>
      <c r="BD8" s="3"/>
      <c r="BE8" s="1" t="b">
        <v>1</v>
      </c>
      <c r="BF8" s="3"/>
      <c r="BG8" s="3"/>
      <c r="BH8" s="3"/>
      <c r="BI8" s="3"/>
      <c r="BJ8" s="3"/>
      <c r="BK8" s="4" t="s">
        <v>4689</v>
      </c>
    </row>
    <row r="9">
      <c r="A9" s="1" t="s">
        <v>744</v>
      </c>
      <c r="B9" s="1" t="s">
        <v>743</v>
      </c>
      <c r="C9" s="1" t="s">
        <v>743</v>
      </c>
      <c r="D9" s="1" t="s">
        <v>4711</v>
      </c>
      <c r="E9" s="1" t="s">
        <v>4762</v>
      </c>
      <c r="F9" s="1" t="s">
        <v>4763</v>
      </c>
      <c r="G9" s="3"/>
      <c r="H9" s="3"/>
      <c r="I9" s="1" t="s">
        <v>4733</v>
      </c>
      <c r="J9" s="1" t="s">
        <v>4764</v>
      </c>
      <c r="K9" s="3">
        <f>+821047669733</f>
        <v>821047669733</v>
      </c>
      <c r="L9" s="3"/>
      <c r="M9" s="3"/>
      <c r="N9" s="3"/>
      <c r="O9" s="3"/>
      <c r="P9" s="1">
        <v>2.085878501E9</v>
      </c>
      <c r="Q9" s="1" t="b">
        <v>1</v>
      </c>
      <c r="R9" s="1">
        <v>46.0</v>
      </c>
      <c r="S9" s="1" t="s">
        <v>4765</v>
      </c>
      <c r="T9" s="3"/>
      <c r="U9" s="1" t="s">
        <v>4672</v>
      </c>
      <c r="V9" s="1" t="s">
        <v>4673</v>
      </c>
      <c r="W9" s="1" t="s">
        <v>4766</v>
      </c>
      <c r="X9" s="1" t="b">
        <v>0</v>
      </c>
      <c r="Y9" s="1" t="s">
        <v>4675</v>
      </c>
      <c r="Z9" s="1" t="s">
        <v>4767</v>
      </c>
      <c r="AB9" s="3"/>
      <c r="AC9" s="3"/>
      <c r="AD9" s="3"/>
      <c r="AE9" s="3"/>
      <c r="AF9" s="3"/>
      <c r="AG9" s="3"/>
      <c r="AH9" s="3"/>
      <c r="AI9" s="1" t="b">
        <v>0</v>
      </c>
      <c r="AJ9" s="1" t="b">
        <v>0</v>
      </c>
      <c r="AK9" s="1" t="s">
        <v>4768</v>
      </c>
      <c r="AL9" s="1" t="s">
        <v>4769</v>
      </c>
      <c r="AM9" s="1" t="s">
        <v>4708</v>
      </c>
      <c r="AN9" s="1" t="s">
        <v>4686</v>
      </c>
      <c r="AO9" s="1" t="s">
        <v>4767</v>
      </c>
      <c r="AP9" s="1" t="s">
        <v>4709</v>
      </c>
      <c r="AQ9" s="1" t="s">
        <v>4688</v>
      </c>
      <c r="AR9" s="1">
        <v>46.0</v>
      </c>
      <c r="AS9" s="3"/>
      <c r="AT9" s="3"/>
      <c r="AU9" s="4" t="s">
        <v>4770</v>
      </c>
      <c r="AW9" s="3"/>
      <c r="AX9" s="3"/>
      <c r="AY9" s="3"/>
      <c r="AZ9" s="3"/>
      <c r="BA9" s="3"/>
      <c r="BB9" s="3"/>
      <c r="BC9" s="3"/>
      <c r="BD9" s="3"/>
      <c r="BE9" s="1" t="b">
        <v>1</v>
      </c>
      <c r="BF9" s="3"/>
      <c r="BG9" s="3"/>
      <c r="BH9" s="3"/>
      <c r="BI9" s="3"/>
      <c r="BJ9" s="3"/>
      <c r="BK9" s="4" t="s">
        <v>4771</v>
      </c>
      <c r="BL9" s="1" t="s">
        <v>4723</v>
      </c>
    </row>
    <row r="10">
      <c r="A10" s="1" t="s">
        <v>1607</v>
      </c>
      <c r="B10" s="1" t="s">
        <v>1606</v>
      </c>
      <c r="C10" s="1" t="s">
        <v>1606</v>
      </c>
      <c r="D10" s="1" t="s">
        <v>4772</v>
      </c>
      <c r="E10" s="1" t="s">
        <v>4773</v>
      </c>
      <c r="F10" s="1" t="s">
        <v>4774</v>
      </c>
      <c r="G10" s="3"/>
      <c r="H10" s="3"/>
      <c r="I10" s="1" t="s">
        <v>4742</v>
      </c>
      <c r="J10" s="1" t="s">
        <v>4775</v>
      </c>
      <c r="K10" s="3">
        <f>+821022652604</f>
        <v>821022652604</v>
      </c>
      <c r="L10" s="3"/>
      <c r="M10" s="3"/>
      <c r="N10" s="3"/>
      <c r="O10" s="3"/>
      <c r="P10" s="1">
        <v>1.08798736E8</v>
      </c>
      <c r="Q10" s="1" t="b">
        <v>1</v>
      </c>
      <c r="R10" s="1">
        <v>2187.0</v>
      </c>
      <c r="S10" s="1" t="s">
        <v>4752</v>
      </c>
      <c r="T10" s="3"/>
      <c r="U10" s="1" t="s">
        <v>4672</v>
      </c>
      <c r="V10" s="1" t="s">
        <v>4673</v>
      </c>
      <c r="W10" s="1" t="s">
        <v>4776</v>
      </c>
      <c r="X10" s="1" t="b">
        <v>0</v>
      </c>
      <c r="Y10" s="1" t="s">
        <v>4675</v>
      </c>
      <c r="Z10" s="1" t="s">
        <v>4777</v>
      </c>
      <c r="AB10" s="1" t="s">
        <v>4677</v>
      </c>
      <c r="AC10" s="1" t="s">
        <v>4678</v>
      </c>
      <c r="AD10" s="1" t="s">
        <v>4679</v>
      </c>
      <c r="AE10" s="1" t="s">
        <v>4778</v>
      </c>
      <c r="AF10" s="1" t="s">
        <v>4681</v>
      </c>
      <c r="AG10" s="1" t="s">
        <v>4682</v>
      </c>
      <c r="AH10" s="1">
        <v>219.0</v>
      </c>
      <c r="AI10" s="1" t="b">
        <v>0</v>
      </c>
      <c r="AJ10" s="1" t="b">
        <v>0</v>
      </c>
      <c r="AK10" s="1" t="s">
        <v>4779</v>
      </c>
      <c r="AL10" s="1" t="s">
        <v>4719</v>
      </c>
      <c r="AM10" s="1" t="s">
        <v>4685</v>
      </c>
      <c r="AN10" s="1" t="s">
        <v>4686</v>
      </c>
      <c r="AO10" s="1" t="s">
        <v>4777</v>
      </c>
      <c r="AP10" s="1" t="s">
        <v>4687</v>
      </c>
      <c r="AQ10" s="1" t="s">
        <v>4688</v>
      </c>
      <c r="AR10" s="1">
        <v>1968.0</v>
      </c>
      <c r="AS10" s="3"/>
      <c r="AT10" s="3"/>
      <c r="AU10" s="4" t="s">
        <v>4695</v>
      </c>
      <c r="AW10" s="3"/>
      <c r="AX10" s="3"/>
      <c r="AY10" s="3"/>
      <c r="AZ10" s="3"/>
      <c r="BA10" s="3"/>
      <c r="BB10" s="3"/>
      <c r="BC10" s="3"/>
      <c r="BD10" s="3"/>
      <c r="BE10" s="1" t="b">
        <v>1</v>
      </c>
      <c r="BF10" s="3"/>
      <c r="BG10" s="3"/>
      <c r="BH10" s="3"/>
      <c r="BI10" s="3"/>
      <c r="BJ10" s="3"/>
      <c r="BK10" s="4" t="s">
        <v>4780</v>
      </c>
    </row>
    <row r="11">
      <c r="A11" s="1" t="s">
        <v>433</v>
      </c>
      <c r="B11" s="1" t="s">
        <v>432</v>
      </c>
      <c r="C11" s="1" t="s">
        <v>432</v>
      </c>
      <c r="D11" s="1" t="s">
        <v>4711</v>
      </c>
      <c r="E11" s="1" t="s">
        <v>4781</v>
      </c>
      <c r="F11" s="1" t="s">
        <v>4782</v>
      </c>
      <c r="G11" s="3"/>
      <c r="H11" s="3"/>
      <c r="I11" s="3"/>
      <c r="J11" s="1" t="s">
        <v>4783</v>
      </c>
      <c r="K11" s="3">
        <f>+821095622198</f>
        <v>821095622198</v>
      </c>
      <c r="L11" s="3"/>
      <c r="M11" s="3"/>
      <c r="N11" s="3"/>
      <c r="O11" s="3"/>
      <c r="P11" s="1">
        <v>1.09016472E8</v>
      </c>
      <c r="Q11" s="1" t="b">
        <v>1</v>
      </c>
      <c r="R11" s="1">
        <v>8.0</v>
      </c>
      <c r="S11" s="1" t="s">
        <v>4744</v>
      </c>
      <c r="T11" s="3"/>
      <c r="U11" s="1" t="s">
        <v>4672</v>
      </c>
      <c r="V11" s="1" t="s">
        <v>4673</v>
      </c>
      <c r="W11" s="1" t="s">
        <v>4784</v>
      </c>
      <c r="X11" s="1" t="b">
        <v>0</v>
      </c>
      <c r="Y11" s="1" t="s">
        <v>4675</v>
      </c>
      <c r="Z11" s="1" t="s">
        <v>4785</v>
      </c>
      <c r="AB11" s="3"/>
      <c r="AC11" s="3"/>
      <c r="AD11" s="3"/>
      <c r="AE11" s="3"/>
      <c r="AF11" s="3"/>
      <c r="AG11" s="3"/>
      <c r="AH11" s="3"/>
      <c r="AI11" s="1" t="b">
        <v>0</v>
      </c>
      <c r="AJ11" s="1" t="b">
        <v>0</v>
      </c>
      <c r="AK11" s="1" t="s">
        <v>4786</v>
      </c>
      <c r="AL11" s="1" t="s">
        <v>4684</v>
      </c>
      <c r="AM11" s="1" t="s">
        <v>4685</v>
      </c>
      <c r="AN11" s="1" t="s">
        <v>4686</v>
      </c>
      <c r="AO11" s="1" t="s">
        <v>4785</v>
      </c>
      <c r="AP11" s="1" t="s">
        <v>4687</v>
      </c>
      <c r="AQ11" s="1" t="s">
        <v>4688</v>
      </c>
      <c r="AR11" s="1">
        <v>8.0</v>
      </c>
      <c r="AS11" s="3"/>
      <c r="AT11" s="3"/>
      <c r="AU11" s="4" t="s">
        <v>4787</v>
      </c>
      <c r="AV11" s="1" t="s">
        <v>4788</v>
      </c>
      <c r="AW11" s="1" t="s">
        <v>4789</v>
      </c>
      <c r="AX11" s="1" t="s">
        <v>4692</v>
      </c>
      <c r="AY11" s="1" t="s">
        <v>4790</v>
      </c>
      <c r="AZ11" s="1" t="s">
        <v>4791</v>
      </c>
      <c r="BA11" s="3"/>
      <c r="BB11" s="3"/>
      <c r="BC11" s="3"/>
      <c r="BD11" s="3"/>
      <c r="BE11" s="1" t="b">
        <v>1</v>
      </c>
      <c r="BF11" s="1" t="s">
        <v>4790</v>
      </c>
      <c r="BG11" s="1" t="s">
        <v>4692</v>
      </c>
      <c r="BH11" s="1" t="s">
        <v>4788</v>
      </c>
      <c r="BI11" s="1" t="s">
        <v>4789</v>
      </c>
      <c r="BJ11" s="1" t="s">
        <v>4791</v>
      </c>
      <c r="BK11" s="4" t="s">
        <v>4780</v>
      </c>
      <c r="BL11" s="1" t="s">
        <v>4723</v>
      </c>
    </row>
    <row r="12">
      <c r="A12" s="1" t="s">
        <v>352</v>
      </c>
      <c r="B12" s="1" t="s">
        <v>351</v>
      </c>
      <c r="C12" s="3"/>
      <c r="D12" s="3"/>
      <c r="E12" s="3"/>
      <c r="F12" s="3"/>
      <c r="G12" s="3"/>
      <c r="H12" s="3"/>
      <c r="I12" s="3"/>
      <c r="J12" s="3"/>
      <c r="K12" s="3"/>
      <c r="L12" s="3"/>
      <c r="M12" s="3"/>
      <c r="N12" s="3"/>
      <c r="O12" s="3"/>
      <c r="P12" s="1" t="s">
        <v>4792</v>
      </c>
      <c r="Q12" s="1" t="b">
        <v>0</v>
      </c>
      <c r="R12" s="1">
        <v>1.0</v>
      </c>
      <c r="S12" s="1" t="s">
        <v>4793</v>
      </c>
      <c r="T12" s="3"/>
      <c r="U12" s="1" t="s">
        <v>4672</v>
      </c>
      <c r="V12" s="1" t="s">
        <v>4673</v>
      </c>
      <c r="W12" s="1" t="s">
        <v>4794</v>
      </c>
      <c r="X12" s="1" t="b">
        <v>0</v>
      </c>
      <c r="Y12" s="1" t="s">
        <v>4675</v>
      </c>
      <c r="Z12" s="1" t="s">
        <v>4794</v>
      </c>
      <c r="AB12" s="3"/>
      <c r="AC12" s="3"/>
      <c r="AD12" s="3"/>
      <c r="AE12" s="3"/>
      <c r="AF12" s="3"/>
      <c r="AG12" s="3"/>
      <c r="AH12" s="3"/>
      <c r="AI12" s="1" t="b">
        <v>0</v>
      </c>
      <c r="AJ12" s="1" t="b">
        <v>0</v>
      </c>
      <c r="AK12" s="1" t="s">
        <v>4794</v>
      </c>
      <c r="AL12" s="1" t="s">
        <v>4684</v>
      </c>
      <c r="AM12" s="1" t="s">
        <v>4685</v>
      </c>
      <c r="AN12" s="1" t="s">
        <v>4795</v>
      </c>
      <c r="AO12" s="1" t="s">
        <v>4794</v>
      </c>
      <c r="AP12" s="1" t="s">
        <v>4796</v>
      </c>
      <c r="AQ12" s="1" t="s">
        <v>4758</v>
      </c>
      <c r="AR12" s="1">
        <v>1.0</v>
      </c>
      <c r="AS12" s="3"/>
      <c r="AT12" s="3"/>
      <c r="AU12" s="4" t="s">
        <v>4695</v>
      </c>
      <c r="AW12" s="3"/>
      <c r="AX12" s="3"/>
      <c r="AY12" s="3"/>
      <c r="AZ12" s="3"/>
      <c r="BA12" s="3"/>
      <c r="BB12" s="3"/>
      <c r="BC12" s="3"/>
      <c r="BD12" s="3"/>
      <c r="BE12" s="1" t="b">
        <v>1</v>
      </c>
      <c r="BF12" s="3"/>
      <c r="BG12" s="3"/>
      <c r="BH12" s="3"/>
      <c r="BI12" s="3"/>
      <c r="BJ12" s="3"/>
      <c r="BK12" s="4" t="s">
        <v>4695</v>
      </c>
    </row>
    <row r="13">
      <c r="A13" s="1" t="s">
        <v>967</v>
      </c>
      <c r="B13" s="1" t="s">
        <v>966</v>
      </c>
      <c r="C13" s="1" t="s">
        <v>966</v>
      </c>
      <c r="D13" s="1" t="s">
        <v>4711</v>
      </c>
      <c r="E13" s="1" t="s">
        <v>4797</v>
      </c>
      <c r="F13" s="1" t="s">
        <v>4798</v>
      </c>
      <c r="G13" s="3"/>
      <c r="H13" s="3"/>
      <c r="I13" s="1" t="s">
        <v>4742</v>
      </c>
      <c r="J13" s="1" t="s">
        <v>4799</v>
      </c>
      <c r="K13" s="3">
        <f>+821044659835</f>
        <v>821044659835</v>
      </c>
      <c r="L13" s="3"/>
      <c r="M13" s="3"/>
      <c r="N13" s="3"/>
      <c r="O13" s="3"/>
      <c r="P13" s="1">
        <v>1.11387286E8</v>
      </c>
      <c r="Q13" s="1" t="b">
        <v>1</v>
      </c>
      <c r="R13" s="1">
        <v>144.0</v>
      </c>
      <c r="S13" s="1" t="s">
        <v>4800</v>
      </c>
      <c r="T13" s="3"/>
      <c r="U13" s="1" t="s">
        <v>4672</v>
      </c>
      <c r="V13" s="1" t="s">
        <v>4673</v>
      </c>
      <c r="W13" s="1" t="s">
        <v>4801</v>
      </c>
      <c r="X13" s="1" t="b">
        <v>0</v>
      </c>
      <c r="Y13" s="1" t="s">
        <v>4675</v>
      </c>
      <c r="Z13" s="1" t="s">
        <v>4802</v>
      </c>
      <c r="AB13" s="3"/>
      <c r="AC13" s="3"/>
      <c r="AD13" s="3"/>
      <c r="AE13" s="3"/>
      <c r="AF13" s="3"/>
      <c r="AG13" s="3"/>
      <c r="AH13" s="3"/>
      <c r="AI13" s="1" t="b">
        <v>0</v>
      </c>
      <c r="AJ13" s="1" t="b">
        <v>0</v>
      </c>
      <c r="AK13" s="1" t="s">
        <v>4803</v>
      </c>
      <c r="AL13" s="1" t="s">
        <v>4719</v>
      </c>
      <c r="AM13" s="1" t="s">
        <v>4685</v>
      </c>
      <c r="AN13" s="1" t="s">
        <v>4720</v>
      </c>
      <c r="AO13" s="1" t="s">
        <v>4802</v>
      </c>
      <c r="AP13" s="1" t="s">
        <v>4721</v>
      </c>
      <c r="AQ13" s="1" t="s">
        <v>4722</v>
      </c>
      <c r="AR13" s="1">
        <v>144.0</v>
      </c>
      <c r="AS13" s="3"/>
      <c r="AT13" s="3"/>
      <c r="AU13" s="4" t="s">
        <v>4695</v>
      </c>
      <c r="AV13" s="1" t="s">
        <v>4690</v>
      </c>
      <c r="AW13" s="1" t="s">
        <v>4691</v>
      </c>
      <c r="AX13" s="1" t="s">
        <v>4692</v>
      </c>
      <c r="AY13" s="1" t="s">
        <v>4693</v>
      </c>
      <c r="AZ13" s="1" t="s">
        <v>4694</v>
      </c>
      <c r="BA13" s="3"/>
      <c r="BB13" s="3"/>
      <c r="BC13" s="3"/>
      <c r="BD13" s="3"/>
      <c r="BE13" s="1" t="b">
        <v>1</v>
      </c>
      <c r="BF13" s="1" t="s">
        <v>4693</v>
      </c>
      <c r="BG13" s="1" t="s">
        <v>4692</v>
      </c>
      <c r="BH13" s="1" t="s">
        <v>4690</v>
      </c>
      <c r="BI13" s="1" t="s">
        <v>4691</v>
      </c>
      <c r="BJ13" s="1" t="s">
        <v>4694</v>
      </c>
      <c r="BK13" s="4" t="s">
        <v>4695</v>
      </c>
      <c r="BL13" s="1" t="s">
        <v>4723</v>
      </c>
    </row>
    <row r="14">
      <c r="A14" s="1" t="s">
        <v>1213</v>
      </c>
      <c r="B14" s="1" t="s">
        <v>1212</v>
      </c>
      <c r="C14" s="3"/>
      <c r="D14" s="3"/>
      <c r="E14" s="3"/>
      <c r="F14" s="3"/>
      <c r="G14" s="3"/>
      <c r="H14" s="3"/>
      <c r="I14" s="3"/>
      <c r="J14" s="3"/>
      <c r="K14" s="3"/>
      <c r="L14" s="3"/>
      <c r="M14" s="3"/>
      <c r="N14" s="3"/>
      <c r="O14" s="3"/>
      <c r="P14" s="1" t="s">
        <v>4804</v>
      </c>
      <c r="Q14" s="1" t="b">
        <v>0</v>
      </c>
      <c r="R14" s="1">
        <v>4.0</v>
      </c>
      <c r="S14" s="1" t="s">
        <v>4805</v>
      </c>
      <c r="T14" s="3"/>
      <c r="U14" s="1" t="s">
        <v>4672</v>
      </c>
      <c r="V14" s="1" t="s">
        <v>4673</v>
      </c>
      <c r="W14" s="1" t="s">
        <v>4806</v>
      </c>
      <c r="X14" s="1" t="b">
        <v>0</v>
      </c>
      <c r="Y14" s="1" t="s">
        <v>4675</v>
      </c>
      <c r="Z14" s="1" t="s">
        <v>4807</v>
      </c>
      <c r="AB14" s="3"/>
      <c r="AC14" s="3"/>
      <c r="AD14" s="3"/>
      <c r="AE14" s="3"/>
      <c r="AF14" s="3"/>
      <c r="AG14" s="3"/>
      <c r="AH14" s="3"/>
      <c r="AI14" s="1" t="b">
        <v>0</v>
      </c>
      <c r="AJ14" s="1" t="b">
        <v>0</v>
      </c>
      <c r="AK14" s="1" t="s">
        <v>4808</v>
      </c>
      <c r="AL14" s="1" t="s">
        <v>4809</v>
      </c>
      <c r="AM14" s="1" t="s">
        <v>4685</v>
      </c>
      <c r="AN14" s="1" t="s">
        <v>4679</v>
      </c>
      <c r="AO14" s="1" t="s">
        <v>4807</v>
      </c>
      <c r="AP14" s="1" t="s">
        <v>4681</v>
      </c>
      <c r="AQ14" s="1" t="s">
        <v>4682</v>
      </c>
      <c r="AR14" s="1">
        <v>4.0</v>
      </c>
      <c r="AS14" s="3"/>
      <c r="AT14" s="3"/>
      <c r="AU14" s="3"/>
      <c r="AV14" s="1" t="s">
        <v>4810</v>
      </c>
      <c r="AW14" s="1" t="s">
        <v>4811</v>
      </c>
      <c r="AX14" s="1" t="s">
        <v>4812</v>
      </c>
      <c r="AY14" s="1" t="s">
        <v>4813</v>
      </c>
      <c r="AZ14" s="1" t="s">
        <v>4814</v>
      </c>
      <c r="BB14" s="3"/>
      <c r="BC14" s="3"/>
      <c r="BD14" s="3"/>
      <c r="BE14" s="1" t="b">
        <v>1</v>
      </c>
      <c r="BF14" s="1" t="s">
        <v>4813</v>
      </c>
      <c r="BG14" s="1" t="s">
        <v>4815</v>
      </c>
      <c r="BH14" s="1" t="s">
        <v>4810</v>
      </c>
      <c r="BI14" s="1" t="s">
        <v>4816</v>
      </c>
      <c r="BJ14" s="1" t="s">
        <v>4814</v>
      </c>
      <c r="BL14" s="3"/>
    </row>
    <row r="15">
      <c r="A15" s="1" t="s">
        <v>537</v>
      </c>
      <c r="B15" s="1" t="s">
        <v>536</v>
      </c>
      <c r="C15" s="1" t="s">
        <v>536</v>
      </c>
      <c r="D15" s="1" t="s">
        <v>4817</v>
      </c>
      <c r="E15" s="1" t="s">
        <v>4818</v>
      </c>
      <c r="F15" s="1" t="s">
        <v>4819</v>
      </c>
      <c r="G15" s="3"/>
      <c r="H15" s="3"/>
      <c r="I15" s="1" t="s">
        <v>4820</v>
      </c>
      <c r="J15" s="1" t="s">
        <v>4821</v>
      </c>
      <c r="K15" s="3">
        <f>+821041920787</f>
        <v>821041920787</v>
      </c>
      <c r="L15" s="3"/>
      <c r="M15" s="3"/>
      <c r="N15" s="3"/>
      <c r="O15" s="3"/>
      <c r="P15" s="1">
        <v>1.22956855E8</v>
      </c>
      <c r="Q15" s="1" t="b">
        <v>1</v>
      </c>
      <c r="R15" s="1">
        <v>37.0</v>
      </c>
      <c r="S15" s="1" t="s">
        <v>4671</v>
      </c>
      <c r="T15" s="3"/>
      <c r="U15" s="1" t="s">
        <v>4672</v>
      </c>
      <c r="V15" s="1" t="s">
        <v>4673</v>
      </c>
      <c r="W15" s="1" t="s">
        <v>4822</v>
      </c>
      <c r="X15" s="1" t="b">
        <v>0</v>
      </c>
      <c r="Y15" s="1" t="s">
        <v>4675</v>
      </c>
      <c r="Z15" s="1" t="s">
        <v>4823</v>
      </c>
      <c r="AB15" s="1" t="s">
        <v>4677</v>
      </c>
      <c r="AC15" s="1" t="s">
        <v>4678</v>
      </c>
      <c r="AD15" s="1" t="s">
        <v>4824</v>
      </c>
      <c r="AE15" s="1" t="s">
        <v>4823</v>
      </c>
      <c r="AF15" s="1" t="s">
        <v>4757</v>
      </c>
      <c r="AG15" s="1" t="s">
        <v>4758</v>
      </c>
      <c r="AH15" s="1">
        <v>5.0</v>
      </c>
      <c r="AI15" s="1" t="b">
        <v>0</v>
      </c>
      <c r="AJ15" s="1" t="b">
        <v>0</v>
      </c>
      <c r="AK15" s="1" t="s">
        <v>4823</v>
      </c>
      <c r="AL15" s="1" t="s">
        <v>4719</v>
      </c>
      <c r="AM15" s="1" t="s">
        <v>4685</v>
      </c>
      <c r="AN15" s="1" t="s">
        <v>4720</v>
      </c>
      <c r="AO15" s="1" t="s">
        <v>4825</v>
      </c>
      <c r="AP15" s="1" t="s">
        <v>4721</v>
      </c>
      <c r="AQ15" s="1" t="s">
        <v>4722</v>
      </c>
      <c r="AR15" s="1">
        <v>32.0</v>
      </c>
      <c r="AS15" s="3"/>
      <c r="AT15" s="3"/>
      <c r="AU15" s="4" t="s">
        <v>4695</v>
      </c>
      <c r="AW15" s="3"/>
      <c r="AX15" s="3"/>
      <c r="AY15" s="3"/>
      <c r="AZ15" s="3"/>
      <c r="BA15" s="3"/>
      <c r="BB15" s="3"/>
      <c r="BC15" s="3"/>
      <c r="BD15" s="3"/>
      <c r="BE15" s="1" t="b">
        <v>1</v>
      </c>
      <c r="BF15" s="3"/>
      <c r="BG15" s="3"/>
      <c r="BH15" s="3"/>
      <c r="BI15" s="3"/>
      <c r="BJ15" s="3"/>
      <c r="BK15" s="4" t="s">
        <v>4695</v>
      </c>
    </row>
    <row r="16">
      <c r="A16" s="1" t="s">
        <v>249</v>
      </c>
      <c r="B16" s="1" t="s">
        <v>248</v>
      </c>
      <c r="C16" s="1" t="s">
        <v>248</v>
      </c>
      <c r="D16" s="1" t="s">
        <v>4711</v>
      </c>
      <c r="E16" s="1" t="s">
        <v>4826</v>
      </c>
      <c r="F16" s="1" t="s">
        <v>4827</v>
      </c>
      <c r="G16" s="3"/>
      <c r="H16" s="3"/>
      <c r="I16" s="1" t="s">
        <v>4828</v>
      </c>
      <c r="J16" s="1" t="s">
        <v>4829</v>
      </c>
      <c r="K16" s="3">
        <f>+821023180446</f>
        <v>821023180446</v>
      </c>
      <c r="L16" s="3"/>
      <c r="M16" s="3"/>
      <c r="N16" s="3"/>
      <c r="O16" s="3"/>
      <c r="P16" s="1">
        <v>1.14618587E8</v>
      </c>
      <c r="Q16" s="1" t="b">
        <v>1</v>
      </c>
      <c r="R16" s="1">
        <v>360.0</v>
      </c>
      <c r="S16" s="1" t="s">
        <v>4744</v>
      </c>
      <c r="T16" s="3"/>
      <c r="U16" s="1" t="s">
        <v>4672</v>
      </c>
      <c r="V16" s="1" t="s">
        <v>4673</v>
      </c>
      <c r="W16" s="1" t="s">
        <v>4830</v>
      </c>
      <c r="X16" s="1" t="b">
        <v>0</v>
      </c>
      <c r="Y16" s="1" t="s">
        <v>4675</v>
      </c>
      <c r="Z16" s="1" t="s">
        <v>4831</v>
      </c>
      <c r="AB16" s="1" t="s">
        <v>4677</v>
      </c>
      <c r="AC16" s="1" t="s">
        <v>4678</v>
      </c>
      <c r="AD16" s="1" t="s">
        <v>4832</v>
      </c>
      <c r="AE16" s="1" t="s">
        <v>4833</v>
      </c>
      <c r="AF16" s="1" t="s">
        <v>4757</v>
      </c>
      <c r="AG16" s="1" t="s">
        <v>4758</v>
      </c>
      <c r="AH16" s="1">
        <v>2.0</v>
      </c>
      <c r="AI16" s="1" t="b">
        <v>0</v>
      </c>
      <c r="AJ16" s="1" t="b">
        <v>0</v>
      </c>
      <c r="AK16" s="1" t="s">
        <v>4831</v>
      </c>
      <c r="AL16" s="1" t="s">
        <v>4769</v>
      </c>
      <c r="AM16" s="1" t="s">
        <v>4708</v>
      </c>
      <c r="AN16" s="1" t="s">
        <v>4686</v>
      </c>
      <c r="AO16" s="1" t="s">
        <v>4831</v>
      </c>
      <c r="AP16" s="1" t="s">
        <v>4709</v>
      </c>
      <c r="AQ16" s="1" t="s">
        <v>4688</v>
      </c>
      <c r="AR16" s="1">
        <v>358.0</v>
      </c>
      <c r="AS16" s="3"/>
      <c r="AT16" s="3"/>
      <c r="AU16" s="4" t="s">
        <v>4695</v>
      </c>
      <c r="AW16" s="3"/>
      <c r="AX16" s="3"/>
      <c r="AY16" s="3"/>
      <c r="AZ16" s="3"/>
      <c r="BA16" s="3"/>
      <c r="BB16" s="3"/>
      <c r="BC16" s="3"/>
      <c r="BD16" s="3"/>
      <c r="BE16" s="1" t="b">
        <v>1</v>
      </c>
      <c r="BF16" s="3"/>
      <c r="BG16" s="3"/>
      <c r="BH16" s="3"/>
      <c r="BI16" s="3"/>
      <c r="BJ16" s="3"/>
      <c r="BK16" s="4" t="s">
        <v>4695</v>
      </c>
    </row>
    <row r="17">
      <c r="A17" s="1" t="s">
        <v>731</v>
      </c>
      <c r="B17" s="1" t="s">
        <v>728</v>
      </c>
      <c r="C17" s="1" t="s">
        <v>728</v>
      </c>
      <c r="D17" s="1" t="s">
        <v>4711</v>
      </c>
      <c r="E17" s="1" t="s">
        <v>4834</v>
      </c>
      <c r="F17" s="1" t="s">
        <v>4835</v>
      </c>
      <c r="G17" s="3"/>
      <c r="H17" s="3"/>
      <c r="I17" s="1" t="s">
        <v>4742</v>
      </c>
      <c r="J17" s="1" t="s">
        <v>4836</v>
      </c>
      <c r="K17" s="3">
        <f>+821020383139</f>
        <v>821020383139</v>
      </c>
      <c r="L17" s="3"/>
      <c r="M17" s="3"/>
      <c r="N17" s="3"/>
      <c r="O17" s="3"/>
      <c r="P17" s="1">
        <v>1.11199985E8</v>
      </c>
      <c r="Q17" s="1" t="b">
        <v>1</v>
      </c>
      <c r="R17" s="1">
        <v>364.0</v>
      </c>
      <c r="S17" s="1" t="s">
        <v>4752</v>
      </c>
      <c r="T17" s="3"/>
      <c r="U17" s="1" t="s">
        <v>4672</v>
      </c>
      <c r="V17" s="1" t="s">
        <v>4673</v>
      </c>
      <c r="W17" s="1" t="s">
        <v>4837</v>
      </c>
      <c r="X17" s="1" t="b">
        <v>0</v>
      </c>
      <c r="Y17" s="1" t="s">
        <v>4675</v>
      </c>
      <c r="Z17" s="1" t="s">
        <v>4838</v>
      </c>
      <c r="AB17" s="1" t="s">
        <v>4677</v>
      </c>
      <c r="AC17" s="1" t="s">
        <v>4678</v>
      </c>
      <c r="AD17" s="1" t="s">
        <v>4679</v>
      </c>
      <c r="AE17" s="1" t="s">
        <v>4839</v>
      </c>
      <c r="AF17" s="1" t="s">
        <v>4840</v>
      </c>
      <c r="AG17" s="1" t="s">
        <v>4682</v>
      </c>
      <c r="AH17" s="1">
        <v>30.0</v>
      </c>
      <c r="AI17" s="1" t="b">
        <v>0</v>
      </c>
      <c r="AJ17" s="1" t="b">
        <v>0</v>
      </c>
      <c r="AK17" s="1" t="s">
        <v>4841</v>
      </c>
      <c r="AL17" s="1" t="s">
        <v>4842</v>
      </c>
      <c r="AM17" s="1" t="s">
        <v>4843</v>
      </c>
      <c r="AN17" s="1" t="s">
        <v>4720</v>
      </c>
      <c r="AO17" s="1" t="s">
        <v>4838</v>
      </c>
      <c r="AP17" s="1" t="s">
        <v>4721</v>
      </c>
      <c r="AQ17" s="1" t="s">
        <v>4722</v>
      </c>
      <c r="AR17" s="1">
        <v>334.0</v>
      </c>
      <c r="AS17" s="3"/>
      <c r="AT17" s="3"/>
      <c r="AU17" s="3"/>
      <c r="AV17" s="3"/>
      <c r="AW17" s="3"/>
      <c r="AX17" s="3"/>
      <c r="AY17" s="3"/>
      <c r="AZ17" s="3"/>
      <c r="BA17" s="3"/>
      <c r="BB17" s="3"/>
      <c r="BC17" s="3"/>
      <c r="BD17" s="3"/>
      <c r="BE17" s="1" t="b">
        <v>1</v>
      </c>
      <c r="BF17" s="3"/>
      <c r="BG17" s="3"/>
      <c r="BH17" s="3"/>
      <c r="BI17" s="3"/>
      <c r="BJ17" s="3"/>
      <c r="BK17" s="3"/>
      <c r="BL17" s="3"/>
    </row>
    <row r="18">
      <c r="A18" s="1" t="s">
        <v>150</v>
      </c>
      <c r="B18" s="1" t="s">
        <v>148</v>
      </c>
      <c r="C18" s="3"/>
      <c r="D18" s="3"/>
      <c r="E18" s="3"/>
      <c r="F18" s="3"/>
      <c r="G18" s="3"/>
      <c r="H18" s="3"/>
      <c r="I18" s="3"/>
      <c r="J18" s="3"/>
      <c r="K18" s="3"/>
      <c r="L18" s="3"/>
      <c r="M18" s="3"/>
      <c r="N18" s="3"/>
      <c r="O18" s="3"/>
      <c r="P18" s="1" t="s">
        <v>4844</v>
      </c>
      <c r="Q18" s="1" t="b">
        <v>0</v>
      </c>
      <c r="R18" s="1">
        <v>2.0</v>
      </c>
      <c r="S18" s="1" t="s">
        <v>4752</v>
      </c>
      <c r="T18" s="3"/>
      <c r="U18" s="1" t="s">
        <v>4672</v>
      </c>
      <c r="V18" s="1" t="s">
        <v>4673</v>
      </c>
      <c r="W18" s="1" t="s">
        <v>4845</v>
      </c>
      <c r="X18" s="1" t="b">
        <v>0</v>
      </c>
      <c r="Y18" s="1" t="s">
        <v>4675</v>
      </c>
      <c r="Z18" s="1" t="s">
        <v>4846</v>
      </c>
      <c r="AB18" s="3"/>
      <c r="AC18" s="3"/>
      <c r="AD18" s="3"/>
      <c r="AE18" s="3"/>
      <c r="AF18" s="3"/>
      <c r="AG18" s="3"/>
      <c r="AH18" s="3"/>
      <c r="AI18" s="1" t="b">
        <v>0</v>
      </c>
      <c r="AJ18" s="1" t="b">
        <v>0</v>
      </c>
      <c r="AK18" s="1" t="s">
        <v>4846</v>
      </c>
      <c r="AL18" s="1" t="s">
        <v>4719</v>
      </c>
      <c r="AM18" s="1" t="s">
        <v>4685</v>
      </c>
      <c r="AN18" s="1" t="s">
        <v>4686</v>
      </c>
      <c r="AO18" s="1" t="s">
        <v>4846</v>
      </c>
      <c r="AP18" s="1" t="s">
        <v>4687</v>
      </c>
      <c r="AQ18" s="1" t="s">
        <v>4688</v>
      </c>
      <c r="AR18" s="1">
        <v>2.0</v>
      </c>
      <c r="AS18" s="3"/>
      <c r="AT18" s="3"/>
      <c r="AU18" s="4" t="s">
        <v>4695</v>
      </c>
      <c r="AW18" s="3"/>
      <c r="AX18" s="3"/>
      <c r="AY18" s="3"/>
      <c r="AZ18" s="3"/>
      <c r="BA18" s="3"/>
      <c r="BB18" s="3"/>
      <c r="BC18" s="3"/>
      <c r="BD18" s="3"/>
      <c r="BE18" s="1" t="b">
        <v>1</v>
      </c>
      <c r="BF18" s="3"/>
      <c r="BG18" s="3"/>
      <c r="BH18" s="3"/>
      <c r="BI18" s="3"/>
      <c r="BJ18" s="3"/>
      <c r="BK18" s="4" t="s">
        <v>4695</v>
      </c>
    </row>
    <row r="19">
      <c r="A19" s="1" t="s">
        <v>678</v>
      </c>
      <c r="B19" s="1" t="s">
        <v>676</v>
      </c>
      <c r="C19" s="1" t="s">
        <v>676</v>
      </c>
      <c r="D19" s="1" t="s">
        <v>4696</v>
      </c>
      <c r="E19" s="1" t="s">
        <v>4847</v>
      </c>
      <c r="F19" s="1" t="s">
        <v>4848</v>
      </c>
      <c r="G19" s="3"/>
      <c r="H19" s="3"/>
      <c r="I19" s="1" t="s">
        <v>4849</v>
      </c>
      <c r="J19" s="1" t="s">
        <v>4850</v>
      </c>
      <c r="K19" s="3">
        <f>+821052308627</f>
        <v>821052308627</v>
      </c>
      <c r="L19" s="3"/>
      <c r="M19" s="3"/>
      <c r="N19" s="3"/>
      <c r="O19" s="3"/>
      <c r="P19" s="1">
        <v>1.10126994E8</v>
      </c>
      <c r="Q19" s="1" t="b">
        <v>1</v>
      </c>
      <c r="R19" s="1">
        <v>986.0</v>
      </c>
      <c r="S19" s="1" t="s">
        <v>4752</v>
      </c>
      <c r="T19" s="3"/>
      <c r="U19" s="1" t="s">
        <v>4672</v>
      </c>
      <c r="V19" s="1" t="s">
        <v>4673</v>
      </c>
      <c r="W19" s="1" t="s">
        <v>4851</v>
      </c>
      <c r="X19" s="1" t="b">
        <v>0</v>
      </c>
      <c r="Y19" s="1" t="s">
        <v>4675</v>
      </c>
      <c r="Z19" s="1" t="s">
        <v>4852</v>
      </c>
      <c r="AB19" s="1" t="s">
        <v>4677</v>
      </c>
      <c r="AC19" s="1" t="s">
        <v>4678</v>
      </c>
      <c r="AD19" s="1" t="s">
        <v>4679</v>
      </c>
      <c r="AE19" s="1" t="s">
        <v>4853</v>
      </c>
      <c r="AF19" s="1" t="s">
        <v>4854</v>
      </c>
      <c r="AG19" s="1" t="s">
        <v>4682</v>
      </c>
      <c r="AH19" s="1">
        <v>93.0</v>
      </c>
      <c r="AI19" s="1" t="b">
        <v>1</v>
      </c>
      <c r="AJ19" s="1" t="b">
        <v>1</v>
      </c>
      <c r="AK19" s="1" t="s">
        <v>4855</v>
      </c>
      <c r="AL19" s="1" t="s">
        <v>4719</v>
      </c>
      <c r="AM19" s="1" t="s">
        <v>4685</v>
      </c>
      <c r="AN19" s="1" t="s">
        <v>4686</v>
      </c>
      <c r="AO19" s="1" t="s">
        <v>4852</v>
      </c>
      <c r="AP19" s="1" t="s">
        <v>4687</v>
      </c>
      <c r="AQ19" s="1" t="s">
        <v>4688</v>
      </c>
      <c r="AR19" s="1">
        <v>893.0</v>
      </c>
      <c r="AS19" s="3"/>
      <c r="AT19" s="3"/>
      <c r="AU19" s="4" t="s">
        <v>4856</v>
      </c>
      <c r="BB19" s="3"/>
      <c r="BC19" s="3"/>
      <c r="BD19" s="3"/>
      <c r="BE19" s="1" t="b">
        <v>1</v>
      </c>
      <c r="BF19" s="3"/>
      <c r="BG19" s="3"/>
      <c r="BH19" s="3"/>
      <c r="BI19" s="3"/>
      <c r="BJ19" s="3"/>
      <c r="BK19" s="4" t="s">
        <v>4857</v>
      </c>
    </row>
    <row r="20">
      <c r="A20" s="1" t="s">
        <v>959</v>
      </c>
      <c r="B20" s="1" t="s">
        <v>958</v>
      </c>
      <c r="C20" s="1" t="s">
        <v>958</v>
      </c>
      <c r="D20" s="1" t="s">
        <v>4858</v>
      </c>
      <c r="E20" s="1" t="s">
        <v>4859</v>
      </c>
      <c r="F20" s="1" t="s">
        <v>4860</v>
      </c>
      <c r="G20" s="3"/>
      <c r="H20" s="1" t="s">
        <v>4861</v>
      </c>
      <c r="I20" s="1" t="s">
        <v>4742</v>
      </c>
      <c r="J20" s="1" t="s">
        <v>4862</v>
      </c>
      <c r="K20" s="3">
        <f>+821089585520</f>
        <v>821089585520</v>
      </c>
      <c r="L20" s="3"/>
      <c r="M20" s="3"/>
      <c r="N20" s="3"/>
      <c r="O20" s="3"/>
      <c r="P20" s="1">
        <v>1.16707327E8</v>
      </c>
      <c r="Q20" s="1" t="b">
        <v>1</v>
      </c>
      <c r="R20" s="1">
        <v>290.0</v>
      </c>
      <c r="S20" s="1" t="s">
        <v>4863</v>
      </c>
      <c r="T20" s="3"/>
      <c r="U20" s="1" t="s">
        <v>4672</v>
      </c>
      <c r="V20" s="1" t="s">
        <v>4673</v>
      </c>
      <c r="W20" s="1" t="s">
        <v>4864</v>
      </c>
      <c r="X20" s="1" t="b">
        <v>0</v>
      </c>
      <c r="Y20" s="1" t="s">
        <v>4675</v>
      </c>
      <c r="Z20" s="1" t="s">
        <v>4865</v>
      </c>
      <c r="AB20" s="1" t="s">
        <v>4677</v>
      </c>
      <c r="AC20" s="1" t="s">
        <v>4866</v>
      </c>
      <c r="AD20" s="1" t="s">
        <v>4867</v>
      </c>
      <c r="AE20" s="1" t="s">
        <v>4868</v>
      </c>
      <c r="AF20" s="1" t="s">
        <v>4757</v>
      </c>
      <c r="AG20" s="1" t="s">
        <v>4758</v>
      </c>
      <c r="AH20" s="1">
        <v>2.0</v>
      </c>
      <c r="AI20" s="1" t="b">
        <v>0</v>
      </c>
      <c r="AJ20" s="1" t="b">
        <v>0</v>
      </c>
      <c r="AK20" s="1" t="s">
        <v>4869</v>
      </c>
      <c r="AL20" s="1" t="s">
        <v>4719</v>
      </c>
      <c r="AM20" s="1" t="s">
        <v>4685</v>
      </c>
      <c r="AN20" s="1" t="s">
        <v>4720</v>
      </c>
      <c r="AO20" s="1" t="s">
        <v>4865</v>
      </c>
      <c r="AP20" s="1" t="s">
        <v>4721</v>
      </c>
      <c r="AQ20" s="1" t="s">
        <v>4722</v>
      </c>
      <c r="AR20" s="1">
        <v>288.0</v>
      </c>
      <c r="AS20" s="3"/>
      <c r="AT20" s="3"/>
      <c r="AU20" s="4" t="s">
        <v>4695</v>
      </c>
      <c r="AV20" s="1" t="s">
        <v>4690</v>
      </c>
      <c r="AW20" s="1" t="s">
        <v>4691</v>
      </c>
      <c r="AX20" s="1" t="s">
        <v>4692</v>
      </c>
      <c r="AY20" s="1" t="s">
        <v>4693</v>
      </c>
      <c r="AZ20" s="1" t="s">
        <v>4694</v>
      </c>
      <c r="BA20" s="3"/>
      <c r="BB20" s="3"/>
      <c r="BC20" s="3"/>
      <c r="BD20" s="3"/>
      <c r="BE20" s="1" t="b">
        <v>1</v>
      </c>
      <c r="BF20" s="1" t="s">
        <v>4693</v>
      </c>
      <c r="BG20" s="1" t="s">
        <v>4692</v>
      </c>
      <c r="BH20" s="1" t="s">
        <v>4690</v>
      </c>
      <c r="BI20" s="1" t="s">
        <v>4691</v>
      </c>
      <c r="BJ20" s="1" t="s">
        <v>4694</v>
      </c>
      <c r="BK20" s="4" t="s">
        <v>4695</v>
      </c>
    </row>
    <row r="21">
      <c r="A21" s="1" t="s">
        <v>1774</v>
      </c>
      <c r="B21" s="1" t="s">
        <v>1773</v>
      </c>
      <c r="C21" s="1" t="s">
        <v>1773</v>
      </c>
      <c r="D21" s="1" t="s">
        <v>4696</v>
      </c>
      <c r="E21" s="1" t="s">
        <v>4870</v>
      </c>
      <c r="F21" s="1" t="s">
        <v>4871</v>
      </c>
      <c r="G21" s="3"/>
      <c r="H21" s="3"/>
      <c r="I21" s="1" t="s">
        <v>4872</v>
      </c>
      <c r="J21" s="1" t="s">
        <v>4873</v>
      </c>
      <c r="K21" s="3">
        <f>+821022249844</f>
        <v>821022249844</v>
      </c>
      <c r="L21" s="3"/>
      <c r="M21" s="3"/>
      <c r="N21" s="3"/>
      <c r="O21" s="3"/>
      <c r="P21" s="1">
        <v>1.14654591E8</v>
      </c>
      <c r="Q21" s="1" t="b">
        <v>1</v>
      </c>
      <c r="R21" s="1">
        <v>177.0</v>
      </c>
      <c r="S21" s="1" t="s">
        <v>4874</v>
      </c>
      <c r="T21" s="3"/>
      <c r="U21" s="1" t="s">
        <v>4672</v>
      </c>
      <c r="V21" s="1" t="s">
        <v>4673</v>
      </c>
      <c r="W21" s="1" t="s">
        <v>4875</v>
      </c>
      <c r="X21" s="1" t="b">
        <v>0</v>
      </c>
      <c r="Y21" s="1" t="s">
        <v>4675</v>
      </c>
      <c r="Z21" s="1" t="s">
        <v>4876</v>
      </c>
      <c r="AB21" s="1" t="s">
        <v>4677</v>
      </c>
      <c r="AC21" s="1" t="s">
        <v>4678</v>
      </c>
      <c r="AD21" s="1" t="s">
        <v>4877</v>
      </c>
      <c r="AE21" s="1" t="s">
        <v>4876</v>
      </c>
      <c r="AF21" s="1" t="s">
        <v>4757</v>
      </c>
      <c r="AG21" s="1" t="s">
        <v>4758</v>
      </c>
      <c r="AH21" s="1">
        <v>50.0</v>
      </c>
      <c r="AI21" s="1" t="b">
        <v>0</v>
      </c>
      <c r="AJ21" s="1" t="b">
        <v>0</v>
      </c>
      <c r="AK21" s="1" t="s">
        <v>4878</v>
      </c>
      <c r="AL21" s="1" t="s">
        <v>4719</v>
      </c>
      <c r="AM21" s="1" t="s">
        <v>4685</v>
      </c>
      <c r="AN21" s="1" t="s">
        <v>4686</v>
      </c>
      <c r="AO21" s="1" t="s">
        <v>4879</v>
      </c>
      <c r="AP21" s="1" t="s">
        <v>4687</v>
      </c>
      <c r="AQ21" s="1" t="s">
        <v>4688</v>
      </c>
      <c r="AR21" s="1">
        <v>127.0</v>
      </c>
      <c r="AS21" s="3"/>
      <c r="AT21" s="3"/>
      <c r="AU21" s="4" t="s">
        <v>4880</v>
      </c>
      <c r="AW21" s="3"/>
      <c r="AX21" s="3"/>
      <c r="AY21" s="3"/>
      <c r="AZ21" s="3"/>
      <c r="BA21" s="3"/>
      <c r="BB21" s="3"/>
      <c r="BC21" s="3"/>
      <c r="BD21" s="3"/>
      <c r="BE21" s="1" t="b">
        <v>1</v>
      </c>
      <c r="BF21" s="3"/>
      <c r="BG21" s="3"/>
      <c r="BH21" s="3"/>
      <c r="BI21" s="3"/>
      <c r="BJ21" s="3"/>
      <c r="BK21" s="4" t="s">
        <v>4881</v>
      </c>
    </row>
    <row r="22">
      <c r="A22" s="1" t="s">
        <v>340</v>
      </c>
      <c r="B22" s="1" t="s">
        <v>338</v>
      </c>
      <c r="C22" s="1" t="s">
        <v>338</v>
      </c>
      <c r="D22" s="1" t="s">
        <v>4696</v>
      </c>
      <c r="E22" s="1" t="s">
        <v>4882</v>
      </c>
      <c r="F22" s="1" t="s">
        <v>4883</v>
      </c>
      <c r="G22" s="3"/>
      <c r="H22" s="3"/>
      <c r="I22" s="1" t="s">
        <v>4733</v>
      </c>
      <c r="J22" s="1" t="s">
        <v>4884</v>
      </c>
      <c r="L22" s="3"/>
      <c r="M22" s="3"/>
      <c r="N22" s="3"/>
      <c r="O22" s="3"/>
      <c r="P22" s="1">
        <v>1.15593138E8</v>
      </c>
      <c r="Q22" s="1" t="b">
        <v>1</v>
      </c>
      <c r="R22" s="1">
        <v>66.0</v>
      </c>
      <c r="S22" s="1" t="s">
        <v>4885</v>
      </c>
      <c r="T22" s="3"/>
      <c r="U22" s="1" t="s">
        <v>4672</v>
      </c>
      <c r="V22" s="1" t="s">
        <v>4673</v>
      </c>
      <c r="W22" s="1" t="s">
        <v>4886</v>
      </c>
      <c r="X22" s="1" t="b">
        <v>0</v>
      </c>
      <c r="Y22" s="1" t="s">
        <v>4675</v>
      </c>
      <c r="Z22" s="1" t="s">
        <v>4887</v>
      </c>
      <c r="AB22" s="1" t="s">
        <v>4677</v>
      </c>
      <c r="AC22" s="1" t="s">
        <v>4678</v>
      </c>
      <c r="AD22" s="1" t="s">
        <v>4888</v>
      </c>
      <c r="AE22" s="1" t="s">
        <v>4889</v>
      </c>
      <c r="AF22" s="1" t="s">
        <v>4757</v>
      </c>
      <c r="AG22" s="1" t="s">
        <v>4758</v>
      </c>
      <c r="AH22" s="1">
        <v>22.0</v>
      </c>
      <c r="AI22" s="1" t="b">
        <v>0</v>
      </c>
      <c r="AJ22" s="1" t="b">
        <v>0</v>
      </c>
      <c r="AK22" s="1" t="s">
        <v>4890</v>
      </c>
      <c r="AL22" s="1" t="s">
        <v>4684</v>
      </c>
      <c r="AM22" s="1" t="s">
        <v>4685</v>
      </c>
      <c r="AN22" s="1" t="s">
        <v>4686</v>
      </c>
      <c r="AO22" s="1" t="s">
        <v>4887</v>
      </c>
      <c r="AP22" s="1" t="s">
        <v>4687</v>
      </c>
      <c r="AQ22" s="1" t="s">
        <v>4688</v>
      </c>
      <c r="AR22" s="1">
        <v>44.0</v>
      </c>
      <c r="AS22" s="3"/>
      <c r="AT22" s="3"/>
      <c r="AU22" s="4" t="s">
        <v>4710</v>
      </c>
      <c r="AX22" s="3"/>
      <c r="AY22" s="3"/>
      <c r="AZ22" s="3"/>
      <c r="BA22" s="3"/>
      <c r="BB22" s="3"/>
      <c r="BC22" s="3"/>
      <c r="BD22" s="3"/>
      <c r="BE22" s="1" t="b">
        <v>1</v>
      </c>
      <c r="BF22" s="3"/>
      <c r="BG22" s="3"/>
      <c r="BH22" s="3"/>
      <c r="BI22" s="3"/>
      <c r="BJ22" s="3"/>
      <c r="BK22" s="4" t="s">
        <v>4689</v>
      </c>
    </row>
    <row r="23">
      <c r="A23" s="1" t="s">
        <v>1804</v>
      </c>
      <c r="B23" s="1" t="s">
        <v>1803</v>
      </c>
      <c r="C23" s="1" t="s">
        <v>1803</v>
      </c>
      <c r="D23" s="1" t="s">
        <v>4696</v>
      </c>
      <c r="E23" s="1" t="s">
        <v>4891</v>
      </c>
      <c r="F23" s="1" t="s">
        <v>4892</v>
      </c>
      <c r="G23" s="3"/>
      <c r="H23" s="1" t="s">
        <v>4861</v>
      </c>
      <c r="I23" s="1" t="s">
        <v>4733</v>
      </c>
      <c r="J23" s="1" t="s">
        <v>4893</v>
      </c>
      <c r="K23" s="3">
        <f>+821049633616</f>
        <v>821049633616</v>
      </c>
      <c r="L23" s="3"/>
      <c r="M23" s="3"/>
      <c r="N23" s="3"/>
      <c r="O23" s="3"/>
      <c r="P23" s="1">
        <v>1.11202206E8</v>
      </c>
      <c r="Q23" s="1" t="b">
        <v>1</v>
      </c>
      <c r="R23" s="1">
        <v>58.0</v>
      </c>
      <c r="S23" s="1" t="s">
        <v>4805</v>
      </c>
      <c r="T23" s="3"/>
      <c r="U23" s="1" t="s">
        <v>4672</v>
      </c>
      <c r="V23" s="1" t="s">
        <v>4673</v>
      </c>
      <c r="W23" s="1" t="s">
        <v>4894</v>
      </c>
      <c r="X23" s="1" t="b">
        <v>0</v>
      </c>
      <c r="Y23" s="1" t="s">
        <v>4675</v>
      </c>
      <c r="Z23" s="1" t="s">
        <v>4895</v>
      </c>
      <c r="AB23" s="1" t="s">
        <v>4677</v>
      </c>
      <c r="AC23" s="1" t="s">
        <v>4896</v>
      </c>
      <c r="AD23" s="1" t="s">
        <v>4679</v>
      </c>
      <c r="AE23" s="1" t="s">
        <v>4897</v>
      </c>
      <c r="AF23" s="1" t="s">
        <v>4840</v>
      </c>
      <c r="AG23" s="1" t="s">
        <v>4682</v>
      </c>
      <c r="AH23" s="1">
        <v>1.0</v>
      </c>
      <c r="AI23" s="1" t="b">
        <v>0</v>
      </c>
      <c r="AJ23" s="1" t="b">
        <v>0</v>
      </c>
      <c r="AK23" s="1" t="s">
        <v>4898</v>
      </c>
      <c r="AL23" s="1" t="s">
        <v>4719</v>
      </c>
      <c r="AM23" s="1" t="s">
        <v>4685</v>
      </c>
      <c r="AN23" s="1" t="s">
        <v>4720</v>
      </c>
      <c r="AO23" s="1" t="s">
        <v>4895</v>
      </c>
      <c r="AP23" s="1" t="s">
        <v>4721</v>
      </c>
      <c r="AQ23" s="1" t="s">
        <v>4722</v>
      </c>
      <c r="AR23" s="1">
        <v>57.0</v>
      </c>
      <c r="AS23" s="3"/>
      <c r="AT23" s="3"/>
      <c r="AU23" s="4" t="s">
        <v>4695</v>
      </c>
      <c r="AW23" s="3"/>
      <c r="AX23" s="3"/>
      <c r="AY23" s="1" t="s">
        <v>4761</v>
      </c>
      <c r="AZ23" s="3"/>
      <c r="BA23" s="3"/>
      <c r="BB23" s="3"/>
      <c r="BC23" s="3"/>
      <c r="BD23" s="3"/>
      <c r="BE23" s="1" t="b">
        <v>1</v>
      </c>
      <c r="BF23" s="1" t="s">
        <v>4761</v>
      </c>
      <c r="BG23" s="3"/>
      <c r="BH23" s="3"/>
      <c r="BI23" s="3"/>
      <c r="BJ23" s="3"/>
      <c r="BK23" s="4" t="s">
        <v>4695</v>
      </c>
      <c r="BL23" s="1" t="s">
        <v>4723</v>
      </c>
    </row>
    <row r="24">
      <c r="A24" s="1" t="s">
        <v>224</v>
      </c>
      <c r="B24" s="1" t="s">
        <v>223</v>
      </c>
      <c r="C24" s="1" t="s">
        <v>223</v>
      </c>
      <c r="D24" s="1" t="s">
        <v>4711</v>
      </c>
      <c r="E24" s="1" t="s">
        <v>4899</v>
      </c>
      <c r="F24" s="1" t="s">
        <v>4900</v>
      </c>
      <c r="G24" s="3"/>
      <c r="H24" s="3"/>
      <c r="I24" s="1" t="s">
        <v>4742</v>
      </c>
      <c r="J24" s="1" t="s">
        <v>4901</v>
      </c>
      <c r="K24" s="3">
        <f>+821027205104</f>
        <v>821027205104</v>
      </c>
      <c r="L24" s="3"/>
      <c r="M24" s="3"/>
      <c r="N24" s="3"/>
      <c r="O24" s="3"/>
      <c r="P24" s="1">
        <v>2.085815043E9</v>
      </c>
      <c r="Q24" s="1" t="b">
        <v>1</v>
      </c>
      <c r="R24" s="1">
        <v>235.0</v>
      </c>
      <c r="S24" s="1" t="s">
        <v>4902</v>
      </c>
      <c r="T24" s="3"/>
      <c r="U24" s="1" t="s">
        <v>4672</v>
      </c>
      <c r="V24" s="1" t="s">
        <v>4673</v>
      </c>
      <c r="W24" s="1" t="s">
        <v>4903</v>
      </c>
      <c r="X24" s="1" t="b">
        <v>0</v>
      </c>
      <c r="Y24" s="1" t="s">
        <v>4675</v>
      </c>
      <c r="Z24" s="1" t="s">
        <v>4904</v>
      </c>
      <c r="AB24" s="3"/>
      <c r="AC24" s="3"/>
      <c r="AD24" s="3"/>
      <c r="AE24" s="3"/>
      <c r="AF24" s="3"/>
      <c r="AG24" s="3"/>
      <c r="AH24" s="3"/>
      <c r="AI24" s="1" t="b">
        <v>0</v>
      </c>
      <c r="AJ24" s="1" t="b">
        <v>0</v>
      </c>
      <c r="AK24" s="1" t="s">
        <v>4905</v>
      </c>
      <c r="AL24" s="1" t="s">
        <v>4719</v>
      </c>
      <c r="AM24" s="1" t="s">
        <v>4685</v>
      </c>
      <c r="AN24" s="1" t="s">
        <v>4686</v>
      </c>
      <c r="AO24" s="1" t="s">
        <v>4904</v>
      </c>
      <c r="AP24" s="1" t="s">
        <v>4687</v>
      </c>
      <c r="AQ24" s="1" t="s">
        <v>4688</v>
      </c>
      <c r="AR24" s="1">
        <v>235.0</v>
      </c>
      <c r="AS24" s="3"/>
      <c r="AT24" s="3"/>
      <c r="AU24" s="4" t="s">
        <v>4695</v>
      </c>
      <c r="AV24" s="1" t="s">
        <v>4690</v>
      </c>
      <c r="AW24" s="1" t="s">
        <v>4691</v>
      </c>
      <c r="AX24" s="1" t="s">
        <v>4692</v>
      </c>
      <c r="AY24" s="1" t="s">
        <v>4761</v>
      </c>
      <c r="AZ24" s="1" t="s">
        <v>4694</v>
      </c>
      <c r="BA24" s="3"/>
      <c r="BB24" s="3"/>
      <c r="BC24" s="3"/>
      <c r="BD24" s="3"/>
      <c r="BE24" s="1" t="b">
        <v>1</v>
      </c>
      <c r="BF24" s="1" t="s">
        <v>4693</v>
      </c>
      <c r="BG24" s="1" t="s">
        <v>4692</v>
      </c>
      <c r="BH24" s="1" t="s">
        <v>4690</v>
      </c>
      <c r="BI24" s="1" t="s">
        <v>4691</v>
      </c>
      <c r="BJ24" s="1" t="s">
        <v>4694</v>
      </c>
      <c r="BK24" s="4" t="s">
        <v>4695</v>
      </c>
    </row>
    <row r="25">
      <c r="A25" s="1" t="s">
        <v>1923</v>
      </c>
      <c r="B25" s="1" t="s">
        <v>1922</v>
      </c>
      <c r="C25" s="1" t="s">
        <v>1922</v>
      </c>
      <c r="D25" s="1" t="s">
        <v>4711</v>
      </c>
      <c r="E25" s="1" t="s">
        <v>4906</v>
      </c>
      <c r="F25" s="1" t="s">
        <v>4907</v>
      </c>
      <c r="G25" s="3"/>
      <c r="H25" s="3"/>
      <c r="I25" s="1" t="s">
        <v>4828</v>
      </c>
      <c r="J25" s="1" t="s">
        <v>4908</v>
      </c>
      <c r="K25" s="3">
        <f>+821086910598</f>
        <v>821086910598</v>
      </c>
      <c r="L25" s="3"/>
      <c r="M25" s="3"/>
      <c r="N25" s="3"/>
      <c r="O25" s="3"/>
      <c r="P25" s="1">
        <v>1.10998233E8</v>
      </c>
      <c r="Q25" s="1" t="b">
        <v>1</v>
      </c>
      <c r="R25" s="1">
        <v>221.0</v>
      </c>
      <c r="S25" s="1" t="s">
        <v>4752</v>
      </c>
      <c r="T25" s="3"/>
      <c r="U25" s="1" t="s">
        <v>4672</v>
      </c>
      <c r="V25" s="1" t="s">
        <v>4673</v>
      </c>
      <c r="W25" s="1" t="s">
        <v>4909</v>
      </c>
      <c r="X25" s="1" t="b">
        <v>0</v>
      </c>
      <c r="Y25" s="1" t="s">
        <v>4675</v>
      </c>
      <c r="Z25" s="1" t="s">
        <v>4910</v>
      </c>
      <c r="AB25" s="3"/>
      <c r="AC25" s="3"/>
      <c r="AD25" s="3"/>
      <c r="AE25" s="3"/>
      <c r="AF25" s="3"/>
      <c r="AG25" s="3"/>
      <c r="AH25" s="3"/>
      <c r="AI25" s="1" t="b">
        <v>0</v>
      </c>
      <c r="AJ25" s="1" t="b">
        <v>0</v>
      </c>
      <c r="AK25" s="1" t="s">
        <v>4911</v>
      </c>
      <c r="AL25" s="1" t="s">
        <v>4719</v>
      </c>
      <c r="AM25" s="1" t="s">
        <v>4685</v>
      </c>
      <c r="AN25" s="1" t="s">
        <v>4686</v>
      </c>
      <c r="AO25" s="1" t="s">
        <v>4910</v>
      </c>
      <c r="AP25" s="1" t="s">
        <v>4687</v>
      </c>
      <c r="AQ25" s="1" t="s">
        <v>4688</v>
      </c>
      <c r="AR25" s="1">
        <v>221.0</v>
      </c>
      <c r="AS25" s="3"/>
      <c r="AT25" s="3"/>
      <c r="AU25" s="4" t="s">
        <v>4912</v>
      </c>
      <c r="AV25" s="1" t="s">
        <v>4690</v>
      </c>
      <c r="AW25" s="1" t="s">
        <v>4691</v>
      </c>
      <c r="AX25" s="1" t="s">
        <v>4692</v>
      </c>
      <c r="AY25" s="1" t="s">
        <v>4693</v>
      </c>
      <c r="AZ25" s="1" t="s">
        <v>4694</v>
      </c>
      <c r="BA25" s="3"/>
      <c r="BB25" s="3"/>
      <c r="BC25" s="3"/>
      <c r="BD25" s="3"/>
      <c r="BE25" s="1" t="b">
        <v>1</v>
      </c>
      <c r="BF25" s="1" t="s">
        <v>4693</v>
      </c>
      <c r="BG25" s="1" t="s">
        <v>4692</v>
      </c>
      <c r="BH25" s="1" t="s">
        <v>4690</v>
      </c>
      <c r="BI25" s="1" t="s">
        <v>4691</v>
      </c>
      <c r="BJ25" s="1" t="s">
        <v>4694</v>
      </c>
      <c r="BK25" s="4" t="s">
        <v>4695</v>
      </c>
    </row>
    <row r="26">
      <c r="A26" s="1" t="s">
        <v>1421</v>
      </c>
      <c r="B26" s="1" t="s">
        <v>1420</v>
      </c>
      <c r="C26" s="1" t="s">
        <v>1420</v>
      </c>
      <c r="D26" s="1" t="s">
        <v>4913</v>
      </c>
      <c r="E26" s="1" t="s">
        <v>4914</v>
      </c>
      <c r="F26" s="1" t="s">
        <v>4915</v>
      </c>
      <c r="G26" s="3"/>
      <c r="H26" s="3"/>
      <c r="I26" s="1" t="s">
        <v>4916</v>
      </c>
      <c r="J26" s="1" t="s">
        <v>4917</v>
      </c>
      <c r="K26" s="3">
        <f>+821037818443</f>
        <v>821037818443</v>
      </c>
      <c r="L26" s="3"/>
      <c r="M26" s="3"/>
      <c r="N26" s="3"/>
      <c r="O26" s="3"/>
      <c r="P26" s="1">
        <v>1.11098673E8</v>
      </c>
      <c r="Q26" s="1" t="b">
        <v>1</v>
      </c>
      <c r="R26" s="1">
        <v>117.0</v>
      </c>
      <c r="S26" s="1" t="s">
        <v>4918</v>
      </c>
      <c r="T26" s="3"/>
      <c r="U26" s="1" t="s">
        <v>4672</v>
      </c>
      <c r="V26" s="1" t="s">
        <v>4673</v>
      </c>
      <c r="W26" s="1" t="s">
        <v>4919</v>
      </c>
      <c r="X26" s="1" t="b">
        <v>0</v>
      </c>
      <c r="Y26" s="1" t="s">
        <v>4675</v>
      </c>
      <c r="Z26" s="1" t="s">
        <v>4920</v>
      </c>
      <c r="AB26" s="3"/>
      <c r="AC26" s="3"/>
      <c r="AD26" s="3"/>
      <c r="AE26" s="3"/>
      <c r="AF26" s="3"/>
      <c r="AG26" s="3"/>
      <c r="AH26" s="3"/>
      <c r="AI26" s="1" t="b">
        <v>0</v>
      </c>
      <c r="AJ26" s="1" t="b">
        <v>0</v>
      </c>
      <c r="AK26" s="1" t="s">
        <v>4921</v>
      </c>
      <c r="AL26" s="1" t="s">
        <v>4719</v>
      </c>
      <c r="AM26" s="1" t="s">
        <v>4685</v>
      </c>
      <c r="AN26" s="1" t="s">
        <v>4686</v>
      </c>
      <c r="AO26" s="1" t="s">
        <v>4920</v>
      </c>
      <c r="AP26" s="1" t="s">
        <v>4687</v>
      </c>
      <c r="AQ26" s="1" t="s">
        <v>4688</v>
      </c>
      <c r="AR26" s="1">
        <v>117.0</v>
      </c>
      <c r="AS26" s="3"/>
      <c r="AT26" s="3"/>
      <c r="AU26" s="4" t="s">
        <v>4695</v>
      </c>
      <c r="AW26" s="3"/>
      <c r="AX26" s="3"/>
      <c r="AY26" s="3"/>
      <c r="AZ26" s="3"/>
      <c r="BA26" s="3"/>
      <c r="BB26" s="3"/>
      <c r="BC26" s="3"/>
      <c r="BD26" s="3"/>
      <c r="BE26" s="1" t="b">
        <v>1</v>
      </c>
      <c r="BF26" s="3"/>
      <c r="BG26" s="3"/>
      <c r="BH26" s="3"/>
      <c r="BI26" s="3"/>
      <c r="BJ26" s="3"/>
      <c r="BK26" s="4" t="s">
        <v>4695</v>
      </c>
    </row>
    <row r="27">
      <c r="A27" s="1" t="s">
        <v>1119</v>
      </c>
      <c r="B27" s="1" t="s">
        <v>1118</v>
      </c>
      <c r="C27" s="1" t="s">
        <v>1118</v>
      </c>
      <c r="D27" s="1" t="s">
        <v>4922</v>
      </c>
      <c r="E27" s="1" t="s">
        <v>4923</v>
      </c>
      <c r="F27" s="1" t="s">
        <v>4924</v>
      </c>
      <c r="G27" s="3"/>
      <c r="H27" s="3"/>
      <c r="I27" s="1" t="s">
        <v>4925</v>
      </c>
      <c r="J27" s="1" t="s">
        <v>4926</v>
      </c>
      <c r="K27" s="3">
        <f>+821081886933</f>
        <v>821081886933</v>
      </c>
      <c r="L27" s="3"/>
      <c r="M27" s="3"/>
      <c r="N27" s="3"/>
      <c r="O27" s="3"/>
      <c r="P27" s="1">
        <v>1.22946E8</v>
      </c>
      <c r="Q27" s="1" t="b">
        <v>1</v>
      </c>
      <c r="R27" s="1">
        <v>21.0</v>
      </c>
      <c r="S27" s="1" t="s">
        <v>4863</v>
      </c>
      <c r="T27" s="3"/>
      <c r="U27" s="1" t="s">
        <v>4672</v>
      </c>
      <c r="V27" s="1" t="s">
        <v>4673</v>
      </c>
      <c r="W27" s="1" t="s">
        <v>4927</v>
      </c>
      <c r="X27" s="1" t="b">
        <v>0</v>
      </c>
      <c r="Y27" s="1" t="s">
        <v>4675</v>
      </c>
      <c r="Z27" s="1" t="s">
        <v>4928</v>
      </c>
      <c r="AB27" s="1" t="s">
        <v>4677</v>
      </c>
      <c r="AC27" s="1" t="s">
        <v>4678</v>
      </c>
      <c r="AD27" s="1" t="s">
        <v>4679</v>
      </c>
      <c r="AE27" s="1" t="s">
        <v>4929</v>
      </c>
      <c r="AF27" s="1" t="s">
        <v>4681</v>
      </c>
      <c r="AG27" s="1" t="s">
        <v>4682</v>
      </c>
      <c r="AH27" s="1">
        <v>2.0</v>
      </c>
      <c r="AI27" s="1" t="b">
        <v>0</v>
      </c>
      <c r="AJ27" s="1" t="b">
        <v>0</v>
      </c>
      <c r="AK27" s="1" t="s">
        <v>4930</v>
      </c>
      <c r="AL27" s="1" t="s">
        <v>4684</v>
      </c>
      <c r="AM27" s="1" t="s">
        <v>4685</v>
      </c>
      <c r="AN27" s="1" t="s">
        <v>4686</v>
      </c>
      <c r="AO27" s="1" t="s">
        <v>4928</v>
      </c>
      <c r="AP27" s="1" t="s">
        <v>4687</v>
      </c>
      <c r="AQ27" s="1" t="s">
        <v>4688</v>
      </c>
      <c r="AR27" s="1">
        <v>19.0</v>
      </c>
      <c r="AS27" s="3"/>
      <c r="AT27" s="3"/>
      <c r="AU27" s="4" t="s">
        <v>4780</v>
      </c>
      <c r="AV27" s="1" t="s">
        <v>4788</v>
      </c>
      <c r="AW27" s="1" t="s">
        <v>4789</v>
      </c>
      <c r="AX27" s="1" t="s">
        <v>4692</v>
      </c>
      <c r="AY27" s="1" t="s">
        <v>4790</v>
      </c>
      <c r="AZ27" s="1" t="s">
        <v>4791</v>
      </c>
      <c r="BA27" s="3"/>
      <c r="BB27" s="3"/>
      <c r="BC27" s="3"/>
      <c r="BD27" s="3"/>
      <c r="BE27" s="1" t="b">
        <v>1</v>
      </c>
      <c r="BF27" s="1" t="s">
        <v>4790</v>
      </c>
      <c r="BG27" s="1" t="s">
        <v>4692</v>
      </c>
      <c r="BH27" s="1" t="s">
        <v>4788</v>
      </c>
      <c r="BI27" s="1" t="s">
        <v>4789</v>
      </c>
      <c r="BJ27" s="1" t="s">
        <v>4791</v>
      </c>
      <c r="BK27" s="4" t="s">
        <v>4780</v>
      </c>
    </row>
    <row r="28">
      <c r="A28" s="1" t="s">
        <v>980</v>
      </c>
      <c r="B28" s="1" t="s">
        <v>979</v>
      </c>
      <c r="C28" s="3"/>
      <c r="D28" s="3"/>
      <c r="E28" s="3"/>
      <c r="F28" s="3"/>
      <c r="G28" s="3"/>
      <c r="H28" s="3"/>
      <c r="I28" s="3"/>
      <c r="J28" s="3"/>
      <c r="K28" s="3"/>
      <c r="L28" s="3"/>
      <c r="M28" s="3"/>
      <c r="N28" s="3"/>
      <c r="O28" s="3"/>
      <c r="P28" s="1" t="s">
        <v>4931</v>
      </c>
      <c r="Q28" s="1" t="b">
        <v>0</v>
      </c>
      <c r="R28" s="1">
        <v>7.0</v>
      </c>
      <c r="S28" s="1" t="s">
        <v>4735</v>
      </c>
      <c r="T28" s="3"/>
      <c r="U28" s="1" t="s">
        <v>4672</v>
      </c>
      <c r="V28" s="1" t="s">
        <v>4673</v>
      </c>
      <c r="W28" s="1" t="s">
        <v>4932</v>
      </c>
      <c r="X28" s="1" t="b">
        <v>0</v>
      </c>
      <c r="Y28" s="1" t="s">
        <v>4675</v>
      </c>
      <c r="Z28" s="1" t="s">
        <v>4933</v>
      </c>
      <c r="AB28" s="3"/>
      <c r="AC28" s="3"/>
      <c r="AD28" s="3"/>
      <c r="AE28" s="3"/>
      <c r="AF28" s="3"/>
      <c r="AG28" s="3"/>
      <c r="AH28" s="3"/>
      <c r="AI28" s="1" t="b">
        <v>0</v>
      </c>
      <c r="AJ28" s="1" t="b">
        <v>0</v>
      </c>
      <c r="AK28" s="1" t="s">
        <v>4933</v>
      </c>
      <c r="AL28" s="1" t="s">
        <v>4719</v>
      </c>
      <c r="AM28" s="1" t="s">
        <v>4685</v>
      </c>
      <c r="AN28" s="1" t="s">
        <v>4686</v>
      </c>
      <c r="AO28" s="1" t="s">
        <v>4933</v>
      </c>
      <c r="AP28" s="1" t="s">
        <v>4687</v>
      </c>
      <c r="AQ28" s="1" t="s">
        <v>4688</v>
      </c>
      <c r="AR28" s="1">
        <v>7.0</v>
      </c>
      <c r="AS28" s="3"/>
      <c r="AT28" s="3"/>
      <c r="AU28" s="4" t="s">
        <v>4934</v>
      </c>
      <c r="AV28" s="1" t="s">
        <v>4935</v>
      </c>
      <c r="AX28" s="1" t="s">
        <v>4936</v>
      </c>
      <c r="AY28" s="1" t="s">
        <v>4761</v>
      </c>
      <c r="AZ28" s="3"/>
      <c r="BA28" s="3"/>
      <c r="BB28" s="3"/>
      <c r="BC28" s="3"/>
      <c r="BD28" s="3"/>
      <c r="BE28" s="1" t="b">
        <v>1</v>
      </c>
      <c r="BF28" s="1" t="s">
        <v>4761</v>
      </c>
      <c r="BG28" s="1" t="s">
        <v>4936</v>
      </c>
      <c r="BH28" s="1" t="s">
        <v>4935</v>
      </c>
      <c r="BJ28" s="3"/>
      <c r="BK28" s="4" t="s">
        <v>4695</v>
      </c>
    </row>
    <row r="29">
      <c r="A29" s="1" t="s">
        <v>376</v>
      </c>
      <c r="B29" s="1" t="s">
        <v>375</v>
      </c>
      <c r="C29" s="3"/>
      <c r="D29" s="3"/>
      <c r="E29" s="3"/>
      <c r="F29" s="3"/>
      <c r="G29" s="3"/>
      <c r="H29" s="3"/>
      <c r="I29" s="3"/>
      <c r="J29" s="3"/>
      <c r="K29" s="3"/>
      <c r="L29" s="3"/>
      <c r="M29" s="3"/>
      <c r="N29" s="3"/>
      <c r="O29" s="3"/>
      <c r="P29" s="1" t="s">
        <v>4937</v>
      </c>
      <c r="Q29" s="1" t="b">
        <v>0</v>
      </c>
      <c r="R29" s="1">
        <v>1.0</v>
      </c>
      <c r="S29" s="1" t="s">
        <v>4701</v>
      </c>
      <c r="T29" s="3"/>
      <c r="U29" s="1" t="s">
        <v>4672</v>
      </c>
      <c r="V29" s="1" t="s">
        <v>4673</v>
      </c>
      <c r="W29" s="1" t="s">
        <v>4938</v>
      </c>
      <c r="X29" s="1" t="b">
        <v>0</v>
      </c>
      <c r="Y29" s="1" t="s">
        <v>4675</v>
      </c>
      <c r="Z29" s="1" t="s">
        <v>4938</v>
      </c>
      <c r="AB29" s="3"/>
      <c r="AC29" s="3"/>
      <c r="AD29" s="3"/>
      <c r="AE29" s="3"/>
      <c r="AF29" s="3"/>
      <c r="AG29" s="3"/>
      <c r="AH29" s="3"/>
      <c r="AI29" s="1" t="b">
        <v>0</v>
      </c>
      <c r="AJ29" s="1" t="b">
        <v>0</v>
      </c>
      <c r="AK29" s="1" t="s">
        <v>4938</v>
      </c>
      <c r="AL29" s="1" t="s">
        <v>4769</v>
      </c>
      <c r="AM29" s="1" t="s">
        <v>4708</v>
      </c>
      <c r="AN29" s="1" t="s">
        <v>4686</v>
      </c>
      <c r="AO29" s="1" t="s">
        <v>4938</v>
      </c>
      <c r="AP29" s="1" t="s">
        <v>4709</v>
      </c>
      <c r="AQ29" s="1" t="s">
        <v>4688</v>
      </c>
      <c r="AR29" s="1">
        <v>1.0</v>
      </c>
      <c r="AS29" s="3"/>
      <c r="AT29" s="3"/>
      <c r="AU29" s="3"/>
      <c r="AV29" s="3"/>
      <c r="AW29" s="3"/>
      <c r="AX29" s="3"/>
      <c r="AY29" s="3"/>
      <c r="AZ29" s="3"/>
      <c r="BA29" s="3"/>
      <c r="BB29" s="3"/>
      <c r="BC29" s="3"/>
      <c r="BD29" s="3"/>
      <c r="BE29" s="1" t="b">
        <v>1</v>
      </c>
      <c r="BF29" s="3"/>
      <c r="BG29" s="3"/>
      <c r="BH29" s="3"/>
      <c r="BI29" s="3"/>
      <c r="BJ29" s="3"/>
      <c r="BK29" s="3"/>
      <c r="BL29" s="3"/>
    </row>
    <row r="30">
      <c r="A30" s="1" t="s">
        <v>164</v>
      </c>
      <c r="B30" s="1" t="s">
        <v>163</v>
      </c>
      <c r="C30" s="1" t="s">
        <v>163</v>
      </c>
      <c r="D30" s="1" t="s">
        <v>4724</v>
      </c>
      <c r="E30" s="1" t="s">
        <v>4939</v>
      </c>
      <c r="F30" s="1" t="s">
        <v>4940</v>
      </c>
      <c r="G30" s="3"/>
      <c r="H30" s="3"/>
      <c r="I30" s="3"/>
      <c r="J30" s="1" t="s">
        <v>4941</v>
      </c>
      <c r="K30" s="3">
        <f>+821023620570</f>
        <v>821023620570</v>
      </c>
      <c r="L30" s="3"/>
      <c r="M30" s="3"/>
      <c r="N30" s="3"/>
      <c r="O30" s="3"/>
      <c r="P30" s="1">
        <v>1.22991645E8</v>
      </c>
      <c r="Q30" s="1" t="b">
        <v>1</v>
      </c>
      <c r="R30" s="1">
        <v>9.0</v>
      </c>
      <c r="S30" s="1" t="s">
        <v>4942</v>
      </c>
      <c r="U30" s="1" t="s">
        <v>4672</v>
      </c>
      <c r="V30" s="1" t="s">
        <v>4673</v>
      </c>
      <c r="W30" s="1" t="s">
        <v>4943</v>
      </c>
      <c r="X30" s="1" t="b">
        <v>0</v>
      </c>
      <c r="Y30" s="1" t="s">
        <v>4675</v>
      </c>
      <c r="Z30" s="1" t="s">
        <v>4944</v>
      </c>
      <c r="AB30" s="3"/>
      <c r="AC30" s="3"/>
      <c r="AD30" s="3"/>
      <c r="AE30" s="3"/>
      <c r="AF30" s="3"/>
      <c r="AG30" s="3"/>
      <c r="AH30" s="3"/>
      <c r="AI30" s="1" t="b">
        <v>0</v>
      </c>
      <c r="AJ30" s="1" t="b">
        <v>0</v>
      </c>
      <c r="AK30" s="1" t="s">
        <v>4945</v>
      </c>
      <c r="AL30" s="1" t="s">
        <v>4719</v>
      </c>
      <c r="AM30" s="1" t="s">
        <v>4685</v>
      </c>
      <c r="AN30" s="1" t="s">
        <v>4686</v>
      </c>
      <c r="AO30" s="1" t="s">
        <v>4944</v>
      </c>
      <c r="AP30" s="1" t="s">
        <v>4687</v>
      </c>
      <c r="AQ30" s="1" t="s">
        <v>4688</v>
      </c>
      <c r="AR30" s="1">
        <v>9.0</v>
      </c>
      <c r="AS30" s="3"/>
      <c r="AT30" s="3"/>
      <c r="AU30" s="4" t="s">
        <v>4695</v>
      </c>
      <c r="AW30" s="3"/>
      <c r="AX30" s="3"/>
      <c r="AY30" s="3"/>
      <c r="AZ30" s="3"/>
      <c r="BA30" s="3"/>
      <c r="BB30" s="3"/>
      <c r="BC30" s="3"/>
      <c r="BD30" s="3"/>
      <c r="BE30" s="1" t="b">
        <v>1</v>
      </c>
      <c r="BF30" s="3"/>
      <c r="BG30" s="3"/>
      <c r="BH30" s="3"/>
      <c r="BI30" s="3"/>
      <c r="BJ30" s="3"/>
      <c r="BK30" s="4" t="s">
        <v>4695</v>
      </c>
    </row>
    <row r="31">
      <c r="A31" s="1" t="s">
        <v>297</v>
      </c>
      <c r="B31" s="1" t="s">
        <v>296</v>
      </c>
      <c r="C31" s="1" t="s">
        <v>296</v>
      </c>
      <c r="D31" s="1" t="s">
        <v>4696</v>
      </c>
      <c r="E31" s="1" t="s">
        <v>4946</v>
      </c>
      <c r="F31" s="1" t="s">
        <v>4947</v>
      </c>
      <c r="G31" s="3"/>
      <c r="H31" s="3"/>
      <c r="I31" s="1" t="s">
        <v>4742</v>
      </c>
      <c r="J31" s="1" t="s">
        <v>4948</v>
      </c>
      <c r="K31" s="3">
        <f>+821059239455</f>
        <v>821059239455</v>
      </c>
      <c r="L31" s="3"/>
      <c r="M31" s="3"/>
      <c r="N31" s="3"/>
      <c r="O31" s="3"/>
      <c r="P31" s="1">
        <v>1.11133823E8</v>
      </c>
      <c r="Q31" s="1" t="b">
        <v>1</v>
      </c>
      <c r="R31" s="1">
        <v>1032.0</v>
      </c>
      <c r="S31" s="1" t="s">
        <v>4752</v>
      </c>
      <c r="T31" s="3"/>
      <c r="U31" s="1" t="s">
        <v>4672</v>
      </c>
      <c r="V31" s="1" t="s">
        <v>4673</v>
      </c>
      <c r="W31" s="1" t="s">
        <v>4949</v>
      </c>
      <c r="X31" s="1" t="b">
        <v>0</v>
      </c>
      <c r="Y31" s="1" t="s">
        <v>4675</v>
      </c>
      <c r="Z31" s="1" t="s">
        <v>4950</v>
      </c>
      <c r="AB31" s="1" t="s">
        <v>4677</v>
      </c>
      <c r="AC31" s="1" t="s">
        <v>4678</v>
      </c>
      <c r="AD31" s="1" t="s">
        <v>4951</v>
      </c>
      <c r="AE31" s="1" t="s">
        <v>4952</v>
      </c>
      <c r="AF31" s="1" t="s">
        <v>4757</v>
      </c>
      <c r="AG31" s="1" t="s">
        <v>4758</v>
      </c>
      <c r="AH31" s="1">
        <v>58.0</v>
      </c>
      <c r="AI31" s="1" t="b">
        <v>0</v>
      </c>
      <c r="AJ31" s="1" t="b">
        <v>0</v>
      </c>
      <c r="AK31" s="1" t="s">
        <v>4953</v>
      </c>
      <c r="AL31" s="1" t="s">
        <v>4684</v>
      </c>
      <c r="AM31" s="1" t="s">
        <v>4685</v>
      </c>
      <c r="AN31" s="1" t="s">
        <v>4686</v>
      </c>
      <c r="AO31" s="1" t="s">
        <v>4950</v>
      </c>
      <c r="AP31" s="1" t="s">
        <v>4687</v>
      </c>
      <c r="AQ31" s="1" t="s">
        <v>4688</v>
      </c>
      <c r="AR31" s="1">
        <v>974.0</v>
      </c>
      <c r="AS31" s="3"/>
      <c r="AT31" s="3"/>
      <c r="AU31" s="4" t="s">
        <v>4695</v>
      </c>
      <c r="AW31" s="3"/>
      <c r="AX31" s="3"/>
      <c r="AY31" s="3"/>
      <c r="AZ31" s="3"/>
      <c r="BA31" s="3"/>
      <c r="BB31" s="3"/>
      <c r="BC31" s="3"/>
      <c r="BD31" s="3"/>
      <c r="BE31" s="1" t="b">
        <v>1</v>
      </c>
      <c r="BF31" s="3"/>
      <c r="BG31" s="3"/>
      <c r="BH31" s="3"/>
      <c r="BI31" s="3"/>
      <c r="BJ31" s="3"/>
      <c r="BK31" s="4" t="s">
        <v>4689</v>
      </c>
    </row>
    <row r="32">
      <c r="A32" s="1" t="s">
        <v>984</v>
      </c>
      <c r="B32" s="1" t="s">
        <v>983</v>
      </c>
      <c r="C32" s="1" t="s">
        <v>983</v>
      </c>
      <c r="D32" s="1" t="s">
        <v>4696</v>
      </c>
      <c r="E32" s="1" t="s">
        <v>4954</v>
      </c>
      <c r="F32" s="1" t="s">
        <v>4955</v>
      </c>
      <c r="G32" s="3"/>
      <c r="H32" s="1" t="s">
        <v>3850</v>
      </c>
      <c r="I32" s="1" t="s">
        <v>4742</v>
      </c>
      <c r="J32" s="1" t="s">
        <v>4956</v>
      </c>
      <c r="K32" s="3">
        <f>+821088791466</f>
        <v>821088791466</v>
      </c>
      <c r="L32" s="3"/>
      <c r="M32" s="3"/>
      <c r="N32" s="3"/>
      <c r="O32" s="3"/>
      <c r="P32" s="1">
        <v>2.085963213E9</v>
      </c>
      <c r="Q32" s="1" t="b">
        <v>1</v>
      </c>
      <c r="R32" s="1">
        <v>113.0</v>
      </c>
      <c r="S32" s="1" t="s">
        <v>4701</v>
      </c>
      <c r="T32" s="3"/>
      <c r="U32" s="1" t="s">
        <v>4672</v>
      </c>
      <c r="V32" s="1" t="s">
        <v>4673</v>
      </c>
      <c r="W32" s="1" t="s">
        <v>4957</v>
      </c>
      <c r="X32" s="1" t="b">
        <v>0</v>
      </c>
      <c r="Y32" s="1" t="s">
        <v>4675</v>
      </c>
      <c r="Z32" s="1" t="s">
        <v>4958</v>
      </c>
      <c r="AB32" s="3"/>
      <c r="AC32" s="3"/>
      <c r="AD32" s="3"/>
      <c r="AE32" s="3"/>
      <c r="AF32" s="3"/>
      <c r="AG32" s="3"/>
      <c r="AH32" s="3"/>
      <c r="AI32" s="1" t="b">
        <v>0</v>
      </c>
      <c r="AJ32" s="1" t="b">
        <v>0</v>
      </c>
      <c r="AK32" s="1" t="s">
        <v>4959</v>
      </c>
      <c r="AL32" s="1" t="s">
        <v>4719</v>
      </c>
      <c r="AM32" s="1" t="s">
        <v>4685</v>
      </c>
      <c r="AN32" s="1" t="s">
        <v>4686</v>
      </c>
      <c r="AO32" s="1" t="s">
        <v>4958</v>
      </c>
      <c r="AP32" s="1" t="s">
        <v>4687</v>
      </c>
      <c r="AQ32" s="1" t="s">
        <v>4688</v>
      </c>
      <c r="AR32" s="1">
        <v>113.0</v>
      </c>
      <c r="AS32" s="3"/>
      <c r="AT32" s="3"/>
      <c r="AU32" s="4" t="s">
        <v>4695</v>
      </c>
      <c r="AV32" s="1" t="s">
        <v>4690</v>
      </c>
      <c r="AW32" s="1" t="s">
        <v>4691</v>
      </c>
      <c r="AX32" s="1" t="s">
        <v>4692</v>
      </c>
      <c r="AY32" s="1" t="s">
        <v>4693</v>
      </c>
      <c r="AZ32" s="1" t="s">
        <v>4694</v>
      </c>
      <c r="BA32" s="3"/>
      <c r="BB32" s="3"/>
      <c r="BC32" s="3"/>
      <c r="BD32" s="3"/>
      <c r="BE32" s="1" t="b">
        <v>1</v>
      </c>
      <c r="BF32" s="1" t="s">
        <v>4693</v>
      </c>
      <c r="BG32" s="1" t="s">
        <v>4692</v>
      </c>
      <c r="BH32" s="1" t="s">
        <v>4690</v>
      </c>
      <c r="BI32" s="1" t="s">
        <v>4691</v>
      </c>
      <c r="BJ32" s="1" t="s">
        <v>4694</v>
      </c>
      <c r="BK32" s="4" t="s">
        <v>4695</v>
      </c>
      <c r="BL32" s="1" t="s">
        <v>4723</v>
      </c>
    </row>
    <row r="33">
      <c r="A33" s="1" t="s">
        <v>721</v>
      </c>
      <c r="B33" s="1" t="s">
        <v>720</v>
      </c>
      <c r="C33" s="3"/>
      <c r="D33" s="3"/>
      <c r="E33" s="3"/>
      <c r="F33" s="3"/>
      <c r="G33" s="3"/>
      <c r="H33" s="3"/>
      <c r="I33" s="3"/>
      <c r="J33" s="3"/>
      <c r="K33" s="3"/>
      <c r="L33" s="3"/>
      <c r="M33" s="3"/>
      <c r="N33" s="3"/>
      <c r="O33" s="3"/>
      <c r="P33" s="1" t="s">
        <v>4960</v>
      </c>
      <c r="Q33" s="1" t="b">
        <v>0</v>
      </c>
      <c r="R33" s="1">
        <v>1.0</v>
      </c>
      <c r="S33" s="1" t="s">
        <v>4961</v>
      </c>
      <c r="T33" s="3"/>
      <c r="U33" s="1" t="s">
        <v>4672</v>
      </c>
      <c r="V33" s="1" t="s">
        <v>4673</v>
      </c>
      <c r="W33" s="1" t="s">
        <v>4962</v>
      </c>
      <c r="X33" s="1" t="b">
        <v>0</v>
      </c>
      <c r="Y33" s="1" t="s">
        <v>4675</v>
      </c>
      <c r="Z33" s="1" t="s">
        <v>4962</v>
      </c>
      <c r="AB33" s="3"/>
      <c r="AC33" s="3"/>
      <c r="AD33" s="3"/>
      <c r="AE33" s="3"/>
      <c r="AF33" s="3"/>
      <c r="AG33" s="3"/>
      <c r="AH33" s="3"/>
      <c r="AI33" s="1" t="b">
        <v>0</v>
      </c>
      <c r="AJ33" s="1" t="b">
        <v>0</v>
      </c>
      <c r="AK33" s="1" t="s">
        <v>4962</v>
      </c>
      <c r="AL33" s="1" t="s">
        <v>4963</v>
      </c>
      <c r="AM33" s="1" t="s">
        <v>4964</v>
      </c>
      <c r="AN33" s="1" t="s">
        <v>4965</v>
      </c>
      <c r="AO33" s="1" t="s">
        <v>4962</v>
      </c>
      <c r="AP33" s="1" t="s">
        <v>4796</v>
      </c>
      <c r="AQ33" s="1" t="s">
        <v>4758</v>
      </c>
      <c r="AR33" s="1">
        <v>1.0</v>
      </c>
      <c r="AS33" s="3"/>
      <c r="AT33" s="3"/>
      <c r="AU33" s="3"/>
      <c r="AV33" s="3"/>
      <c r="AW33" s="3"/>
      <c r="AX33" s="3"/>
      <c r="AY33" s="3"/>
      <c r="AZ33" s="3"/>
      <c r="BA33" s="3"/>
      <c r="BB33" s="3"/>
      <c r="BC33" s="3"/>
      <c r="BD33" s="3"/>
      <c r="BE33" s="1" t="b">
        <v>1</v>
      </c>
      <c r="BF33" s="3"/>
      <c r="BG33" s="3"/>
      <c r="BH33" s="3"/>
      <c r="BI33" s="3"/>
      <c r="BJ33" s="3"/>
      <c r="BK33" s="3"/>
      <c r="BL33" s="3"/>
    </row>
    <row r="34">
      <c r="A34" s="1" t="s">
        <v>1511</v>
      </c>
      <c r="B34" s="1" t="s">
        <v>1508</v>
      </c>
      <c r="C34" s="1" t="s">
        <v>1508</v>
      </c>
      <c r="D34" s="3"/>
      <c r="E34" s="3"/>
      <c r="F34" s="3"/>
      <c r="G34" s="3"/>
      <c r="H34" s="3"/>
      <c r="I34" s="1" t="s">
        <v>4669</v>
      </c>
      <c r="J34" s="1" t="s">
        <v>4727</v>
      </c>
      <c r="K34" s="3">
        <f>+821058510346</f>
        <v>821058510346</v>
      </c>
      <c r="L34" s="3"/>
      <c r="M34" s="3"/>
      <c r="N34" s="3"/>
      <c r="O34" s="3"/>
      <c r="P34" s="1" t="s">
        <v>4966</v>
      </c>
      <c r="Q34" s="1" t="b">
        <v>0</v>
      </c>
      <c r="R34" s="1">
        <v>7.0</v>
      </c>
      <c r="S34" s="1" t="s">
        <v>4752</v>
      </c>
      <c r="T34" s="3"/>
      <c r="U34" s="1" t="s">
        <v>4672</v>
      </c>
      <c r="V34" s="1" t="s">
        <v>4673</v>
      </c>
      <c r="W34" s="1" t="s">
        <v>4967</v>
      </c>
      <c r="X34" s="1" t="b">
        <v>0</v>
      </c>
      <c r="Y34" s="1" t="s">
        <v>4675</v>
      </c>
      <c r="Z34" s="1" t="s">
        <v>4968</v>
      </c>
      <c r="AB34" s="3"/>
      <c r="AC34" s="3"/>
      <c r="AD34" s="3"/>
      <c r="AE34" s="3"/>
      <c r="AF34" s="3"/>
      <c r="AG34" s="3"/>
      <c r="AH34" s="3"/>
      <c r="AI34" s="1" t="b">
        <v>0</v>
      </c>
      <c r="AJ34" s="1" t="b">
        <v>0</v>
      </c>
      <c r="AK34" s="1" t="s">
        <v>4969</v>
      </c>
      <c r="AL34" s="1" t="s">
        <v>4963</v>
      </c>
      <c r="AM34" s="1" t="s">
        <v>4964</v>
      </c>
      <c r="AN34" s="1" t="s">
        <v>4965</v>
      </c>
      <c r="AO34" s="1" t="s">
        <v>4968</v>
      </c>
      <c r="AP34" s="1" t="s">
        <v>4796</v>
      </c>
      <c r="AQ34" s="1" t="s">
        <v>4758</v>
      </c>
      <c r="AR34" s="1">
        <v>7.0</v>
      </c>
      <c r="AS34" s="3"/>
      <c r="AT34" s="3"/>
      <c r="AU34" s="4" t="s">
        <v>4970</v>
      </c>
      <c r="AV34" s="1" t="s">
        <v>4788</v>
      </c>
      <c r="AW34" s="1" t="s">
        <v>4971</v>
      </c>
      <c r="AX34" s="1" t="s">
        <v>4692</v>
      </c>
      <c r="AY34" s="1" t="s">
        <v>4790</v>
      </c>
      <c r="AZ34" s="1" t="s">
        <v>4791</v>
      </c>
      <c r="BA34" s="3"/>
      <c r="BB34" s="3"/>
      <c r="BC34" s="3"/>
      <c r="BD34" s="3"/>
      <c r="BE34" s="1" t="b">
        <v>1</v>
      </c>
      <c r="BF34" s="1" t="s">
        <v>4790</v>
      </c>
      <c r="BG34" s="1" t="s">
        <v>4692</v>
      </c>
      <c r="BH34" s="1" t="s">
        <v>4788</v>
      </c>
      <c r="BI34" s="1" t="s">
        <v>4971</v>
      </c>
      <c r="BJ34" s="1" t="s">
        <v>4791</v>
      </c>
      <c r="BK34" s="4" t="s">
        <v>4970</v>
      </c>
    </row>
    <row r="35">
      <c r="A35" s="1" t="s">
        <v>1262</v>
      </c>
      <c r="B35" s="1" t="s">
        <v>1261</v>
      </c>
      <c r="C35" s="3"/>
      <c r="D35" s="3"/>
      <c r="E35" s="3"/>
      <c r="F35" s="3"/>
      <c r="G35" s="3"/>
      <c r="H35" s="3"/>
      <c r="I35" s="3"/>
      <c r="J35" s="3"/>
      <c r="K35" s="3"/>
      <c r="L35" s="3"/>
      <c r="M35" s="3"/>
      <c r="N35" s="3"/>
      <c r="O35" s="3"/>
      <c r="P35" s="1" t="s">
        <v>4972</v>
      </c>
      <c r="Q35" s="1" t="b">
        <v>0</v>
      </c>
      <c r="R35" s="1">
        <v>1.0</v>
      </c>
      <c r="S35" s="1" t="s">
        <v>4973</v>
      </c>
      <c r="U35" s="1" t="s">
        <v>4672</v>
      </c>
      <c r="V35" s="1" t="s">
        <v>4673</v>
      </c>
      <c r="W35" s="1" t="s">
        <v>4974</v>
      </c>
      <c r="X35" s="1" t="b">
        <v>0</v>
      </c>
      <c r="Y35" s="1" t="s">
        <v>4675</v>
      </c>
      <c r="Z35" s="1" t="s">
        <v>4975</v>
      </c>
      <c r="AB35" s="3"/>
      <c r="AC35" s="3"/>
      <c r="AD35" s="3"/>
      <c r="AE35" s="3"/>
      <c r="AF35" s="3"/>
      <c r="AG35" s="3"/>
      <c r="AH35" s="3"/>
      <c r="AI35" s="1" t="b">
        <v>0</v>
      </c>
      <c r="AJ35" s="1" t="b">
        <v>0</v>
      </c>
      <c r="AK35" s="1" t="s">
        <v>4974</v>
      </c>
      <c r="AL35" s="1" t="s">
        <v>4719</v>
      </c>
      <c r="AM35" s="1" t="s">
        <v>4685</v>
      </c>
      <c r="AN35" s="1" t="s">
        <v>4686</v>
      </c>
      <c r="AO35" s="1" t="s">
        <v>4975</v>
      </c>
      <c r="AP35" s="1" t="s">
        <v>4687</v>
      </c>
      <c r="AQ35" s="1" t="s">
        <v>4688</v>
      </c>
      <c r="AR35" s="1">
        <v>1.0</v>
      </c>
      <c r="AS35" s="3"/>
      <c r="AT35" s="3"/>
      <c r="AU35" s="4" t="s">
        <v>4976</v>
      </c>
      <c r="AV35" s="3"/>
      <c r="AW35" s="3"/>
      <c r="AX35" s="3"/>
      <c r="AY35" s="3"/>
      <c r="AZ35" s="3"/>
      <c r="BA35" s="3"/>
      <c r="BB35" s="3"/>
      <c r="BC35" s="3"/>
      <c r="BD35" s="3"/>
      <c r="BE35" s="1" t="b">
        <v>1</v>
      </c>
      <c r="BF35" s="3"/>
      <c r="BG35" s="3"/>
      <c r="BH35" s="3"/>
      <c r="BI35" s="3"/>
      <c r="BJ35" s="3"/>
      <c r="BK35" s="4" t="s">
        <v>4976</v>
      </c>
      <c r="BL35" s="3"/>
    </row>
    <row r="36">
      <c r="A36" s="1" t="s">
        <v>938</v>
      </c>
      <c r="B36" s="1" t="s">
        <v>936</v>
      </c>
      <c r="C36" s="1" t="s">
        <v>936</v>
      </c>
      <c r="D36" s="1" t="s">
        <v>4977</v>
      </c>
      <c r="E36" s="1" t="s">
        <v>4978</v>
      </c>
      <c r="F36" s="1" t="s">
        <v>4979</v>
      </c>
      <c r="G36" s="3"/>
      <c r="H36" s="3"/>
      <c r="I36" s="3"/>
      <c r="J36" s="1" t="s">
        <v>4980</v>
      </c>
      <c r="K36" s="3">
        <f>+821099056570</f>
        <v>821099056570</v>
      </c>
      <c r="L36" s="3"/>
      <c r="M36" s="3"/>
      <c r="N36" s="3"/>
      <c r="O36" s="3"/>
      <c r="P36" s="1">
        <v>2.085884975E9</v>
      </c>
      <c r="Q36" s="1" t="b">
        <v>1</v>
      </c>
      <c r="R36" s="1">
        <v>2.0</v>
      </c>
      <c r="S36" s="1" t="s">
        <v>4752</v>
      </c>
      <c r="T36" s="3"/>
      <c r="U36" s="1" t="s">
        <v>4672</v>
      </c>
      <c r="V36" s="1" t="s">
        <v>4673</v>
      </c>
      <c r="W36" s="1" t="s">
        <v>4981</v>
      </c>
      <c r="X36" s="1" t="b">
        <v>0</v>
      </c>
      <c r="Y36" s="1" t="s">
        <v>4675</v>
      </c>
      <c r="Z36" s="1" t="s">
        <v>4982</v>
      </c>
      <c r="AB36" s="3"/>
      <c r="AC36" s="3"/>
      <c r="AD36" s="3"/>
      <c r="AE36" s="3"/>
      <c r="AF36" s="3"/>
      <c r="AG36" s="3"/>
      <c r="AH36" s="3"/>
      <c r="AI36" s="1" t="b">
        <v>0</v>
      </c>
      <c r="AJ36" s="1" t="b">
        <v>0</v>
      </c>
      <c r="AK36" s="1" t="s">
        <v>4983</v>
      </c>
      <c r="AL36" s="1" t="s">
        <v>4984</v>
      </c>
      <c r="AM36" s="1" t="s">
        <v>4685</v>
      </c>
      <c r="AN36" s="1" t="s">
        <v>4686</v>
      </c>
      <c r="AO36" s="1" t="s">
        <v>4985</v>
      </c>
      <c r="AP36" s="1" t="s">
        <v>4687</v>
      </c>
      <c r="AQ36" s="1" t="s">
        <v>4688</v>
      </c>
      <c r="AR36" s="1">
        <v>2.0</v>
      </c>
      <c r="AS36" s="3"/>
      <c r="AT36" s="3"/>
      <c r="AU36" s="4" t="s">
        <v>4695</v>
      </c>
      <c r="AW36" s="3"/>
      <c r="AX36" s="3"/>
      <c r="AY36" s="3"/>
      <c r="AZ36" s="3"/>
      <c r="BA36" s="3"/>
      <c r="BB36" s="3"/>
      <c r="BC36" s="3"/>
      <c r="BD36" s="3"/>
      <c r="BE36" s="1" t="b">
        <v>1</v>
      </c>
      <c r="BF36" s="3"/>
      <c r="BG36" s="3"/>
      <c r="BH36" s="3"/>
      <c r="BI36" s="3"/>
      <c r="BJ36" s="3"/>
      <c r="BK36" s="4" t="s">
        <v>4695</v>
      </c>
      <c r="BL36" s="1" t="s">
        <v>4723</v>
      </c>
    </row>
    <row r="37">
      <c r="A37" s="1" t="s">
        <v>533</v>
      </c>
      <c r="B37" s="1" t="s">
        <v>532</v>
      </c>
      <c r="C37" s="1" t="s">
        <v>532</v>
      </c>
      <c r="D37" s="1" t="s">
        <v>4922</v>
      </c>
      <c r="E37" s="1" t="s">
        <v>4986</v>
      </c>
      <c r="F37" s="1" t="s">
        <v>4987</v>
      </c>
      <c r="G37" s="3"/>
      <c r="H37" s="3"/>
      <c r="I37" s="3"/>
      <c r="J37" s="1" t="s">
        <v>4988</v>
      </c>
      <c r="K37" s="3">
        <f>+821091817788</f>
        <v>821091817788</v>
      </c>
      <c r="L37" s="3"/>
      <c r="M37" s="3"/>
      <c r="N37" s="3"/>
      <c r="O37" s="3"/>
      <c r="P37" s="1">
        <v>1.22956858E8</v>
      </c>
      <c r="Q37" s="1" t="b">
        <v>1</v>
      </c>
      <c r="R37" s="1">
        <v>8.0</v>
      </c>
      <c r="S37" s="1" t="s">
        <v>4744</v>
      </c>
      <c r="T37" s="3"/>
      <c r="U37" s="1" t="s">
        <v>4672</v>
      </c>
      <c r="V37" s="1" t="s">
        <v>4673</v>
      </c>
      <c r="W37" s="1" t="s">
        <v>4989</v>
      </c>
      <c r="X37" s="1" t="b">
        <v>0</v>
      </c>
      <c r="Y37" s="1" t="s">
        <v>4675</v>
      </c>
      <c r="Z37" s="1" t="s">
        <v>4990</v>
      </c>
      <c r="AB37" s="3"/>
      <c r="AC37" s="3"/>
      <c r="AD37" s="3"/>
      <c r="AE37" s="3"/>
      <c r="AF37" s="3"/>
      <c r="AG37" s="3"/>
      <c r="AH37" s="3"/>
      <c r="AI37" s="1" t="b">
        <v>0</v>
      </c>
      <c r="AJ37" s="1" t="b">
        <v>0</v>
      </c>
      <c r="AK37" s="1" t="s">
        <v>4991</v>
      </c>
      <c r="AL37" s="1" t="s">
        <v>4719</v>
      </c>
      <c r="AM37" s="1" t="s">
        <v>4685</v>
      </c>
      <c r="AN37" s="1" t="s">
        <v>4686</v>
      </c>
      <c r="AO37" s="1" t="s">
        <v>4990</v>
      </c>
      <c r="AP37" s="1" t="s">
        <v>4687</v>
      </c>
      <c r="AQ37" s="1" t="s">
        <v>4688</v>
      </c>
      <c r="AR37" s="1">
        <v>8.0</v>
      </c>
      <c r="AS37" s="3"/>
      <c r="AT37" s="3"/>
      <c r="AU37" s="4" t="s">
        <v>4780</v>
      </c>
      <c r="AV37" s="1" t="s">
        <v>4788</v>
      </c>
      <c r="AW37" s="1" t="s">
        <v>4789</v>
      </c>
      <c r="AX37" s="1" t="s">
        <v>4692</v>
      </c>
      <c r="AY37" s="1" t="s">
        <v>4790</v>
      </c>
      <c r="AZ37" s="1" t="s">
        <v>4791</v>
      </c>
      <c r="BA37" s="3"/>
      <c r="BB37" s="3"/>
      <c r="BC37" s="3"/>
      <c r="BD37" s="3"/>
      <c r="BE37" s="1" t="b">
        <v>1</v>
      </c>
      <c r="BF37" s="1" t="s">
        <v>4790</v>
      </c>
      <c r="BG37" s="1" t="s">
        <v>4692</v>
      </c>
      <c r="BH37" s="1" t="s">
        <v>4788</v>
      </c>
      <c r="BI37" s="1" t="s">
        <v>4789</v>
      </c>
      <c r="BJ37" s="1" t="s">
        <v>4791</v>
      </c>
      <c r="BK37" s="4" t="s">
        <v>4780</v>
      </c>
    </row>
    <row r="38">
      <c r="A38" s="1" t="s">
        <v>1448</v>
      </c>
      <c r="B38" s="1" t="s">
        <v>1447</v>
      </c>
      <c r="C38" s="1" t="s">
        <v>1447</v>
      </c>
      <c r="D38" s="1" t="s">
        <v>4696</v>
      </c>
      <c r="E38" s="1" t="s">
        <v>4992</v>
      </c>
      <c r="F38" s="1" t="s">
        <v>4993</v>
      </c>
      <c r="G38" s="3"/>
      <c r="H38" s="3"/>
      <c r="I38" s="1" t="s">
        <v>4994</v>
      </c>
      <c r="J38" s="1" t="s">
        <v>4995</v>
      </c>
      <c r="K38" s="3">
        <f>+821032892575</f>
        <v>821032892575</v>
      </c>
      <c r="L38" s="3"/>
      <c r="M38" s="3"/>
      <c r="N38" s="3"/>
      <c r="O38" s="3"/>
      <c r="P38" s="1">
        <v>1.11387061E8</v>
      </c>
      <c r="Q38" s="1" t="b">
        <v>1</v>
      </c>
      <c r="R38" s="1">
        <v>539.0</v>
      </c>
      <c r="S38" s="1" t="s">
        <v>4752</v>
      </c>
      <c r="T38" s="3"/>
      <c r="U38" s="1" t="s">
        <v>4672</v>
      </c>
      <c r="V38" s="1" t="s">
        <v>4673</v>
      </c>
      <c r="W38" s="1" t="s">
        <v>4996</v>
      </c>
      <c r="X38" s="1" t="b">
        <v>0</v>
      </c>
      <c r="Y38" s="1" t="s">
        <v>4675</v>
      </c>
      <c r="Z38" s="1" t="s">
        <v>4997</v>
      </c>
      <c r="AB38" s="1" t="s">
        <v>4677</v>
      </c>
      <c r="AC38" s="1" t="s">
        <v>4678</v>
      </c>
      <c r="AD38" s="1" t="s">
        <v>4679</v>
      </c>
      <c r="AE38" s="1" t="s">
        <v>4998</v>
      </c>
      <c r="AF38" s="1" t="s">
        <v>4681</v>
      </c>
      <c r="AG38" s="1" t="s">
        <v>4682</v>
      </c>
      <c r="AH38" s="1">
        <v>42.0</v>
      </c>
      <c r="AI38" s="1" t="b">
        <v>0</v>
      </c>
      <c r="AJ38" s="1" t="b">
        <v>0</v>
      </c>
      <c r="AK38" s="1" t="s">
        <v>4999</v>
      </c>
      <c r="AL38" s="1" t="s">
        <v>4684</v>
      </c>
      <c r="AM38" s="1" t="s">
        <v>4685</v>
      </c>
      <c r="AN38" s="1" t="s">
        <v>4686</v>
      </c>
      <c r="AO38" s="1" t="s">
        <v>4997</v>
      </c>
      <c r="AP38" s="1" t="s">
        <v>4687</v>
      </c>
      <c r="AQ38" s="1" t="s">
        <v>4688</v>
      </c>
      <c r="AR38" s="1">
        <v>497.0</v>
      </c>
      <c r="AS38" s="3"/>
      <c r="AT38" s="3"/>
      <c r="AU38" s="4" t="s">
        <v>4695</v>
      </c>
      <c r="AW38" s="3"/>
      <c r="AX38" s="3"/>
      <c r="AY38" s="3"/>
      <c r="AZ38" s="3"/>
      <c r="BA38" s="3"/>
      <c r="BB38" s="3"/>
      <c r="BC38" s="3"/>
      <c r="BD38" s="3"/>
      <c r="BE38" s="1" t="b">
        <v>1</v>
      </c>
      <c r="BF38" s="3"/>
      <c r="BG38" s="3"/>
      <c r="BH38" s="3"/>
      <c r="BI38" s="3"/>
      <c r="BJ38" s="3"/>
      <c r="BK38" s="4" t="s">
        <v>4771</v>
      </c>
    </row>
    <row r="39">
      <c r="A39" s="1" t="s">
        <v>1050</v>
      </c>
      <c r="B39" s="1" t="s">
        <v>1049</v>
      </c>
      <c r="C39" s="1" t="s">
        <v>1049</v>
      </c>
      <c r="D39" s="1" t="s">
        <v>5000</v>
      </c>
      <c r="E39" s="1" t="s">
        <v>5001</v>
      </c>
      <c r="F39" s="1" t="s">
        <v>5002</v>
      </c>
      <c r="G39" s="3"/>
      <c r="H39" s="3"/>
      <c r="I39" s="1" t="s">
        <v>4742</v>
      </c>
      <c r="J39" s="1" t="s">
        <v>5003</v>
      </c>
      <c r="L39" s="3"/>
      <c r="M39" s="3"/>
      <c r="N39" s="3"/>
      <c r="O39" s="3"/>
      <c r="P39" s="1">
        <v>1.11136721E8</v>
      </c>
      <c r="Q39" s="1" t="b">
        <v>1</v>
      </c>
      <c r="R39" s="1">
        <v>476.0</v>
      </c>
      <c r="S39" s="1" t="s">
        <v>4752</v>
      </c>
      <c r="T39" s="3"/>
      <c r="U39" s="1" t="s">
        <v>4672</v>
      </c>
      <c r="V39" s="1" t="s">
        <v>4673</v>
      </c>
      <c r="W39" s="1" t="s">
        <v>5004</v>
      </c>
      <c r="X39" s="1" t="b">
        <v>0</v>
      </c>
      <c r="Y39" s="1" t="s">
        <v>4675</v>
      </c>
      <c r="Z39" s="1" t="s">
        <v>5005</v>
      </c>
      <c r="AB39" s="1" t="s">
        <v>4677</v>
      </c>
      <c r="AC39" s="1" t="s">
        <v>4678</v>
      </c>
      <c r="AD39" s="1" t="s">
        <v>5006</v>
      </c>
      <c r="AE39" s="1" t="s">
        <v>5007</v>
      </c>
      <c r="AF39" s="1" t="s">
        <v>4757</v>
      </c>
      <c r="AG39" s="1" t="s">
        <v>4758</v>
      </c>
      <c r="AH39" s="1">
        <v>6.0</v>
      </c>
      <c r="AI39" s="1" t="b">
        <v>0</v>
      </c>
      <c r="AJ39" s="1" t="b">
        <v>0</v>
      </c>
      <c r="AK39" s="1" t="s">
        <v>5008</v>
      </c>
      <c r="AL39" s="1" t="s">
        <v>4719</v>
      </c>
      <c r="AM39" s="1" t="s">
        <v>4685</v>
      </c>
      <c r="AN39" s="1" t="s">
        <v>4686</v>
      </c>
      <c r="AO39" s="1" t="s">
        <v>5005</v>
      </c>
      <c r="AP39" s="1" t="s">
        <v>4687</v>
      </c>
      <c r="AQ39" s="1" t="s">
        <v>4688</v>
      </c>
      <c r="AR39" s="1">
        <v>470.0</v>
      </c>
      <c r="AS39" s="3"/>
      <c r="AT39" s="3"/>
      <c r="AU39" s="4" t="s">
        <v>5009</v>
      </c>
      <c r="AV39" s="3"/>
      <c r="AW39" s="3"/>
      <c r="AX39" s="3"/>
      <c r="AY39" s="3"/>
      <c r="AZ39" s="3"/>
      <c r="BA39" s="3"/>
      <c r="BB39" s="3"/>
      <c r="BC39" s="3"/>
      <c r="BD39" s="3"/>
      <c r="BE39" s="1" t="b">
        <v>1</v>
      </c>
      <c r="BF39" s="3"/>
      <c r="BG39" s="3"/>
      <c r="BH39" s="3"/>
      <c r="BI39" s="3"/>
      <c r="BJ39" s="3"/>
      <c r="BK39" s="4" t="s">
        <v>4780</v>
      </c>
    </row>
    <row r="40">
      <c r="A40" s="1" t="s">
        <v>1971</v>
      </c>
      <c r="B40" s="1" t="s">
        <v>1970</v>
      </c>
      <c r="C40" s="1" t="s">
        <v>1970</v>
      </c>
      <c r="D40" s="1" t="s">
        <v>4922</v>
      </c>
      <c r="E40" s="1" t="s">
        <v>5010</v>
      </c>
      <c r="F40" s="1" t="s">
        <v>5011</v>
      </c>
      <c r="G40" s="3"/>
      <c r="H40" s="3"/>
      <c r="I40" s="1" t="s">
        <v>5012</v>
      </c>
      <c r="J40" s="1" t="s">
        <v>5013</v>
      </c>
      <c r="K40" s="3">
        <f>+821073524708</f>
        <v>821073524708</v>
      </c>
      <c r="L40" s="3"/>
      <c r="M40" s="3"/>
      <c r="N40" s="3"/>
      <c r="O40" s="3"/>
      <c r="P40" s="1">
        <v>1.12562359E8</v>
      </c>
      <c r="Q40" s="1" t="b">
        <v>1</v>
      </c>
      <c r="R40" s="1">
        <v>25.0</v>
      </c>
      <c r="S40" s="1" t="s">
        <v>5014</v>
      </c>
      <c r="T40" s="3"/>
      <c r="U40" s="1" t="s">
        <v>4672</v>
      </c>
      <c r="V40" s="1" t="s">
        <v>4673</v>
      </c>
      <c r="W40" s="1" t="s">
        <v>5015</v>
      </c>
      <c r="X40" s="1" t="b">
        <v>0</v>
      </c>
      <c r="Y40" s="1" t="s">
        <v>4675</v>
      </c>
      <c r="Z40" s="1" t="s">
        <v>5016</v>
      </c>
      <c r="AB40" s="3"/>
      <c r="AC40" s="3"/>
      <c r="AD40" s="3"/>
      <c r="AE40" s="3"/>
      <c r="AF40" s="3"/>
      <c r="AG40" s="3"/>
      <c r="AH40" s="3"/>
      <c r="AI40" s="1" t="b">
        <v>0</v>
      </c>
      <c r="AJ40" s="1" t="b">
        <v>0</v>
      </c>
      <c r="AK40" s="1" t="s">
        <v>5017</v>
      </c>
      <c r="AL40" s="1" t="s">
        <v>4719</v>
      </c>
      <c r="AM40" s="1" t="s">
        <v>4685</v>
      </c>
      <c r="AN40" s="1" t="s">
        <v>4686</v>
      </c>
      <c r="AO40" s="1" t="s">
        <v>5016</v>
      </c>
      <c r="AP40" s="1" t="s">
        <v>4687</v>
      </c>
      <c r="AQ40" s="1" t="s">
        <v>4688</v>
      </c>
      <c r="AR40" s="1">
        <v>25.0</v>
      </c>
      <c r="AS40" s="3"/>
      <c r="AT40" s="3"/>
      <c r="AU40" s="4" t="s">
        <v>4771</v>
      </c>
      <c r="AW40" s="3"/>
      <c r="AX40" s="3"/>
      <c r="AY40" s="3"/>
      <c r="AZ40" s="3"/>
      <c r="BA40" s="3"/>
      <c r="BB40" s="3"/>
      <c r="BC40" s="3"/>
      <c r="BD40" s="3"/>
      <c r="BE40" s="1" t="b">
        <v>1</v>
      </c>
      <c r="BF40" s="3"/>
      <c r="BG40" s="3"/>
      <c r="BH40" s="3"/>
      <c r="BI40" s="3"/>
      <c r="BJ40" s="3"/>
      <c r="BK40" s="4" t="s">
        <v>4695</v>
      </c>
    </row>
    <row r="41">
      <c r="A41" s="1" t="s">
        <v>639</v>
      </c>
      <c r="B41" s="1" t="s">
        <v>638</v>
      </c>
      <c r="C41" s="1" t="s">
        <v>638</v>
      </c>
      <c r="D41" s="1" t="s">
        <v>4696</v>
      </c>
      <c r="E41" s="1" t="s">
        <v>5018</v>
      </c>
      <c r="F41" s="1" t="s">
        <v>5019</v>
      </c>
      <c r="G41" s="3"/>
      <c r="H41" s="3"/>
      <c r="I41" s="1" t="s">
        <v>4742</v>
      </c>
      <c r="J41" s="1" t="s">
        <v>5020</v>
      </c>
      <c r="K41" s="3"/>
      <c r="L41" s="3"/>
      <c r="M41" s="3"/>
      <c r="N41" s="3"/>
      <c r="O41" s="3"/>
      <c r="P41" s="1">
        <v>1.12247633E8</v>
      </c>
      <c r="Q41" s="1" t="b">
        <v>1</v>
      </c>
      <c r="R41" s="1">
        <v>189.0</v>
      </c>
      <c r="S41" s="1" t="s">
        <v>4752</v>
      </c>
      <c r="T41" s="3"/>
      <c r="U41" s="1" t="s">
        <v>4672</v>
      </c>
      <c r="V41" s="1" t="s">
        <v>4673</v>
      </c>
      <c r="W41" s="1" t="s">
        <v>5021</v>
      </c>
      <c r="X41" s="1" t="b">
        <v>0</v>
      </c>
      <c r="Y41" s="1" t="s">
        <v>4675</v>
      </c>
      <c r="Z41" s="1" t="s">
        <v>5022</v>
      </c>
      <c r="AB41" s="1" t="s">
        <v>4677</v>
      </c>
      <c r="AC41" s="1" t="s">
        <v>4678</v>
      </c>
      <c r="AD41" s="1" t="s">
        <v>4679</v>
      </c>
      <c r="AE41" s="1" t="s">
        <v>5023</v>
      </c>
      <c r="AF41" s="1" t="s">
        <v>4681</v>
      </c>
      <c r="AG41" s="1" t="s">
        <v>4682</v>
      </c>
      <c r="AH41" s="1">
        <v>8.0</v>
      </c>
      <c r="AI41" s="1" t="b">
        <v>0</v>
      </c>
      <c r="AJ41" s="1" t="b">
        <v>0</v>
      </c>
      <c r="AK41" s="1" t="s">
        <v>5022</v>
      </c>
      <c r="AL41" s="1" t="s">
        <v>4684</v>
      </c>
      <c r="AM41" s="1" t="s">
        <v>4685</v>
      </c>
      <c r="AN41" s="1" t="s">
        <v>4686</v>
      </c>
      <c r="AO41" s="1" t="s">
        <v>5022</v>
      </c>
      <c r="AP41" s="1" t="s">
        <v>4687</v>
      </c>
      <c r="AQ41" s="1" t="s">
        <v>4688</v>
      </c>
      <c r="AR41" s="1">
        <v>181.0</v>
      </c>
      <c r="AS41" s="3"/>
      <c r="AT41" s="3"/>
      <c r="AU41" s="4" t="s">
        <v>4695</v>
      </c>
      <c r="AW41" s="3"/>
      <c r="AX41" s="3"/>
      <c r="AY41" s="3"/>
      <c r="AZ41" s="3"/>
      <c r="BA41" s="3"/>
      <c r="BB41" s="3"/>
      <c r="BC41" s="3"/>
      <c r="BD41" s="3"/>
      <c r="BE41" s="1" t="b">
        <v>1</v>
      </c>
      <c r="BF41" s="3"/>
      <c r="BG41" s="3"/>
      <c r="BH41" s="3"/>
      <c r="BI41" s="3"/>
      <c r="BJ41" s="3"/>
      <c r="BK41" s="4" t="s">
        <v>4880</v>
      </c>
    </row>
    <row r="42">
      <c r="A42" s="1" t="s">
        <v>1054</v>
      </c>
      <c r="B42" s="1" t="s">
        <v>1053</v>
      </c>
      <c r="C42" s="1" t="s">
        <v>1053</v>
      </c>
      <c r="D42" s="1" t="s">
        <v>4858</v>
      </c>
      <c r="E42" s="1" t="s">
        <v>5024</v>
      </c>
      <c r="F42" s="1" t="s">
        <v>5025</v>
      </c>
      <c r="G42" s="3"/>
      <c r="H42" s="3"/>
      <c r="I42" s="1" t="s">
        <v>5026</v>
      </c>
      <c r="J42" s="1" t="s">
        <v>5027</v>
      </c>
      <c r="K42" s="3">
        <f>+821020648726</f>
        <v>821020648726</v>
      </c>
      <c r="L42" s="3"/>
      <c r="M42" s="3"/>
      <c r="N42" s="3"/>
      <c r="O42" s="3"/>
      <c r="P42" s="1">
        <v>1.22922814E8</v>
      </c>
      <c r="Q42" s="1" t="b">
        <v>1</v>
      </c>
      <c r="R42" s="1">
        <v>45.0</v>
      </c>
      <c r="S42" s="1" t="s">
        <v>4752</v>
      </c>
      <c r="T42" s="3"/>
      <c r="U42" s="1" t="s">
        <v>4672</v>
      </c>
      <c r="V42" s="1" t="s">
        <v>4673</v>
      </c>
      <c r="W42" s="1" t="s">
        <v>5028</v>
      </c>
      <c r="X42" s="1" t="b">
        <v>0</v>
      </c>
      <c r="Y42" s="1" t="s">
        <v>4675</v>
      </c>
      <c r="Z42" s="1" t="s">
        <v>5029</v>
      </c>
      <c r="AB42" s="1" t="s">
        <v>4677</v>
      </c>
      <c r="AC42" s="1" t="s">
        <v>4678</v>
      </c>
      <c r="AD42" s="1" t="s">
        <v>4679</v>
      </c>
      <c r="AE42" s="1" t="s">
        <v>5030</v>
      </c>
      <c r="AF42" s="1" t="s">
        <v>4681</v>
      </c>
      <c r="AG42" s="1" t="s">
        <v>4682</v>
      </c>
      <c r="AH42" s="1">
        <v>15.0</v>
      </c>
      <c r="AI42" s="1" t="b">
        <v>0</v>
      </c>
      <c r="AJ42" s="1" t="b">
        <v>0</v>
      </c>
      <c r="AK42" s="1" t="s">
        <v>5031</v>
      </c>
      <c r="AL42" s="1" t="s">
        <v>4684</v>
      </c>
      <c r="AM42" s="1" t="s">
        <v>4685</v>
      </c>
      <c r="AN42" s="1" t="s">
        <v>4686</v>
      </c>
      <c r="AO42" s="1" t="s">
        <v>5029</v>
      </c>
      <c r="AP42" s="1" t="s">
        <v>4687</v>
      </c>
      <c r="AQ42" s="1" t="s">
        <v>4688</v>
      </c>
      <c r="AR42" s="1">
        <v>30.0</v>
      </c>
      <c r="AS42" s="3"/>
      <c r="AT42" s="3"/>
      <c r="AU42" s="4" t="s">
        <v>4710</v>
      </c>
      <c r="AX42" s="3"/>
      <c r="AY42" s="3"/>
      <c r="AZ42" s="3"/>
      <c r="BA42" s="3"/>
      <c r="BB42" s="3"/>
      <c r="BC42" s="3"/>
      <c r="BD42" s="3"/>
      <c r="BE42" s="1" t="b">
        <v>1</v>
      </c>
      <c r="BF42" s="3"/>
      <c r="BG42" s="3"/>
      <c r="BH42" s="3"/>
      <c r="BI42" s="3"/>
      <c r="BJ42" s="3"/>
      <c r="BK42" s="4" t="s">
        <v>4710</v>
      </c>
    </row>
    <row r="43">
      <c r="A43" s="1" t="s">
        <v>1431</v>
      </c>
      <c r="B43" s="1" t="s">
        <v>1429</v>
      </c>
      <c r="C43" s="1" t="s">
        <v>1429</v>
      </c>
      <c r="D43" s="1" t="s">
        <v>4711</v>
      </c>
      <c r="E43" s="1" t="s">
        <v>5032</v>
      </c>
      <c r="F43" s="1" t="s">
        <v>5033</v>
      </c>
      <c r="G43" s="3"/>
      <c r="H43" s="1" t="s">
        <v>4861</v>
      </c>
      <c r="I43" s="1" t="s">
        <v>4742</v>
      </c>
      <c r="J43" s="1" t="s">
        <v>5034</v>
      </c>
      <c r="K43" s="3">
        <f>+821031708946</f>
        <v>821031708946</v>
      </c>
      <c r="L43" s="3"/>
      <c r="M43" s="3"/>
      <c r="N43" s="3"/>
      <c r="O43" s="3"/>
      <c r="P43" s="1">
        <v>2.085947233E9</v>
      </c>
      <c r="Q43" s="1" t="b">
        <v>1</v>
      </c>
      <c r="R43" s="1">
        <v>413.0</v>
      </c>
      <c r="S43" s="1" t="s">
        <v>5035</v>
      </c>
      <c r="T43" s="3"/>
      <c r="U43" s="1" t="s">
        <v>4672</v>
      </c>
      <c r="V43" s="1" t="s">
        <v>4673</v>
      </c>
      <c r="W43" s="1" t="s">
        <v>5036</v>
      </c>
      <c r="X43" s="1" t="b">
        <v>0</v>
      </c>
      <c r="Y43" s="1" t="s">
        <v>4675</v>
      </c>
      <c r="Z43" s="1" t="s">
        <v>5037</v>
      </c>
      <c r="AB43" s="3"/>
      <c r="AC43" s="3"/>
      <c r="AD43" s="3"/>
      <c r="AE43" s="3"/>
      <c r="AF43" s="3"/>
      <c r="AG43" s="3"/>
      <c r="AH43" s="3"/>
      <c r="AI43" s="1" t="b">
        <v>0</v>
      </c>
      <c r="AJ43" s="1" t="b">
        <v>0</v>
      </c>
      <c r="AK43" s="1" t="s">
        <v>5038</v>
      </c>
      <c r="AL43" s="1" t="s">
        <v>4684</v>
      </c>
      <c r="AM43" s="1" t="s">
        <v>4685</v>
      </c>
      <c r="AN43" s="1" t="s">
        <v>4686</v>
      </c>
      <c r="AO43" s="1" t="s">
        <v>5037</v>
      </c>
      <c r="AP43" s="1" t="s">
        <v>4687</v>
      </c>
      <c r="AQ43" s="1" t="s">
        <v>4688</v>
      </c>
      <c r="AR43" s="1">
        <v>413.0</v>
      </c>
      <c r="AS43" s="3"/>
      <c r="AT43" s="3"/>
      <c r="AU43" s="4" t="s">
        <v>4856</v>
      </c>
      <c r="BB43" s="3"/>
      <c r="BC43" s="3"/>
      <c r="BD43" s="3"/>
      <c r="BE43" s="1" t="b">
        <v>1</v>
      </c>
      <c r="BF43" s="3"/>
      <c r="BG43" s="3"/>
      <c r="BH43" s="3"/>
      <c r="BI43" s="3"/>
      <c r="BJ43" s="3"/>
      <c r="BK43" s="4" t="s">
        <v>5039</v>
      </c>
    </row>
    <row r="44">
      <c r="A44" s="1" t="s">
        <v>1318</v>
      </c>
      <c r="B44" s="1" t="s">
        <v>1316</v>
      </c>
      <c r="C44" s="1" t="s">
        <v>1316</v>
      </c>
      <c r="D44" s="1" t="s">
        <v>4724</v>
      </c>
      <c r="E44" s="1" t="s">
        <v>5040</v>
      </c>
      <c r="F44" s="1" t="s">
        <v>5041</v>
      </c>
      <c r="G44" s="3"/>
      <c r="H44" s="3"/>
      <c r="I44" s="3"/>
      <c r="J44" s="1" t="s">
        <v>5042</v>
      </c>
      <c r="K44" s="3">
        <f>+821034202255</f>
        <v>821034202255</v>
      </c>
      <c r="L44" s="3"/>
      <c r="M44" s="3"/>
      <c r="N44" s="3"/>
      <c r="O44" s="3"/>
      <c r="P44" s="1">
        <v>1.22953435E8</v>
      </c>
      <c r="Q44" s="1" t="b">
        <v>1</v>
      </c>
      <c r="R44" s="1">
        <v>11.0</v>
      </c>
      <c r="S44" s="1" t="s">
        <v>5043</v>
      </c>
      <c r="T44" s="3"/>
      <c r="U44" s="1" t="s">
        <v>4672</v>
      </c>
      <c r="V44" s="1" t="s">
        <v>4673</v>
      </c>
      <c r="W44" s="1" t="s">
        <v>5044</v>
      </c>
      <c r="X44" s="1" t="b">
        <v>0</v>
      </c>
      <c r="Y44" s="1" t="s">
        <v>4675</v>
      </c>
      <c r="Z44" s="1" t="s">
        <v>5045</v>
      </c>
      <c r="AB44" s="3"/>
      <c r="AC44" s="3"/>
      <c r="AD44" s="3"/>
      <c r="AE44" s="3"/>
      <c r="AF44" s="3"/>
      <c r="AG44" s="3"/>
      <c r="AH44" s="3"/>
      <c r="AI44" s="1" t="b">
        <v>0</v>
      </c>
      <c r="AJ44" s="1" t="b">
        <v>0</v>
      </c>
      <c r="AK44" s="1" t="s">
        <v>5046</v>
      </c>
      <c r="AL44" s="1" t="s">
        <v>4719</v>
      </c>
      <c r="AM44" s="1" t="s">
        <v>4685</v>
      </c>
      <c r="AN44" s="1" t="s">
        <v>4686</v>
      </c>
      <c r="AO44" s="1" t="s">
        <v>5045</v>
      </c>
      <c r="AP44" s="1" t="s">
        <v>4687</v>
      </c>
      <c r="AQ44" s="1" t="s">
        <v>4688</v>
      </c>
      <c r="AR44" s="1">
        <v>11.0</v>
      </c>
      <c r="AS44" s="3"/>
      <c r="AT44" s="3"/>
      <c r="AU44" s="4" t="s">
        <v>4780</v>
      </c>
      <c r="AV44" s="1" t="s">
        <v>4788</v>
      </c>
      <c r="AW44" s="1" t="s">
        <v>4789</v>
      </c>
      <c r="AX44" s="1" t="s">
        <v>4692</v>
      </c>
      <c r="AY44" s="1" t="s">
        <v>4790</v>
      </c>
      <c r="AZ44" s="1" t="s">
        <v>4791</v>
      </c>
      <c r="BA44" s="3"/>
      <c r="BB44" s="3"/>
      <c r="BC44" s="3"/>
      <c r="BD44" s="3"/>
      <c r="BE44" s="1" t="b">
        <v>1</v>
      </c>
      <c r="BF44" s="1" t="s">
        <v>4790</v>
      </c>
      <c r="BG44" s="1" t="s">
        <v>4692</v>
      </c>
      <c r="BH44" s="1" t="s">
        <v>4788</v>
      </c>
      <c r="BI44" s="1" t="s">
        <v>4789</v>
      </c>
      <c r="BJ44" s="1" t="s">
        <v>4791</v>
      </c>
      <c r="BK44" s="4" t="s">
        <v>4780</v>
      </c>
    </row>
    <row r="45">
      <c r="A45" s="1" t="s">
        <v>1855</v>
      </c>
      <c r="B45" s="1" t="s">
        <v>1854</v>
      </c>
      <c r="C45" s="1" t="s">
        <v>1854</v>
      </c>
      <c r="D45" s="1" t="s">
        <v>4696</v>
      </c>
      <c r="E45" s="1" t="s">
        <v>5047</v>
      </c>
      <c r="F45" s="1" t="s">
        <v>5048</v>
      </c>
      <c r="G45" s="3"/>
      <c r="H45" s="3"/>
      <c r="I45" s="1" t="s">
        <v>4742</v>
      </c>
      <c r="J45" s="1" t="s">
        <v>5049</v>
      </c>
      <c r="K45" s="3">
        <f>+821033983109</f>
        <v>821033983109</v>
      </c>
      <c r="L45" s="3"/>
      <c r="M45" s="3"/>
      <c r="N45" s="3"/>
      <c r="O45" s="3"/>
      <c r="P45" s="1">
        <v>1.11028885E8</v>
      </c>
      <c r="Q45" s="1" t="b">
        <v>1</v>
      </c>
      <c r="R45" s="1">
        <v>290.0</v>
      </c>
      <c r="S45" s="1" t="s">
        <v>4765</v>
      </c>
      <c r="T45" s="3"/>
      <c r="U45" s="1" t="s">
        <v>4672</v>
      </c>
      <c r="V45" s="1" t="s">
        <v>4673</v>
      </c>
      <c r="W45" s="1" t="s">
        <v>5050</v>
      </c>
      <c r="X45" s="1" t="b">
        <v>0</v>
      </c>
      <c r="Y45" s="1" t="s">
        <v>4675</v>
      </c>
      <c r="Z45" s="1" t="s">
        <v>5051</v>
      </c>
      <c r="AB45" s="1" t="s">
        <v>4677</v>
      </c>
      <c r="AC45" s="1" t="s">
        <v>5052</v>
      </c>
      <c r="AD45" s="1" t="s">
        <v>4679</v>
      </c>
      <c r="AE45" s="1" t="s">
        <v>5053</v>
      </c>
      <c r="AF45" s="1" t="s">
        <v>5054</v>
      </c>
      <c r="AG45" s="1" t="s">
        <v>4682</v>
      </c>
      <c r="AH45" s="1">
        <v>3.0</v>
      </c>
      <c r="AI45" s="1" t="b">
        <v>0</v>
      </c>
      <c r="AJ45" s="1" t="b">
        <v>0</v>
      </c>
      <c r="AK45" s="1" t="s">
        <v>5055</v>
      </c>
      <c r="AL45" s="1" t="s">
        <v>4684</v>
      </c>
      <c r="AM45" s="1" t="s">
        <v>4685</v>
      </c>
      <c r="AN45" s="1" t="s">
        <v>4686</v>
      </c>
      <c r="AO45" s="1" t="s">
        <v>5051</v>
      </c>
      <c r="AP45" s="1" t="s">
        <v>4687</v>
      </c>
      <c r="AQ45" s="1" t="s">
        <v>4688</v>
      </c>
      <c r="AR45" s="1">
        <v>287.0</v>
      </c>
      <c r="AS45" s="3"/>
      <c r="AT45" s="3"/>
      <c r="AU45" s="4" t="s">
        <v>5009</v>
      </c>
      <c r="AV45" s="3"/>
      <c r="AW45" s="3"/>
      <c r="AX45" s="3"/>
      <c r="AY45" s="3"/>
      <c r="AZ45" s="3"/>
      <c r="BA45" s="3"/>
      <c r="BB45" s="3"/>
      <c r="BC45" s="3"/>
      <c r="BD45" s="3"/>
      <c r="BE45" s="1" t="b">
        <v>1</v>
      </c>
      <c r="BF45" s="3"/>
      <c r="BG45" s="3"/>
      <c r="BH45" s="3"/>
      <c r="BI45" s="3"/>
      <c r="BJ45" s="3"/>
      <c r="BK45" s="4" t="s">
        <v>5009</v>
      </c>
      <c r="BL45" s="3"/>
    </row>
    <row r="46">
      <c r="A46" s="1" t="s">
        <v>1992</v>
      </c>
      <c r="B46" s="1" t="s">
        <v>1991</v>
      </c>
      <c r="C46" s="3"/>
      <c r="D46" s="3"/>
      <c r="E46" s="1" t="s">
        <v>5056</v>
      </c>
      <c r="F46" s="3"/>
      <c r="G46" s="3"/>
      <c r="H46" s="3"/>
      <c r="I46" s="1" t="s">
        <v>4669</v>
      </c>
      <c r="J46" s="1" t="s">
        <v>1991</v>
      </c>
      <c r="K46" s="3"/>
      <c r="L46" s="3"/>
      <c r="M46" s="3"/>
      <c r="N46" s="3"/>
      <c r="O46" s="3"/>
      <c r="P46" s="1" t="s">
        <v>5057</v>
      </c>
      <c r="Q46" s="1" t="b">
        <v>0</v>
      </c>
      <c r="R46" s="1">
        <v>3.0</v>
      </c>
      <c r="S46" s="1" t="s">
        <v>5058</v>
      </c>
      <c r="T46" s="3"/>
      <c r="U46" s="1" t="s">
        <v>4672</v>
      </c>
      <c r="V46" s="1" t="s">
        <v>4673</v>
      </c>
      <c r="W46" s="1" t="s">
        <v>5059</v>
      </c>
      <c r="X46" s="1" t="b">
        <v>0</v>
      </c>
      <c r="Y46" s="1" t="s">
        <v>4675</v>
      </c>
      <c r="Z46" s="1" t="s">
        <v>5060</v>
      </c>
      <c r="AB46" s="3"/>
      <c r="AC46" s="3"/>
      <c r="AD46" s="3"/>
      <c r="AE46" s="3"/>
      <c r="AF46" s="3"/>
      <c r="AG46" s="3"/>
      <c r="AH46" s="3"/>
      <c r="AI46" s="1" t="b">
        <v>0</v>
      </c>
      <c r="AJ46" s="1" t="b">
        <v>0</v>
      </c>
      <c r="AK46" s="1" t="s">
        <v>5061</v>
      </c>
      <c r="AL46" s="1" t="s">
        <v>4707</v>
      </c>
      <c r="AM46" s="1" t="s">
        <v>4708</v>
      </c>
      <c r="AN46" s="1" t="s">
        <v>4686</v>
      </c>
      <c r="AO46" s="1" t="s">
        <v>5060</v>
      </c>
      <c r="AP46" s="1" t="s">
        <v>4709</v>
      </c>
      <c r="AQ46" s="1" t="s">
        <v>4688</v>
      </c>
      <c r="AR46" s="1">
        <v>3.0</v>
      </c>
      <c r="AS46" s="3"/>
      <c r="AT46" s="3"/>
      <c r="AU46" s="4" t="s">
        <v>4695</v>
      </c>
      <c r="AV46" s="1" t="s">
        <v>4788</v>
      </c>
      <c r="AW46" s="1" t="s">
        <v>4789</v>
      </c>
      <c r="AX46" s="1" t="s">
        <v>4692</v>
      </c>
      <c r="AY46" s="1" t="s">
        <v>4790</v>
      </c>
      <c r="AZ46" s="1" t="s">
        <v>4791</v>
      </c>
      <c r="BA46" s="3"/>
      <c r="BB46" s="3"/>
      <c r="BC46" s="3"/>
      <c r="BD46" s="3"/>
      <c r="BE46" s="1" t="b">
        <v>1</v>
      </c>
      <c r="BF46" s="1" t="s">
        <v>4790</v>
      </c>
      <c r="BG46" s="1" t="s">
        <v>4692</v>
      </c>
      <c r="BH46" s="1" t="s">
        <v>4788</v>
      </c>
      <c r="BI46" s="1" t="s">
        <v>4789</v>
      </c>
      <c r="BJ46" s="1" t="s">
        <v>4791</v>
      </c>
      <c r="BK46" s="4" t="s">
        <v>4780</v>
      </c>
    </row>
    <row r="47">
      <c r="A47" s="1" t="s">
        <v>852</v>
      </c>
      <c r="B47" s="1" t="s">
        <v>851</v>
      </c>
      <c r="C47" s="1" t="s">
        <v>851</v>
      </c>
      <c r="D47" s="1" t="s">
        <v>4696</v>
      </c>
      <c r="E47" s="1" t="s">
        <v>5062</v>
      </c>
      <c r="F47" s="1" t="s">
        <v>5063</v>
      </c>
      <c r="G47" s="3"/>
      <c r="H47" s="3"/>
      <c r="I47" s="1" t="s">
        <v>4742</v>
      </c>
      <c r="J47" s="1" t="s">
        <v>5064</v>
      </c>
      <c r="K47" s="3">
        <f>+821029572951</f>
        <v>821029572951</v>
      </c>
      <c r="L47" s="3"/>
      <c r="M47" s="3"/>
      <c r="N47" s="3"/>
      <c r="O47" s="3"/>
      <c r="P47" s="1">
        <v>1.15659709E8</v>
      </c>
      <c r="Q47" s="1" t="b">
        <v>1</v>
      </c>
      <c r="R47" s="1">
        <v>43.0</v>
      </c>
      <c r="S47" s="1" t="s">
        <v>5065</v>
      </c>
      <c r="T47" s="1" t="s">
        <v>5065</v>
      </c>
      <c r="U47" s="1" t="s">
        <v>4672</v>
      </c>
      <c r="V47" s="1" t="s">
        <v>4673</v>
      </c>
      <c r="W47" s="1" t="s">
        <v>5066</v>
      </c>
      <c r="X47" s="1" t="b">
        <v>0</v>
      </c>
      <c r="Y47" s="1" t="s">
        <v>4675</v>
      </c>
      <c r="Z47" s="1" t="s">
        <v>5067</v>
      </c>
      <c r="AB47" s="3"/>
      <c r="AC47" s="3"/>
      <c r="AD47" s="3"/>
      <c r="AE47" s="3"/>
      <c r="AF47" s="3"/>
      <c r="AG47" s="3"/>
      <c r="AH47" s="3"/>
      <c r="AI47" s="1" t="b">
        <v>0</v>
      </c>
      <c r="AJ47" s="1" t="b">
        <v>0</v>
      </c>
      <c r="AK47" s="1" t="s">
        <v>5068</v>
      </c>
      <c r="AL47" s="1" t="s">
        <v>4719</v>
      </c>
      <c r="AM47" s="1" t="s">
        <v>4685</v>
      </c>
      <c r="AN47" s="1" t="s">
        <v>4720</v>
      </c>
      <c r="AO47" s="1" t="s">
        <v>5067</v>
      </c>
      <c r="AP47" s="1" t="s">
        <v>4721</v>
      </c>
      <c r="AQ47" s="1" t="s">
        <v>4722</v>
      </c>
      <c r="AR47" s="1">
        <v>43.0</v>
      </c>
      <c r="AS47" s="3"/>
      <c r="AT47" s="3"/>
      <c r="AU47" s="4" t="s">
        <v>4695</v>
      </c>
      <c r="AW47" s="3"/>
      <c r="AX47" s="3"/>
      <c r="AY47" s="3"/>
      <c r="AZ47" s="3"/>
      <c r="BA47" s="3"/>
      <c r="BB47" s="3"/>
      <c r="BC47" s="3"/>
      <c r="BD47" s="3"/>
      <c r="BE47" s="1" t="b">
        <v>1</v>
      </c>
      <c r="BF47" s="3"/>
      <c r="BG47" s="3"/>
      <c r="BH47" s="3"/>
      <c r="BI47" s="3"/>
      <c r="BJ47" s="3"/>
      <c r="BK47" s="4" t="s">
        <v>4710</v>
      </c>
    </row>
    <row r="48">
      <c r="A48" s="1" t="s">
        <v>707</v>
      </c>
      <c r="B48" s="1" t="s">
        <v>706</v>
      </c>
      <c r="C48" s="1" t="s">
        <v>706</v>
      </c>
      <c r="D48" s="1" t="s">
        <v>4711</v>
      </c>
      <c r="E48" s="1" t="s">
        <v>5069</v>
      </c>
      <c r="F48" s="1" t="s">
        <v>5070</v>
      </c>
      <c r="G48" s="3"/>
      <c r="H48" s="3"/>
      <c r="I48" s="1" t="s">
        <v>5026</v>
      </c>
      <c r="J48" s="1" t="s">
        <v>5071</v>
      </c>
      <c r="K48" s="3">
        <f>+821021676243</f>
        <v>821021676243</v>
      </c>
      <c r="L48" s="3"/>
      <c r="M48" s="3"/>
      <c r="N48" s="3"/>
      <c r="O48" s="3"/>
      <c r="P48" s="1">
        <v>1.12106129E8</v>
      </c>
      <c r="Q48" s="1" t="b">
        <v>1</v>
      </c>
      <c r="R48" s="1">
        <v>136.0</v>
      </c>
      <c r="S48" s="1" t="s">
        <v>4918</v>
      </c>
      <c r="T48" s="3"/>
      <c r="U48" s="1" t="s">
        <v>4672</v>
      </c>
      <c r="V48" s="1" t="s">
        <v>4673</v>
      </c>
      <c r="W48" s="1" t="s">
        <v>5072</v>
      </c>
      <c r="X48" s="1" t="b">
        <v>0</v>
      </c>
      <c r="Y48" s="1" t="s">
        <v>4675</v>
      </c>
      <c r="Z48" s="1" t="s">
        <v>5073</v>
      </c>
      <c r="AB48" s="3"/>
      <c r="AC48" s="3"/>
      <c r="AD48" s="3"/>
      <c r="AE48" s="3"/>
      <c r="AF48" s="3"/>
      <c r="AG48" s="3"/>
      <c r="AH48" s="3"/>
      <c r="AI48" s="1" t="b">
        <v>0</v>
      </c>
      <c r="AJ48" s="1" t="b">
        <v>0</v>
      </c>
      <c r="AK48" s="1" t="s">
        <v>5074</v>
      </c>
      <c r="AL48" s="1" t="s">
        <v>4719</v>
      </c>
      <c r="AM48" s="1" t="s">
        <v>4685</v>
      </c>
      <c r="AN48" s="1" t="s">
        <v>4686</v>
      </c>
      <c r="AO48" s="1" t="s">
        <v>5073</v>
      </c>
      <c r="AP48" s="1" t="s">
        <v>4687</v>
      </c>
      <c r="AQ48" s="1" t="s">
        <v>4688</v>
      </c>
      <c r="AR48" s="1">
        <v>136.0</v>
      </c>
      <c r="AS48" s="3"/>
      <c r="AT48" s="3"/>
      <c r="AU48" s="4" t="s">
        <v>4695</v>
      </c>
      <c r="AW48" s="3"/>
      <c r="AX48" s="3"/>
      <c r="AY48" s="3"/>
      <c r="AZ48" s="3"/>
      <c r="BA48" s="3"/>
      <c r="BB48" s="3"/>
      <c r="BC48" s="3"/>
      <c r="BD48" s="3"/>
      <c r="BE48" s="1" t="b">
        <v>1</v>
      </c>
      <c r="BF48" s="3"/>
      <c r="BG48" s="3"/>
      <c r="BH48" s="3"/>
      <c r="BI48" s="3"/>
      <c r="BJ48" s="3"/>
      <c r="BK48" s="4" t="s">
        <v>4695</v>
      </c>
    </row>
    <row r="49">
      <c r="A49" s="1" t="s">
        <v>1728</v>
      </c>
      <c r="B49" s="1" t="s">
        <v>1727</v>
      </c>
      <c r="C49" s="1" t="s">
        <v>1727</v>
      </c>
      <c r="D49" s="1" t="s">
        <v>4696</v>
      </c>
      <c r="E49" s="1" t="s">
        <v>5075</v>
      </c>
      <c r="F49" s="1" t="s">
        <v>5076</v>
      </c>
      <c r="G49" s="3"/>
      <c r="H49" s="3"/>
      <c r="I49" s="1" t="s">
        <v>4742</v>
      </c>
      <c r="J49" s="1" t="s">
        <v>5077</v>
      </c>
      <c r="K49" s="3">
        <f>+821064682565</f>
        <v>821064682565</v>
      </c>
      <c r="L49" s="3"/>
      <c r="M49" s="3"/>
      <c r="N49" s="3"/>
      <c r="O49" s="3"/>
      <c r="P49" s="1">
        <v>1.09913045E8</v>
      </c>
      <c r="Q49" s="1" t="b">
        <v>1</v>
      </c>
      <c r="R49" s="1">
        <v>7.0</v>
      </c>
      <c r="S49" s="1" t="s">
        <v>5078</v>
      </c>
      <c r="U49" s="1" t="s">
        <v>4672</v>
      </c>
      <c r="V49" s="1" t="s">
        <v>4673</v>
      </c>
      <c r="W49" s="1" t="s">
        <v>5079</v>
      </c>
      <c r="X49" s="1" t="b">
        <v>0</v>
      </c>
      <c r="Y49" s="1" t="s">
        <v>4675</v>
      </c>
      <c r="Z49" s="1" t="s">
        <v>5080</v>
      </c>
      <c r="AB49" s="3"/>
      <c r="AC49" s="3"/>
      <c r="AD49" s="3"/>
      <c r="AE49" s="3"/>
      <c r="AF49" s="3"/>
      <c r="AG49" s="3"/>
      <c r="AH49" s="3"/>
      <c r="AI49" s="1" t="b">
        <v>0</v>
      </c>
      <c r="AJ49" s="1" t="b">
        <v>0</v>
      </c>
      <c r="AK49" s="1" t="s">
        <v>5081</v>
      </c>
      <c r="AL49" s="1" t="s">
        <v>4719</v>
      </c>
      <c r="AM49" s="1" t="s">
        <v>4685</v>
      </c>
      <c r="AN49" s="1" t="s">
        <v>4686</v>
      </c>
      <c r="AO49" s="1" t="s">
        <v>5082</v>
      </c>
      <c r="AP49" s="1" t="s">
        <v>4687</v>
      </c>
      <c r="AQ49" s="1" t="s">
        <v>4688</v>
      </c>
      <c r="AR49" s="1">
        <v>7.0</v>
      </c>
      <c r="AS49" s="3"/>
      <c r="AT49" s="3"/>
      <c r="AU49" s="4" t="s">
        <v>4695</v>
      </c>
      <c r="AV49" s="1" t="s">
        <v>4788</v>
      </c>
      <c r="AW49" s="1" t="s">
        <v>4789</v>
      </c>
      <c r="AX49" s="1" t="s">
        <v>4692</v>
      </c>
      <c r="AY49" s="1" t="s">
        <v>4790</v>
      </c>
      <c r="AZ49" s="1" t="s">
        <v>4791</v>
      </c>
      <c r="BA49" s="3"/>
      <c r="BB49" s="3"/>
      <c r="BC49" s="3"/>
      <c r="BD49" s="3"/>
      <c r="BE49" s="1" t="b">
        <v>1</v>
      </c>
      <c r="BF49" s="1" t="s">
        <v>4790</v>
      </c>
      <c r="BG49" s="1" t="s">
        <v>4692</v>
      </c>
      <c r="BH49" s="1" t="s">
        <v>4788</v>
      </c>
      <c r="BI49" s="1" t="s">
        <v>4789</v>
      </c>
      <c r="BJ49" s="1" t="s">
        <v>4791</v>
      </c>
      <c r="BK49" s="4" t="s">
        <v>4780</v>
      </c>
      <c r="BL49" s="1" t="s">
        <v>4723</v>
      </c>
    </row>
    <row r="50">
      <c r="A50" s="1" t="s">
        <v>1694</v>
      </c>
      <c r="B50" s="1" t="s">
        <v>1693</v>
      </c>
      <c r="C50" s="1" t="s">
        <v>1693</v>
      </c>
      <c r="D50" s="1" t="s">
        <v>4696</v>
      </c>
      <c r="E50" s="1" t="s">
        <v>5083</v>
      </c>
      <c r="F50" s="1" t="s">
        <v>5084</v>
      </c>
      <c r="G50" s="3"/>
      <c r="H50" s="1" t="s">
        <v>4861</v>
      </c>
      <c r="I50" s="1" t="s">
        <v>4742</v>
      </c>
      <c r="J50" s="1" t="s">
        <v>5085</v>
      </c>
      <c r="K50" s="3">
        <f>+821089953526</f>
        <v>821089953526</v>
      </c>
      <c r="L50" s="3"/>
      <c r="M50" s="3"/>
      <c r="N50" s="3"/>
      <c r="O50" s="3"/>
      <c r="P50" s="1">
        <v>1.14482224E8</v>
      </c>
      <c r="Q50" s="1" t="b">
        <v>1</v>
      </c>
      <c r="R50" s="1">
        <v>129.0</v>
      </c>
      <c r="S50" s="1" t="s">
        <v>4885</v>
      </c>
      <c r="T50" s="3"/>
      <c r="U50" s="1" t="s">
        <v>4672</v>
      </c>
      <c r="V50" s="1" t="s">
        <v>4673</v>
      </c>
      <c r="W50" s="1" t="s">
        <v>5086</v>
      </c>
      <c r="X50" s="1" t="b">
        <v>0</v>
      </c>
      <c r="Y50" s="1" t="s">
        <v>5087</v>
      </c>
      <c r="Z50" s="1" t="s">
        <v>5088</v>
      </c>
      <c r="AB50" s="3"/>
      <c r="AC50" s="3"/>
      <c r="AD50" s="3"/>
      <c r="AE50" s="3"/>
      <c r="AF50" s="3"/>
      <c r="AG50" s="3"/>
      <c r="AH50" s="3"/>
      <c r="AI50" s="1" t="b">
        <v>0</v>
      </c>
      <c r="AJ50" s="1" t="b">
        <v>0</v>
      </c>
      <c r="AK50" s="1" t="s">
        <v>5089</v>
      </c>
      <c r="AL50" s="1" t="s">
        <v>4719</v>
      </c>
      <c r="AM50" s="1" t="s">
        <v>4685</v>
      </c>
      <c r="AN50" s="1" t="s">
        <v>4720</v>
      </c>
      <c r="AO50" s="1" t="s">
        <v>5090</v>
      </c>
      <c r="AP50" s="1" t="s">
        <v>4721</v>
      </c>
      <c r="AQ50" s="1" t="s">
        <v>4722</v>
      </c>
      <c r="AR50" s="1">
        <v>129.0</v>
      </c>
      <c r="AS50" s="3"/>
      <c r="AT50" s="3"/>
      <c r="AU50" s="4" t="s">
        <v>4695</v>
      </c>
      <c r="AV50" s="1" t="s">
        <v>4788</v>
      </c>
      <c r="AW50" s="1" t="s">
        <v>5091</v>
      </c>
      <c r="AX50" s="1" t="s">
        <v>4936</v>
      </c>
      <c r="AY50" s="1" t="s">
        <v>4761</v>
      </c>
      <c r="AZ50" s="3"/>
      <c r="BA50" s="3"/>
      <c r="BB50" s="3"/>
      <c r="BC50" s="3"/>
      <c r="BD50" s="3"/>
      <c r="BE50" s="1" t="b">
        <v>1</v>
      </c>
      <c r="BF50" s="1" t="s">
        <v>4761</v>
      </c>
      <c r="BG50" s="1" t="s">
        <v>4936</v>
      </c>
      <c r="BH50" s="1" t="s">
        <v>4788</v>
      </c>
      <c r="BI50" s="1" t="s">
        <v>5091</v>
      </c>
      <c r="BJ50" s="3"/>
      <c r="BK50" s="4" t="s">
        <v>4695</v>
      </c>
    </row>
    <row r="51">
      <c r="A51" s="1" t="s">
        <v>1945</v>
      </c>
      <c r="B51" s="1" t="s">
        <v>1944</v>
      </c>
      <c r="C51" s="1" t="s">
        <v>1944</v>
      </c>
      <c r="D51" s="1" t="s">
        <v>5092</v>
      </c>
      <c r="E51" s="1" t="s">
        <v>5093</v>
      </c>
      <c r="F51" s="1" t="s">
        <v>5094</v>
      </c>
      <c r="G51" s="3"/>
      <c r="H51" s="3"/>
      <c r="I51" s="1" t="s">
        <v>5095</v>
      </c>
      <c r="J51" s="1" t="s">
        <v>5096</v>
      </c>
      <c r="L51" s="3"/>
      <c r="M51" s="3"/>
      <c r="N51" s="3"/>
      <c r="O51" s="3"/>
      <c r="P51" s="1">
        <v>1.22956792E8</v>
      </c>
      <c r="Q51" s="1" t="b">
        <v>1</v>
      </c>
      <c r="R51" s="1">
        <v>3.0</v>
      </c>
      <c r="S51" s="1" t="s">
        <v>4752</v>
      </c>
      <c r="T51" s="3"/>
      <c r="U51" s="1" t="s">
        <v>4672</v>
      </c>
      <c r="V51" s="1" t="s">
        <v>4673</v>
      </c>
      <c r="W51" s="1" t="s">
        <v>5097</v>
      </c>
      <c r="X51" s="1" t="b">
        <v>0</v>
      </c>
      <c r="Y51" s="1" t="s">
        <v>4675</v>
      </c>
      <c r="Z51" s="1" t="s">
        <v>5098</v>
      </c>
      <c r="AB51" s="1" t="s">
        <v>4677</v>
      </c>
      <c r="AC51" s="1" t="s">
        <v>4896</v>
      </c>
      <c r="AD51" s="1" t="s">
        <v>4951</v>
      </c>
      <c r="AE51" s="1" t="s">
        <v>5099</v>
      </c>
      <c r="AF51" s="1" t="s">
        <v>4757</v>
      </c>
      <c r="AG51" s="1" t="s">
        <v>4758</v>
      </c>
      <c r="AH51" s="1">
        <v>1.0</v>
      </c>
      <c r="AI51" s="1" t="b">
        <v>0</v>
      </c>
      <c r="AJ51" s="1" t="b">
        <v>0</v>
      </c>
      <c r="AK51" s="1" t="s">
        <v>5100</v>
      </c>
      <c r="AL51" s="1" t="s">
        <v>4719</v>
      </c>
      <c r="AM51" s="1" t="s">
        <v>4685</v>
      </c>
      <c r="AN51" s="1" t="s">
        <v>4686</v>
      </c>
      <c r="AO51" s="1" t="s">
        <v>5098</v>
      </c>
      <c r="AP51" s="1" t="s">
        <v>4687</v>
      </c>
      <c r="AQ51" s="1" t="s">
        <v>4688</v>
      </c>
      <c r="AR51" s="1">
        <v>2.0</v>
      </c>
      <c r="AS51" s="3"/>
      <c r="AT51" s="3"/>
      <c r="AU51" s="3"/>
      <c r="AV51" s="3"/>
      <c r="AW51" s="3"/>
      <c r="AX51" s="3"/>
      <c r="AY51" s="3"/>
      <c r="AZ51" s="3"/>
      <c r="BA51" s="3"/>
      <c r="BB51" s="3"/>
      <c r="BC51" s="3"/>
      <c r="BD51" s="3"/>
      <c r="BE51" s="1" t="b">
        <v>1</v>
      </c>
      <c r="BF51" s="3"/>
      <c r="BG51" s="3"/>
      <c r="BH51" s="3"/>
      <c r="BI51" s="3"/>
      <c r="BJ51" s="3"/>
      <c r="BK51" s="3"/>
      <c r="BL51" s="3"/>
    </row>
    <row r="52">
      <c r="A52" s="1" t="s">
        <v>1311</v>
      </c>
      <c r="B52" s="1" t="s">
        <v>1310</v>
      </c>
      <c r="C52" s="1" t="s">
        <v>1310</v>
      </c>
      <c r="D52" s="1" t="s">
        <v>4724</v>
      </c>
      <c r="E52" s="1" t="s">
        <v>5101</v>
      </c>
      <c r="F52" s="1" t="s">
        <v>5102</v>
      </c>
      <c r="G52" s="3"/>
      <c r="H52" s="3"/>
      <c r="I52" s="3"/>
      <c r="J52" s="1" t="s">
        <v>5103</v>
      </c>
      <c r="K52" s="3">
        <f>+821090735195</f>
        <v>821090735195</v>
      </c>
      <c r="L52" s="3"/>
      <c r="M52" s="3"/>
      <c r="N52" s="3"/>
      <c r="O52" s="3"/>
      <c r="P52" s="1">
        <v>1.22949107E8</v>
      </c>
      <c r="Q52" s="1" t="b">
        <v>1</v>
      </c>
      <c r="R52" s="1">
        <v>2.0</v>
      </c>
      <c r="S52" s="1" t="s">
        <v>4793</v>
      </c>
      <c r="T52" s="3"/>
      <c r="U52" s="1" t="s">
        <v>4672</v>
      </c>
      <c r="V52" s="1" t="s">
        <v>4673</v>
      </c>
      <c r="W52" s="1" t="s">
        <v>5104</v>
      </c>
      <c r="X52" s="1" t="b">
        <v>0</v>
      </c>
      <c r="Y52" s="1" t="s">
        <v>4675</v>
      </c>
      <c r="Z52" s="1" t="s">
        <v>5105</v>
      </c>
      <c r="AB52" s="3"/>
      <c r="AC52" s="3"/>
      <c r="AD52" s="3"/>
      <c r="AE52" s="3"/>
      <c r="AF52" s="3"/>
      <c r="AG52" s="3"/>
      <c r="AH52" s="3"/>
      <c r="AI52" s="1" t="b">
        <v>0</v>
      </c>
      <c r="AJ52" s="1" t="b">
        <v>0</v>
      </c>
      <c r="AK52" s="1" t="s">
        <v>5106</v>
      </c>
      <c r="AL52" s="1" t="s">
        <v>4719</v>
      </c>
      <c r="AM52" s="1" t="s">
        <v>4685</v>
      </c>
      <c r="AN52" s="1" t="s">
        <v>4686</v>
      </c>
      <c r="AO52" s="1" t="s">
        <v>5105</v>
      </c>
      <c r="AP52" s="1" t="s">
        <v>4687</v>
      </c>
      <c r="AQ52" s="1" t="s">
        <v>4688</v>
      </c>
      <c r="AR52" s="1">
        <v>2.0</v>
      </c>
      <c r="AS52" s="3"/>
      <c r="AT52" s="3"/>
      <c r="AU52" s="3"/>
      <c r="AV52" s="3"/>
      <c r="AW52" s="3"/>
      <c r="AX52" s="3"/>
      <c r="AY52" s="3"/>
      <c r="AZ52" s="3"/>
      <c r="BA52" s="3"/>
      <c r="BB52" s="3"/>
      <c r="BC52" s="3"/>
      <c r="BD52" s="3"/>
      <c r="BE52" s="1" t="b">
        <v>1</v>
      </c>
      <c r="BF52" s="3"/>
      <c r="BG52" s="3"/>
      <c r="BH52" s="3"/>
      <c r="BI52" s="3"/>
      <c r="BJ52" s="3"/>
      <c r="BK52" s="3"/>
      <c r="BL52" s="3"/>
    </row>
    <row r="53">
      <c r="A53" s="1" t="s">
        <v>1851</v>
      </c>
      <c r="B53" s="1" t="s">
        <v>1850</v>
      </c>
      <c r="C53" s="1" t="s">
        <v>1850</v>
      </c>
      <c r="D53" s="1" t="s">
        <v>4922</v>
      </c>
      <c r="E53" s="1" t="s">
        <v>5107</v>
      </c>
      <c r="F53" s="1" t="s">
        <v>5108</v>
      </c>
      <c r="G53" s="3"/>
      <c r="H53" s="3"/>
      <c r="I53" s="1" t="s">
        <v>5026</v>
      </c>
      <c r="J53" s="1" t="s">
        <v>5109</v>
      </c>
      <c r="K53" s="3">
        <f>+821032261896</f>
        <v>821032261896</v>
      </c>
      <c r="L53" s="3"/>
      <c r="M53" s="3"/>
      <c r="N53" s="3"/>
      <c r="O53" s="3"/>
      <c r="P53" s="1">
        <v>1.22919832E8</v>
      </c>
      <c r="Q53" s="1" t="b">
        <v>1</v>
      </c>
      <c r="R53" s="1">
        <v>14.0</v>
      </c>
      <c r="S53" s="1" t="s">
        <v>4942</v>
      </c>
      <c r="U53" s="1" t="s">
        <v>4672</v>
      </c>
      <c r="V53" s="1" t="s">
        <v>4673</v>
      </c>
      <c r="W53" s="1" t="s">
        <v>5110</v>
      </c>
      <c r="X53" s="1" t="b">
        <v>0</v>
      </c>
      <c r="Y53" s="1" t="s">
        <v>4675</v>
      </c>
      <c r="Z53" s="1" t="s">
        <v>5111</v>
      </c>
      <c r="AB53" s="3"/>
      <c r="AC53" s="3"/>
      <c r="AD53" s="3"/>
      <c r="AE53" s="3"/>
      <c r="AF53" s="3"/>
      <c r="AG53" s="3"/>
      <c r="AH53" s="3"/>
      <c r="AI53" s="1" t="b">
        <v>0</v>
      </c>
      <c r="AJ53" s="1" t="b">
        <v>0</v>
      </c>
      <c r="AK53" s="1" t="s">
        <v>5112</v>
      </c>
      <c r="AL53" s="1" t="s">
        <v>4719</v>
      </c>
      <c r="AM53" s="1" t="s">
        <v>4685</v>
      </c>
      <c r="AN53" s="1" t="s">
        <v>4686</v>
      </c>
      <c r="AO53" s="1" t="s">
        <v>5111</v>
      </c>
      <c r="AP53" s="1" t="s">
        <v>4687</v>
      </c>
      <c r="AQ53" s="1" t="s">
        <v>4688</v>
      </c>
      <c r="AR53" s="1">
        <v>14.0</v>
      </c>
      <c r="AS53" s="3"/>
      <c r="AT53" s="3"/>
      <c r="AU53" s="4" t="s">
        <v>4695</v>
      </c>
      <c r="AV53" s="1" t="s">
        <v>4690</v>
      </c>
      <c r="AW53" s="1" t="s">
        <v>4691</v>
      </c>
      <c r="AX53" s="1" t="s">
        <v>4692</v>
      </c>
      <c r="AY53" s="1" t="s">
        <v>4693</v>
      </c>
      <c r="AZ53" s="1" t="s">
        <v>4694</v>
      </c>
      <c r="BA53" s="3"/>
      <c r="BB53" s="3"/>
      <c r="BC53" s="3"/>
      <c r="BD53" s="3"/>
      <c r="BE53" s="1" t="b">
        <v>1</v>
      </c>
      <c r="BF53" s="1" t="s">
        <v>4693</v>
      </c>
      <c r="BG53" s="1" t="s">
        <v>4692</v>
      </c>
      <c r="BH53" s="1" t="s">
        <v>4690</v>
      </c>
      <c r="BI53" s="1" t="s">
        <v>4691</v>
      </c>
      <c r="BJ53" s="1" t="s">
        <v>4694</v>
      </c>
      <c r="BK53" s="4" t="s">
        <v>4695</v>
      </c>
    </row>
    <row r="54">
      <c r="A54" s="1" t="s">
        <v>821</v>
      </c>
      <c r="B54" s="1" t="s">
        <v>820</v>
      </c>
      <c r="C54" s="1" t="s">
        <v>820</v>
      </c>
      <c r="D54" s="1" t="s">
        <v>4724</v>
      </c>
      <c r="E54" s="1" t="s">
        <v>5113</v>
      </c>
      <c r="F54" s="1" t="s">
        <v>5114</v>
      </c>
      <c r="G54" s="3"/>
      <c r="H54" s="3"/>
      <c r="I54" s="3"/>
      <c r="J54" s="1" t="s">
        <v>5115</v>
      </c>
      <c r="K54" s="3">
        <f>+821028633258</f>
        <v>821028633258</v>
      </c>
      <c r="L54" s="3"/>
      <c r="M54" s="3"/>
      <c r="N54" s="3"/>
      <c r="O54" s="3"/>
      <c r="P54" s="1">
        <v>1.22949109E8</v>
      </c>
      <c r="Q54" s="1" t="b">
        <v>1</v>
      </c>
      <c r="R54" s="1">
        <v>12.0</v>
      </c>
      <c r="S54" s="1" t="s">
        <v>5116</v>
      </c>
      <c r="U54" s="1" t="s">
        <v>4672</v>
      </c>
      <c r="V54" s="1" t="s">
        <v>4673</v>
      </c>
      <c r="W54" s="1" t="s">
        <v>5117</v>
      </c>
      <c r="X54" s="1" t="b">
        <v>0</v>
      </c>
      <c r="Y54" s="1" t="s">
        <v>4675</v>
      </c>
      <c r="Z54" s="1" t="s">
        <v>5118</v>
      </c>
      <c r="AB54" s="3"/>
      <c r="AC54" s="3"/>
      <c r="AD54" s="3"/>
      <c r="AE54" s="3"/>
      <c r="AF54" s="3"/>
      <c r="AG54" s="3"/>
      <c r="AH54" s="3"/>
      <c r="AI54" s="1" t="b">
        <v>0</v>
      </c>
      <c r="AJ54" s="1" t="b">
        <v>0</v>
      </c>
      <c r="AK54" s="1" t="s">
        <v>5119</v>
      </c>
      <c r="AL54" s="1" t="s">
        <v>4719</v>
      </c>
      <c r="AM54" s="1" t="s">
        <v>4685</v>
      </c>
      <c r="AN54" s="1" t="s">
        <v>4720</v>
      </c>
      <c r="AO54" s="1" t="s">
        <v>5118</v>
      </c>
      <c r="AP54" s="1" t="s">
        <v>4721</v>
      </c>
      <c r="AQ54" s="1" t="s">
        <v>4722</v>
      </c>
      <c r="AR54" s="1">
        <v>12.0</v>
      </c>
      <c r="AS54" s="3"/>
      <c r="AT54" s="3"/>
      <c r="AU54" s="4" t="s">
        <v>4695</v>
      </c>
      <c r="AV54" s="1" t="s">
        <v>4788</v>
      </c>
      <c r="AW54" s="1" t="s">
        <v>5091</v>
      </c>
      <c r="AX54" s="1" t="s">
        <v>4936</v>
      </c>
      <c r="AY54" s="1" t="s">
        <v>4761</v>
      </c>
      <c r="AZ54" s="3"/>
      <c r="BA54" s="3"/>
      <c r="BB54" s="3"/>
      <c r="BC54" s="3"/>
      <c r="BD54" s="3"/>
      <c r="BE54" s="1" t="b">
        <v>1</v>
      </c>
      <c r="BF54" s="1" t="s">
        <v>4761</v>
      </c>
      <c r="BG54" s="1" t="s">
        <v>4936</v>
      </c>
      <c r="BH54" s="1" t="s">
        <v>4788</v>
      </c>
      <c r="BI54" s="1" t="s">
        <v>5091</v>
      </c>
      <c r="BJ54" s="3"/>
      <c r="BK54" s="4" t="s">
        <v>4695</v>
      </c>
    </row>
    <row r="55">
      <c r="A55" s="1" t="s">
        <v>220</v>
      </c>
      <c r="B55" s="1" t="s">
        <v>219</v>
      </c>
      <c r="C55" s="1" t="s">
        <v>219</v>
      </c>
      <c r="D55" s="1" t="s">
        <v>5120</v>
      </c>
      <c r="E55" s="1" t="s">
        <v>5121</v>
      </c>
      <c r="F55" s="1" t="s">
        <v>5122</v>
      </c>
      <c r="G55" s="3"/>
      <c r="H55" s="3"/>
      <c r="I55" s="3"/>
      <c r="J55" s="1" t="s">
        <v>5123</v>
      </c>
      <c r="K55" s="3">
        <f>+821085253395</f>
        <v>821085253395</v>
      </c>
      <c r="L55" s="3"/>
      <c r="M55" s="3"/>
      <c r="N55" s="3"/>
      <c r="O55" s="3"/>
      <c r="P55" s="1">
        <v>1.22988382E8</v>
      </c>
      <c r="Q55" s="1" t="b">
        <v>1</v>
      </c>
      <c r="R55" s="1">
        <v>1.0</v>
      </c>
      <c r="S55" s="1" t="s">
        <v>5124</v>
      </c>
      <c r="U55" s="1" t="s">
        <v>4672</v>
      </c>
      <c r="V55" s="1" t="s">
        <v>4673</v>
      </c>
      <c r="W55" s="1" t="s">
        <v>5125</v>
      </c>
      <c r="X55" s="1" t="b">
        <v>0</v>
      </c>
      <c r="Y55" s="1" t="s">
        <v>4675</v>
      </c>
      <c r="Z55" s="1" t="s">
        <v>5126</v>
      </c>
      <c r="AB55" s="3"/>
      <c r="AC55" s="3"/>
      <c r="AD55" s="3"/>
      <c r="AE55" s="3"/>
      <c r="AF55" s="3"/>
      <c r="AG55" s="3"/>
      <c r="AH55" s="3"/>
      <c r="AI55" s="1" t="b">
        <v>0</v>
      </c>
      <c r="AJ55" s="1" t="b">
        <v>0</v>
      </c>
      <c r="AK55" s="1" t="s">
        <v>5127</v>
      </c>
      <c r="AL55" s="1" t="s">
        <v>4684</v>
      </c>
      <c r="AM55" s="1" t="s">
        <v>4685</v>
      </c>
      <c r="AN55" s="1" t="s">
        <v>4686</v>
      </c>
      <c r="AO55" s="1" t="s">
        <v>5126</v>
      </c>
      <c r="AP55" s="1" t="s">
        <v>4687</v>
      </c>
      <c r="AQ55" s="1" t="s">
        <v>4688</v>
      </c>
      <c r="AR55" s="1">
        <v>1.0</v>
      </c>
      <c r="AS55" s="3"/>
      <c r="AT55" s="3"/>
      <c r="AU55" s="4" t="s">
        <v>4780</v>
      </c>
      <c r="AW55" s="3"/>
      <c r="AX55" s="3"/>
      <c r="AY55" s="3"/>
      <c r="AZ55" s="3"/>
      <c r="BA55" s="3"/>
      <c r="BB55" s="3"/>
      <c r="BC55" s="3"/>
      <c r="BD55" s="3"/>
      <c r="BE55" s="1" t="b">
        <v>1</v>
      </c>
      <c r="BF55" s="3"/>
      <c r="BG55" s="3"/>
      <c r="BH55" s="3"/>
      <c r="BI55" s="3"/>
      <c r="BJ55" s="3"/>
      <c r="BK55" s="4" t="s">
        <v>4780</v>
      </c>
    </row>
    <row r="56">
      <c r="A56" s="1" t="s">
        <v>1867</v>
      </c>
      <c r="B56" s="1" t="s">
        <v>1866</v>
      </c>
      <c r="C56" s="1" t="s">
        <v>1866</v>
      </c>
      <c r="D56" s="1" t="s">
        <v>4922</v>
      </c>
      <c r="E56" s="1" t="s">
        <v>5128</v>
      </c>
      <c r="F56" s="1" t="s">
        <v>5129</v>
      </c>
      <c r="G56" s="3"/>
      <c r="H56" s="3"/>
      <c r="I56" s="1" t="s">
        <v>5026</v>
      </c>
      <c r="J56" s="1" t="s">
        <v>5130</v>
      </c>
      <c r="K56" s="3">
        <f>+821083322989</f>
        <v>821083322989</v>
      </c>
      <c r="L56" s="3"/>
      <c r="M56" s="3"/>
      <c r="N56" s="3"/>
      <c r="O56" s="3"/>
      <c r="P56" s="1">
        <v>1.22957752E8</v>
      </c>
      <c r="Q56" s="1" t="b">
        <v>1</v>
      </c>
      <c r="R56" s="1">
        <v>5.0</v>
      </c>
      <c r="S56" s="1" t="s">
        <v>4942</v>
      </c>
      <c r="U56" s="1" t="s">
        <v>4672</v>
      </c>
      <c r="V56" s="1" t="s">
        <v>4673</v>
      </c>
      <c r="W56" s="1" t="s">
        <v>5131</v>
      </c>
      <c r="X56" s="1" t="b">
        <v>0</v>
      </c>
      <c r="Y56" s="1" t="s">
        <v>4675</v>
      </c>
      <c r="Z56" s="1" t="s">
        <v>5132</v>
      </c>
      <c r="AB56" s="3"/>
      <c r="AC56" s="3"/>
      <c r="AD56" s="3"/>
      <c r="AE56" s="3"/>
      <c r="AF56" s="3"/>
      <c r="AG56" s="3"/>
      <c r="AH56" s="3"/>
      <c r="AI56" s="1" t="b">
        <v>0</v>
      </c>
      <c r="AJ56" s="1" t="b">
        <v>0</v>
      </c>
      <c r="AK56" s="1" t="s">
        <v>5133</v>
      </c>
      <c r="AL56" s="1" t="s">
        <v>5134</v>
      </c>
      <c r="AM56" s="1" t="s">
        <v>5135</v>
      </c>
      <c r="AN56" s="1" t="s">
        <v>4720</v>
      </c>
      <c r="AO56" s="1" t="s">
        <v>5132</v>
      </c>
      <c r="AP56" s="1" t="s">
        <v>4721</v>
      </c>
      <c r="AQ56" s="1" t="s">
        <v>4722</v>
      </c>
      <c r="AR56" s="1">
        <v>5.0</v>
      </c>
      <c r="AS56" s="3"/>
      <c r="AT56" s="3"/>
      <c r="AU56" s="4" t="s">
        <v>4695</v>
      </c>
      <c r="AW56" s="3"/>
      <c r="AX56" s="3"/>
      <c r="AY56" s="3"/>
      <c r="AZ56" s="3"/>
      <c r="BA56" s="3"/>
      <c r="BB56" s="3"/>
      <c r="BC56" s="3"/>
      <c r="BD56" s="3"/>
      <c r="BE56" s="1" t="b">
        <v>1</v>
      </c>
      <c r="BF56" s="3"/>
      <c r="BG56" s="3"/>
      <c r="BH56" s="3"/>
      <c r="BI56" s="3"/>
      <c r="BJ56" s="3"/>
      <c r="BK56" s="4" t="s">
        <v>4695</v>
      </c>
    </row>
    <row r="57">
      <c r="A57" s="1" t="s">
        <v>1350</v>
      </c>
      <c r="B57" s="1" t="s">
        <v>1349</v>
      </c>
      <c r="C57" s="1" t="s">
        <v>1349</v>
      </c>
      <c r="D57" s="1" t="s">
        <v>4711</v>
      </c>
      <c r="E57" s="1" t="s">
        <v>5136</v>
      </c>
      <c r="F57" s="1" t="s">
        <v>5137</v>
      </c>
      <c r="G57" s="3"/>
      <c r="H57" s="3"/>
      <c r="I57" s="3"/>
      <c r="J57" s="1" t="s">
        <v>5138</v>
      </c>
      <c r="K57" s="3">
        <f>+821066031905</f>
        <v>821066031905</v>
      </c>
      <c r="L57" s="3"/>
      <c r="M57" s="3"/>
      <c r="N57" s="3"/>
      <c r="O57" s="3"/>
      <c r="P57" s="1">
        <v>1.1009459E8</v>
      </c>
      <c r="Q57" s="1" t="b">
        <v>1</v>
      </c>
      <c r="R57" s="1">
        <v>27.0</v>
      </c>
      <c r="S57" s="1" t="s">
        <v>4752</v>
      </c>
      <c r="T57" s="3"/>
      <c r="U57" s="1" t="s">
        <v>4672</v>
      </c>
      <c r="V57" s="1" t="s">
        <v>4673</v>
      </c>
      <c r="W57" s="1" t="s">
        <v>5139</v>
      </c>
      <c r="X57" s="1" t="b">
        <v>0</v>
      </c>
      <c r="Y57" s="1" t="s">
        <v>4675</v>
      </c>
      <c r="Z57" s="1" t="s">
        <v>5140</v>
      </c>
      <c r="AB57" s="1" t="s">
        <v>4677</v>
      </c>
      <c r="AC57" s="1" t="s">
        <v>4678</v>
      </c>
      <c r="AD57" s="1" t="s">
        <v>5141</v>
      </c>
      <c r="AE57" s="1" t="s">
        <v>5140</v>
      </c>
      <c r="AF57" s="1" t="s">
        <v>4757</v>
      </c>
      <c r="AG57" s="1" t="s">
        <v>4758</v>
      </c>
      <c r="AH57" s="1">
        <v>22.0</v>
      </c>
      <c r="AI57" s="1" t="b">
        <v>0</v>
      </c>
      <c r="AJ57" s="1" t="b">
        <v>0</v>
      </c>
      <c r="AK57" s="1" t="s">
        <v>5142</v>
      </c>
      <c r="AL57" s="1" t="s">
        <v>4719</v>
      </c>
      <c r="AM57" s="1" t="s">
        <v>4685</v>
      </c>
      <c r="AN57" s="1" t="s">
        <v>4686</v>
      </c>
      <c r="AO57" s="1" t="s">
        <v>5143</v>
      </c>
      <c r="AP57" s="1" t="s">
        <v>4687</v>
      </c>
      <c r="AQ57" s="1" t="s">
        <v>4688</v>
      </c>
      <c r="AR57" s="1">
        <v>5.0</v>
      </c>
      <c r="AS57" s="3"/>
      <c r="AT57" s="3"/>
      <c r="AU57" s="4" t="s">
        <v>4771</v>
      </c>
      <c r="AW57" s="3"/>
      <c r="AX57" s="3"/>
      <c r="AY57" s="3"/>
      <c r="AZ57" s="3"/>
      <c r="BA57" s="3"/>
      <c r="BB57" s="3"/>
      <c r="BC57" s="3"/>
      <c r="BD57" s="3"/>
      <c r="BE57" s="1" t="b">
        <v>1</v>
      </c>
      <c r="BF57" s="3"/>
      <c r="BG57" s="3"/>
      <c r="BH57" s="3"/>
      <c r="BI57" s="3"/>
      <c r="BJ57" s="3"/>
      <c r="BK57" s="4" t="s">
        <v>4771</v>
      </c>
      <c r="BL57" s="1" t="s">
        <v>4723</v>
      </c>
    </row>
    <row r="58">
      <c r="A58" s="1" t="s">
        <v>913</v>
      </c>
      <c r="B58" s="1" t="s">
        <v>911</v>
      </c>
      <c r="C58" s="1" t="s">
        <v>911</v>
      </c>
      <c r="D58" s="1" t="s">
        <v>4711</v>
      </c>
      <c r="E58" s="1" t="s">
        <v>5144</v>
      </c>
      <c r="F58" s="1" t="s">
        <v>5145</v>
      </c>
      <c r="G58" s="3"/>
      <c r="H58" s="3"/>
      <c r="I58" s="1" t="s">
        <v>4742</v>
      </c>
      <c r="J58" s="1" t="s">
        <v>5146</v>
      </c>
      <c r="K58" s="3">
        <f>+821031777932</f>
        <v>821031777932</v>
      </c>
      <c r="L58" s="3"/>
      <c r="M58" s="3"/>
      <c r="N58" s="3"/>
      <c r="O58" s="3"/>
      <c r="P58" s="1">
        <v>1.14616178E8</v>
      </c>
      <c r="Q58" s="1" t="b">
        <v>1</v>
      </c>
      <c r="R58" s="1">
        <v>80.0</v>
      </c>
      <c r="S58" s="1" t="s">
        <v>5147</v>
      </c>
      <c r="T58" s="3"/>
      <c r="U58" s="1" t="s">
        <v>4672</v>
      </c>
      <c r="V58" s="1" t="s">
        <v>4673</v>
      </c>
      <c r="W58" s="1" t="s">
        <v>5148</v>
      </c>
      <c r="X58" s="1" t="b">
        <v>0</v>
      </c>
      <c r="Y58" s="1" t="s">
        <v>4675</v>
      </c>
      <c r="Z58" s="1" t="s">
        <v>5149</v>
      </c>
      <c r="AB58" s="3"/>
      <c r="AC58" s="3"/>
      <c r="AD58" s="3"/>
      <c r="AE58" s="3"/>
      <c r="AF58" s="3"/>
      <c r="AG58" s="3"/>
      <c r="AH58" s="3"/>
      <c r="AI58" s="1" t="b">
        <v>0</v>
      </c>
      <c r="AJ58" s="1" t="b">
        <v>0</v>
      </c>
      <c r="AK58" s="1" t="s">
        <v>5150</v>
      </c>
      <c r="AL58" s="1" t="s">
        <v>4684</v>
      </c>
      <c r="AM58" s="1" t="s">
        <v>4685</v>
      </c>
      <c r="AN58" s="1" t="s">
        <v>4720</v>
      </c>
      <c r="AO58" s="1" t="s">
        <v>5151</v>
      </c>
      <c r="AP58" s="1" t="s">
        <v>4721</v>
      </c>
      <c r="AQ58" s="1" t="s">
        <v>4722</v>
      </c>
      <c r="AR58" s="1">
        <v>80.0</v>
      </c>
      <c r="AS58" s="3"/>
      <c r="AT58" s="3"/>
      <c r="AU58" s="4" t="s">
        <v>4695</v>
      </c>
      <c r="AV58" s="1" t="s">
        <v>5152</v>
      </c>
      <c r="AX58" s="1" t="s">
        <v>12</v>
      </c>
      <c r="AY58" s="1" t="s">
        <v>5153</v>
      </c>
      <c r="AZ58" s="3"/>
      <c r="BA58" s="3"/>
      <c r="BB58" s="3"/>
      <c r="BC58" s="3"/>
      <c r="BD58" s="3"/>
      <c r="BE58" s="1" t="b">
        <v>1</v>
      </c>
      <c r="BF58" s="1" t="s">
        <v>5153</v>
      </c>
      <c r="BG58" s="1" t="s">
        <v>12</v>
      </c>
      <c r="BH58" s="1" t="s">
        <v>5152</v>
      </c>
      <c r="BJ58" s="3"/>
      <c r="BK58" s="4" t="s">
        <v>4695</v>
      </c>
    </row>
    <row r="59">
      <c r="A59" s="1" t="s">
        <v>2029</v>
      </c>
      <c r="B59" s="1" t="s">
        <v>2027</v>
      </c>
      <c r="C59" s="1" t="s">
        <v>2027</v>
      </c>
      <c r="D59" s="1" t="s">
        <v>4711</v>
      </c>
      <c r="E59" s="1" t="s">
        <v>5154</v>
      </c>
      <c r="F59" s="1" t="s">
        <v>5155</v>
      </c>
      <c r="G59" s="3"/>
      <c r="H59" s="3"/>
      <c r="I59" s="1" t="s">
        <v>5156</v>
      </c>
      <c r="J59" s="1" t="s">
        <v>5157</v>
      </c>
      <c r="K59" s="3">
        <f>+821089757263</f>
        <v>821089757263</v>
      </c>
      <c r="L59" s="3"/>
      <c r="M59" s="3"/>
      <c r="N59" s="3"/>
      <c r="O59" s="3"/>
      <c r="P59" s="1">
        <v>1.08842299E8</v>
      </c>
      <c r="Q59" s="1" t="b">
        <v>1</v>
      </c>
      <c r="R59" s="1">
        <v>156.0</v>
      </c>
      <c r="S59" s="1" t="s">
        <v>4885</v>
      </c>
      <c r="T59" s="3"/>
      <c r="U59" s="1" t="s">
        <v>4672</v>
      </c>
      <c r="V59" s="1" t="s">
        <v>4673</v>
      </c>
      <c r="W59" s="1" t="s">
        <v>5158</v>
      </c>
      <c r="X59" s="1" t="b">
        <v>0</v>
      </c>
      <c r="Y59" s="1" t="s">
        <v>4675</v>
      </c>
      <c r="Z59" s="1" t="s">
        <v>5159</v>
      </c>
      <c r="AB59" s="3"/>
      <c r="AC59" s="3"/>
      <c r="AD59" s="3"/>
      <c r="AE59" s="3"/>
      <c r="AF59" s="3"/>
      <c r="AG59" s="3"/>
      <c r="AH59" s="3"/>
      <c r="AI59" s="1" t="b">
        <v>0</v>
      </c>
      <c r="AJ59" s="1" t="b">
        <v>0</v>
      </c>
      <c r="AK59" s="1" t="s">
        <v>5160</v>
      </c>
      <c r="AL59" s="1" t="s">
        <v>4684</v>
      </c>
      <c r="AM59" s="1" t="s">
        <v>4685</v>
      </c>
      <c r="AN59" s="1" t="s">
        <v>4686</v>
      </c>
      <c r="AO59" s="1" t="s">
        <v>5159</v>
      </c>
      <c r="AP59" s="1" t="s">
        <v>4687</v>
      </c>
      <c r="AQ59" s="1" t="s">
        <v>4688</v>
      </c>
      <c r="AR59" s="1">
        <v>156.0</v>
      </c>
      <c r="AS59" s="3"/>
      <c r="AT59" s="3"/>
      <c r="AU59" s="4" t="s">
        <v>4856</v>
      </c>
      <c r="BB59" s="3"/>
      <c r="BC59" s="3"/>
      <c r="BD59" s="3"/>
      <c r="BE59" s="1" t="b">
        <v>1</v>
      </c>
      <c r="BF59" s="3"/>
      <c r="BG59" s="3"/>
      <c r="BH59" s="3"/>
      <c r="BI59" s="3"/>
      <c r="BJ59" s="3"/>
      <c r="BK59" s="4" t="s">
        <v>4771</v>
      </c>
    </row>
    <row r="60">
      <c r="A60" s="1" t="s">
        <v>711</v>
      </c>
      <c r="B60" s="1" t="s">
        <v>710</v>
      </c>
      <c r="C60" s="3"/>
      <c r="D60" s="3"/>
      <c r="E60" s="3"/>
      <c r="F60" s="3"/>
      <c r="G60" s="3"/>
      <c r="H60" s="3"/>
      <c r="I60" s="3"/>
      <c r="J60" s="3"/>
      <c r="K60" s="3"/>
      <c r="L60" s="3"/>
      <c r="M60" s="3"/>
      <c r="N60" s="3"/>
      <c r="O60" s="3"/>
      <c r="P60" s="1" t="s">
        <v>5161</v>
      </c>
      <c r="Q60" s="1" t="b">
        <v>0</v>
      </c>
      <c r="R60" s="1">
        <v>2.0</v>
      </c>
      <c r="S60" s="1" t="s">
        <v>4918</v>
      </c>
      <c r="T60" s="3"/>
      <c r="U60" s="1" t="s">
        <v>4672</v>
      </c>
      <c r="V60" s="1" t="s">
        <v>4673</v>
      </c>
      <c r="W60" s="1" t="s">
        <v>5162</v>
      </c>
      <c r="X60" s="1" t="b">
        <v>0</v>
      </c>
      <c r="Y60" s="1" t="s">
        <v>4675</v>
      </c>
      <c r="Z60" s="1" t="s">
        <v>5163</v>
      </c>
      <c r="AB60" s="3"/>
      <c r="AC60" s="3"/>
      <c r="AD60" s="3"/>
      <c r="AE60" s="3"/>
      <c r="AF60" s="3"/>
      <c r="AG60" s="3"/>
      <c r="AH60" s="3"/>
      <c r="AI60" s="1" t="b">
        <v>0</v>
      </c>
      <c r="AJ60" s="1" t="b">
        <v>0</v>
      </c>
      <c r="AK60" s="1" t="s">
        <v>5163</v>
      </c>
      <c r="AL60" s="1" t="s">
        <v>4707</v>
      </c>
      <c r="AM60" s="1" t="s">
        <v>4708</v>
      </c>
      <c r="AN60" s="1" t="s">
        <v>4686</v>
      </c>
      <c r="AO60" s="1" t="s">
        <v>5163</v>
      </c>
      <c r="AP60" s="1" t="s">
        <v>4709</v>
      </c>
      <c r="AQ60" s="1" t="s">
        <v>4688</v>
      </c>
      <c r="AR60" s="1">
        <v>2.0</v>
      </c>
      <c r="AS60" s="3"/>
      <c r="AT60" s="3"/>
      <c r="AU60" s="4" t="s">
        <v>4881</v>
      </c>
      <c r="AW60" s="3"/>
      <c r="AX60" s="3"/>
      <c r="AY60" s="3"/>
      <c r="AZ60" s="3"/>
      <c r="BA60" s="3"/>
      <c r="BB60" s="3"/>
      <c r="BC60" s="3"/>
      <c r="BD60" s="3"/>
      <c r="BE60" s="1" t="b">
        <v>1</v>
      </c>
      <c r="BF60" s="3"/>
      <c r="BG60" s="3"/>
      <c r="BH60" s="3"/>
      <c r="BI60" s="3"/>
      <c r="BJ60" s="3"/>
      <c r="BK60" s="4" t="s">
        <v>4881</v>
      </c>
    </row>
    <row r="61">
      <c r="A61" s="1" t="s">
        <v>1383</v>
      </c>
      <c r="B61" s="1" t="s">
        <v>1382</v>
      </c>
      <c r="C61" s="1" t="s">
        <v>1382</v>
      </c>
      <c r="D61" s="1" t="s">
        <v>4913</v>
      </c>
      <c r="E61" s="1" t="s">
        <v>5164</v>
      </c>
      <c r="F61" s="1" t="s">
        <v>5165</v>
      </c>
      <c r="G61" s="3"/>
      <c r="H61" s="1" t="s">
        <v>4861</v>
      </c>
      <c r="I61" s="1" t="s">
        <v>4699</v>
      </c>
      <c r="J61" s="1" t="s">
        <v>5166</v>
      </c>
      <c r="K61" s="3">
        <f>+821023571092</f>
        <v>821023571092</v>
      </c>
      <c r="L61" s="3"/>
      <c r="M61" s="3"/>
      <c r="N61" s="3"/>
      <c r="O61" s="3"/>
      <c r="P61" s="1">
        <v>1.0981378E8</v>
      </c>
      <c r="Q61" s="1" t="b">
        <v>1</v>
      </c>
      <c r="R61" s="1">
        <v>473.0</v>
      </c>
      <c r="S61" s="1" t="s">
        <v>4942</v>
      </c>
      <c r="U61" s="1" t="s">
        <v>4672</v>
      </c>
      <c r="V61" s="1" t="s">
        <v>4673</v>
      </c>
      <c r="W61" s="1" t="s">
        <v>5167</v>
      </c>
      <c r="X61" s="1" t="b">
        <v>0</v>
      </c>
      <c r="Y61" s="1" t="s">
        <v>4675</v>
      </c>
      <c r="Z61" s="1" t="s">
        <v>5168</v>
      </c>
      <c r="AB61" s="1" t="s">
        <v>4677</v>
      </c>
      <c r="AC61" s="1" t="s">
        <v>4678</v>
      </c>
      <c r="AD61" s="1" t="s">
        <v>4679</v>
      </c>
      <c r="AE61" s="1" t="s">
        <v>5169</v>
      </c>
      <c r="AF61" s="1" t="s">
        <v>4681</v>
      </c>
      <c r="AG61" s="1" t="s">
        <v>4682</v>
      </c>
      <c r="AH61" s="1">
        <v>2.0</v>
      </c>
      <c r="AI61" s="1" t="b">
        <v>0</v>
      </c>
      <c r="AJ61" s="1" t="b">
        <v>0</v>
      </c>
      <c r="AK61" s="1" t="s">
        <v>5170</v>
      </c>
      <c r="AL61" s="1" t="s">
        <v>4684</v>
      </c>
      <c r="AM61" s="1" t="s">
        <v>4685</v>
      </c>
      <c r="AN61" s="1" t="s">
        <v>4686</v>
      </c>
      <c r="AO61" s="1" t="s">
        <v>5168</v>
      </c>
      <c r="AP61" s="1" t="s">
        <v>4687</v>
      </c>
      <c r="AQ61" s="1" t="s">
        <v>4688</v>
      </c>
      <c r="AR61" s="1">
        <v>471.0</v>
      </c>
      <c r="AS61" s="3"/>
      <c r="AT61" s="3"/>
      <c r="AU61" s="4" t="s">
        <v>4695</v>
      </c>
      <c r="AW61" s="3"/>
      <c r="AX61" s="3"/>
      <c r="AY61" s="3"/>
      <c r="AZ61" s="3"/>
      <c r="BA61" s="3"/>
      <c r="BB61" s="3"/>
      <c r="BC61" s="3"/>
      <c r="BD61" s="3"/>
      <c r="BE61" s="1" t="b">
        <v>1</v>
      </c>
      <c r="BF61" s="3"/>
      <c r="BG61" s="3"/>
      <c r="BH61" s="3"/>
      <c r="BI61" s="3"/>
      <c r="BJ61" s="3"/>
      <c r="BK61" s="4" t="s">
        <v>4710</v>
      </c>
    </row>
    <row r="62">
      <c r="A62" s="1" t="s">
        <v>1496</v>
      </c>
      <c r="B62" s="1" t="s">
        <v>1495</v>
      </c>
      <c r="C62" s="1" t="s">
        <v>1495</v>
      </c>
      <c r="D62" s="1" t="s">
        <v>4922</v>
      </c>
      <c r="E62" s="1" t="s">
        <v>5171</v>
      </c>
      <c r="F62" s="1" t="s">
        <v>5172</v>
      </c>
      <c r="G62" s="3"/>
      <c r="H62" s="3"/>
      <c r="I62" s="1" t="s">
        <v>5026</v>
      </c>
      <c r="J62" s="1" t="s">
        <v>5173</v>
      </c>
      <c r="K62" s="3">
        <f>+821095880891</f>
        <v>821095880891</v>
      </c>
      <c r="L62" s="3"/>
      <c r="M62" s="3"/>
      <c r="N62" s="3"/>
      <c r="O62" s="3"/>
      <c r="P62" s="1">
        <v>1.22956635E8</v>
      </c>
      <c r="Q62" s="1" t="b">
        <v>1</v>
      </c>
      <c r="R62" s="1">
        <v>11.0</v>
      </c>
      <c r="S62" s="1" t="s">
        <v>4752</v>
      </c>
      <c r="T62" s="3"/>
      <c r="U62" s="1" t="s">
        <v>4672</v>
      </c>
      <c r="V62" s="1" t="s">
        <v>4673</v>
      </c>
      <c r="W62" s="1" t="s">
        <v>5174</v>
      </c>
      <c r="X62" s="1" t="b">
        <v>0</v>
      </c>
      <c r="Y62" s="1" t="s">
        <v>5087</v>
      </c>
      <c r="Z62" s="1" t="s">
        <v>5175</v>
      </c>
      <c r="AB62" s="3"/>
      <c r="AC62" s="3"/>
      <c r="AD62" s="3"/>
      <c r="AE62" s="3"/>
      <c r="AF62" s="3"/>
      <c r="AG62" s="3"/>
      <c r="AH62" s="3"/>
      <c r="AI62" s="1" t="b">
        <v>0</v>
      </c>
      <c r="AJ62" s="1" t="b">
        <v>0</v>
      </c>
      <c r="AK62" s="1" t="s">
        <v>5176</v>
      </c>
      <c r="AL62" s="1" t="s">
        <v>4719</v>
      </c>
      <c r="AM62" s="1" t="s">
        <v>4685</v>
      </c>
      <c r="AN62" s="1" t="s">
        <v>4720</v>
      </c>
      <c r="AO62" s="1" t="s">
        <v>5175</v>
      </c>
      <c r="AP62" s="1" t="s">
        <v>4721</v>
      </c>
      <c r="AQ62" s="1" t="s">
        <v>4722</v>
      </c>
      <c r="AR62" s="1">
        <v>11.0</v>
      </c>
      <c r="AS62" s="3"/>
      <c r="AT62" s="3"/>
      <c r="AU62" s="4" t="s">
        <v>4695</v>
      </c>
      <c r="AW62" s="3"/>
      <c r="AX62" s="3"/>
      <c r="AY62" s="3"/>
      <c r="AZ62" s="3"/>
      <c r="BA62" s="3"/>
      <c r="BB62" s="3"/>
      <c r="BC62" s="3"/>
      <c r="BD62" s="3"/>
      <c r="BE62" s="1" t="b">
        <v>1</v>
      </c>
      <c r="BF62" s="3"/>
      <c r="BG62" s="3"/>
      <c r="BH62" s="3"/>
      <c r="BI62" s="3"/>
      <c r="BJ62" s="3"/>
      <c r="BK62" s="4" t="s">
        <v>4695</v>
      </c>
    </row>
    <row r="63">
      <c r="A63" s="1" t="s">
        <v>1768</v>
      </c>
      <c r="B63" s="1" t="s">
        <v>1767</v>
      </c>
      <c r="C63" s="1" t="s">
        <v>1767</v>
      </c>
      <c r="D63" s="1" t="s">
        <v>4696</v>
      </c>
      <c r="E63" s="1" t="s">
        <v>5177</v>
      </c>
      <c r="F63" s="1" t="s">
        <v>5178</v>
      </c>
      <c r="G63" s="3"/>
      <c r="H63" s="3"/>
      <c r="I63" s="1" t="s">
        <v>5179</v>
      </c>
      <c r="J63" s="1" t="s">
        <v>5180</v>
      </c>
      <c r="K63" s="3">
        <f>+821091387238</f>
        <v>821091387238</v>
      </c>
      <c r="L63" s="3"/>
      <c r="M63" s="3"/>
      <c r="N63" s="3"/>
      <c r="O63" s="3"/>
      <c r="P63" s="1">
        <v>2.085743365E9</v>
      </c>
      <c r="Q63" s="1" t="b">
        <v>1</v>
      </c>
      <c r="R63" s="1">
        <v>373.0</v>
      </c>
      <c r="S63" s="1" t="s">
        <v>4805</v>
      </c>
      <c r="T63" s="3"/>
      <c r="U63" s="1" t="s">
        <v>4672</v>
      </c>
      <c r="V63" s="1" t="s">
        <v>4673</v>
      </c>
      <c r="W63" s="1" t="s">
        <v>5181</v>
      </c>
      <c r="X63" s="1" t="b">
        <v>0</v>
      </c>
      <c r="Y63" s="1" t="s">
        <v>4675</v>
      </c>
      <c r="Z63" s="1" t="s">
        <v>5182</v>
      </c>
      <c r="AB63" s="1" t="s">
        <v>4677</v>
      </c>
      <c r="AC63" s="1" t="s">
        <v>4678</v>
      </c>
      <c r="AD63" s="1" t="s">
        <v>4679</v>
      </c>
      <c r="AE63" s="1" t="s">
        <v>5183</v>
      </c>
      <c r="AF63" s="1" t="s">
        <v>4681</v>
      </c>
      <c r="AG63" s="1" t="s">
        <v>4682</v>
      </c>
      <c r="AH63" s="1">
        <v>9.0</v>
      </c>
      <c r="AI63" s="1" t="b">
        <v>0</v>
      </c>
      <c r="AJ63" s="1" t="b">
        <v>0</v>
      </c>
      <c r="AK63" s="1" t="s">
        <v>5184</v>
      </c>
      <c r="AL63" s="1" t="s">
        <v>4719</v>
      </c>
      <c r="AM63" s="1" t="s">
        <v>4685</v>
      </c>
      <c r="AN63" s="1" t="s">
        <v>4720</v>
      </c>
      <c r="AO63" s="1" t="s">
        <v>5182</v>
      </c>
      <c r="AP63" s="1" t="s">
        <v>4721</v>
      </c>
      <c r="AQ63" s="1" t="s">
        <v>4722</v>
      </c>
      <c r="AR63" s="1">
        <v>364.0</v>
      </c>
      <c r="AS63" s="3"/>
      <c r="AT63" s="3"/>
      <c r="AU63" s="4" t="s">
        <v>4934</v>
      </c>
      <c r="AW63" s="3"/>
      <c r="AX63" s="3"/>
      <c r="AY63" s="3"/>
      <c r="AZ63" s="3"/>
      <c r="BA63" s="3"/>
      <c r="BB63" s="3"/>
      <c r="BC63" s="3"/>
      <c r="BD63" s="3"/>
      <c r="BE63" s="1" t="b">
        <v>1</v>
      </c>
      <c r="BF63" s="3"/>
      <c r="BG63" s="3"/>
      <c r="BH63" s="3"/>
      <c r="BI63" s="3"/>
      <c r="BJ63" s="3"/>
      <c r="BK63" s="4" t="s">
        <v>4695</v>
      </c>
    </row>
    <row r="64">
      <c r="A64" s="1" t="s">
        <v>1336</v>
      </c>
      <c r="B64" s="1" t="s">
        <v>1335</v>
      </c>
      <c r="C64" s="3"/>
      <c r="D64" s="3"/>
      <c r="E64" s="3"/>
      <c r="F64" s="3"/>
      <c r="G64" s="3"/>
      <c r="H64" s="3"/>
      <c r="I64" s="3"/>
      <c r="J64" s="3"/>
      <c r="K64" s="3"/>
      <c r="L64" s="3"/>
      <c r="M64" s="3"/>
      <c r="N64" s="3"/>
      <c r="O64" s="3"/>
      <c r="P64" s="1" t="s">
        <v>5185</v>
      </c>
      <c r="Q64" s="1" t="b">
        <v>0</v>
      </c>
      <c r="R64" s="1">
        <v>2.0</v>
      </c>
      <c r="S64" s="1" t="s">
        <v>5186</v>
      </c>
      <c r="T64" s="3"/>
      <c r="U64" s="1" t="s">
        <v>4672</v>
      </c>
      <c r="V64" s="1" t="s">
        <v>4673</v>
      </c>
      <c r="W64" s="1" t="s">
        <v>5187</v>
      </c>
      <c r="X64" s="1" t="b">
        <v>0</v>
      </c>
      <c r="Y64" s="1" t="s">
        <v>4675</v>
      </c>
      <c r="Z64" s="1" t="s">
        <v>5188</v>
      </c>
      <c r="AB64" s="3"/>
      <c r="AC64" s="3"/>
      <c r="AD64" s="3"/>
      <c r="AE64" s="3"/>
      <c r="AF64" s="3"/>
      <c r="AG64" s="3"/>
      <c r="AH64" s="3"/>
      <c r="AI64" s="1" t="b">
        <v>0</v>
      </c>
      <c r="AJ64" s="1" t="b">
        <v>0</v>
      </c>
      <c r="AK64" s="1" t="s">
        <v>5188</v>
      </c>
      <c r="AL64" s="1" t="s">
        <v>4719</v>
      </c>
      <c r="AM64" s="1" t="s">
        <v>4685</v>
      </c>
      <c r="AN64" s="1" t="s">
        <v>4686</v>
      </c>
      <c r="AO64" s="1" t="s">
        <v>5188</v>
      </c>
      <c r="AP64" s="1" t="s">
        <v>4687</v>
      </c>
      <c r="AQ64" s="1" t="s">
        <v>4688</v>
      </c>
      <c r="AR64" s="1">
        <v>2.0</v>
      </c>
      <c r="AS64" s="3"/>
      <c r="AT64" s="3"/>
      <c r="AU64" s="4" t="s">
        <v>4780</v>
      </c>
      <c r="AW64" s="3"/>
      <c r="AX64" s="3"/>
      <c r="AY64" s="3"/>
      <c r="AZ64" s="3"/>
      <c r="BA64" s="3"/>
      <c r="BB64" s="3"/>
      <c r="BC64" s="3"/>
      <c r="BD64" s="3"/>
      <c r="BE64" s="1" t="b">
        <v>1</v>
      </c>
      <c r="BF64" s="3"/>
      <c r="BG64" s="3"/>
      <c r="BH64" s="3"/>
      <c r="BI64" s="3"/>
      <c r="BJ64" s="3"/>
      <c r="BK64" s="4" t="s">
        <v>4780</v>
      </c>
    </row>
    <row r="65">
      <c r="A65" s="1" t="s">
        <v>1017</v>
      </c>
      <c r="B65" s="1" t="s">
        <v>1016</v>
      </c>
      <c r="C65" s="1" t="s">
        <v>1016</v>
      </c>
      <c r="D65" s="1" t="s">
        <v>4711</v>
      </c>
      <c r="E65" s="1" t="s">
        <v>5189</v>
      </c>
      <c r="F65" s="1" t="s">
        <v>5190</v>
      </c>
      <c r="G65" s="3"/>
      <c r="H65" s="3"/>
      <c r="I65" s="1" t="s">
        <v>4742</v>
      </c>
      <c r="J65" s="1" t="s">
        <v>5191</v>
      </c>
      <c r="K65" s="3">
        <f>+821089083333</f>
        <v>821089083333</v>
      </c>
      <c r="L65" s="3"/>
      <c r="M65" s="3"/>
      <c r="N65" s="3"/>
      <c r="O65" s="3"/>
      <c r="P65" s="1">
        <v>1.09918207E8</v>
      </c>
      <c r="Q65" s="1" t="b">
        <v>1</v>
      </c>
      <c r="R65" s="1">
        <v>16.0</v>
      </c>
      <c r="S65" s="1" t="s">
        <v>4752</v>
      </c>
      <c r="T65" s="3"/>
      <c r="U65" s="1" t="s">
        <v>4672</v>
      </c>
      <c r="V65" s="1" t="s">
        <v>4673</v>
      </c>
      <c r="W65" s="1" t="s">
        <v>5192</v>
      </c>
      <c r="X65" s="1" t="b">
        <v>0</v>
      </c>
      <c r="Y65" s="1" t="s">
        <v>4675</v>
      </c>
      <c r="Z65" s="1" t="s">
        <v>5193</v>
      </c>
      <c r="AB65" s="1" t="s">
        <v>4677</v>
      </c>
      <c r="AC65" s="1" t="s">
        <v>4678</v>
      </c>
      <c r="AD65" s="1" t="s">
        <v>5194</v>
      </c>
      <c r="AE65" s="1" t="s">
        <v>5195</v>
      </c>
      <c r="AF65" s="1" t="s">
        <v>4757</v>
      </c>
      <c r="AG65" s="1" t="s">
        <v>4758</v>
      </c>
      <c r="AH65" s="1">
        <v>11.0</v>
      </c>
      <c r="AI65" s="1" t="b">
        <v>0</v>
      </c>
      <c r="AJ65" s="1" t="b">
        <v>0</v>
      </c>
      <c r="AK65" s="1" t="s">
        <v>5196</v>
      </c>
      <c r="AL65" s="1" t="s">
        <v>4707</v>
      </c>
      <c r="AM65" s="1" t="s">
        <v>4708</v>
      </c>
      <c r="AN65" s="1" t="s">
        <v>4686</v>
      </c>
      <c r="AO65" s="1" t="s">
        <v>5193</v>
      </c>
      <c r="AP65" s="1" t="s">
        <v>4709</v>
      </c>
      <c r="AQ65" s="1" t="s">
        <v>4688</v>
      </c>
      <c r="AR65" s="1">
        <v>5.0</v>
      </c>
      <c r="AS65" s="3"/>
      <c r="AT65" s="3"/>
      <c r="AU65" s="4" t="s">
        <v>4695</v>
      </c>
      <c r="AV65" s="1" t="s">
        <v>4788</v>
      </c>
      <c r="AW65" s="1" t="s">
        <v>4789</v>
      </c>
      <c r="AX65" s="1" t="s">
        <v>4692</v>
      </c>
      <c r="AY65" s="1" t="s">
        <v>4790</v>
      </c>
      <c r="AZ65" s="1" t="s">
        <v>5197</v>
      </c>
      <c r="BA65" s="3"/>
      <c r="BB65" s="3"/>
      <c r="BC65" s="3"/>
      <c r="BD65" s="3"/>
      <c r="BE65" s="1" t="b">
        <v>1</v>
      </c>
      <c r="BF65" s="1" t="s">
        <v>4790</v>
      </c>
      <c r="BG65" s="1" t="s">
        <v>4692</v>
      </c>
      <c r="BH65" s="1" t="s">
        <v>4788</v>
      </c>
      <c r="BI65" s="1" t="s">
        <v>4789</v>
      </c>
      <c r="BJ65" s="1" t="s">
        <v>5197</v>
      </c>
      <c r="BK65" s="4" t="s">
        <v>4780</v>
      </c>
      <c r="BL65" s="1" t="s">
        <v>4723</v>
      </c>
    </row>
    <row r="66">
      <c r="A66" s="1" t="s">
        <v>928</v>
      </c>
      <c r="B66" s="1" t="s">
        <v>926</v>
      </c>
      <c r="C66" s="1" t="s">
        <v>926</v>
      </c>
      <c r="D66" s="1" t="s">
        <v>4711</v>
      </c>
      <c r="E66" s="1" t="s">
        <v>5198</v>
      </c>
      <c r="F66" s="1" t="s">
        <v>5199</v>
      </c>
      <c r="G66" s="3"/>
      <c r="H66" s="3"/>
      <c r="I66" s="3"/>
      <c r="J66" s="1" t="s">
        <v>5200</v>
      </c>
      <c r="K66" s="3">
        <f>+821028785127</f>
        <v>821028785127</v>
      </c>
      <c r="L66" s="3"/>
      <c r="M66" s="3"/>
      <c r="N66" s="3"/>
      <c r="O66" s="3"/>
      <c r="P66" s="1">
        <v>1.11131518E8</v>
      </c>
      <c r="Q66" s="1" t="b">
        <v>1</v>
      </c>
      <c r="R66" s="1">
        <v>5.0</v>
      </c>
      <c r="S66" s="1" t="s">
        <v>4942</v>
      </c>
      <c r="U66" s="1" t="s">
        <v>4672</v>
      </c>
      <c r="V66" s="1" t="s">
        <v>4673</v>
      </c>
      <c r="W66" s="1" t="s">
        <v>5201</v>
      </c>
      <c r="X66" s="1" t="b">
        <v>0</v>
      </c>
      <c r="Y66" s="1" t="s">
        <v>4675</v>
      </c>
      <c r="Z66" s="1" t="s">
        <v>5202</v>
      </c>
      <c r="AB66" s="3"/>
      <c r="AC66" s="3"/>
      <c r="AD66" s="3"/>
      <c r="AE66" s="3"/>
      <c r="AF66" s="3"/>
      <c r="AG66" s="3"/>
      <c r="AH66" s="3"/>
      <c r="AI66" s="1" t="b">
        <v>0</v>
      </c>
      <c r="AJ66" s="1" t="b">
        <v>0</v>
      </c>
      <c r="AK66" s="1" t="s">
        <v>5203</v>
      </c>
      <c r="AL66" s="1" t="s">
        <v>5204</v>
      </c>
      <c r="AM66" s="1" t="s">
        <v>4685</v>
      </c>
      <c r="AN66" s="1" t="s">
        <v>4686</v>
      </c>
      <c r="AO66" s="1" t="s">
        <v>5205</v>
      </c>
      <c r="AP66" s="1" t="s">
        <v>4687</v>
      </c>
      <c r="AQ66" s="1" t="s">
        <v>4688</v>
      </c>
      <c r="AR66" s="1">
        <v>5.0</v>
      </c>
      <c r="AS66" s="3"/>
      <c r="AT66" s="3"/>
      <c r="AU66" s="4" t="s">
        <v>5206</v>
      </c>
      <c r="BE66" s="1" t="b">
        <v>1</v>
      </c>
      <c r="BF66" s="3"/>
      <c r="BG66" s="3"/>
      <c r="BH66" s="3"/>
      <c r="BI66" s="3"/>
      <c r="BJ66" s="3"/>
      <c r="BK66" s="4" t="s">
        <v>4695</v>
      </c>
      <c r="BL66" s="1" t="s">
        <v>4723</v>
      </c>
    </row>
    <row r="67">
      <c r="A67" s="1" t="s">
        <v>1152</v>
      </c>
      <c r="B67" s="1" t="s">
        <v>1151</v>
      </c>
      <c r="C67" s="1" t="s">
        <v>1151</v>
      </c>
      <c r="D67" s="1" t="s">
        <v>4724</v>
      </c>
      <c r="E67" s="1" t="s">
        <v>5207</v>
      </c>
      <c r="F67" s="1" t="s">
        <v>5208</v>
      </c>
      <c r="G67" s="3"/>
      <c r="H67" s="3"/>
      <c r="I67" s="3"/>
      <c r="J67" s="1" t="s">
        <v>5209</v>
      </c>
      <c r="K67" s="3">
        <f>+821045877298</f>
        <v>821045877298</v>
      </c>
      <c r="L67" s="3"/>
      <c r="M67" s="3"/>
      <c r="N67" s="3"/>
      <c r="O67" s="3"/>
      <c r="P67" s="1">
        <v>1.22949247E8</v>
      </c>
      <c r="Q67" s="1" t="b">
        <v>1</v>
      </c>
      <c r="R67" s="1">
        <v>4.0</v>
      </c>
      <c r="S67" s="1" t="s">
        <v>5210</v>
      </c>
      <c r="T67" s="3"/>
      <c r="U67" s="1" t="s">
        <v>4672</v>
      </c>
      <c r="V67" s="1" t="s">
        <v>4673</v>
      </c>
      <c r="W67" s="1" t="s">
        <v>5211</v>
      </c>
      <c r="X67" s="1" t="b">
        <v>0</v>
      </c>
      <c r="Y67" s="1" t="s">
        <v>4675</v>
      </c>
      <c r="Z67" s="1" t="s">
        <v>5212</v>
      </c>
      <c r="AB67" s="3"/>
      <c r="AC67" s="3"/>
      <c r="AD67" s="3"/>
      <c r="AE67" s="3"/>
      <c r="AF67" s="3"/>
      <c r="AG67" s="3"/>
      <c r="AH67" s="3"/>
      <c r="AI67" s="1" t="b">
        <v>0</v>
      </c>
      <c r="AJ67" s="1" t="b">
        <v>0</v>
      </c>
      <c r="AK67" s="1" t="s">
        <v>5213</v>
      </c>
      <c r="AL67" s="1" t="s">
        <v>4719</v>
      </c>
      <c r="AM67" s="1" t="s">
        <v>4685</v>
      </c>
      <c r="AN67" s="1" t="s">
        <v>4686</v>
      </c>
      <c r="AO67" s="1" t="s">
        <v>5212</v>
      </c>
      <c r="AP67" s="1" t="s">
        <v>4687</v>
      </c>
      <c r="AQ67" s="1" t="s">
        <v>4688</v>
      </c>
      <c r="AR67" s="1">
        <v>4.0</v>
      </c>
      <c r="AS67" s="3"/>
      <c r="AT67" s="3"/>
      <c r="AU67" s="4" t="s">
        <v>4695</v>
      </c>
      <c r="AW67" s="3"/>
      <c r="AX67" s="3"/>
      <c r="AY67" s="3"/>
      <c r="AZ67" s="3"/>
      <c r="BA67" s="3"/>
      <c r="BB67" s="3"/>
      <c r="BC67" s="3"/>
      <c r="BD67" s="3"/>
      <c r="BE67" s="1" t="b">
        <v>1</v>
      </c>
      <c r="BF67" s="3"/>
      <c r="BG67" s="3"/>
      <c r="BH67" s="3"/>
      <c r="BI67" s="3"/>
      <c r="BJ67" s="3"/>
      <c r="BK67" s="4" t="s">
        <v>4695</v>
      </c>
    </row>
    <row r="68">
      <c r="A68" s="1" t="s">
        <v>281</v>
      </c>
      <c r="B68" s="1" t="s">
        <v>280</v>
      </c>
      <c r="C68" s="1" t="s">
        <v>280</v>
      </c>
      <c r="D68" s="1" t="s">
        <v>4922</v>
      </c>
      <c r="E68" s="1" t="s">
        <v>5214</v>
      </c>
      <c r="F68" s="1" t="s">
        <v>5215</v>
      </c>
      <c r="G68" s="3"/>
      <c r="H68" s="3"/>
      <c r="I68" s="1" t="s">
        <v>4669</v>
      </c>
      <c r="J68" s="1" t="s">
        <v>5216</v>
      </c>
      <c r="K68" s="3">
        <f>+821068525584</f>
        <v>821068525584</v>
      </c>
      <c r="L68" s="3"/>
      <c r="M68" s="3"/>
      <c r="N68" s="3"/>
      <c r="O68" s="3"/>
      <c r="P68" s="1">
        <v>1.22953658E8</v>
      </c>
      <c r="Q68" s="1" t="b">
        <v>1</v>
      </c>
      <c r="R68" s="1">
        <v>25.0</v>
      </c>
      <c r="S68" s="1" t="s">
        <v>4752</v>
      </c>
      <c r="T68" s="3"/>
      <c r="U68" s="1" t="s">
        <v>4672</v>
      </c>
      <c r="V68" s="1" t="s">
        <v>4673</v>
      </c>
      <c r="W68" s="1" t="s">
        <v>5217</v>
      </c>
      <c r="X68" s="1" t="b">
        <v>0</v>
      </c>
      <c r="Y68" s="1" t="s">
        <v>4675</v>
      </c>
      <c r="Z68" s="1" t="s">
        <v>5218</v>
      </c>
      <c r="AB68" s="3"/>
      <c r="AC68" s="3"/>
      <c r="AD68" s="3"/>
      <c r="AE68" s="3"/>
      <c r="AF68" s="3"/>
      <c r="AG68" s="3"/>
      <c r="AH68" s="3"/>
      <c r="AI68" s="1" t="b">
        <v>0</v>
      </c>
      <c r="AJ68" s="1" t="b">
        <v>0</v>
      </c>
      <c r="AK68" s="1" t="s">
        <v>5219</v>
      </c>
      <c r="AL68" s="1" t="s">
        <v>4719</v>
      </c>
      <c r="AM68" s="1" t="s">
        <v>4685</v>
      </c>
      <c r="AN68" s="1" t="s">
        <v>4686</v>
      </c>
      <c r="AO68" s="1" t="s">
        <v>5218</v>
      </c>
      <c r="AP68" s="1" t="s">
        <v>4687</v>
      </c>
      <c r="AQ68" s="1" t="s">
        <v>4688</v>
      </c>
      <c r="AR68" s="1">
        <v>25.0</v>
      </c>
      <c r="AS68" s="3"/>
      <c r="AT68" s="3"/>
      <c r="AU68" s="4" t="s">
        <v>4695</v>
      </c>
      <c r="AV68" s="1" t="s">
        <v>4690</v>
      </c>
      <c r="AW68" s="1" t="s">
        <v>4691</v>
      </c>
      <c r="AX68" s="1" t="s">
        <v>4692</v>
      </c>
      <c r="AY68" s="1" t="s">
        <v>4693</v>
      </c>
      <c r="AZ68" s="1" t="s">
        <v>4694</v>
      </c>
      <c r="BA68" s="3"/>
      <c r="BB68" s="3"/>
      <c r="BC68" s="3"/>
      <c r="BD68" s="3"/>
      <c r="BE68" s="1" t="b">
        <v>1</v>
      </c>
      <c r="BF68" s="1" t="s">
        <v>4693</v>
      </c>
      <c r="BG68" s="1" t="s">
        <v>4692</v>
      </c>
      <c r="BH68" s="1" t="s">
        <v>4690</v>
      </c>
      <c r="BI68" s="1" t="s">
        <v>4691</v>
      </c>
      <c r="BJ68" s="1" t="s">
        <v>4694</v>
      </c>
      <c r="BK68" s="4" t="s">
        <v>4695</v>
      </c>
    </row>
    <row r="69">
      <c r="A69" s="1" t="s">
        <v>793</v>
      </c>
      <c r="B69" s="1" t="s">
        <v>792</v>
      </c>
      <c r="C69" s="1" t="s">
        <v>792</v>
      </c>
      <c r="D69" s="1" t="s">
        <v>4711</v>
      </c>
      <c r="E69" s="1" t="s">
        <v>5220</v>
      </c>
      <c r="F69" s="1" t="s">
        <v>5221</v>
      </c>
      <c r="G69" s="3"/>
      <c r="H69" s="3"/>
      <c r="I69" s="3"/>
      <c r="J69" s="1" t="s">
        <v>5222</v>
      </c>
      <c r="K69" s="3">
        <f>+821087550064</f>
        <v>821087550064</v>
      </c>
      <c r="L69" s="3"/>
      <c r="M69" s="3"/>
      <c r="N69" s="3"/>
      <c r="O69" s="3"/>
      <c r="P69" s="1">
        <v>2.085882658E9</v>
      </c>
      <c r="Q69" s="1" t="b">
        <v>1</v>
      </c>
      <c r="R69" s="1">
        <v>1.0</v>
      </c>
      <c r="S69" s="1" t="s">
        <v>5116</v>
      </c>
      <c r="U69" s="1" t="s">
        <v>4672</v>
      </c>
      <c r="V69" s="1" t="s">
        <v>4673</v>
      </c>
      <c r="W69" s="1" t="s">
        <v>5223</v>
      </c>
      <c r="X69" s="1" t="b">
        <v>0</v>
      </c>
      <c r="Y69" s="1" t="s">
        <v>4675</v>
      </c>
      <c r="Z69" s="1" t="s">
        <v>5223</v>
      </c>
      <c r="AB69" s="3"/>
      <c r="AC69" s="3"/>
      <c r="AD69" s="3"/>
      <c r="AE69" s="3"/>
      <c r="AF69" s="3"/>
      <c r="AG69" s="3"/>
      <c r="AH69" s="3"/>
      <c r="AI69" s="1" t="b">
        <v>0</v>
      </c>
      <c r="AJ69" s="1" t="b">
        <v>0</v>
      </c>
      <c r="AK69" s="1" t="s">
        <v>5224</v>
      </c>
      <c r="AL69" s="1" t="s">
        <v>4719</v>
      </c>
      <c r="AM69" s="1" t="s">
        <v>4685</v>
      </c>
      <c r="AN69" s="1" t="s">
        <v>4686</v>
      </c>
      <c r="AO69" s="1" t="s">
        <v>5223</v>
      </c>
      <c r="AP69" s="1" t="s">
        <v>4687</v>
      </c>
      <c r="AQ69" s="1" t="s">
        <v>4688</v>
      </c>
      <c r="AR69" s="1">
        <v>1.0</v>
      </c>
      <c r="AS69" s="3"/>
      <c r="AT69" s="3"/>
      <c r="AU69" s="3"/>
      <c r="AV69" s="3"/>
      <c r="AW69" s="3"/>
      <c r="AX69" s="3"/>
      <c r="AY69" s="3"/>
      <c r="AZ69" s="3"/>
      <c r="BA69" s="3"/>
      <c r="BB69" s="3"/>
      <c r="BC69" s="3"/>
      <c r="BD69" s="3"/>
      <c r="BE69" s="1" t="b">
        <v>1</v>
      </c>
      <c r="BF69" s="3"/>
      <c r="BG69" s="3"/>
      <c r="BH69" s="3"/>
      <c r="BI69" s="3"/>
      <c r="BJ69" s="3"/>
      <c r="BK69" s="3"/>
      <c r="BL69" s="3"/>
    </row>
    <row r="70">
      <c r="A70" s="1" t="s">
        <v>1156</v>
      </c>
      <c r="B70" s="1" t="s">
        <v>1155</v>
      </c>
      <c r="C70" s="1" t="s">
        <v>1155</v>
      </c>
      <c r="D70" s="1" t="s">
        <v>4724</v>
      </c>
      <c r="E70" s="1" t="s">
        <v>5225</v>
      </c>
      <c r="F70" s="1" t="s">
        <v>5226</v>
      </c>
      <c r="G70" s="3"/>
      <c r="H70" s="3"/>
      <c r="I70" s="3"/>
      <c r="J70" s="1" t="s">
        <v>5227</v>
      </c>
      <c r="K70" s="3">
        <f>+821032031114</f>
        <v>821032031114</v>
      </c>
      <c r="L70" s="3"/>
      <c r="M70" s="3"/>
      <c r="N70" s="3"/>
      <c r="O70" s="3"/>
      <c r="P70" s="1">
        <v>1.22992733E8</v>
      </c>
      <c r="Q70" s="1" t="b">
        <v>1</v>
      </c>
      <c r="R70" s="1">
        <v>7.0</v>
      </c>
      <c r="S70" s="1" t="s">
        <v>5228</v>
      </c>
      <c r="T70" s="3"/>
      <c r="U70" s="1" t="s">
        <v>4672</v>
      </c>
      <c r="V70" s="1" t="s">
        <v>4673</v>
      </c>
      <c r="W70" s="1" t="s">
        <v>5229</v>
      </c>
      <c r="X70" s="1" t="b">
        <v>0</v>
      </c>
      <c r="Y70" s="1" t="s">
        <v>4675</v>
      </c>
      <c r="Z70" s="1" t="s">
        <v>5230</v>
      </c>
      <c r="AB70" s="3"/>
      <c r="AC70" s="3"/>
      <c r="AD70" s="3"/>
      <c r="AE70" s="3"/>
      <c r="AF70" s="3"/>
      <c r="AG70" s="3"/>
      <c r="AH70" s="3"/>
      <c r="AI70" s="1" t="b">
        <v>0</v>
      </c>
      <c r="AJ70" s="1" t="b">
        <v>0</v>
      </c>
      <c r="AK70" s="1" t="s">
        <v>5230</v>
      </c>
      <c r="AL70" s="1" t="s">
        <v>4719</v>
      </c>
      <c r="AM70" s="1" t="s">
        <v>4685</v>
      </c>
      <c r="AN70" s="1" t="s">
        <v>4686</v>
      </c>
      <c r="AO70" s="1" t="s">
        <v>5230</v>
      </c>
      <c r="AP70" s="1" t="s">
        <v>4687</v>
      </c>
      <c r="AQ70" s="1" t="s">
        <v>4688</v>
      </c>
      <c r="AR70" s="1">
        <v>7.0</v>
      </c>
      <c r="AS70" s="3"/>
      <c r="AT70" s="3"/>
      <c r="AU70" s="4" t="s">
        <v>4695</v>
      </c>
      <c r="AW70" s="3"/>
      <c r="AX70" s="3"/>
      <c r="AY70" s="3"/>
      <c r="AZ70" s="3"/>
      <c r="BA70" s="3"/>
      <c r="BB70" s="3"/>
      <c r="BC70" s="3"/>
      <c r="BD70" s="3"/>
      <c r="BE70" s="1" t="b">
        <v>1</v>
      </c>
      <c r="BF70" s="3"/>
      <c r="BG70" s="3"/>
      <c r="BH70" s="3"/>
      <c r="BI70" s="3"/>
      <c r="BJ70" s="3"/>
      <c r="BK70" s="4" t="s">
        <v>4695</v>
      </c>
    </row>
    <row r="71">
      <c r="A71" s="1" t="s">
        <v>1187</v>
      </c>
      <c r="B71" s="1" t="s">
        <v>1186</v>
      </c>
      <c r="C71" s="1" t="s">
        <v>1186</v>
      </c>
      <c r="D71" s="1" t="s">
        <v>4711</v>
      </c>
      <c r="E71" s="1" t="s">
        <v>5231</v>
      </c>
      <c r="F71" s="1" t="s">
        <v>5232</v>
      </c>
      <c r="G71" s="3"/>
      <c r="H71" s="1" t="s">
        <v>4861</v>
      </c>
      <c r="I71" s="1" t="s">
        <v>4742</v>
      </c>
      <c r="J71" s="1" t="s">
        <v>5233</v>
      </c>
      <c r="K71" s="3">
        <f>+821033608415</f>
        <v>821033608415</v>
      </c>
      <c r="L71" s="3"/>
      <c r="M71" s="3"/>
      <c r="N71" s="3"/>
      <c r="O71" s="3"/>
      <c r="P71" s="1">
        <v>1.09950739E8</v>
      </c>
      <c r="Q71" s="1" t="b">
        <v>1</v>
      </c>
      <c r="R71" s="1">
        <v>941.0</v>
      </c>
      <c r="S71" s="1" t="s">
        <v>5234</v>
      </c>
      <c r="T71" s="3"/>
      <c r="U71" s="1" t="s">
        <v>4672</v>
      </c>
      <c r="V71" s="1" t="s">
        <v>4673</v>
      </c>
      <c r="W71" s="1" t="s">
        <v>5235</v>
      </c>
      <c r="X71" s="1" t="b">
        <v>0</v>
      </c>
      <c r="Y71" s="1" t="s">
        <v>4675</v>
      </c>
      <c r="Z71" s="1" t="s">
        <v>5236</v>
      </c>
      <c r="AB71" s="3"/>
      <c r="AC71" s="3"/>
      <c r="AD71" s="3"/>
      <c r="AE71" s="3"/>
      <c r="AF71" s="3"/>
      <c r="AG71" s="3"/>
      <c r="AH71" s="3"/>
      <c r="AI71" s="1" t="b">
        <v>0</v>
      </c>
      <c r="AJ71" s="1" t="b">
        <v>0</v>
      </c>
      <c r="AK71" s="1" t="s">
        <v>5237</v>
      </c>
      <c r="AL71" s="1" t="s">
        <v>4769</v>
      </c>
      <c r="AM71" s="1" t="s">
        <v>4708</v>
      </c>
      <c r="AN71" s="1" t="s">
        <v>4686</v>
      </c>
      <c r="AO71" s="1" t="s">
        <v>5236</v>
      </c>
      <c r="AP71" s="1" t="s">
        <v>4709</v>
      </c>
      <c r="AQ71" s="1" t="s">
        <v>4688</v>
      </c>
      <c r="AR71" s="1">
        <v>941.0</v>
      </c>
      <c r="AS71" s="3"/>
      <c r="AT71" s="3"/>
      <c r="AU71" s="4" t="s">
        <v>5238</v>
      </c>
      <c r="AW71" s="3"/>
      <c r="AX71" s="3"/>
      <c r="AY71" s="3"/>
      <c r="AZ71" s="3"/>
      <c r="BA71" s="3"/>
      <c r="BB71" s="3"/>
      <c r="BC71" s="3"/>
      <c r="BD71" s="3"/>
      <c r="BE71" s="1" t="b">
        <v>1</v>
      </c>
      <c r="BF71" s="3"/>
      <c r="BG71" s="3"/>
      <c r="BH71" s="3"/>
      <c r="BI71" s="3"/>
      <c r="BJ71" s="3"/>
      <c r="BK71" s="3"/>
      <c r="BL71" s="3"/>
    </row>
    <row r="72">
      <c r="A72" s="1" t="s">
        <v>129</v>
      </c>
      <c r="B72" s="1" t="s">
        <v>126</v>
      </c>
      <c r="C72" s="1" t="s">
        <v>126</v>
      </c>
      <c r="D72" s="1" t="s">
        <v>4696</v>
      </c>
      <c r="E72" s="1" t="s">
        <v>5239</v>
      </c>
      <c r="F72" s="1" t="s">
        <v>5240</v>
      </c>
      <c r="G72" s="3"/>
      <c r="H72" s="3"/>
      <c r="I72" s="3"/>
      <c r="J72" s="1" t="s">
        <v>5241</v>
      </c>
      <c r="K72" s="3">
        <f>+821051119300</f>
        <v>821051119300</v>
      </c>
      <c r="L72" s="3"/>
      <c r="M72" s="3"/>
      <c r="N72" s="3"/>
      <c r="O72" s="3"/>
      <c r="P72" s="1">
        <v>2.085807619E9</v>
      </c>
      <c r="Q72" s="1" t="b">
        <v>1</v>
      </c>
      <c r="R72" s="1">
        <v>49.0</v>
      </c>
      <c r="S72" s="1" t="s">
        <v>4752</v>
      </c>
      <c r="T72" s="3"/>
      <c r="U72" s="1" t="s">
        <v>4672</v>
      </c>
      <c r="V72" s="1" t="s">
        <v>4673</v>
      </c>
      <c r="W72" s="1" t="s">
        <v>5242</v>
      </c>
      <c r="X72" s="1" t="b">
        <v>0</v>
      </c>
      <c r="Y72" s="1" t="s">
        <v>4675</v>
      </c>
      <c r="Z72" s="1" t="s">
        <v>5243</v>
      </c>
      <c r="AB72" s="1" t="s">
        <v>4677</v>
      </c>
      <c r="AC72" s="1" t="s">
        <v>4678</v>
      </c>
      <c r="AD72" s="1" t="s">
        <v>5194</v>
      </c>
      <c r="AE72" s="1" t="s">
        <v>5244</v>
      </c>
      <c r="AF72" s="1" t="s">
        <v>4757</v>
      </c>
      <c r="AG72" s="1" t="s">
        <v>4758</v>
      </c>
      <c r="AH72" s="1">
        <v>1.0</v>
      </c>
      <c r="AI72" s="1" t="b">
        <v>0</v>
      </c>
      <c r="AJ72" s="1" t="b">
        <v>0</v>
      </c>
      <c r="AK72" s="1" t="s">
        <v>5245</v>
      </c>
      <c r="AL72" s="1" t="s">
        <v>4684</v>
      </c>
      <c r="AM72" s="1" t="s">
        <v>4685</v>
      </c>
      <c r="AN72" s="1" t="s">
        <v>4720</v>
      </c>
      <c r="AO72" s="1" t="s">
        <v>5243</v>
      </c>
      <c r="AP72" s="1" t="s">
        <v>4721</v>
      </c>
      <c r="AQ72" s="1" t="s">
        <v>4722</v>
      </c>
      <c r="AR72" s="1">
        <v>48.0</v>
      </c>
      <c r="AS72" s="3"/>
      <c r="AT72" s="3"/>
      <c r="AU72" s="4" t="s">
        <v>4695</v>
      </c>
      <c r="AW72" s="3"/>
      <c r="AX72" s="3"/>
      <c r="AY72" s="3"/>
      <c r="AZ72" s="3"/>
      <c r="BA72" s="3"/>
      <c r="BB72" s="3"/>
      <c r="BC72" s="3"/>
      <c r="BD72" s="3"/>
      <c r="BE72" s="1" t="b">
        <v>1</v>
      </c>
      <c r="BF72" s="3"/>
      <c r="BG72" s="3"/>
      <c r="BH72" s="3"/>
      <c r="BI72" s="3"/>
      <c r="BJ72" s="3"/>
      <c r="BK72" s="4" t="s">
        <v>4695</v>
      </c>
    </row>
    <row r="73">
      <c r="A73" s="1" t="s">
        <v>321</v>
      </c>
      <c r="B73" s="1" t="s">
        <v>320</v>
      </c>
      <c r="C73" s="1" t="s">
        <v>320</v>
      </c>
      <c r="D73" s="1" t="s">
        <v>4696</v>
      </c>
      <c r="E73" s="1" t="s">
        <v>5246</v>
      </c>
      <c r="F73" s="1" t="s">
        <v>5247</v>
      </c>
      <c r="G73" s="3"/>
      <c r="H73" s="3"/>
      <c r="I73" s="1" t="s">
        <v>4916</v>
      </c>
      <c r="J73" s="1" t="s">
        <v>5248</v>
      </c>
      <c r="K73" s="3">
        <f>+821053822553</f>
        <v>821053822553</v>
      </c>
      <c r="L73" s="3"/>
      <c r="M73" s="3"/>
      <c r="N73" s="3"/>
      <c r="O73" s="3"/>
      <c r="P73" s="1">
        <v>2.08587744E9</v>
      </c>
      <c r="Q73" s="1" t="b">
        <v>1</v>
      </c>
      <c r="R73" s="1">
        <v>353.0</v>
      </c>
      <c r="S73" s="1" t="s">
        <v>5249</v>
      </c>
      <c r="T73" s="1" t="s">
        <v>5250</v>
      </c>
      <c r="U73" s="1" t="s">
        <v>5251</v>
      </c>
      <c r="V73" s="1" t="s">
        <v>5252</v>
      </c>
      <c r="W73" s="1" t="s">
        <v>5253</v>
      </c>
      <c r="X73" s="1" t="b">
        <v>0</v>
      </c>
      <c r="Y73" s="1" t="s">
        <v>4675</v>
      </c>
      <c r="Z73" s="1" t="s">
        <v>5254</v>
      </c>
      <c r="AB73" s="1" t="s">
        <v>4677</v>
      </c>
      <c r="AC73" s="1" t="s">
        <v>4678</v>
      </c>
      <c r="AD73" s="1" t="s">
        <v>4679</v>
      </c>
      <c r="AE73" s="1" t="s">
        <v>5255</v>
      </c>
      <c r="AF73" s="1" t="s">
        <v>4681</v>
      </c>
      <c r="AG73" s="1" t="s">
        <v>4682</v>
      </c>
      <c r="AH73" s="1">
        <v>21.0</v>
      </c>
      <c r="AI73" s="1" t="b">
        <v>0</v>
      </c>
      <c r="AJ73" s="1" t="b">
        <v>0</v>
      </c>
      <c r="AK73" s="1" t="s">
        <v>5256</v>
      </c>
      <c r="AL73" s="1" t="s">
        <v>4719</v>
      </c>
      <c r="AM73" s="1" t="s">
        <v>4685</v>
      </c>
      <c r="AN73" s="1" t="s">
        <v>4686</v>
      </c>
      <c r="AO73" s="1" t="s">
        <v>5254</v>
      </c>
      <c r="AP73" s="1" t="s">
        <v>4687</v>
      </c>
      <c r="AQ73" s="1" t="s">
        <v>4688</v>
      </c>
      <c r="AR73" s="1">
        <v>332.0</v>
      </c>
      <c r="AS73" s="3"/>
      <c r="AT73" s="3"/>
      <c r="AU73" s="4" t="s">
        <v>4695</v>
      </c>
      <c r="AV73" s="1" t="s">
        <v>4690</v>
      </c>
      <c r="AW73" s="1" t="s">
        <v>4691</v>
      </c>
      <c r="AX73" s="1" t="s">
        <v>4692</v>
      </c>
      <c r="AY73" s="1" t="s">
        <v>4693</v>
      </c>
      <c r="AZ73" s="1" t="s">
        <v>5257</v>
      </c>
      <c r="BA73" s="3"/>
      <c r="BB73" s="3"/>
      <c r="BC73" s="3"/>
      <c r="BD73" s="3"/>
      <c r="BE73" s="1" t="b">
        <v>1</v>
      </c>
      <c r="BF73" s="1" t="s">
        <v>4693</v>
      </c>
      <c r="BG73" s="1" t="s">
        <v>4692</v>
      </c>
      <c r="BH73" s="1" t="s">
        <v>4690</v>
      </c>
      <c r="BI73" s="1" t="s">
        <v>4691</v>
      </c>
      <c r="BJ73" s="1" t="s">
        <v>5257</v>
      </c>
      <c r="BK73" s="4" t="s">
        <v>4695</v>
      </c>
    </row>
    <row r="74">
      <c r="A74" s="1" t="s">
        <v>1270</v>
      </c>
      <c r="B74" s="1" t="s">
        <v>1269</v>
      </c>
      <c r="C74" s="1" t="s">
        <v>1269</v>
      </c>
      <c r="D74" s="1" t="s">
        <v>4711</v>
      </c>
      <c r="E74" s="1" t="s">
        <v>5258</v>
      </c>
      <c r="F74" s="1" t="s">
        <v>5259</v>
      </c>
      <c r="G74" s="3"/>
      <c r="H74" s="3"/>
      <c r="I74" s="1" t="s">
        <v>4872</v>
      </c>
      <c r="J74" s="1" t="s">
        <v>5260</v>
      </c>
      <c r="K74" s="3">
        <f>+821045866282</f>
        <v>821045866282</v>
      </c>
      <c r="L74" s="3"/>
      <c r="M74" s="3"/>
      <c r="N74" s="3"/>
      <c r="O74" s="3"/>
      <c r="P74" s="1">
        <v>1.17020724E8</v>
      </c>
      <c r="Q74" s="1" t="b">
        <v>1</v>
      </c>
      <c r="R74" s="1">
        <v>744.0</v>
      </c>
      <c r="S74" s="1" t="s">
        <v>4885</v>
      </c>
      <c r="T74" s="3"/>
      <c r="U74" s="1" t="s">
        <v>4672</v>
      </c>
      <c r="V74" s="1" t="s">
        <v>4673</v>
      </c>
      <c r="W74" s="1" t="s">
        <v>5261</v>
      </c>
      <c r="X74" s="1" t="b">
        <v>0</v>
      </c>
      <c r="Y74" s="1" t="s">
        <v>4675</v>
      </c>
      <c r="Z74" s="1" t="s">
        <v>5262</v>
      </c>
      <c r="AB74" s="3"/>
      <c r="AC74" s="3"/>
      <c r="AD74" s="3"/>
      <c r="AE74" s="3"/>
      <c r="AF74" s="3"/>
      <c r="AG74" s="3"/>
      <c r="AH74" s="3"/>
      <c r="AI74" s="1" t="b">
        <v>0</v>
      </c>
      <c r="AJ74" s="1" t="b">
        <v>0</v>
      </c>
      <c r="AK74" s="1" t="s">
        <v>5263</v>
      </c>
      <c r="AL74" s="1" t="s">
        <v>4769</v>
      </c>
      <c r="AM74" s="1" t="s">
        <v>4708</v>
      </c>
      <c r="AN74" s="1" t="s">
        <v>4686</v>
      </c>
      <c r="AO74" s="1" t="s">
        <v>5262</v>
      </c>
      <c r="AP74" s="1" t="s">
        <v>4709</v>
      </c>
      <c r="AQ74" s="1" t="s">
        <v>4688</v>
      </c>
      <c r="AR74" s="1">
        <v>744.0</v>
      </c>
      <c r="AS74" s="3"/>
      <c r="AT74" s="3"/>
      <c r="AU74" s="4" t="s">
        <v>5264</v>
      </c>
      <c r="AV74" s="1" t="s">
        <v>4788</v>
      </c>
      <c r="AW74" s="1" t="s">
        <v>4789</v>
      </c>
      <c r="AX74" s="1" t="s">
        <v>4692</v>
      </c>
      <c r="AY74" s="1" t="s">
        <v>4790</v>
      </c>
      <c r="AZ74" s="1" t="s">
        <v>4791</v>
      </c>
      <c r="BA74" s="3"/>
      <c r="BB74" s="3"/>
      <c r="BC74" s="3"/>
      <c r="BD74" s="3"/>
      <c r="BE74" s="1" t="b">
        <v>1</v>
      </c>
      <c r="BF74" s="1" t="s">
        <v>4790</v>
      </c>
      <c r="BG74" s="1" t="s">
        <v>4692</v>
      </c>
      <c r="BH74" s="1" t="s">
        <v>4788</v>
      </c>
      <c r="BI74" s="1" t="s">
        <v>4789</v>
      </c>
      <c r="BJ74" s="1" t="s">
        <v>4791</v>
      </c>
      <c r="BK74" s="4" t="s">
        <v>4780</v>
      </c>
    </row>
    <row r="75">
      <c r="A75" s="1" t="s">
        <v>1641</v>
      </c>
      <c r="B75" s="1" t="s">
        <v>1640</v>
      </c>
      <c r="C75" s="3"/>
      <c r="D75" s="3"/>
      <c r="E75" s="3"/>
      <c r="F75" s="3"/>
      <c r="G75" s="3"/>
      <c r="H75" s="3"/>
      <c r="I75" s="1" t="s">
        <v>4669</v>
      </c>
      <c r="J75" s="3"/>
      <c r="K75" s="3"/>
      <c r="L75" s="3"/>
      <c r="M75" s="3"/>
      <c r="N75" s="3"/>
      <c r="O75" s="3"/>
      <c r="P75" s="1" t="s">
        <v>5265</v>
      </c>
      <c r="Q75" s="1" t="b">
        <v>0</v>
      </c>
      <c r="R75" s="1">
        <v>2.0</v>
      </c>
      <c r="S75" s="1" t="s">
        <v>5065</v>
      </c>
      <c r="T75" s="1" t="s">
        <v>5065</v>
      </c>
      <c r="U75" s="1" t="s">
        <v>4672</v>
      </c>
      <c r="V75" s="1" t="s">
        <v>4673</v>
      </c>
      <c r="W75" s="1" t="s">
        <v>5266</v>
      </c>
      <c r="X75" s="1" t="b">
        <v>0</v>
      </c>
      <c r="Y75" s="1" t="s">
        <v>4675</v>
      </c>
      <c r="Z75" s="1" t="s">
        <v>5267</v>
      </c>
      <c r="AB75" s="3"/>
      <c r="AC75" s="3"/>
      <c r="AD75" s="3"/>
      <c r="AE75" s="3"/>
      <c r="AF75" s="3"/>
      <c r="AG75" s="3"/>
      <c r="AH75" s="3"/>
      <c r="AI75" s="1" t="b">
        <v>0</v>
      </c>
      <c r="AJ75" s="1" t="b">
        <v>0</v>
      </c>
      <c r="AK75" s="1" t="s">
        <v>5268</v>
      </c>
      <c r="AL75" s="1" t="s">
        <v>4719</v>
      </c>
      <c r="AM75" s="1" t="s">
        <v>4685</v>
      </c>
      <c r="AN75" s="1" t="s">
        <v>4720</v>
      </c>
      <c r="AO75" s="1" t="s">
        <v>5267</v>
      </c>
      <c r="AP75" s="1" t="s">
        <v>4721</v>
      </c>
      <c r="AQ75" s="1" t="s">
        <v>4722</v>
      </c>
      <c r="AR75" s="1">
        <v>2.0</v>
      </c>
      <c r="AS75" s="3"/>
      <c r="AT75" s="3"/>
      <c r="AU75" s="3"/>
      <c r="AV75" s="1" t="s">
        <v>5269</v>
      </c>
      <c r="AW75" s="1" t="s">
        <v>5270</v>
      </c>
      <c r="AX75" s="1" t="s">
        <v>5271</v>
      </c>
      <c r="AY75" s="1" t="s">
        <v>5272</v>
      </c>
      <c r="AZ75" s="3"/>
      <c r="BA75" s="3"/>
      <c r="BB75" s="3"/>
      <c r="BC75" s="3"/>
      <c r="BD75" s="3"/>
      <c r="BE75" s="1" t="b">
        <v>1</v>
      </c>
      <c r="BF75" s="1" t="s">
        <v>5272</v>
      </c>
      <c r="BG75" s="1" t="s">
        <v>5271</v>
      </c>
      <c r="BH75" s="1" t="s">
        <v>5269</v>
      </c>
      <c r="BI75" s="1" t="s">
        <v>5270</v>
      </c>
      <c r="BK75" s="3"/>
      <c r="BL75" s="3"/>
    </row>
    <row r="76">
      <c r="A76" s="1" t="s">
        <v>1003</v>
      </c>
      <c r="B76" s="1" t="s">
        <v>1002</v>
      </c>
      <c r="C76" s="1" t="s">
        <v>1002</v>
      </c>
      <c r="D76" s="1" t="s">
        <v>4922</v>
      </c>
      <c r="E76" s="1" t="s">
        <v>5273</v>
      </c>
      <c r="F76" s="1" t="s">
        <v>5274</v>
      </c>
      <c r="G76" s="3"/>
      <c r="H76" s="3"/>
      <c r="I76" s="1" t="s">
        <v>4925</v>
      </c>
      <c r="J76" s="1" t="s">
        <v>5275</v>
      </c>
      <c r="K76" s="3">
        <f>+821092713359</f>
        <v>821092713359</v>
      </c>
      <c r="L76" s="3"/>
      <c r="M76" s="3"/>
      <c r="N76" s="3"/>
      <c r="O76" s="3"/>
      <c r="P76" s="1">
        <v>1.22954552E8</v>
      </c>
      <c r="Q76" s="1" t="b">
        <v>1</v>
      </c>
      <c r="R76" s="1">
        <v>7.0</v>
      </c>
      <c r="S76" s="1" t="s">
        <v>5276</v>
      </c>
      <c r="T76" s="3"/>
      <c r="U76" s="1" t="s">
        <v>4672</v>
      </c>
      <c r="V76" s="1" t="s">
        <v>4673</v>
      </c>
      <c r="W76" s="1" t="s">
        <v>5277</v>
      </c>
      <c r="X76" s="1" t="b">
        <v>0</v>
      </c>
      <c r="Y76" s="1" t="s">
        <v>4675</v>
      </c>
      <c r="Z76" s="1" t="s">
        <v>5278</v>
      </c>
      <c r="AB76" s="3"/>
      <c r="AC76" s="3"/>
      <c r="AD76" s="3"/>
      <c r="AE76" s="3"/>
      <c r="AF76" s="3"/>
      <c r="AG76" s="3"/>
      <c r="AH76" s="3"/>
      <c r="AI76" s="1" t="b">
        <v>0</v>
      </c>
      <c r="AJ76" s="1" t="b">
        <v>0</v>
      </c>
      <c r="AK76" s="1" t="s">
        <v>5279</v>
      </c>
      <c r="AL76" s="1" t="s">
        <v>4719</v>
      </c>
      <c r="AM76" s="1" t="s">
        <v>4685</v>
      </c>
      <c r="AN76" s="1" t="s">
        <v>4686</v>
      </c>
      <c r="AO76" s="1" t="s">
        <v>5278</v>
      </c>
      <c r="AP76" s="1" t="s">
        <v>4687</v>
      </c>
      <c r="AQ76" s="1" t="s">
        <v>4688</v>
      </c>
      <c r="AR76" s="1">
        <v>7.0</v>
      </c>
      <c r="AS76" s="3"/>
      <c r="AT76" s="3"/>
      <c r="AU76" s="4" t="s">
        <v>4780</v>
      </c>
      <c r="AV76" s="1" t="s">
        <v>4788</v>
      </c>
      <c r="AW76" s="1" t="s">
        <v>4789</v>
      </c>
      <c r="AX76" s="1" t="s">
        <v>4692</v>
      </c>
      <c r="AY76" s="1" t="s">
        <v>4790</v>
      </c>
      <c r="AZ76" s="1" t="s">
        <v>4791</v>
      </c>
      <c r="BA76" s="3"/>
      <c r="BB76" s="3"/>
      <c r="BC76" s="3"/>
      <c r="BD76" s="3"/>
      <c r="BE76" s="1" t="b">
        <v>1</v>
      </c>
      <c r="BF76" s="1" t="s">
        <v>4790</v>
      </c>
      <c r="BG76" s="1" t="s">
        <v>4692</v>
      </c>
      <c r="BH76" s="1" t="s">
        <v>4788</v>
      </c>
      <c r="BI76" s="1" t="s">
        <v>4789</v>
      </c>
      <c r="BJ76" s="1" t="s">
        <v>4791</v>
      </c>
      <c r="BK76" s="4" t="s">
        <v>4780</v>
      </c>
    </row>
    <row r="77">
      <c r="A77" s="1" t="s">
        <v>518</v>
      </c>
      <c r="B77" s="1" t="s">
        <v>517</v>
      </c>
      <c r="C77" s="3"/>
      <c r="D77" s="3"/>
      <c r="E77" s="3"/>
      <c r="F77" s="3"/>
      <c r="G77" s="3"/>
      <c r="H77" s="3"/>
      <c r="I77" s="3"/>
      <c r="J77" s="3"/>
      <c r="K77" s="3"/>
      <c r="L77" s="3"/>
      <c r="M77" s="3"/>
      <c r="N77" s="3"/>
      <c r="O77" s="3"/>
      <c r="P77" s="1" t="s">
        <v>5280</v>
      </c>
      <c r="Q77" s="1" t="b">
        <v>0</v>
      </c>
      <c r="R77" s="1">
        <v>2.0</v>
      </c>
      <c r="S77" s="1" t="s">
        <v>5281</v>
      </c>
      <c r="T77" s="3"/>
      <c r="U77" s="1" t="s">
        <v>4672</v>
      </c>
      <c r="V77" s="1" t="s">
        <v>4673</v>
      </c>
      <c r="W77" s="1" t="s">
        <v>5282</v>
      </c>
      <c r="X77" s="1" t="b">
        <v>0</v>
      </c>
      <c r="Y77" s="1" t="s">
        <v>4675</v>
      </c>
      <c r="Z77" s="1" t="s">
        <v>5283</v>
      </c>
      <c r="AB77" s="3"/>
      <c r="AC77" s="3"/>
      <c r="AD77" s="3"/>
      <c r="AE77" s="3"/>
      <c r="AF77" s="3"/>
      <c r="AG77" s="3"/>
      <c r="AH77" s="3"/>
      <c r="AI77" s="1" t="b">
        <v>0</v>
      </c>
      <c r="AJ77" s="1" t="b">
        <v>0</v>
      </c>
      <c r="AK77" s="1" t="s">
        <v>5284</v>
      </c>
      <c r="AL77" s="1" t="s">
        <v>5285</v>
      </c>
      <c r="AM77" s="1" t="s">
        <v>5286</v>
      </c>
      <c r="AN77" s="1" t="s">
        <v>4824</v>
      </c>
      <c r="AO77" s="1" t="s">
        <v>5283</v>
      </c>
      <c r="AP77" s="1" t="s">
        <v>4757</v>
      </c>
      <c r="AQ77" s="1" t="s">
        <v>4758</v>
      </c>
      <c r="AR77" s="1">
        <v>2.0</v>
      </c>
      <c r="AS77" s="3"/>
      <c r="AT77" s="3"/>
      <c r="AU77" s="4" t="s">
        <v>5287</v>
      </c>
      <c r="AV77" s="1" t="s">
        <v>5288</v>
      </c>
      <c r="AW77" s="1" t="s">
        <v>5289</v>
      </c>
      <c r="AX77" s="1" t="s">
        <v>5271</v>
      </c>
      <c r="AY77" s="1" t="s">
        <v>5272</v>
      </c>
      <c r="AZ77" s="1" t="s">
        <v>5290</v>
      </c>
      <c r="BB77" s="3"/>
      <c r="BC77" s="3"/>
      <c r="BD77" s="3"/>
      <c r="BE77" s="1" t="b">
        <v>1</v>
      </c>
      <c r="BF77" s="1" t="s">
        <v>5272</v>
      </c>
      <c r="BG77" s="1" t="s">
        <v>5271</v>
      </c>
      <c r="BH77" s="1" t="s">
        <v>5288</v>
      </c>
      <c r="BI77" s="1" t="s">
        <v>5291</v>
      </c>
      <c r="BJ77" s="1" t="s">
        <v>5290</v>
      </c>
      <c r="BK77" s="4" t="s">
        <v>5287</v>
      </c>
    </row>
    <row r="78">
      <c r="A78" s="1" t="s">
        <v>1460</v>
      </c>
      <c r="B78" s="1" t="s">
        <v>1459</v>
      </c>
      <c r="C78" s="1" t="s">
        <v>1459</v>
      </c>
      <c r="D78" s="1" t="s">
        <v>4696</v>
      </c>
      <c r="E78" s="1" t="s">
        <v>5292</v>
      </c>
      <c r="F78" s="1" t="s">
        <v>5293</v>
      </c>
      <c r="G78" s="3"/>
      <c r="H78" s="3"/>
      <c r="I78" s="1" t="s">
        <v>4733</v>
      </c>
      <c r="J78" s="1" t="s">
        <v>5294</v>
      </c>
      <c r="L78" s="3"/>
      <c r="M78" s="3"/>
      <c r="N78" s="3"/>
      <c r="O78" s="3"/>
      <c r="P78" s="1">
        <v>1.10990003E8</v>
      </c>
      <c r="Q78" s="1" t="b">
        <v>1</v>
      </c>
      <c r="R78" s="1">
        <v>54.0</v>
      </c>
      <c r="S78" s="1" t="s">
        <v>4701</v>
      </c>
      <c r="T78" s="3"/>
      <c r="U78" s="1" t="s">
        <v>4672</v>
      </c>
      <c r="V78" s="1" t="s">
        <v>4673</v>
      </c>
      <c r="W78" s="1" t="s">
        <v>5295</v>
      </c>
      <c r="X78" s="1" t="b">
        <v>0</v>
      </c>
      <c r="Y78" s="1" t="s">
        <v>4675</v>
      </c>
      <c r="Z78" s="1" t="s">
        <v>5296</v>
      </c>
      <c r="AB78" s="3"/>
      <c r="AC78" s="3"/>
      <c r="AD78" s="3"/>
      <c r="AE78" s="3"/>
      <c r="AF78" s="3"/>
      <c r="AG78" s="3"/>
      <c r="AH78" s="3"/>
      <c r="AI78" s="1" t="b">
        <v>0</v>
      </c>
      <c r="AJ78" s="1" t="b">
        <v>0</v>
      </c>
      <c r="AK78" s="1" t="s">
        <v>5297</v>
      </c>
      <c r="AL78" s="1" t="s">
        <v>4719</v>
      </c>
      <c r="AM78" s="1" t="s">
        <v>4685</v>
      </c>
      <c r="AN78" s="1" t="s">
        <v>4686</v>
      </c>
      <c r="AO78" s="1" t="s">
        <v>5296</v>
      </c>
      <c r="AP78" s="1" t="s">
        <v>4687</v>
      </c>
      <c r="AQ78" s="1" t="s">
        <v>4688</v>
      </c>
      <c r="AR78" s="1">
        <v>54.0</v>
      </c>
      <c r="AS78" s="3"/>
      <c r="AT78" s="3"/>
      <c r="AU78" s="4" t="s">
        <v>5298</v>
      </c>
      <c r="AW78" s="3"/>
      <c r="AX78" s="3"/>
      <c r="AY78" s="3"/>
      <c r="AZ78" s="3"/>
      <c r="BA78" s="3"/>
      <c r="BB78" s="3"/>
      <c r="BC78" s="3"/>
      <c r="BD78" s="3"/>
      <c r="BE78" s="1" t="b">
        <v>1</v>
      </c>
      <c r="BF78" s="3"/>
      <c r="BG78" s="3"/>
      <c r="BH78" s="3"/>
      <c r="BI78" s="3"/>
      <c r="BJ78" s="3"/>
      <c r="BK78" s="4" t="s">
        <v>4710</v>
      </c>
      <c r="BL78" s="1" t="s">
        <v>4723</v>
      </c>
    </row>
    <row r="79">
      <c r="A79" s="1" t="s">
        <v>368</v>
      </c>
      <c r="B79" s="1" t="s">
        <v>367</v>
      </c>
      <c r="C79" s="1" t="s">
        <v>367</v>
      </c>
      <c r="D79" s="1" t="s">
        <v>4711</v>
      </c>
      <c r="E79" s="1" t="s">
        <v>5299</v>
      </c>
      <c r="F79" s="1" t="s">
        <v>5300</v>
      </c>
      <c r="G79" s="3"/>
      <c r="H79" s="3"/>
      <c r="I79" s="1" t="s">
        <v>5301</v>
      </c>
      <c r="J79" s="1" t="s">
        <v>5302</v>
      </c>
      <c r="K79" s="3">
        <f>+821043011619</f>
        <v>821043011619</v>
      </c>
      <c r="L79" s="3"/>
      <c r="M79" s="3"/>
      <c r="N79" s="3"/>
      <c r="O79" s="3"/>
      <c r="P79" s="1">
        <v>1.12291958E8</v>
      </c>
      <c r="Q79" s="1" t="b">
        <v>1</v>
      </c>
      <c r="R79" s="1">
        <v>20.0</v>
      </c>
      <c r="S79" s="1" t="s">
        <v>4885</v>
      </c>
      <c r="T79" s="3"/>
      <c r="U79" s="1" t="s">
        <v>4672</v>
      </c>
      <c r="V79" s="1" t="s">
        <v>4673</v>
      </c>
      <c r="W79" s="1" t="s">
        <v>5303</v>
      </c>
      <c r="X79" s="1" t="b">
        <v>0</v>
      </c>
      <c r="Y79" s="1" t="s">
        <v>4675</v>
      </c>
      <c r="Z79" s="1" t="s">
        <v>5304</v>
      </c>
      <c r="AB79" s="3"/>
      <c r="AC79" s="3"/>
      <c r="AD79" s="3"/>
      <c r="AE79" s="3"/>
      <c r="AF79" s="3"/>
      <c r="AG79" s="3"/>
      <c r="AH79" s="3"/>
      <c r="AI79" s="1" t="b">
        <v>0</v>
      </c>
      <c r="AJ79" s="1" t="b">
        <v>0</v>
      </c>
      <c r="AK79" s="1" t="s">
        <v>5305</v>
      </c>
      <c r="AL79" s="1" t="s">
        <v>5306</v>
      </c>
      <c r="AM79" s="1" t="s">
        <v>5307</v>
      </c>
      <c r="AN79" s="1" t="s">
        <v>4686</v>
      </c>
      <c r="AO79" s="1" t="s">
        <v>5304</v>
      </c>
      <c r="AP79" s="1" t="s">
        <v>4687</v>
      </c>
      <c r="AQ79" s="1" t="s">
        <v>4688</v>
      </c>
      <c r="AR79" s="1">
        <v>20.0</v>
      </c>
      <c r="AS79" s="3"/>
      <c r="AT79" s="3"/>
      <c r="AU79" s="4" t="s">
        <v>4695</v>
      </c>
      <c r="AW79" s="3"/>
      <c r="AX79" s="3"/>
      <c r="AY79" s="3"/>
      <c r="AZ79" s="3"/>
      <c r="BA79" s="3"/>
      <c r="BB79" s="3"/>
      <c r="BC79" s="3"/>
      <c r="BD79" s="3"/>
      <c r="BE79" s="1" t="b">
        <v>1</v>
      </c>
      <c r="BF79" s="3"/>
      <c r="BG79" s="3"/>
      <c r="BH79" s="3"/>
      <c r="BI79" s="3"/>
      <c r="BJ79" s="3"/>
      <c r="BK79" s="4" t="s">
        <v>4695</v>
      </c>
      <c r="BL79" s="1" t="s">
        <v>4723</v>
      </c>
    </row>
    <row r="80">
      <c r="A80" s="1" t="s">
        <v>1346</v>
      </c>
      <c r="B80" s="1" t="s">
        <v>1345</v>
      </c>
      <c r="C80" s="3"/>
      <c r="D80" s="3"/>
      <c r="E80" s="3"/>
      <c r="F80" s="3"/>
      <c r="G80" s="3"/>
      <c r="H80" s="3"/>
      <c r="I80" s="3"/>
      <c r="J80" s="3"/>
      <c r="K80" s="3"/>
      <c r="L80" s="3"/>
      <c r="M80" s="3"/>
      <c r="N80" s="3"/>
      <c r="O80" s="3"/>
      <c r="P80" s="1" t="s">
        <v>5308</v>
      </c>
      <c r="Q80" s="1" t="b">
        <v>0</v>
      </c>
      <c r="R80" s="1">
        <v>2.0</v>
      </c>
      <c r="S80" s="1" t="s">
        <v>4752</v>
      </c>
      <c r="T80" s="3"/>
      <c r="U80" s="1" t="s">
        <v>4672</v>
      </c>
      <c r="V80" s="1" t="s">
        <v>4673</v>
      </c>
      <c r="W80" s="1" t="s">
        <v>5309</v>
      </c>
      <c r="X80" s="1" t="b">
        <v>0</v>
      </c>
      <c r="Y80" s="1" t="s">
        <v>4675</v>
      </c>
      <c r="Z80" s="1" t="s">
        <v>5310</v>
      </c>
      <c r="AB80" s="3"/>
      <c r="AC80" s="3"/>
      <c r="AD80" s="3"/>
      <c r="AE80" s="3"/>
      <c r="AF80" s="3"/>
      <c r="AG80" s="3"/>
      <c r="AH80" s="3"/>
      <c r="AI80" s="1" t="b">
        <v>0</v>
      </c>
      <c r="AJ80" s="1" t="b">
        <v>0</v>
      </c>
      <c r="AK80" s="1" t="s">
        <v>5311</v>
      </c>
      <c r="AL80" s="1" t="s">
        <v>4719</v>
      </c>
      <c r="AM80" s="1" t="s">
        <v>4685</v>
      </c>
      <c r="AN80" s="1" t="s">
        <v>4686</v>
      </c>
      <c r="AO80" s="1" t="s">
        <v>5310</v>
      </c>
      <c r="AP80" s="1" t="s">
        <v>4687</v>
      </c>
      <c r="AQ80" s="1" t="s">
        <v>4688</v>
      </c>
      <c r="AR80" s="1">
        <v>2.0</v>
      </c>
      <c r="AS80" s="3"/>
      <c r="AT80" s="3"/>
      <c r="AU80" s="4" t="s">
        <v>4780</v>
      </c>
      <c r="AV80" s="1" t="s">
        <v>4788</v>
      </c>
      <c r="AW80" s="1" t="s">
        <v>4789</v>
      </c>
      <c r="AX80" s="1" t="s">
        <v>4692</v>
      </c>
      <c r="AY80" s="1" t="s">
        <v>4790</v>
      </c>
      <c r="AZ80" s="1" t="s">
        <v>4791</v>
      </c>
      <c r="BA80" s="3"/>
      <c r="BB80" s="3"/>
      <c r="BC80" s="3"/>
      <c r="BD80" s="3"/>
      <c r="BE80" s="1" t="b">
        <v>1</v>
      </c>
      <c r="BF80" s="1" t="s">
        <v>4790</v>
      </c>
      <c r="BG80" s="1" t="s">
        <v>4692</v>
      </c>
      <c r="BH80" s="1" t="s">
        <v>4788</v>
      </c>
      <c r="BI80" s="1" t="s">
        <v>4789</v>
      </c>
      <c r="BJ80" s="1" t="s">
        <v>4791</v>
      </c>
      <c r="BK80" s="4" t="s">
        <v>4695</v>
      </c>
    </row>
    <row r="81">
      <c r="A81" s="1" t="s">
        <v>441</v>
      </c>
      <c r="B81" s="1" t="s">
        <v>440</v>
      </c>
      <c r="C81" s="1" t="s">
        <v>440</v>
      </c>
      <c r="D81" s="1" t="s">
        <v>4711</v>
      </c>
      <c r="E81" s="1" t="s">
        <v>5312</v>
      </c>
      <c r="F81" s="1" t="s">
        <v>5313</v>
      </c>
      <c r="G81" s="3"/>
      <c r="H81" s="1" t="s">
        <v>4861</v>
      </c>
      <c r="I81" s="3"/>
      <c r="J81" s="1" t="s">
        <v>5314</v>
      </c>
      <c r="K81" s="3">
        <f>+821084869597</f>
        <v>821084869597</v>
      </c>
      <c r="L81" s="3"/>
      <c r="M81" s="3"/>
      <c r="N81" s="3"/>
      <c r="O81" s="3"/>
      <c r="P81" s="1">
        <v>1.1731235E8</v>
      </c>
      <c r="Q81" s="1" t="b">
        <v>1</v>
      </c>
      <c r="R81" s="1">
        <v>34.0</v>
      </c>
      <c r="S81" s="1" t="s">
        <v>4744</v>
      </c>
      <c r="T81" s="3"/>
      <c r="U81" s="1" t="s">
        <v>4672</v>
      </c>
      <c r="V81" s="1" t="s">
        <v>4673</v>
      </c>
      <c r="W81" s="1" t="s">
        <v>5315</v>
      </c>
      <c r="X81" s="1" t="b">
        <v>0</v>
      </c>
      <c r="Y81" s="1" t="s">
        <v>4675</v>
      </c>
      <c r="Z81" s="1" t="s">
        <v>5316</v>
      </c>
      <c r="AB81" s="3"/>
      <c r="AC81" s="3"/>
      <c r="AD81" s="3"/>
      <c r="AE81" s="3"/>
      <c r="AF81" s="3"/>
      <c r="AG81" s="3"/>
      <c r="AH81" s="3"/>
      <c r="AI81" s="1" t="b">
        <v>0</v>
      </c>
      <c r="AJ81" s="1" t="b">
        <v>0</v>
      </c>
      <c r="AK81" s="1" t="s">
        <v>5317</v>
      </c>
      <c r="AL81" s="1" t="s">
        <v>5318</v>
      </c>
      <c r="AM81" s="1" t="s">
        <v>5135</v>
      </c>
      <c r="AN81" s="1" t="s">
        <v>4720</v>
      </c>
      <c r="AO81" s="1" t="s">
        <v>5316</v>
      </c>
      <c r="AP81" s="1" t="s">
        <v>4721</v>
      </c>
      <c r="AQ81" s="1" t="s">
        <v>4722</v>
      </c>
      <c r="AR81" s="1">
        <v>34.0</v>
      </c>
      <c r="AS81" s="3"/>
      <c r="AT81" s="3"/>
      <c r="AU81" s="4" t="s">
        <v>4934</v>
      </c>
      <c r="AV81" s="1" t="s">
        <v>4690</v>
      </c>
      <c r="AW81" s="1" t="s">
        <v>4691</v>
      </c>
      <c r="AX81" s="1" t="s">
        <v>4692</v>
      </c>
      <c r="AY81" s="1" t="s">
        <v>4761</v>
      </c>
      <c r="AZ81" s="1" t="s">
        <v>4694</v>
      </c>
      <c r="BA81" s="3"/>
      <c r="BB81" s="3"/>
      <c r="BC81" s="3"/>
      <c r="BD81" s="3"/>
      <c r="BE81" s="1" t="b">
        <v>1</v>
      </c>
      <c r="BF81" s="1" t="s">
        <v>4693</v>
      </c>
      <c r="BG81" s="1" t="s">
        <v>4692</v>
      </c>
      <c r="BH81" s="1" t="s">
        <v>4690</v>
      </c>
      <c r="BI81" s="1" t="s">
        <v>4691</v>
      </c>
      <c r="BJ81" s="1" t="s">
        <v>4694</v>
      </c>
      <c r="BK81" s="4" t="s">
        <v>5319</v>
      </c>
      <c r="BL81" s="1" t="s">
        <v>4723</v>
      </c>
    </row>
    <row r="82">
      <c r="A82" s="1" t="s">
        <v>1593</v>
      </c>
      <c r="B82" s="1" t="s">
        <v>1591</v>
      </c>
      <c r="C82" s="1" t="s">
        <v>1591</v>
      </c>
      <c r="D82" s="1" t="s">
        <v>5320</v>
      </c>
      <c r="E82" s="1" t="s">
        <v>5321</v>
      </c>
      <c r="F82" s="1" t="s">
        <v>5322</v>
      </c>
      <c r="G82" s="3"/>
      <c r="H82" s="3"/>
      <c r="I82" s="1" t="s">
        <v>5095</v>
      </c>
      <c r="J82" s="1" t="s">
        <v>5323</v>
      </c>
      <c r="L82" s="3"/>
      <c r="M82" s="3"/>
      <c r="N82" s="3"/>
      <c r="O82" s="3"/>
      <c r="P82" s="1">
        <v>1.22953535E8</v>
      </c>
      <c r="Q82" s="1" t="b">
        <v>1</v>
      </c>
      <c r="R82" s="1">
        <v>20.0</v>
      </c>
      <c r="S82" s="1" t="s">
        <v>4671</v>
      </c>
      <c r="T82" s="3"/>
      <c r="U82" s="1" t="s">
        <v>4672</v>
      </c>
      <c r="V82" s="1" t="s">
        <v>4673</v>
      </c>
      <c r="W82" s="1" t="s">
        <v>5324</v>
      </c>
      <c r="X82" s="1" t="b">
        <v>0</v>
      </c>
      <c r="Y82" s="1" t="s">
        <v>4675</v>
      </c>
      <c r="Z82" s="1" t="s">
        <v>5325</v>
      </c>
      <c r="AB82" s="1" t="s">
        <v>4677</v>
      </c>
      <c r="AC82" s="1" t="s">
        <v>4678</v>
      </c>
      <c r="AD82" s="1" t="s">
        <v>4888</v>
      </c>
      <c r="AE82" s="1" t="s">
        <v>5325</v>
      </c>
      <c r="AF82" s="1" t="s">
        <v>4757</v>
      </c>
      <c r="AG82" s="1" t="s">
        <v>4758</v>
      </c>
      <c r="AH82" s="1">
        <v>16.0</v>
      </c>
      <c r="AI82" s="1" t="b">
        <v>0</v>
      </c>
      <c r="AJ82" s="1" t="b">
        <v>0</v>
      </c>
      <c r="AK82" s="1" t="s">
        <v>5326</v>
      </c>
      <c r="AL82" s="1" t="s">
        <v>5134</v>
      </c>
      <c r="AM82" s="1" t="s">
        <v>5135</v>
      </c>
      <c r="AN82" s="1" t="s">
        <v>4720</v>
      </c>
      <c r="AO82" s="1" t="s">
        <v>5327</v>
      </c>
      <c r="AP82" s="1" t="s">
        <v>4721</v>
      </c>
      <c r="AQ82" s="1" t="s">
        <v>4722</v>
      </c>
      <c r="AR82" s="1">
        <v>4.0</v>
      </c>
      <c r="AS82" s="3"/>
      <c r="AT82" s="3"/>
      <c r="AU82" s="3"/>
      <c r="AV82" s="1" t="s">
        <v>5269</v>
      </c>
      <c r="AW82" s="1" t="s">
        <v>5328</v>
      </c>
      <c r="AX82" s="1" t="s">
        <v>5271</v>
      </c>
      <c r="AY82" s="1" t="s">
        <v>5272</v>
      </c>
      <c r="AZ82" s="3"/>
      <c r="BA82" s="3"/>
      <c r="BB82" s="3"/>
      <c r="BC82" s="3"/>
      <c r="BD82" s="3"/>
      <c r="BE82" s="1" t="b">
        <v>1</v>
      </c>
      <c r="BF82" s="1" t="s">
        <v>5272</v>
      </c>
      <c r="BG82" s="1" t="s">
        <v>5271</v>
      </c>
      <c r="BH82" s="1" t="s">
        <v>5269</v>
      </c>
      <c r="BI82" s="1" t="s">
        <v>5328</v>
      </c>
      <c r="BK82" s="3"/>
      <c r="BL82" s="3"/>
    </row>
    <row r="83">
      <c r="A83" s="1" t="s">
        <v>1076</v>
      </c>
      <c r="B83" s="1" t="s">
        <v>1075</v>
      </c>
      <c r="C83" s="1" t="s">
        <v>1075</v>
      </c>
      <c r="D83" s="1" t="s">
        <v>4696</v>
      </c>
      <c r="E83" s="1" t="s">
        <v>5329</v>
      </c>
      <c r="F83" s="1" t="s">
        <v>5330</v>
      </c>
      <c r="G83" s="3"/>
      <c r="H83" s="1" t="s">
        <v>3850</v>
      </c>
      <c r="I83" s="1" t="s">
        <v>4742</v>
      </c>
      <c r="J83" s="1" t="s">
        <v>5331</v>
      </c>
      <c r="K83" s="3">
        <f>+821025353229</f>
        <v>821025353229</v>
      </c>
      <c r="L83" s="3"/>
      <c r="M83" s="3"/>
      <c r="N83" s="3"/>
      <c r="O83" s="3"/>
      <c r="P83" s="1">
        <v>1.09917336E8</v>
      </c>
      <c r="Q83" s="1" t="b">
        <v>1</v>
      </c>
      <c r="R83" s="1">
        <v>479.0</v>
      </c>
      <c r="S83" s="1" t="s">
        <v>5332</v>
      </c>
      <c r="T83" s="3"/>
      <c r="U83" s="1" t="s">
        <v>4672</v>
      </c>
      <c r="V83" s="1" t="s">
        <v>4673</v>
      </c>
      <c r="W83" s="1" t="s">
        <v>5333</v>
      </c>
      <c r="X83" s="1" t="b">
        <v>0</v>
      </c>
      <c r="Y83" s="1" t="s">
        <v>4675</v>
      </c>
      <c r="Z83" s="1" t="s">
        <v>5334</v>
      </c>
      <c r="AB83" s="3"/>
      <c r="AC83" s="3"/>
      <c r="AD83" s="3"/>
      <c r="AE83" s="3"/>
      <c r="AF83" s="3"/>
      <c r="AG83" s="3"/>
      <c r="AH83" s="3"/>
      <c r="AI83" s="1" t="b">
        <v>0</v>
      </c>
      <c r="AJ83" s="1" t="b">
        <v>0</v>
      </c>
      <c r="AK83" s="1" t="s">
        <v>5335</v>
      </c>
      <c r="AL83" s="1" t="s">
        <v>4719</v>
      </c>
      <c r="AM83" s="1" t="s">
        <v>4685</v>
      </c>
      <c r="AN83" s="1" t="s">
        <v>4720</v>
      </c>
      <c r="AO83" s="1" t="s">
        <v>5334</v>
      </c>
      <c r="AP83" s="1" t="s">
        <v>4721</v>
      </c>
      <c r="AQ83" s="1" t="s">
        <v>4722</v>
      </c>
      <c r="AR83" s="1">
        <v>479.0</v>
      </c>
      <c r="AS83" s="3"/>
      <c r="AT83" s="3"/>
      <c r="AU83" s="4" t="s">
        <v>4880</v>
      </c>
      <c r="AW83" s="3"/>
      <c r="AX83" s="3"/>
      <c r="AY83" s="3"/>
      <c r="AZ83" s="3"/>
      <c r="BA83" s="3"/>
      <c r="BB83" s="3"/>
      <c r="BC83" s="3"/>
      <c r="BD83" s="3"/>
      <c r="BE83" s="1" t="b">
        <v>1</v>
      </c>
      <c r="BF83" s="3"/>
      <c r="BG83" s="3"/>
      <c r="BH83" s="3"/>
      <c r="BI83" s="3"/>
      <c r="BJ83" s="3"/>
      <c r="BK83" s="4" t="s">
        <v>4710</v>
      </c>
    </row>
    <row r="84">
      <c r="A84" s="1" t="s">
        <v>1841</v>
      </c>
      <c r="B84" s="1" t="s">
        <v>1840</v>
      </c>
      <c r="C84" s="1" t="s">
        <v>1840</v>
      </c>
      <c r="D84" s="1" t="s">
        <v>4739</v>
      </c>
      <c r="E84" s="1" t="s">
        <v>5336</v>
      </c>
      <c r="F84" s="1" t="s">
        <v>5337</v>
      </c>
      <c r="G84" s="3"/>
      <c r="H84" s="3"/>
      <c r="I84" s="1" t="s">
        <v>5338</v>
      </c>
      <c r="J84" s="1" t="s">
        <v>5339</v>
      </c>
      <c r="L84" s="3"/>
      <c r="M84" s="3"/>
      <c r="N84" s="3"/>
      <c r="O84" s="3"/>
      <c r="P84" s="1">
        <v>1.12569023E8</v>
      </c>
      <c r="Q84" s="1" t="b">
        <v>1</v>
      </c>
      <c r="R84" s="1">
        <v>13.0</v>
      </c>
      <c r="S84" s="1" t="s">
        <v>5340</v>
      </c>
      <c r="T84" s="3"/>
      <c r="U84" s="1" t="s">
        <v>4672</v>
      </c>
      <c r="V84" s="1" t="s">
        <v>4673</v>
      </c>
      <c r="W84" s="1" t="s">
        <v>5341</v>
      </c>
      <c r="X84" s="1" t="b">
        <v>0</v>
      </c>
      <c r="Y84" s="1" t="s">
        <v>4675</v>
      </c>
      <c r="Z84" s="1" t="s">
        <v>5342</v>
      </c>
      <c r="AB84" s="3"/>
      <c r="AC84" s="3"/>
      <c r="AD84" s="3"/>
      <c r="AE84" s="3"/>
      <c r="AF84" s="3"/>
      <c r="AG84" s="3"/>
      <c r="AH84" s="3"/>
      <c r="AI84" s="1" t="b">
        <v>0</v>
      </c>
      <c r="AJ84" s="1" t="b">
        <v>0</v>
      </c>
      <c r="AK84" s="1" t="s">
        <v>5343</v>
      </c>
      <c r="AL84" s="1" t="s">
        <v>4719</v>
      </c>
      <c r="AM84" s="1" t="s">
        <v>4685</v>
      </c>
      <c r="AN84" s="1" t="s">
        <v>4686</v>
      </c>
      <c r="AO84" s="1" t="s">
        <v>5342</v>
      </c>
      <c r="AP84" s="1" t="s">
        <v>4687</v>
      </c>
      <c r="AQ84" s="1" t="s">
        <v>4688</v>
      </c>
      <c r="AR84" s="1">
        <v>13.0</v>
      </c>
      <c r="AS84" s="3"/>
      <c r="AT84" s="3"/>
      <c r="AU84" s="3"/>
      <c r="AV84" s="3"/>
      <c r="AW84" s="3"/>
      <c r="AX84" s="3"/>
      <c r="AY84" s="3"/>
      <c r="AZ84" s="3"/>
      <c r="BA84" s="3"/>
      <c r="BB84" s="3"/>
      <c r="BC84" s="3"/>
      <c r="BD84" s="3"/>
      <c r="BE84" s="1" t="b">
        <v>1</v>
      </c>
      <c r="BF84" s="3"/>
      <c r="BG84" s="3"/>
      <c r="BH84" s="3"/>
      <c r="BI84" s="3"/>
      <c r="BJ84" s="3"/>
      <c r="BK84" s="3"/>
      <c r="BL84" s="3"/>
    </row>
    <row r="85">
      <c r="A85" s="1" t="s">
        <v>1875</v>
      </c>
      <c r="B85" s="1" t="s">
        <v>1874</v>
      </c>
      <c r="C85" s="1" t="s">
        <v>1874</v>
      </c>
      <c r="D85" s="1" t="s">
        <v>4913</v>
      </c>
      <c r="E85" s="1" t="s">
        <v>5344</v>
      </c>
      <c r="F85" s="1" t="s">
        <v>5345</v>
      </c>
      <c r="G85" s="3"/>
      <c r="H85" s="3"/>
      <c r="I85" s="1" t="s">
        <v>5346</v>
      </c>
      <c r="J85" s="1" t="s">
        <v>5347</v>
      </c>
      <c r="L85" s="3"/>
      <c r="M85" s="3"/>
      <c r="N85" s="3"/>
      <c r="O85" s="3"/>
      <c r="P85" s="1">
        <v>1.12319642E8</v>
      </c>
      <c r="Q85" s="1" t="b">
        <v>1</v>
      </c>
      <c r="R85" s="1">
        <v>180.0</v>
      </c>
      <c r="S85" s="1" t="s">
        <v>5186</v>
      </c>
      <c r="T85" s="3"/>
      <c r="U85" s="1" t="s">
        <v>4672</v>
      </c>
      <c r="V85" s="1" t="s">
        <v>4673</v>
      </c>
      <c r="W85" s="1" t="s">
        <v>5348</v>
      </c>
      <c r="X85" s="1" t="b">
        <v>0</v>
      </c>
      <c r="Y85" s="1" t="s">
        <v>4675</v>
      </c>
      <c r="Z85" s="1" t="s">
        <v>5349</v>
      </c>
      <c r="AB85" s="1" t="s">
        <v>4677</v>
      </c>
      <c r="AC85" s="1" t="s">
        <v>4678</v>
      </c>
      <c r="AD85" s="1" t="s">
        <v>5350</v>
      </c>
      <c r="AE85" s="1" t="s">
        <v>5351</v>
      </c>
      <c r="AF85" s="1" t="s">
        <v>5352</v>
      </c>
      <c r="AG85" s="1" t="s">
        <v>4758</v>
      </c>
      <c r="AH85" s="1">
        <v>9.0</v>
      </c>
      <c r="AI85" s="1" t="b">
        <v>0</v>
      </c>
      <c r="AJ85" s="1" t="b">
        <v>0</v>
      </c>
      <c r="AK85" s="1" t="s">
        <v>5353</v>
      </c>
      <c r="AL85" s="1" t="s">
        <v>4719</v>
      </c>
      <c r="AM85" s="1" t="s">
        <v>4685</v>
      </c>
      <c r="AN85" s="1" t="s">
        <v>4686</v>
      </c>
      <c r="AO85" s="1" t="s">
        <v>5349</v>
      </c>
      <c r="AP85" s="1" t="s">
        <v>4687</v>
      </c>
      <c r="AQ85" s="1" t="s">
        <v>4688</v>
      </c>
      <c r="AR85" s="1">
        <v>171.0</v>
      </c>
      <c r="AS85" s="3"/>
      <c r="AT85" s="3"/>
      <c r="AU85" s="4" t="s">
        <v>4695</v>
      </c>
      <c r="AW85" s="3"/>
      <c r="AX85" s="3"/>
      <c r="AY85" s="3"/>
      <c r="AZ85" s="3"/>
      <c r="BA85" s="3"/>
      <c r="BB85" s="3"/>
      <c r="BC85" s="3"/>
      <c r="BD85" s="3"/>
      <c r="BE85" s="1" t="b">
        <v>1</v>
      </c>
      <c r="BF85" s="3"/>
      <c r="BG85" s="3"/>
      <c r="BH85" s="3"/>
      <c r="BI85" s="3"/>
      <c r="BJ85" s="3"/>
      <c r="BK85" s="4" t="s">
        <v>5354</v>
      </c>
      <c r="BL85" s="3"/>
    </row>
    <row r="86">
      <c r="A86" s="1" t="s">
        <v>335</v>
      </c>
      <c r="B86" s="1" t="s">
        <v>334</v>
      </c>
      <c r="C86" s="1" t="s">
        <v>334</v>
      </c>
      <c r="D86" s="1" t="s">
        <v>4922</v>
      </c>
      <c r="E86" s="1" t="s">
        <v>5355</v>
      </c>
      <c r="F86" s="1" t="s">
        <v>5356</v>
      </c>
      <c r="G86" s="3"/>
      <c r="H86" s="3"/>
      <c r="I86" s="1" t="s">
        <v>4925</v>
      </c>
      <c r="J86" s="1" t="s">
        <v>5357</v>
      </c>
      <c r="K86" s="3">
        <f>+821084625224</f>
        <v>821084625224</v>
      </c>
      <c r="L86" s="3"/>
      <c r="M86" s="3"/>
      <c r="N86" s="3"/>
      <c r="O86" s="3"/>
      <c r="P86" s="1">
        <v>1.22959856E8</v>
      </c>
      <c r="Q86" s="1" t="b">
        <v>1</v>
      </c>
      <c r="R86" s="1">
        <v>30.0</v>
      </c>
      <c r="S86" s="1" t="s">
        <v>4752</v>
      </c>
      <c r="T86" s="3"/>
      <c r="U86" s="1" t="s">
        <v>4672</v>
      </c>
      <c r="V86" s="1" t="s">
        <v>4673</v>
      </c>
      <c r="W86" s="1" t="s">
        <v>5358</v>
      </c>
      <c r="X86" s="1" t="b">
        <v>0</v>
      </c>
      <c r="Y86" s="1" t="s">
        <v>4675</v>
      </c>
      <c r="Z86" s="1" t="s">
        <v>5359</v>
      </c>
      <c r="AB86" s="3"/>
      <c r="AC86" s="3"/>
      <c r="AD86" s="3"/>
      <c r="AE86" s="3"/>
      <c r="AF86" s="3"/>
      <c r="AG86" s="3"/>
      <c r="AH86" s="3"/>
      <c r="AI86" s="1" t="b">
        <v>0</v>
      </c>
      <c r="AJ86" s="1" t="b">
        <v>0</v>
      </c>
      <c r="AK86" s="1" t="s">
        <v>5360</v>
      </c>
      <c r="AL86" s="1" t="s">
        <v>4719</v>
      </c>
      <c r="AM86" s="1" t="s">
        <v>4685</v>
      </c>
      <c r="AN86" s="1" t="s">
        <v>4720</v>
      </c>
      <c r="AO86" s="1" t="s">
        <v>5359</v>
      </c>
      <c r="AP86" s="1" t="s">
        <v>4721</v>
      </c>
      <c r="AQ86" s="1" t="s">
        <v>4722</v>
      </c>
      <c r="AR86" s="1">
        <v>30.0</v>
      </c>
      <c r="AS86" s="3"/>
      <c r="AT86" s="3"/>
      <c r="AU86" s="4" t="s">
        <v>5361</v>
      </c>
      <c r="AW86" s="3"/>
      <c r="AX86" s="3"/>
      <c r="AY86" s="3"/>
      <c r="AZ86" s="3"/>
      <c r="BA86" s="3"/>
      <c r="BB86" s="3"/>
      <c r="BC86" s="3"/>
      <c r="BD86" s="3"/>
      <c r="BE86" s="1" t="b">
        <v>1</v>
      </c>
      <c r="BF86" s="3"/>
      <c r="BG86" s="3"/>
      <c r="BH86" s="3"/>
      <c r="BI86" s="3"/>
      <c r="BJ86" s="3"/>
      <c r="BK86" s="4" t="s">
        <v>4695</v>
      </c>
    </row>
    <row r="87">
      <c r="A87" s="1" t="s">
        <v>168</v>
      </c>
      <c r="B87" s="1" t="s">
        <v>167</v>
      </c>
      <c r="C87" s="3"/>
      <c r="D87" s="3"/>
      <c r="E87" s="3"/>
      <c r="F87" s="3"/>
      <c r="G87" s="3"/>
      <c r="H87" s="3"/>
      <c r="I87" s="3"/>
      <c r="J87" s="3"/>
      <c r="K87" s="3"/>
      <c r="L87" s="3"/>
      <c r="M87" s="3"/>
      <c r="N87" s="3"/>
      <c r="O87" s="3"/>
      <c r="P87" s="1" t="s">
        <v>5362</v>
      </c>
      <c r="Q87" s="1" t="b">
        <v>0</v>
      </c>
      <c r="R87" s="1">
        <v>3.0</v>
      </c>
      <c r="S87" s="1" t="s">
        <v>4752</v>
      </c>
      <c r="T87" s="3"/>
      <c r="U87" s="1" t="s">
        <v>4672</v>
      </c>
      <c r="V87" s="1" t="s">
        <v>4673</v>
      </c>
      <c r="W87" s="1" t="s">
        <v>5363</v>
      </c>
      <c r="X87" s="1" t="b">
        <v>0</v>
      </c>
      <c r="Y87" s="1" t="s">
        <v>4675</v>
      </c>
      <c r="Z87" s="1" t="s">
        <v>5364</v>
      </c>
      <c r="AB87" s="3"/>
      <c r="AC87" s="3"/>
      <c r="AD87" s="3"/>
      <c r="AE87" s="3"/>
      <c r="AF87" s="3"/>
      <c r="AG87" s="3"/>
      <c r="AH87" s="3"/>
      <c r="AI87" s="1" t="b">
        <v>0</v>
      </c>
      <c r="AJ87" s="1" t="b">
        <v>0</v>
      </c>
      <c r="AK87" s="1" t="s">
        <v>5365</v>
      </c>
      <c r="AL87" s="1" t="s">
        <v>4719</v>
      </c>
      <c r="AM87" s="1" t="s">
        <v>4685</v>
      </c>
      <c r="AN87" s="1" t="s">
        <v>4720</v>
      </c>
      <c r="AO87" s="1" t="s">
        <v>5364</v>
      </c>
      <c r="AP87" s="1" t="s">
        <v>4721</v>
      </c>
      <c r="AQ87" s="1" t="s">
        <v>4722</v>
      </c>
      <c r="AR87" s="1">
        <v>3.0</v>
      </c>
      <c r="AS87" s="3"/>
      <c r="AT87" s="3"/>
      <c r="AU87" s="4" t="s">
        <v>4695</v>
      </c>
      <c r="AW87" s="3"/>
      <c r="AX87" s="3"/>
      <c r="AY87" s="3"/>
      <c r="AZ87" s="3"/>
      <c r="BA87" s="3"/>
      <c r="BB87" s="3"/>
      <c r="BC87" s="3"/>
      <c r="BD87" s="3"/>
      <c r="BE87" s="1" t="b">
        <v>1</v>
      </c>
      <c r="BF87" s="3"/>
      <c r="BG87" s="3"/>
      <c r="BH87" s="3"/>
      <c r="BI87" s="3"/>
      <c r="BJ87" s="3"/>
      <c r="BK87" s="4" t="s">
        <v>4695</v>
      </c>
    </row>
    <row r="88">
      <c r="A88" s="1" t="s">
        <v>1601</v>
      </c>
      <c r="B88" s="1" t="s">
        <v>1600</v>
      </c>
      <c r="C88" s="1" t="s">
        <v>1600</v>
      </c>
      <c r="D88" s="1" t="s">
        <v>4696</v>
      </c>
      <c r="E88" s="1" t="s">
        <v>5366</v>
      </c>
      <c r="F88" s="1" t="s">
        <v>5367</v>
      </c>
      <c r="G88" s="3"/>
      <c r="H88" s="1" t="s">
        <v>4861</v>
      </c>
      <c r="I88" s="1" t="s">
        <v>4742</v>
      </c>
      <c r="J88" s="1" t="s">
        <v>5368</v>
      </c>
      <c r="K88" s="3">
        <f>+821095688892</f>
        <v>821095688892</v>
      </c>
      <c r="L88" s="3"/>
      <c r="M88" s="3"/>
      <c r="N88" s="3"/>
      <c r="O88" s="3"/>
      <c r="P88" s="1">
        <v>1.0873558E8</v>
      </c>
      <c r="Q88" s="1" t="b">
        <v>1</v>
      </c>
      <c r="R88" s="1">
        <v>130.0</v>
      </c>
      <c r="S88" s="1" t="s">
        <v>4863</v>
      </c>
      <c r="T88" s="3"/>
      <c r="U88" s="1" t="s">
        <v>4672</v>
      </c>
      <c r="V88" s="1" t="s">
        <v>4673</v>
      </c>
      <c r="W88" s="1" t="s">
        <v>5369</v>
      </c>
      <c r="X88" s="1" t="b">
        <v>0</v>
      </c>
      <c r="Y88" s="1" t="s">
        <v>4675</v>
      </c>
      <c r="Z88" s="1" t="s">
        <v>5370</v>
      </c>
      <c r="AB88" s="1" t="s">
        <v>4677</v>
      </c>
      <c r="AC88" s="1" t="s">
        <v>4678</v>
      </c>
      <c r="AD88" s="1" t="s">
        <v>4867</v>
      </c>
      <c r="AE88" s="1" t="s">
        <v>5370</v>
      </c>
      <c r="AF88" s="1" t="s">
        <v>5371</v>
      </c>
      <c r="AG88" s="1" t="s">
        <v>4758</v>
      </c>
      <c r="AH88" s="1">
        <v>58.0</v>
      </c>
      <c r="AI88" s="1" t="b">
        <v>0</v>
      </c>
      <c r="AJ88" s="1" t="b">
        <v>0</v>
      </c>
      <c r="AK88" s="1" t="s">
        <v>5372</v>
      </c>
      <c r="AL88" s="1" t="s">
        <v>4719</v>
      </c>
      <c r="AM88" s="1" t="s">
        <v>4685</v>
      </c>
      <c r="AN88" s="1" t="s">
        <v>4686</v>
      </c>
      <c r="AO88" s="1" t="s">
        <v>5373</v>
      </c>
      <c r="AP88" s="1" t="s">
        <v>4687</v>
      </c>
      <c r="AQ88" s="1" t="s">
        <v>4688</v>
      </c>
      <c r="AR88" s="1">
        <v>72.0</v>
      </c>
      <c r="AS88" s="3"/>
      <c r="AT88" s="3"/>
      <c r="AU88" s="4" t="s">
        <v>4695</v>
      </c>
      <c r="AW88" s="3"/>
      <c r="AX88" s="3"/>
      <c r="AY88" s="3"/>
      <c r="AZ88" s="3"/>
      <c r="BA88" s="3"/>
      <c r="BB88" s="3"/>
      <c r="BC88" s="3"/>
      <c r="BD88" s="3"/>
      <c r="BE88" s="1" t="b">
        <v>1</v>
      </c>
      <c r="BF88" s="3"/>
      <c r="BG88" s="3"/>
      <c r="BH88" s="3"/>
      <c r="BI88" s="3"/>
      <c r="BJ88" s="3"/>
      <c r="BK88" s="4" t="s">
        <v>4695</v>
      </c>
      <c r="BL88" s="1" t="s">
        <v>4723</v>
      </c>
    </row>
    <row r="89">
      <c r="A89" s="1" t="s">
        <v>360</v>
      </c>
      <c r="B89" s="1" t="s">
        <v>359</v>
      </c>
      <c r="C89" s="1" t="s">
        <v>359</v>
      </c>
      <c r="D89" s="1" t="s">
        <v>4724</v>
      </c>
      <c r="E89" s="1" t="s">
        <v>5374</v>
      </c>
      <c r="F89" s="1" t="s">
        <v>5375</v>
      </c>
      <c r="G89" s="3"/>
      <c r="H89" s="3"/>
      <c r="I89" s="3"/>
      <c r="J89" s="1" t="s">
        <v>5376</v>
      </c>
      <c r="K89" s="3">
        <f>+821021562103</f>
        <v>821021562103</v>
      </c>
      <c r="L89" s="3"/>
      <c r="M89" s="3"/>
      <c r="N89" s="3"/>
      <c r="O89" s="3"/>
      <c r="P89" s="1">
        <v>1.22988413E8</v>
      </c>
      <c r="Q89" s="1" t="b">
        <v>1</v>
      </c>
      <c r="R89" s="1">
        <v>7.0</v>
      </c>
      <c r="S89" s="1" t="s">
        <v>4715</v>
      </c>
      <c r="T89" s="3"/>
      <c r="U89" s="1" t="s">
        <v>4672</v>
      </c>
      <c r="V89" s="1" t="s">
        <v>4673</v>
      </c>
      <c r="W89" s="1" t="s">
        <v>5377</v>
      </c>
      <c r="X89" s="1" t="b">
        <v>0</v>
      </c>
      <c r="Y89" s="1" t="s">
        <v>4675</v>
      </c>
      <c r="Z89" s="1" t="s">
        <v>5378</v>
      </c>
      <c r="AB89" s="3"/>
      <c r="AC89" s="3"/>
      <c r="AD89" s="3"/>
      <c r="AE89" s="3"/>
      <c r="AF89" s="3"/>
      <c r="AG89" s="3"/>
      <c r="AH89" s="3"/>
      <c r="AI89" s="1" t="b">
        <v>0</v>
      </c>
      <c r="AJ89" s="1" t="b">
        <v>0</v>
      </c>
      <c r="AK89" s="1" t="s">
        <v>5379</v>
      </c>
      <c r="AL89" s="1" t="s">
        <v>4719</v>
      </c>
      <c r="AM89" s="1" t="s">
        <v>4685</v>
      </c>
      <c r="AN89" s="1" t="s">
        <v>4686</v>
      </c>
      <c r="AO89" s="1" t="s">
        <v>5378</v>
      </c>
      <c r="AP89" s="1" t="s">
        <v>4687</v>
      </c>
      <c r="AQ89" s="1" t="s">
        <v>4688</v>
      </c>
      <c r="AR89" s="1">
        <v>7.0</v>
      </c>
      <c r="AS89" s="3"/>
      <c r="AT89" s="3"/>
      <c r="AU89" s="4" t="s">
        <v>4695</v>
      </c>
      <c r="AW89" s="3"/>
      <c r="AX89" s="3"/>
      <c r="AY89" s="3"/>
      <c r="AZ89" s="3"/>
      <c r="BA89" s="3"/>
      <c r="BB89" s="3"/>
      <c r="BC89" s="3"/>
      <c r="BD89" s="3"/>
      <c r="BE89" s="1" t="b">
        <v>1</v>
      </c>
      <c r="BF89" s="3"/>
      <c r="BG89" s="3"/>
      <c r="BH89" s="3"/>
      <c r="BI89" s="3"/>
      <c r="BJ89" s="3"/>
      <c r="BK89" s="4" t="s">
        <v>4695</v>
      </c>
    </row>
    <row r="90">
      <c r="A90" s="1" t="s">
        <v>748</v>
      </c>
      <c r="B90" s="1" t="s">
        <v>747</v>
      </c>
      <c r="C90" s="1" t="s">
        <v>747</v>
      </c>
      <c r="D90" s="1" t="s">
        <v>4711</v>
      </c>
      <c r="E90" s="1" t="s">
        <v>5380</v>
      </c>
      <c r="F90" s="1" t="s">
        <v>5381</v>
      </c>
      <c r="G90" s="3"/>
      <c r="H90" s="3"/>
      <c r="I90" s="3"/>
      <c r="J90" s="1" t="s">
        <v>5382</v>
      </c>
      <c r="K90" s="3">
        <f>+821037227713</f>
        <v>821037227713</v>
      </c>
      <c r="L90" s="3"/>
      <c r="M90" s="3"/>
      <c r="N90" s="3"/>
      <c r="O90" s="3"/>
      <c r="P90" s="1">
        <v>1.11384063E8</v>
      </c>
      <c r="Q90" s="1" t="b">
        <v>1</v>
      </c>
      <c r="R90" s="1">
        <v>28.0</v>
      </c>
      <c r="S90" s="1" t="s">
        <v>5383</v>
      </c>
      <c r="U90" s="1" t="s">
        <v>4672</v>
      </c>
      <c r="V90" s="1" t="s">
        <v>4673</v>
      </c>
      <c r="W90" s="1" t="s">
        <v>5384</v>
      </c>
      <c r="X90" s="1" t="b">
        <v>0</v>
      </c>
      <c r="Y90" s="1" t="s">
        <v>4675</v>
      </c>
      <c r="Z90" s="1" t="s">
        <v>5385</v>
      </c>
      <c r="AB90" s="3"/>
      <c r="AC90" s="3"/>
      <c r="AD90" s="3"/>
      <c r="AE90" s="3"/>
      <c r="AF90" s="3"/>
      <c r="AG90" s="3"/>
      <c r="AH90" s="3"/>
      <c r="AI90" s="1" t="b">
        <v>0</v>
      </c>
      <c r="AJ90" s="1" t="b">
        <v>0</v>
      </c>
      <c r="AK90" s="1" t="s">
        <v>5386</v>
      </c>
      <c r="AL90" s="1" t="s">
        <v>4707</v>
      </c>
      <c r="AM90" s="1" t="s">
        <v>4708</v>
      </c>
      <c r="AN90" s="1" t="s">
        <v>4686</v>
      </c>
      <c r="AO90" s="1" t="s">
        <v>5385</v>
      </c>
      <c r="AP90" s="1" t="s">
        <v>4709</v>
      </c>
      <c r="AQ90" s="1" t="s">
        <v>4688</v>
      </c>
      <c r="AR90" s="1">
        <v>28.0</v>
      </c>
      <c r="AS90" s="3"/>
      <c r="AT90" s="3"/>
      <c r="AU90" s="4" t="s">
        <v>5387</v>
      </c>
      <c r="AW90" s="3"/>
      <c r="AX90" s="3"/>
      <c r="AY90" s="3"/>
      <c r="AZ90" s="3"/>
      <c r="BA90" s="3"/>
      <c r="BB90" s="3"/>
      <c r="BC90" s="3"/>
      <c r="BD90" s="3"/>
      <c r="BE90" s="1" t="b">
        <v>1</v>
      </c>
      <c r="BF90" s="3"/>
      <c r="BG90" s="3"/>
      <c r="BH90" s="3"/>
      <c r="BI90" s="3"/>
      <c r="BJ90" s="3"/>
      <c r="BK90" s="4" t="s">
        <v>4780</v>
      </c>
    </row>
    <row r="91">
      <c r="A91" s="1" t="s">
        <v>267</v>
      </c>
      <c r="B91" s="1" t="s">
        <v>265</v>
      </c>
      <c r="C91" s="1" t="s">
        <v>265</v>
      </c>
      <c r="D91" s="1" t="s">
        <v>4922</v>
      </c>
      <c r="E91" s="1" t="s">
        <v>5388</v>
      </c>
      <c r="F91" s="1" t="s">
        <v>5389</v>
      </c>
      <c r="G91" s="3"/>
      <c r="H91" s="3"/>
      <c r="I91" s="3"/>
      <c r="J91" s="1" t="s">
        <v>5390</v>
      </c>
      <c r="K91" s="3">
        <f>+821089300982</f>
        <v>821089300982</v>
      </c>
      <c r="L91" s="3"/>
      <c r="M91" s="3"/>
      <c r="N91" s="3"/>
      <c r="O91" s="3"/>
      <c r="P91" s="1">
        <v>1.22924091E8</v>
      </c>
      <c r="Q91" s="1" t="b">
        <v>1</v>
      </c>
      <c r="R91" s="1">
        <v>10.0</v>
      </c>
      <c r="S91" s="1" t="s">
        <v>4744</v>
      </c>
      <c r="T91" s="3"/>
      <c r="U91" s="1" t="s">
        <v>4672</v>
      </c>
      <c r="V91" s="1" t="s">
        <v>4673</v>
      </c>
      <c r="W91" s="1" t="s">
        <v>5391</v>
      </c>
      <c r="X91" s="1" t="b">
        <v>0</v>
      </c>
      <c r="Y91" s="1" t="s">
        <v>4675</v>
      </c>
      <c r="Z91" s="1" t="s">
        <v>5392</v>
      </c>
      <c r="AB91" s="3"/>
      <c r="AC91" s="3"/>
      <c r="AD91" s="3"/>
      <c r="AE91" s="3"/>
      <c r="AF91" s="3"/>
      <c r="AG91" s="3"/>
      <c r="AH91" s="3"/>
      <c r="AI91" s="1" t="b">
        <v>0</v>
      </c>
      <c r="AJ91" s="1" t="b">
        <v>0</v>
      </c>
      <c r="AK91" s="1" t="s">
        <v>5393</v>
      </c>
      <c r="AL91" s="1" t="s">
        <v>4719</v>
      </c>
      <c r="AM91" s="1" t="s">
        <v>4685</v>
      </c>
      <c r="AN91" s="1" t="s">
        <v>4686</v>
      </c>
      <c r="AO91" s="1" t="s">
        <v>5392</v>
      </c>
      <c r="AP91" s="1" t="s">
        <v>4687</v>
      </c>
      <c r="AQ91" s="1" t="s">
        <v>4688</v>
      </c>
      <c r="AR91" s="1">
        <v>10.0</v>
      </c>
      <c r="AS91" s="3"/>
      <c r="AT91" s="3"/>
      <c r="AU91" s="4" t="s">
        <v>4880</v>
      </c>
      <c r="AV91" s="1" t="s">
        <v>4788</v>
      </c>
      <c r="AW91" s="1" t="s">
        <v>4789</v>
      </c>
      <c r="AX91" s="1" t="s">
        <v>4692</v>
      </c>
      <c r="AY91" s="1" t="s">
        <v>4790</v>
      </c>
      <c r="AZ91" s="1" t="s">
        <v>4791</v>
      </c>
      <c r="BA91" s="3"/>
      <c r="BB91" s="3"/>
      <c r="BC91" s="3"/>
      <c r="BD91" s="3"/>
      <c r="BE91" s="1" t="b">
        <v>1</v>
      </c>
      <c r="BF91" s="1" t="s">
        <v>4790</v>
      </c>
      <c r="BG91" s="1" t="s">
        <v>4692</v>
      </c>
      <c r="BH91" s="1" t="s">
        <v>4788</v>
      </c>
      <c r="BI91" s="1" t="s">
        <v>4789</v>
      </c>
      <c r="BJ91" s="1" t="s">
        <v>4791</v>
      </c>
      <c r="BK91" s="4" t="s">
        <v>4695</v>
      </c>
    </row>
    <row r="92">
      <c r="A92" s="1" t="s">
        <v>1625</v>
      </c>
      <c r="B92" s="1" t="s">
        <v>1623</v>
      </c>
      <c r="C92" s="1" t="s">
        <v>1623</v>
      </c>
      <c r="D92" s="1" t="s">
        <v>4922</v>
      </c>
      <c r="E92" s="1" t="s">
        <v>5394</v>
      </c>
      <c r="F92" s="1" t="s">
        <v>5395</v>
      </c>
      <c r="G92" s="3"/>
      <c r="H92" s="3"/>
      <c r="I92" s="1" t="s">
        <v>4925</v>
      </c>
      <c r="J92" s="1" t="s">
        <v>5396</v>
      </c>
      <c r="K92" s="3">
        <f>+821077632682</f>
        <v>821077632682</v>
      </c>
      <c r="L92" s="3"/>
      <c r="M92" s="3"/>
      <c r="N92" s="3"/>
      <c r="O92" s="3"/>
      <c r="P92" s="1">
        <v>1.22953587E8</v>
      </c>
      <c r="Q92" s="1" t="b">
        <v>1</v>
      </c>
      <c r="R92" s="1">
        <v>11.0</v>
      </c>
      <c r="S92" s="1" t="s">
        <v>4701</v>
      </c>
      <c r="T92" s="3"/>
      <c r="U92" s="1" t="s">
        <v>4672</v>
      </c>
      <c r="V92" s="1" t="s">
        <v>4673</v>
      </c>
      <c r="W92" s="1" t="s">
        <v>5397</v>
      </c>
      <c r="X92" s="1" t="b">
        <v>0</v>
      </c>
      <c r="Y92" s="1" t="s">
        <v>4675</v>
      </c>
      <c r="Z92" s="1" t="s">
        <v>5398</v>
      </c>
      <c r="AB92" s="3"/>
      <c r="AC92" s="3"/>
      <c r="AD92" s="3"/>
      <c r="AE92" s="3"/>
      <c r="AF92" s="3"/>
      <c r="AG92" s="3"/>
      <c r="AH92" s="3"/>
      <c r="AI92" s="1" t="b">
        <v>0</v>
      </c>
      <c r="AJ92" s="1" t="b">
        <v>0</v>
      </c>
      <c r="AK92" s="1" t="s">
        <v>5399</v>
      </c>
      <c r="AL92" s="1" t="s">
        <v>4719</v>
      </c>
      <c r="AM92" s="1" t="s">
        <v>4685</v>
      </c>
      <c r="AN92" s="1" t="s">
        <v>4686</v>
      </c>
      <c r="AO92" s="1" t="s">
        <v>5398</v>
      </c>
      <c r="AP92" s="1" t="s">
        <v>4687</v>
      </c>
      <c r="AQ92" s="1" t="s">
        <v>4688</v>
      </c>
      <c r="AR92" s="1">
        <v>11.0</v>
      </c>
      <c r="AS92" s="3"/>
      <c r="AT92" s="3"/>
      <c r="AU92" s="4" t="s">
        <v>4695</v>
      </c>
      <c r="AW92" s="3"/>
      <c r="AX92" s="3"/>
      <c r="AY92" s="3"/>
      <c r="AZ92" s="3"/>
      <c r="BA92" s="3"/>
      <c r="BB92" s="3"/>
      <c r="BC92" s="3"/>
      <c r="BD92" s="3"/>
      <c r="BE92" s="1" t="b">
        <v>1</v>
      </c>
      <c r="BF92" s="3"/>
      <c r="BG92" s="3"/>
      <c r="BH92" s="3"/>
      <c r="BI92" s="3"/>
      <c r="BJ92" s="3"/>
      <c r="BK92" s="4" t="s">
        <v>4695</v>
      </c>
    </row>
    <row r="93">
      <c r="A93" s="1" t="s">
        <v>501</v>
      </c>
      <c r="B93" s="1" t="s">
        <v>499</v>
      </c>
      <c r="C93" s="1" t="s">
        <v>499</v>
      </c>
      <c r="D93" s="3"/>
      <c r="E93" s="3"/>
      <c r="F93" s="3"/>
      <c r="G93" s="3"/>
      <c r="H93" s="3"/>
      <c r="I93" s="3"/>
      <c r="J93" s="1" t="s">
        <v>5400</v>
      </c>
      <c r="K93" s="3">
        <f>+821031815243</f>
        <v>821031815243</v>
      </c>
      <c r="L93" s="3"/>
      <c r="M93" s="3"/>
      <c r="N93" s="3"/>
      <c r="O93" s="3"/>
      <c r="P93" s="1" t="s">
        <v>5401</v>
      </c>
      <c r="Q93" s="1" t="b">
        <v>0</v>
      </c>
      <c r="R93" s="1">
        <v>4.0</v>
      </c>
      <c r="S93" s="1" t="s">
        <v>5058</v>
      </c>
      <c r="T93" s="3"/>
      <c r="U93" s="1" t="s">
        <v>4672</v>
      </c>
      <c r="V93" s="1" t="s">
        <v>4673</v>
      </c>
      <c r="W93" s="1" t="s">
        <v>5402</v>
      </c>
      <c r="X93" s="1" t="b">
        <v>0</v>
      </c>
      <c r="Y93" s="1" t="s">
        <v>4675</v>
      </c>
      <c r="Z93" s="1" t="s">
        <v>5403</v>
      </c>
      <c r="AB93" s="3"/>
      <c r="AC93" s="3"/>
      <c r="AD93" s="3"/>
      <c r="AE93" s="3"/>
      <c r="AF93" s="3"/>
      <c r="AG93" s="3"/>
      <c r="AH93" s="3"/>
      <c r="AI93" s="1" t="b">
        <v>0</v>
      </c>
      <c r="AJ93" s="1" t="b">
        <v>0</v>
      </c>
      <c r="AK93" s="1" t="s">
        <v>5404</v>
      </c>
      <c r="AL93" s="1" t="s">
        <v>4707</v>
      </c>
      <c r="AM93" s="1" t="s">
        <v>4708</v>
      </c>
      <c r="AN93" s="1" t="s">
        <v>4686</v>
      </c>
      <c r="AO93" s="1" t="s">
        <v>5403</v>
      </c>
      <c r="AP93" s="1" t="s">
        <v>4709</v>
      </c>
      <c r="AQ93" s="1" t="s">
        <v>4688</v>
      </c>
      <c r="AR93" s="1">
        <v>4.0</v>
      </c>
      <c r="AS93" s="3"/>
      <c r="AT93" s="3"/>
      <c r="AU93" s="3"/>
      <c r="AV93" s="3"/>
      <c r="AW93" s="3"/>
      <c r="AX93" s="3"/>
      <c r="AY93" s="3"/>
      <c r="AZ93" s="3"/>
      <c r="BA93" s="3"/>
      <c r="BB93" s="3"/>
      <c r="BC93" s="3"/>
      <c r="BD93" s="3"/>
      <c r="BE93" s="1" t="b">
        <v>1</v>
      </c>
      <c r="BF93" s="3"/>
      <c r="BG93" s="3"/>
      <c r="BH93" s="3"/>
      <c r="BI93" s="3"/>
      <c r="BJ93" s="3"/>
      <c r="BK93" s="3"/>
      <c r="BL93" s="3"/>
    </row>
    <row r="94">
      <c r="A94" s="1" t="s">
        <v>1690</v>
      </c>
      <c r="B94" s="1" t="s">
        <v>1689</v>
      </c>
      <c r="C94" s="1" t="s">
        <v>1689</v>
      </c>
      <c r="D94" s="1" t="s">
        <v>4711</v>
      </c>
      <c r="E94" s="1" t="s">
        <v>5405</v>
      </c>
      <c r="F94" s="1" t="s">
        <v>5406</v>
      </c>
      <c r="G94" s="3"/>
      <c r="H94" s="3"/>
      <c r="I94" s="1" t="s">
        <v>4733</v>
      </c>
      <c r="J94" s="1" t="s">
        <v>5407</v>
      </c>
      <c r="K94" s="3">
        <f>+821096492080</f>
        <v>821096492080</v>
      </c>
      <c r="L94" s="3"/>
      <c r="M94" s="3"/>
      <c r="N94" s="3"/>
      <c r="O94" s="3"/>
      <c r="P94" s="1">
        <v>1.12559158E8</v>
      </c>
      <c r="Q94" s="1" t="b">
        <v>1</v>
      </c>
      <c r="R94" s="1">
        <v>103.0</v>
      </c>
      <c r="S94" s="1" t="s">
        <v>5383</v>
      </c>
      <c r="U94" s="1" t="s">
        <v>4672</v>
      </c>
      <c r="V94" s="1" t="s">
        <v>4673</v>
      </c>
      <c r="W94" s="1" t="s">
        <v>5408</v>
      </c>
      <c r="X94" s="1" t="b">
        <v>0</v>
      </c>
      <c r="Y94" s="1" t="s">
        <v>4675</v>
      </c>
      <c r="Z94" s="1" t="s">
        <v>5409</v>
      </c>
      <c r="AB94" s="1" t="s">
        <v>4677</v>
      </c>
      <c r="AC94" s="1" t="s">
        <v>4678</v>
      </c>
      <c r="AD94" s="1" t="s">
        <v>5194</v>
      </c>
      <c r="AE94" s="1" t="s">
        <v>5410</v>
      </c>
      <c r="AF94" s="1" t="s">
        <v>4757</v>
      </c>
      <c r="AG94" s="1" t="s">
        <v>4758</v>
      </c>
      <c r="AH94" s="1">
        <v>46.0</v>
      </c>
      <c r="AI94" s="1" t="b">
        <v>0</v>
      </c>
      <c r="AJ94" s="1" t="b">
        <v>0</v>
      </c>
      <c r="AK94" s="1" t="s">
        <v>5411</v>
      </c>
      <c r="AL94" s="1" t="s">
        <v>4719</v>
      </c>
      <c r="AM94" s="1" t="s">
        <v>4685</v>
      </c>
      <c r="AN94" s="1" t="s">
        <v>4686</v>
      </c>
      <c r="AO94" s="1" t="s">
        <v>5409</v>
      </c>
      <c r="AP94" s="1" t="s">
        <v>4687</v>
      </c>
      <c r="AQ94" s="1" t="s">
        <v>4688</v>
      </c>
      <c r="AR94" s="1">
        <v>57.0</v>
      </c>
      <c r="AS94" s="3"/>
      <c r="AT94" s="3"/>
      <c r="AU94" s="4" t="s">
        <v>4881</v>
      </c>
      <c r="AW94" s="3"/>
      <c r="AX94" s="3"/>
      <c r="AY94" s="3"/>
      <c r="AZ94" s="3"/>
      <c r="BA94" s="3"/>
      <c r="BB94" s="3"/>
      <c r="BC94" s="3"/>
      <c r="BD94" s="3"/>
      <c r="BE94" s="1" t="b">
        <v>1</v>
      </c>
      <c r="BF94" s="3"/>
      <c r="BG94" s="3"/>
      <c r="BH94" s="3"/>
      <c r="BI94" s="3"/>
      <c r="BJ94" s="3"/>
      <c r="BK94" s="4" t="s">
        <v>4771</v>
      </c>
    </row>
    <row r="95">
      <c r="A95" s="1" t="s">
        <v>344</v>
      </c>
      <c r="B95" s="1" t="s">
        <v>343</v>
      </c>
      <c r="C95" s="1" t="s">
        <v>343</v>
      </c>
      <c r="D95" s="1" t="s">
        <v>5412</v>
      </c>
      <c r="E95" s="1" t="s">
        <v>5413</v>
      </c>
      <c r="F95" s="1" t="s">
        <v>5414</v>
      </c>
      <c r="G95" s="3"/>
      <c r="H95" s="3"/>
      <c r="I95" s="3"/>
      <c r="J95" s="1" t="s">
        <v>5415</v>
      </c>
      <c r="K95" s="3">
        <f>+821028833743</f>
        <v>821028833743</v>
      </c>
      <c r="L95" s="3"/>
      <c r="M95" s="3"/>
      <c r="N95" s="3"/>
      <c r="O95" s="3"/>
      <c r="P95" s="1">
        <v>1.2299378E8</v>
      </c>
      <c r="Q95" s="1" t="b">
        <v>1</v>
      </c>
      <c r="R95" s="1">
        <v>8.0</v>
      </c>
      <c r="S95" s="1" t="s">
        <v>4752</v>
      </c>
      <c r="T95" s="3"/>
      <c r="U95" s="1" t="s">
        <v>4672</v>
      </c>
      <c r="V95" s="1" t="s">
        <v>4673</v>
      </c>
      <c r="W95" s="1" t="s">
        <v>5416</v>
      </c>
      <c r="X95" s="1" t="b">
        <v>0</v>
      </c>
      <c r="Y95" s="1" t="s">
        <v>4675</v>
      </c>
      <c r="Z95" s="1" t="s">
        <v>5417</v>
      </c>
      <c r="AB95" s="3"/>
      <c r="AC95" s="3"/>
      <c r="AD95" s="3"/>
      <c r="AE95" s="3"/>
      <c r="AF95" s="3"/>
      <c r="AG95" s="3"/>
      <c r="AH95" s="3"/>
      <c r="AI95" s="1" t="b">
        <v>0</v>
      </c>
      <c r="AJ95" s="1" t="b">
        <v>0</v>
      </c>
      <c r="AK95" s="1" t="s">
        <v>5418</v>
      </c>
      <c r="AL95" s="1" t="s">
        <v>4684</v>
      </c>
      <c r="AM95" s="1" t="s">
        <v>4685</v>
      </c>
      <c r="AN95" s="1" t="s">
        <v>4686</v>
      </c>
      <c r="AO95" s="1" t="s">
        <v>5417</v>
      </c>
      <c r="AP95" s="1" t="s">
        <v>4687</v>
      </c>
      <c r="AQ95" s="1" t="s">
        <v>4688</v>
      </c>
      <c r="AR95" s="1">
        <v>8.0</v>
      </c>
      <c r="AS95" s="3"/>
      <c r="AT95" s="3"/>
      <c r="AU95" s="4" t="s">
        <v>4695</v>
      </c>
      <c r="AW95" s="3"/>
      <c r="AX95" s="3"/>
      <c r="AY95" s="3"/>
      <c r="AZ95" s="3"/>
      <c r="BA95" s="3"/>
      <c r="BB95" s="3"/>
      <c r="BC95" s="3"/>
      <c r="BD95" s="3"/>
      <c r="BE95" s="1" t="b">
        <v>1</v>
      </c>
      <c r="BF95" s="3"/>
      <c r="BG95" s="3"/>
      <c r="BH95" s="3"/>
      <c r="BI95" s="3"/>
      <c r="BJ95" s="3"/>
      <c r="BK95" s="4" t="s">
        <v>4710</v>
      </c>
    </row>
    <row r="96">
      <c r="A96" s="1" t="s">
        <v>1699</v>
      </c>
      <c r="B96" s="1" t="s">
        <v>1698</v>
      </c>
      <c r="C96" s="1" t="s">
        <v>1698</v>
      </c>
      <c r="D96" s="1" t="s">
        <v>5092</v>
      </c>
      <c r="E96" s="1" t="s">
        <v>5419</v>
      </c>
      <c r="F96" s="1" t="s">
        <v>5420</v>
      </c>
      <c r="G96" s="3"/>
      <c r="H96" s="3"/>
      <c r="I96" s="1" t="s">
        <v>5095</v>
      </c>
      <c r="J96" s="1" t="s">
        <v>5421</v>
      </c>
      <c r="K96" s="3"/>
      <c r="L96" s="3"/>
      <c r="M96" s="3"/>
      <c r="N96" s="3"/>
      <c r="O96" s="3"/>
      <c r="P96" s="1">
        <v>1.09948695E8</v>
      </c>
      <c r="Q96" s="1" t="b">
        <v>1</v>
      </c>
      <c r="R96" s="1">
        <v>33.0</v>
      </c>
      <c r="S96" s="1" t="s">
        <v>4715</v>
      </c>
      <c r="T96" s="3"/>
      <c r="U96" s="1" t="s">
        <v>4672</v>
      </c>
      <c r="V96" s="1" t="s">
        <v>4673</v>
      </c>
      <c r="W96" s="1" t="s">
        <v>5422</v>
      </c>
      <c r="X96" s="1" t="b">
        <v>0</v>
      </c>
      <c r="Y96" s="1" t="s">
        <v>4675</v>
      </c>
      <c r="Z96" s="1" t="s">
        <v>5423</v>
      </c>
      <c r="AB96" s="1" t="s">
        <v>4677</v>
      </c>
      <c r="AC96" s="1" t="s">
        <v>4678</v>
      </c>
      <c r="AD96" s="1" t="s">
        <v>5424</v>
      </c>
      <c r="AE96" s="1" t="s">
        <v>5423</v>
      </c>
      <c r="AF96" s="1" t="s">
        <v>4757</v>
      </c>
      <c r="AG96" s="1" t="s">
        <v>4758</v>
      </c>
      <c r="AH96" s="1">
        <v>33.0</v>
      </c>
      <c r="AI96" s="1" t="b">
        <v>0</v>
      </c>
      <c r="AJ96" s="1" t="b">
        <v>0</v>
      </c>
      <c r="AK96" s="1" t="s">
        <v>5425</v>
      </c>
      <c r="AM96" s="3"/>
      <c r="AN96" s="3"/>
      <c r="AO96" s="3"/>
      <c r="AP96" s="3"/>
      <c r="AQ96" s="3"/>
      <c r="AR96" s="3"/>
      <c r="AS96" s="3"/>
      <c r="AT96" s="3"/>
      <c r="AU96" s="3"/>
      <c r="AV96" s="3"/>
      <c r="AW96" s="3"/>
      <c r="AX96" s="3"/>
      <c r="AY96" s="3"/>
      <c r="AZ96" s="3"/>
      <c r="BA96" s="3"/>
      <c r="BB96" s="3"/>
      <c r="BC96" s="3"/>
      <c r="BD96" s="3"/>
      <c r="BE96" s="1" t="b">
        <v>1</v>
      </c>
      <c r="BF96" s="3"/>
      <c r="BG96" s="3"/>
      <c r="BH96" s="3"/>
      <c r="BI96" s="3"/>
      <c r="BJ96" s="3"/>
      <c r="BK96" s="3"/>
      <c r="BL96" s="3"/>
    </row>
    <row r="97">
      <c r="A97" s="1" t="s">
        <v>797</v>
      </c>
      <c r="B97" s="1" t="s">
        <v>796</v>
      </c>
      <c r="C97" s="1" t="s">
        <v>796</v>
      </c>
      <c r="D97" s="1" t="s">
        <v>4696</v>
      </c>
      <c r="E97" s="1" t="s">
        <v>5426</v>
      </c>
      <c r="F97" s="1" t="s">
        <v>5427</v>
      </c>
      <c r="G97" s="3"/>
      <c r="H97" s="3"/>
      <c r="I97" s="1" t="s">
        <v>4872</v>
      </c>
      <c r="J97" s="1" t="s">
        <v>5428</v>
      </c>
      <c r="K97" s="3">
        <f>+821091308746</f>
        <v>821091308746</v>
      </c>
      <c r="L97" s="3"/>
      <c r="M97" s="3"/>
      <c r="N97" s="3"/>
      <c r="O97" s="3"/>
      <c r="P97" s="1">
        <v>1.11107325E8</v>
      </c>
      <c r="Q97" s="1" t="b">
        <v>1</v>
      </c>
      <c r="R97" s="1">
        <v>679.0</v>
      </c>
      <c r="S97" s="1" t="s">
        <v>5429</v>
      </c>
      <c r="T97" s="3"/>
      <c r="U97" s="1" t="s">
        <v>4672</v>
      </c>
      <c r="V97" s="1" t="s">
        <v>4673</v>
      </c>
      <c r="W97" s="1" t="s">
        <v>5430</v>
      </c>
      <c r="X97" s="1" t="b">
        <v>0</v>
      </c>
      <c r="Y97" s="1" t="s">
        <v>4675</v>
      </c>
      <c r="Z97" s="1" t="s">
        <v>5431</v>
      </c>
      <c r="AB97" s="1" t="s">
        <v>4677</v>
      </c>
      <c r="AC97" s="1" t="s">
        <v>4678</v>
      </c>
      <c r="AD97" s="1" t="s">
        <v>5432</v>
      </c>
      <c r="AE97" s="1" t="s">
        <v>5433</v>
      </c>
      <c r="AF97" s="1" t="s">
        <v>4757</v>
      </c>
      <c r="AG97" s="1" t="s">
        <v>4758</v>
      </c>
      <c r="AH97" s="1">
        <v>137.0</v>
      </c>
      <c r="AI97" s="1" t="b">
        <v>0</v>
      </c>
      <c r="AJ97" s="1" t="b">
        <v>0</v>
      </c>
      <c r="AK97" s="1" t="s">
        <v>5434</v>
      </c>
      <c r="AL97" s="1" t="s">
        <v>4719</v>
      </c>
      <c r="AM97" s="1" t="s">
        <v>4685</v>
      </c>
      <c r="AN97" s="1" t="s">
        <v>4686</v>
      </c>
      <c r="AO97" s="1" t="s">
        <v>5431</v>
      </c>
      <c r="AP97" s="1" t="s">
        <v>4687</v>
      </c>
      <c r="AQ97" s="1" t="s">
        <v>4688</v>
      </c>
      <c r="AR97" s="1">
        <v>542.0</v>
      </c>
      <c r="AS97" s="3"/>
      <c r="AT97" s="3"/>
      <c r="AU97" s="4" t="s">
        <v>4856</v>
      </c>
      <c r="BB97" s="3"/>
      <c r="BC97" s="3"/>
      <c r="BD97" s="3"/>
      <c r="BE97" s="1" t="b">
        <v>1</v>
      </c>
      <c r="BF97" s="3"/>
      <c r="BG97" s="3"/>
      <c r="BH97" s="3"/>
      <c r="BI97" s="3"/>
      <c r="BJ97" s="3"/>
      <c r="BK97" s="4" t="s">
        <v>4710</v>
      </c>
    </row>
    <row r="98">
      <c r="A98" s="1" t="s">
        <v>864</v>
      </c>
      <c r="B98" s="1" t="s">
        <v>863</v>
      </c>
      <c r="C98" s="1" t="s">
        <v>863</v>
      </c>
      <c r="D98" s="1" t="s">
        <v>4711</v>
      </c>
      <c r="E98" s="1" t="s">
        <v>5435</v>
      </c>
      <c r="F98" s="1" t="s">
        <v>5436</v>
      </c>
      <c r="G98" s="3"/>
      <c r="H98" s="1" t="s">
        <v>4861</v>
      </c>
      <c r="I98" s="1" t="s">
        <v>4742</v>
      </c>
      <c r="J98" s="1" t="s">
        <v>5437</v>
      </c>
      <c r="K98" s="3">
        <f>+821027486163</f>
        <v>821027486163</v>
      </c>
      <c r="L98" s="3"/>
      <c r="M98" s="3"/>
      <c r="N98" s="3"/>
      <c r="O98" s="3"/>
      <c r="P98" s="1">
        <v>1.17023859E8</v>
      </c>
      <c r="Q98" s="1" t="b">
        <v>1</v>
      </c>
      <c r="R98" s="1">
        <v>14.0</v>
      </c>
      <c r="S98" s="1" t="s">
        <v>4701</v>
      </c>
      <c r="T98" s="3"/>
      <c r="U98" s="1" t="s">
        <v>4672</v>
      </c>
      <c r="V98" s="1" t="s">
        <v>4673</v>
      </c>
      <c r="W98" s="1" t="s">
        <v>5438</v>
      </c>
      <c r="X98" s="1" t="b">
        <v>0</v>
      </c>
      <c r="Y98" s="1" t="s">
        <v>4675</v>
      </c>
      <c r="Z98" s="1" t="s">
        <v>5439</v>
      </c>
      <c r="AB98" s="3"/>
      <c r="AC98" s="3"/>
      <c r="AD98" s="3"/>
      <c r="AE98" s="3"/>
      <c r="AF98" s="3"/>
      <c r="AG98" s="3"/>
      <c r="AH98" s="3"/>
      <c r="AI98" s="1" t="b">
        <v>0</v>
      </c>
      <c r="AJ98" s="1" t="b">
        <v>0</v>
      </c>
      <c r="AK98" s="1" t="s">
        <v>5440</v>
      </c>
      <c r="AL98" s="1" t="s">
        <v>4719</v>
      </c>
      <c r="AM98" s="1" t="s">
        <v>4685</v>
      </c>
      <c r="AN98" s="1" t="s">
        <v>4720</v>
      </c>
      <c r="AO98" s="1" t="s">
        <v>5439</v>
      </c>
      <c r="AP98" s="1" t="s">
        <v>4721</v>
      </c>
      <c r="AQ98" s="1" t="s">
        <v>4722</v>
      </c>
      <c r="AR98" s="1">
        <v>14.0</v>
      </c>
      <c r="AS98" s="3"/>
      <c r="AT98" s="3"/>
      <c r="AU98" s="4" t="s">
        <v>4695</v>
      </c>
      <c r="AW98" s="3"/>
      <c r="AX98" s="3"/>
      <c r="AY98" s="3"/>
      <c r="AZ98" s="3"/>
      <c r="BA98" s="3"/>
      <c r="BB98" s="3"/>
      <c r="BC98" s="3"/>
      <c r="BD98" s="3"/>
      <c r="BE98" s="1" t="b">
        <v>1</v>
      </c>
      <c r="BF98" s="3"/>
      <c r="BG98" s="3"/>
      <c r="BH98" s="3"/>
      <c r="BI98" s="3"/>
      <c r="BJ98" s="3"/>
      <c r="BK98" s="4" t="s">
        <v>4695</v>
      </c>
    </row>
    <row r="99">
      <c r="A99" s="1" t="s">
        <v>2005</v>
      </c>
      <c r="B99" s="1" t="s">
        <v>2003</v>
      </c>
      <c r="C99" s="1" t="s">
        <v>2003</v>
      </c>
      <c r="D99" s="1" t="s">
        <v>5412</v>
      </c>
      <c r="E99" s="1" t="s">
        <v>5441</v>
      </c>
      <c r="F99" s="1" t="s">
        <v>5442</v>
      </c>
      <c r="G99" s="3"/>
      <c r="H99" s="3"/>
      <c r="I99" s="1" t="s">
        <v>5026</v>
      </c>
      <c r="J99" s="1" t="s">
        <v>5443</v>
      </c>
      <c r="K99" s="3">
        <f>+821027992713</f>
        <v>821027992713</v>
      </c>
      <c r="L99" s="3"/>
      <c r="M99" s="3"/>
      <c r="N99" s="3"/>
      <c r="O99" s="3"/>
      <c r="P99" s="1">
        <v>1.2295468E8</v>
      </c>
      <c r="Q99" s="1" t="b">
        <v>1</v>
      </c>
      <c r="R99" s="1">
        <v>17.0</v>
      </c>
      <c r="S99" s="1" t="s">
        <v>4752</v>
      </c>
      <c r="T99" s="3"/>
      <c r="U99" s="1" t="s">
        <v>4672</v>
      </c>
      <c r="V99" s="1" t="s">
        <v>4673</v>
      </c>
      <c r="W99" s="1" t="s">
        <v>5444</v>
      </c>
      <c r="X99" s="1" t="b">
        <v>0</v>
      </c>
      <c r="Y99" s="1" t="s">
        <v>4675</v>
      </c>
      <c r="Z99" s="1" t="s">
        <v>5445</v>
      </c>
      <c r="AB99" s="3"/>
      <c r="AC99" s="3"/>
      <c r="AD99" s="3"/>
      <c r="AE99" s="3"/>
      <c r="AF99" s="3"/>
      <c r="AG99" s="3"/>
      <c r="AH99" s="3"/>
      <c r="AI99" s="1" t="b">
        <v>0</v>
      </c>
      <c r="AJ99" s="1" t="b">
        <v>0</v>
      </c>
      <c r="AK99" s="1" t="s">
        <v>5446</v>
      </c>
      <c r="AL99" s="1" t="s">
        <v>5447</v>
      </c>
      <c r="AM99" s="1" t="s">
        <v>5135</v>
      </c>
      <c r="AN99" s="1" t="s">
        <v>4720</v>
      </c>
      <c r="AO99" s="1" t="s">
        <v>5448</v>
      </c>
      <c r="AP99" s="1" t="s">
        <v>4721</v>
      </c>
      <c r="AQ99" s="1" t="s">
        <v>4722</v>
      </c>
      <c r="AR99" s="1">
        <v>17.0</v>
      </c>
      <c r="AS99" s="3"/>
      <c r="AT99" s="3"/>
      <c r="AU99" s="4" t="s">
        <v>4695</v>
      </c>
      <c r="AV99" s="1" t="s">
        <v>4690</v>
      </c>
      <c r="AW99" s="1" t="s">
        <v>4691</v>
      </c>
      <c r="AX99" s="1" t="s">
        <v>4692</v>
      </c>
      <c r="AY99" s="1" t="s">
        <v>4693</v>
      </c>
      <c r="AZ99" s="1" t="s">
        <v>4694</v>
      </c>
      <c r="BA99" s="3"/>
      <c r="BB99" s="3"/>
      <c r="BC99" s="3"/>
      <c r="BD99" s="3"/>
      <c r="BE99" s="1" t="b">
        <v>1</v>
      </c>
      <c r="BF99" s="1" t="s">
        <v>4693</v>
      </c>
      <c r="BG99" s="1" t="s">
        <v>4692</v>
      </c>
      <c r="BH99" s="1" t="s">
        <v>4690</v>
      </c>
      <c r="BI99" s="1" t="s">
        <v>4691</v>
      </c>
      <c r="BJ99" s="1" t="s">
        <v>4694</v>
      </c>
      <c r="BK99" s="4" t="s">
        <v>4695</v>
      </c>
    </row>
    <row r="100">
      <c r="A100" s="1" t="s">
        <v>999</v>
      </c>
      <c r="B100" s="1" t="s">
        <v>998</v>
      </c>
      <c r="C100" s="3"/>
      <c r="D100" s="3"/>
      <c r="E100" s="3"/>
      <c r="F100" s="3"/>
      <c r="G100" s="3"/>
      <c r="H100" s="3"/>
      <c r="I100" s="3"/>
      <c r="J100" s="3"/>
      <c r="K100" s="3"/>
      <c r="L100" s="3"/>
      <c r="M100" s="3"/>
      <c r="N100" s="3"/>
      <c r="O100" s="3"/>
      <c r="P100" s="1" t="s">
        <v>5449</v>
      </c>
      <c r="Q100" s="1" t="b">
        <v>0</v>
      </c>
      <c r="R100" s="1">
        <v>1.0</v>
      </c>
      <c r="S100" s="1" t="s">
        <v>5450</v>
      </c>
      <c r="T100" s="3"/>
      <c r="U100" s="1" t="s">
        <v>4672</v>
      </c>
      <c r="V100" s="1" t="s">
        <v>4673</v>
      </c>
      <c r="W100" s="1" t="s">
        <v>5451</v>
      </c>
      <c r="X100" s="1" t="b">
        <v>0</v>
      </c>
      <c r="Y100" s="1" t="s">
        <v>4675</v>
      </c>
      <c r="Z100" s="1" t="s">
        <v>5452</v>
      </c>
      <c r="AB100" s="3"/>
      <c r="AC100" s="3"/>
      <c r="AD100" s="3"/>
      <c r="AE100" s="3"/>
      <c r="AF100" s="3"/>
      <c r="AG100" s="3"/>
      <c r="AH100" s="3"/>
      <c r="AI100" s="1" t="b">
        <v>0</v>
      </c>
      <c r="AJ100" s="1" t="b">
        <v>0</v>
      </c>
      <c r="AK100" s="1" t="s">
        <v>5451</v>
      </c>
      <c r="AL100" s="1" t="s">
        <v>5306</v>
      </c>
      <c r="AM100" s="1" t="s">
        <v>5307</v>
      </c>
      <c r="AN100" s="1" t="s">
        <v>4686</v>
      </c>
      <c r="AO100" s="1" t="s">
        <v>5452</v>
      </c>
      <c r="AP100" s="1" t="s">
        <v>4687</v>
      </c>
      <c r="AQ100" s="1" t="s">
        <v>4688</v>
      </c>
      <c r="AR100" s="1">
        <v>1.0</v>
      </c>
      <c r="AS100" s="3"/>
      <c r="AT100" s="3"/>
      <c r="AU100" s="4" t="s">
        <v>4780</v>
      </c>
      <c r="AW100" s="3"/>
      <c r="AX100" s="3"/>
      <c r="AY100" s="3"/>
      <c r="AZ100" s="3"/>
      <c r="BA100" s="3"/>
      <c r="BB100" s="3"/>
      <c r="BC100" s="3"/>
      <c r="BD100" s="3"/>
      <c r="BE100" s="1" t="b">
        <v>1</v>
      </c>
      <c r="BF100" s="3"/>
      <c r="BG100" s="3"/>
      <c r="BH100" s="3"/>
      <c r="BI100" s="3"/>
      <c r="BJ100" s="3"/>
      <c r="BK100" s="4" t="s">
        <v>4780</v>
      </c>
    </row>
    <row r="101">
      <c r="A101" s="1" t="s">
        <v>512</v>
      </c>
      <c r="B101" s="1" t="s">
        <v>511</v>
      </c>
      <c r="C101" s="1" t="s">
        <v>511</v>
      </c>
      <c r="D101" s="1" t="s">
        <v>4711</v>
      </c>
      <c r="E101" s="1" t="s">
        <v>5453</v>
      </c>
      <c r="F101" s="1" t="s">
        <v>5454</v>
      </c>
      <c r="G101" s="3"/>
      <c r="H101" s="1" t="s">
        <v>4861</v>
      </c>
      <c r="I101" s="1" t="s">
        <v>4742</v>
      </c>
      <c r="J101" s="1" t="s">
        <v>5455</v>
      </c>
      <c r="K101" s="3">
        <f>+821043009833</f>
        <v>821043009833</v>
      </c>
      <c r="L101" s="3"/>
      <c r="M101" s="3"/>
      <c r="N101" s="3"/>
      <c r="O101" s="3"/>
      <c r="P101" s="1">
        <v>2.085875234E9</v>
      </c>
      <c r="Q101" s="1" t="b">
        <v>1</v>
      </c>
      <c r="R101" s="1">
        <v>128.0</v>
      </c>
      <c r="S101" s="1" t="s">
        <v>5456</v>
      </c>
      <c r="U101" s="1" t="s">
        <v>4672</v>
      </c>
      <c r="V101" s="1" t="s">
        <v>4673</v>
      </c>
      <c r="W101" s="1" t="s">
        <v>5457</v>
      </c>
      <c r="X101" s="1" t="b">
        <v>0</v>
      </c>
      <c r="Y101" s="1" t="s">
        <v>4675</v>
      </c>
      <c r="Z101" s="1" t="s">
        <v>5458</v>
      </c>
      <c r="AB101" s="1" t="s">
        <v>4677</v>
      </c>
      <c r="AC101" s="1" t="s">
        <v>4678</v>
      </c>
      <c r="AD101" s="1" t="s">
        <v>4679</v>
      </c>
      <c r="AE101" s="1" t="s">
        <v>5459</v>
      </c>
      <c r="AF101" s="1" t="s">
        <v>4681</v>
      </c>
      <c r="AG101" s="1" t="s">
        <v>4682</v>
      </c>
      <c r="AH101" s="1">
        <v>6.0</v>
      </c>
      <c r="AI101" s="1" t="b">
        <v>0</v>
      </c>
      <c r="AJ101" s="1" t="b">
        <v>0</v>
      </c>
      <c r="AK101" s="1" t="s">
        <v>5460</v>
      </c>
      <c r="AL101" s="1" t="s">
        <v>4684</v>
      </c>
      <c r="AM101" s="1" t="s">
        <v>4685</v>
      </c>
      <c r="AN101" s="1" t="s">
        <v>4720</v>
      </c>
      <c r="AO101" s="1" t="s">
        <v>5458</v>
      </c>
      <c r="AP101" s="1" t="s">
        <v>4721</v>
      </c>
      <c r="AQ101" s="1" t="s">
        <v>4722</v>
      </c>
      <c r="AR101" s="1">
        <v>122.0</v>
      </c>
      <c r="AS101" s="3"/>
      <c r="AT101" s="3"/>
      <c r="AU101" s="4" t="s">
        <v>5461</v>
      </c>
      <c r="BE101" s="1" t="b">
        <v>1</v>
      </c>
      <c r="BF101" s="3"/>
      <c r="BG101" s="3"/>
      <c r="BH101" s="3"/>
      <c r="BI101" s="3"/>
      <c r="BJ101" s="3"/>
      <c r="BK101" s="4" t="s">
        <v>4695</v>
      </c>
      <c r="BL101" s="1" t="s">
        <v>4723</v>
      </c>
    </row>
    <row r="102">
      <c r="A102" s="1" t="s">
        <v>1042</v>
      </c>
      <c r="B102" s="1" t="s">
        <v>1040</v>
      </c>
      <c r="C102" s="1" t="s">
        <v>1040</v>
      </c>
      <c r="D102" s="1" t="s">
        <v>5000</v>
      </c>
      <c r="E102" s="1" t="s">
        <v>5462</v>
      </c>
      <c r="F102" s="1" t="s">
        <v>5463</v>
      </c>
      <c r="G102" s="3"/>
      <c r="H102" s="3"/>
      <c r="I102" s="1" t="s">
        <v>4742</v>
      </c>
      <c r="J102" s="1" t="s">
        <v>5464</v>
      </c>
      <c r="L102" s="3"/>
      <c r="M102" s="3"/>
      <c r="N102" s="3"/>
      <c r="O102" s="3"/>
      <c r="P102" s="1">
        <v>1.11340732E8</v>
      </c>
      <c r="Q102" s="1" t="b">
        <v>1</v>
      </c>
      <c r="R102" s="1">
        <v>172.0</v>
      </c>
      <c r="S102" s="1" t="s">
        <v>4885</v>
      </c>
      <c r="T102" s="3"/>
      <c r="U102" s="1" t="s">
        <v>4672</v>
      </c>
      <c r="V102" s="1" t="s">
        <v>4673</v>
      </c>
      <c r="W102" s="1" t="s">
        <v>5465</v>
      </c>
      <c r="X102" s="1" t="b">
        <v>0</v>
      </c>
      <c r="Y102" s="1" t="s">
        <v>4675</v>
      </c>
      <c r="Z102" s="1" t="s">
        <v>5466</v>
      </c>
      <c r="AB102" s="1" t="s">
        <v>4677</v>
      </c>
      <c r="AC102" s="1" t="s">
        <v>4678</v>
      </c>
      <c r="AD102" s="1" t="s">
        <v>5467</v>
      </c>
      <c r="AE102" s="1" t="s">
        <v>5468</v>
      </c>
      <c r="AF102" s="1" t="s">
        <v>4757</v>
      </c>
      <c r="AG102" s="1" t="s">
        <v>4758</v>
      </c>
      <c r="AH102" s="1">
        <v>6.0</v>
      </c>
      <c r="AI102" s="1" t="b">
        <v>0</v>
      </c>
      <c r="AJ102" s="1" t="b">
        <v>0</v>
      </c>
      <c r="AK102" s="1" t="s">
        <v>5469</v>
      </c>
      <c r="AL102" s="1" t="s">
        <v>4769</v>
      </c>
      <c r="AM102" s="1" t="s">
        <v>4708</v>
      </c>
      <c r="AN102" s="1" t="s">
        <v>4686</v>
      </c>
      <c r="AO102" s="1" t="s">
        <v>5466</v>
      </c>
      <c r="AP102" s="1" t="s">
        <v>4709</v>
      </c>
      <c r="AQ102" s="1" t="s">
        <v>4688</v>
      </c>
      <c r="AR102" s="1">
        <v>166.0</v>
      </c>
      <c r="AS102" s="3"/>
      <c r="AT102" s="3"/>
      <c r="AU102" s="4" t="s">
        <v>4771</v>
      </c>
      <c r="AV102" s="1" t="s">
        <v>4788</v>
      </c>
      <c r="AW102" s="1" t="s">
        <v>5091</v>
      </c>
      <c r="AX102" s="1" t="s">
        <v>4936</v>
      </c>
      <c r="AY102" s="1" t="s">
        <v>4761</v>
      </c>
      <c r="AZ102" s="3"/>
      <c r="BA102" s="3"/>
      <c r="BB102" s="3"/>
      <c r="BC102" s="3"/>
      <c r="BD102" s="3"/>
      <c r="BE102" s="1" t="b">
        <v>1</v>
      </c>
      <c r="BF102" s="1" t="s">
        <v>4761</v>
      </c>
      <c r="BG102" s="1" t="s">
        <v>4936</v>
      </c>
      <c r="BH102" s="1" t="s">
        <v>4788</v>
      </c>
      <c r="BI102" s="1" t="s">
        <v>5091</v>
      </c>
      <c r="BJ102" s="3"/>
      <c r="BK102" s="4" t="s">
        <v>4771</v>
      </c>
    </row>
    <row r="103">
      <c r="A103" s="1" t="s">
        <v>545</v>
      </c>
      <c r="B103" s="1" t="s">
        <v>544</v>
      </c>
      <c r="C103" s="1" t="s">
        <v>544</v>
      </c>
      <c r="D103" s="1" t="s">
        <v>4711</v>
      </c>
      <c r="E103" s="1" t="s">
        <v>5470</v>
      </c>
      <c r="F103" s="1" t="s">
        <v>5471</v>
      </c>
      <c r="G103" s="3"/>
      <c r="H103" s="1" t="s">
        <v>4861</v>
      </c>
      <c r="I103" s="1" t="s">
        <v>4742</v>
      </c>
      <c r="J103" s="1" t="s">
        <v>5472</v>
      </c>
      <c r="K103" s="3">
        <f>+821050180138</f>
        <v>821050180138</v>
      </c>
      <c r="L103" s="3"/>
      <c r="M103" s="3"/>
      <c r="N103" s="3"/>
      <c r="O103" s="3"/>
      <c r="P103" s="1">
        <v>1.11242198E8</v>
      </c>
      <c r="Q103" s="1" t="b">
        <v>1</v>
      </c>
      <c r="R103" s="1">
        <v>119.0</v>
      </c>
      <c r="S103" s="1" t="s">
        <v>5078</v>
      </c>
      <c r="U103" s="1" t="s">
        <v>4672</v>
      </c>
      <c r="V103" s="1" t="s">
        <v>4673</v>
      </c>
      <c r="W103" s="1" t="s">
        <v>5473</v>
      </c>
      <c r="X103" s="1" t="b">
        <v>0</v>
      </c>
      <c r="Y103" s="1" t="s">
        <v>4675</v>
      </c>
      <c r="Z103" s="1" t="s">
        <v>5474</v>
      </c>
      <c r="AB103" s="1" t="s">
        <v>4677</v>
      </c>
      <c r="AC103" s="1" t="s">
        <v>4678</v>
      </c>
      <c r="AD103" s="1" t="s">
        <v>4679</v>
      </c>
      <c r="AE103" s="1" t="s">
        <v>5474</v>
      </c>
      <c r="AF103" s="1" t="s">
        <v>4681</v>
      </c>
      <c r="AG103" s="1" t="s">
        <v>4682</v>
      </c>
      <c r="AH103" s="1">
        <v>32.0</v>
      </c>
      <c r="AI103" s="1" t="b">
        <v>0</v>
      </c>
      <c r="AJ103" s="1" t="b">
        <v>0</v>
      </c>
      <c r="AK103" s="1" t="s">
        <v>5475</v>
      </c>
      <c r="AL103" s="1" t="s">
        <v>4719</v>
      </c>
      <c r="AM103" s="1" t="s">
        <v>4685</v>
      </c>
      <c r="AN103" s="1" t="s">
        <v>4720</v>
      </c>
      <c r="AO103" s="1" t="s">
        <v>5476</v>
      </c>
      <c r="AP103" s="1" t="s">
        <v>4721</v>
      </c>
      <c r="AQ103" s="1" t="s">
        <v>4722</v>
      </c>
      <c r="AR103" s="1">
        <v>87.0</v>
      </c>
      <c r="AS103" s="3"/>
      <c r="AT103" s="3"/>
      <c r="AU103" s="4" t="s">
        <v>4695</v>
      </c>
      <c r="AW103" s="3"/>
      <c r="AX103" s="3"/>
      <c r="AY103" s="3"/>
      <c r="AZ103" s="3"/>
      <c r="BA103" s="3"/>
      <c r="BB103" s="3"/>
      <c r="BC103" s="3"/>
      <c r="BD103" s="3"/>
      <c r="BE103" s="1" t="b">
        <v>1</v>
      </c>
      <c r="BF103" s="3"/>
      <c r="BG103" s="3"/>
      <c r="BH103" s="3"/>
      <c r="BI103" s="3"/>
      <c r="BJ103" s="3"/>
      <c r="BK103" s="4" t="s">
        <v>4695</v>
      </c>
    </row>
    <row r="104">
      <c r="A104" s="1" t="s">
        <v>1961</v>
      </c>
      <c r="B104" s="1" t="s">
        <v>1960</v>
      </c>
      <c r="C104" s="3"/>
      <c r="D104" s="3"/>
      <c r="E104" s="3"/>
      <c r="F104" s="3"/>
      <c r="G104" s="3"/>
      <c r="H104" s="3"/>
      <c r="I104" s="1" t="s">
        <v>4669</v>
      </c>
      <c r="J104" s="3"/>
      <c r="K104" s="3"/>
      <c r="L104" s="3"/>
      <c r="M104" s="3"/>
      <c r="N104" s="3"/>
      <c r="O104" s="3"/>
      <c r="P104" s="1" t="s">
        <v>5477</v>
      </c>
      <c r="Q104" s="1" t="b">
        <v>0</v>
      </c>
      <c r="R104" s="1">
        <v>2.0</v>
      </c>
      <c r="S104" s="1" t="s">
        <v>5332</v>
      </c>
      <c r="T104" s="3"/>
      <c r="U104" s="1" t="s">
        <v>4672</v>
      </c>
      <c r="V104" s="1" t="s">
        <v>4673</v>
      </c>
      <c r="W104" s="1" t="s">
        <v>5478</v>
      </c>
      <c r="X104" s="1" t="b">
        <v>0</v>
      </c>
      <c r="Y104" s="1" t="s">
        <v>4675</v>
      </c>
      <c r="Z104" s="1" t="s">
        <v>5479</v>
      </c>
      <c r="AB104" s="3"/>
      <c r="AC104" s="3"/>
      <c r="AD104" s="3"/>
      <c r="AE104" s="3"/>
      <c r="AF104" s="3"/>
      <c r="AG104" s="3"/>
      <c r="AH104" s="3"/>
      <c r="AI104" s="1" t="b">
        <v>0</v>
      </c>
      <c r="AJ104" s="1" t="b">
        <v>0</v>
      </c>
      <c r="AK104" s="1" t="s">
        <v>5479</v>
      </c>
      <c r="AL104" s="1" t="s">
        <v>4719</v>
      </c>
      <c r="AM104" s="1" t="s">
        <v>4685</v>
      </c>
      <c r="AN104" s="1" t="s">
        <v>4720</v>
      </c>
      <c r="AO104" s="1" t="s">
        <v>5479</v>
      </c>
      <c r="AP104" s="1" t="s">
        <v>4721</v>
      </c>
      <c r="AQ104" s="1" t="s">
        <v>4722</v>
      </c>
      <c r="AR104" s="1">
        <v>2.0</v>
      </c>
      <c r="AS104" s="3"/>
      <c r="AT104" s="3"/>
      <c r="AU104" s="4" t="s">
        <v>4695</v>
      </c>
      <c r="AW104" s="3"/>
      <c r="AX104" s="3"/>
      <c r="AY104" s="3"/>
      <c r="AZ104" s="3"/>
      <c r="BA104" s="3"/>
      <c r="BB104" s="3"/>
      <c r="BC104" s="3"/>
      <c r="BD104" s="3"/>
      <c r="BE104" s="1" t="b">
        <v>1</v>
      </c>
      <c r="BF104" s="3"/>
      <c r="BG104" s="3"/>
      <c r="BH104" s="3"/>
      <c r="BI104" s="3"/>
      <c r="BJ104" s="3"/>
      <c r="BK104" s="4" t="s">
        <v>4695</v>
      </c>
    </row>
    <row r="105">
      <c r="A105" s="1" t="s">
        <v>192</v>
      </c>
      <c r="B105" s="1" t="s">
        <v>191</v>
      </c>
      <c r="C105" s="1" t="s">
        <v>191</v>
      </c>
      <c r="D105" s="1" t="s">
        <v>4696</v>
      </c>
      <c r="E105" s="1" t="s">
        <v>5480</v>
      </c>
      <c r="F105" s="1" t="s">
        <v>5481</v>
      </c>
      <c r="G105" s="3"/>
      <c r="H105" s="3"/>
      <c r="I105" s="1" t="s">
        <v>4733</v>
      </c>
      <c r="J105" s="1" t="s">
        <v>5482</v>
      </c>
      <c r="K105" s="3">
        <f>+821063311808</f>
        <v>821063311808</v>
      </c>
      <c r="L105" s="3"/>
      <c r="M105" s="3"/>
      <c r="N105" s="3"/>
      <c r="O105" s="3"/>
      <c r="P105" s="1">
        <v>1.17308157E8</v>
      </c>
      <c r="Q105" s="1" t="b">
        <v>1</v>
      </c>
      <c r="R105" s="1">
        <v>57.0</v>
      </c>
      <c r="S105" s="1" t="s">
        <v>4701</v>
      </c>
      <c r="T105" s="3"/>
      <c r="U105" s="1" t="s">
        <v>4672</v>
      </c>
      <c r="V105" s="1" t="s">
        <v>4673</v>
      </c>
      <c r="W105" s="1" t="s">
        <v>5483</v>
      </c>
      <c r="X105" s="1" t="b">
        <v>0</v>
      </c>
      <c r="Y105" s="1" t="s">
        <v>4675</v>
      </c>
      <c r="Z105" s="1" t="s">
        <v>5484</v>
      </c>
      <c r="AB105" s="3"/>
      <c r="AC105" s="3"/>
      <c r="AD105" s="3"/>
      <c r="AE105" s="3"/>
      <c r="AF105" s="3"/>
      <c r="AG105" s="3"/>
      <c r="AH105" s="3"/>
      <c r="AI105" s="1" t="b">
        <v>0</v>
      </c>
      <c r="AJ105" s="1" t="b">
        <v>0</v>
      </c>
      <c r="AK105" s="1" t="s">
        <v>5485</v>
      </c>
      <c r="AL105" s="1" t="s">
        <v>5486</v>
      </c>
      <c r="AM105" s="1" t="s">
        <v>4685</v>
      </c>
      <c r="AN105" s="1" t="s">
        <v>4720</v>
      </c>
      <c r="AO105" s="1" t="s">
        <v>5484</v>
      </c>
      <c r="AP105" s="1" t="s">
        <v>4721</v>
      </c>
      <c r="AQ105" s="1" t="s">
        <v>4722</v>
      </c>
      <c r="AR105" s="1">
        <v>57.0</v>
      </c>
      <c r="AS105" s="3"/>
      <c r="AT105" s="3"/>
      <c r="AU105" s="4" t="s">
        <v>4695</v>
      </c>
      <c r="AV105" s="1" t="s">
        <v>5487</v>
      </c>
      <c r="AW105" s="1" t="s">
        <v>5488</v>
      </c>
      <c r="AX105" s="1" t="s">
        <v>5489</v>
      </c>
      <c r="AY105" s="1" t="s">
        <v>175</v>
      </c>
      <c r="AZ105" s="3"/>
      <c r="BA105" s="3"/>
      <c r="BB105" s="3"/>
      <c r="BC105" s="3"/>
      <c r="BD105" s="3"/>
      <c r="BE105" s="1" t="b">
        <v>1</v>
      </c>
      <c r="BF105" s="1" t="s">
        <v>175</v>
      </c>
      <c r="BG105" s="1" t="s">
        <v>5489</v>
      </c>
      <c r="BH105" s="1" t="s">
        <v>5487</v>
      </c>
      <c r="BI105" s="1" t="s">
        <v>5488</v>
      </c>
      <c r="BJ105" s="3"/>
      <c r="BK105" s="4" t="s">
        <v>4695</v>
      </c>
      <c r="BL105" s="1" t="s">
        <v>4723</v>
      </c>
    </row>
    <row r="106">
      <c r="A106" s="1" t="s">
        <v>1871</v>
      </c>
      <c r="B106" s="1" t="s">
        <v>1870</v>
      </c>
      <c r="C106" s="1" t="s">
        <v>1870</v>
      </c>
      <c r="D106" s="1" t="s">
        <v>4696</v>
      </c>
      <c r="E106" s="1" t="s">
        <v>5490</v>
      </c>
      <c r="F106" s="1" t="s">
        <v>5491</v>
      </c>
      <c r="G106" s="3"/>
      <c r="H106" s="1" t="s">
        <v>4861</v>
      </c>
      <c r="I106" s="1" t="s">
        <v>4828</v>
      </c>
      <c r="J106" s="1" t="s">
        <v>5492</v>
      </c>
      <c r="K106" s="3">
        <f>+821029472465</f>
        <v>821029472465</v>
      </c>
      <c r="L106" s="3"/>
      <c r="M106" s="3"/>
      <c r="N106" s="3"/>
      <c r="O106" s="3"/>
      <c r="P106" s="1">
        <v>1.16814803E8</v>
      </c>
      <c r="Q106" s="1" t="b">
        <v>1</v>
      </c>
      <c r="R106" s="1">
        <v>131.0</v>
      </c>
      <c r="S106" s="1" t="s">
        <v>5493</v>
      </c>
      <c r="T106" s="3"/>
      <c r="U106" s="1" t="s">
        <v>4672</v>
      </c>
      <c r="V106" s="1" t="s">
        <v>4673</v>
      </c>
      <c r="W106" s="1" t="s">
        <v>5494</v>
      </c>
      <c r="X106" s="1" t="b">
        <v>0</v>
      </c>
      <c r="Y106" s="1" t="s">
        <v>4675</v>
      </c>
      <c r="Z106" s="1" t="s">
        <v>5495</v>
      </c>
      <c r="AB106" s="1" t="s">
        <v>4677</v>
      </c>
      <c r="AC106" s="1" t="s">
        <v>4678</v>
      </c>
      <c r="AD106" s="1" t="s">
        <v>5496</v>
      </c>
      <c r="AE106" s="1" t="s">
        <v>5495</v>
      </c>
      <c r="AF106" s="1" t="s">
        <v>4757</v>
      </c>
      <c r="AG106" s="1" t="s">
        <v>4758</v>
      </c>
      <c r="AH106" s="1">
        <v>27.0</v>
      </c>
      <c r="AI106" s="1" t="b">
        <v>0</v>
      </c>
      <c r="AJ106" s="1" t="b">
        <v>0</v>
      </c>
      <c r="AK106" s="1" t="s">
        <v>5497</v>
      </c>
      <c r="AL106" s="1" t="s">
        <v>4719</v>
      </c>
      <c r="AM106" s="1" t="s">
        <v>4685</v>
      </c>
      <c r="AN106" s="1" t="s">
        <v>4720</v>
      </c>
      <c r="AO106" s="1" t="s">
        <v>5498</v>
      </c>
      <c r="AP106" s="1" t="s">
        <v>4721</v>
      </c>
      <c r="AQ106" s="1" t="s">
        <v>4722</v>
      </c>
      <c r="AR106" s="1">
        <v>104.0</v>
      </c>
      <c r="AS106" s="3"/>
      <c r="AT106" s="3"/>
      <c r="AU106" s="4" t="s">
        <v>5499</v>
      </c>
      <c r="AW106" s="3"/>
      <c r="AX106" s="3"/>
      <c r="AY106" s="3"/>
      <c r="AZ106" s="3"/>
      <c r="BA106" s="3"/>
      <c r="BB106" s="3"/>
      <c r="BC106" s="3"/>
      <c r="BD106" s="3"/>
      <c r="BE106" s="1" t="b">
        <v>1</v>
      </c>
      <c r="BF106" s="3"/>
      <c r="BG106" s="3"/>
      <c r="BH106" s="3"/>
      <c r="BI106" s="3"/>
      <c r="BJ106" s="3"/>
      <c r="BK106" s="4" t="s">
        <v>4710</v>
      </c>
    </row>
    <row r="107">
      <c r="A107" s="1" t="s">
        <v>1106</v>
      </c>
      <c r="B107" s="1" t="s">
        <v>1105</v>
      </c>
      <c r="C107" s="1" t="s">
        <v>1105</v>
      </c>
      <c r="D107" s="1" t="s">
        <v>4696</v>
      </c>
      <c r="E107" s="1" t="s">
        <v>5500</v>
      </c>
      <c r="F107" s="1" t="s">
        <v>5501</v>
      </c>
      <c r="G107" s="3"/>
      <c r="H107" s="3"/>
      <c r="I107" s="1" t="s">
        <v>5095</v>
      </c>
      <c r="J107" s="1" t="s">
        <v>5502</v>
      </c>
      <c r="K107" s="3">
        <f>+821044115491</f>
        <v>821044115491</v>
      </c>
      <c r="L107" s="3"/>
      <c r="M107" s="3"/>
      <c r="N107" s="3"/>
      <c r="O107" s="3"/>
      <c r="P107" s="1">
        <v>1.09983707E8</v>
      </c>
      <c r="Q107" s="1" t="b">
        <v>1</v>
      </c>
      <c r="R107" s="1">
        <v>10.0</v>
      </c>
      <c r="S107" s="1" t="s">
        <v>5503</v>
      </c>
      <c r="U107" s="1" t="s">
        <v>4672</v>
      </c>
      <c r="V107" s="1" t="s">
        <v>4673</v>
      </c>
      <c r="W107" s="1" t="s">
        <v>5504</v>
      </c>
      <c r="X107" s="1" t="b">
        <v>0</v>
      </c>
      <c r="Y107" s="1" t="s">
        <v>4675</v>
      </c>
      <c r="Z107" s="1" t="s">
        <v>5505</v>
      </c>
      <c r="AB107" s="1" t="s">
        <v>4677</v>
      </c>
      <c r="AC107" s="1" t="s">
        <v>4678</v>
      </c>
      <c r="AD107" s="1" t="s">
        <v>4679</v>
      </c>
      <c r="AE107" s="1" t="s">
        <v>5506</v>
      </c>
      <c r="AF107" s="1" t="s">
        <v>4681</v>
      </c>
      <c r="AG107" s="1" t="s">
        <v>4682</v>
      </c>
      <c r="AH107" s="1">
        <v>3.0</v>
      </c>
      <c r="AI107" s="1" t="b">
        <v>0</v>
      </c>
      <c r="AJ107" s="1" t="b">
        <v>0</v>
      </c>
      <c r="AK107" s="1" t="s">
        <v>5507</v>
      </c>
      <c r="AL107" s="1" t="s">
        <v>4684</v>
      </c>
      <c r="AM107" s="1" t="s">
        <v>4685</v>
      </c>
      <c r="AN107" s="1" t="s">
        <v>4686</v>
      </c>
      <c r="AO107" s="1" t="s">
        <v>5505</v>
      </c>
      <c r="AP107" s="1" t="s">
        <v>4687</v>
      </c>
      <c r="AQ107" s="1" t="s">
        <v>4688</v>
      </c>
      <c r="AR107" s="1">
        <v>7.0</v>
      </c>
      <c r="AS107" s="3"/>
      <c r="AT107" s="3"/>
      <c r="AU107" s="4" t="s">
        <v>4695</v>
      </c>
      <c r="AW107" s="3"/>
      <c r="AX107" s="3"/>
      <c r="AY107" s="3"/>
      <c r="AZ107" s="3"/>
      <c r="BA107" s="3"/>
      <c r="BB107" s="3"/>
      <c r="BC107" s="3"/>
      <c r="BD107" s="3"/>
      <c r="BE107" s="1" t="b">
        <v>1</v>
      </c>
      <c r="BF107" s="3"/>
      <c r="BG107" s="3"/>
      <c r="BH107" s="3"/>
      <c r="BI107" s="3"/>
      <c r="BJ107" s="3"/>
      <c r="BK107" s="4" t="s">
        <v>4695</v>
      </c>
      <c r="BL107" s="1" t="s">
        <v>4723</v>
      </c>
    </row>
    <row r="108">
      <c r="A108" s="1" t="s">
        <v>1274</v>
      </c>
      <c r="B108" s="1" t="s">
        <v>1273</v>
      </c>
      <c r="C108" s="1" t="s">
        <v>1273</v>
      </c>
      <c r="D108" s="1" t="s">
        <v>4711</v>
      </c>
      <c r="E108" s="1" t="s">
        <v>5508</v>
      </c>
      <c r="F108" s="1" t="s">
        <v>5509</v>
      </c>
      <c r="G108" s="3"/>
      <c r="H108" s="1" t="s">
        <v>4861</v>
      </c>
      <c r="I108" s="1" t="s">
        <v>4742</v>
      </c>
      <c r="J108" s="1" t="s">
        <v>5510</v>
      </c>
      <c r="K108" s="3">
        <f>+821096162694</f>
        <v>821096162694</v>
      </c>
      <c r="L108" s="3"/>
      <c r="M108" s="3"/>
      <c r="N108" s="3"/>
      <c r="O108" s="3"/>
      <c r="P108" s="1">
        <v>1.10125278E8</v>
      </c>
      <c r="Q108" s="1" t="b">
        <v>1</v>
      </c>
      <c r="R108" s="1">
        <v>281.0</v>
      </c>
      <c r="S108" s="1" t="s">
        <v>4918</v>
      </c>
      <c r="T108" s="3"/>
      <c r="U108" s="1" t="s">
        <v>4672</v>
      </c>
      <c r="V108" s="1" t="s">
        <v>4673</v>
      </c>
      <c r="W108" s="1" t="s">
        <v>5511</v>
      </c>
      <c r="X108" s="1" t="b">
        <v>0</v>
      </c>
      <c r="Y108" s="1" t="s">
        <v>4675</v>
      </c>
      <c r="Z108" s="1" t="s">
        <v>5512</v>
      </c>
      <c r="AB108" s="1" t="s">
        <v>4677</v>
      </c>
      <c r="AC108" s="1" t="s">
        <v>4678</v>
      </c>
      <c r="AD108" s="1" t="s">
        <v>4679</v>
      </c>
      <c r="AE108" s="1" t="s">
        <v>5512</v>
      </c>
      <c r="AF108" s="1" t="s">
        <v>5513</v>
      </c>
      <c r="AG108" s="1" t="s">
        <v>4682</v>
      </c>
      <c r="AH108" s="1">
        <v>26.0</v>
      </c>
      <c r="AI108" s="1" t="b">
        <v>0</v>
      </c>
      <c r="AJ108" s="1" t="b">
        <v>0</v>
      </c>
      <c r="AK108" s="1" t="s">
        <v>5514</v>
      </c>
      <c r="AL108" s="1" t="s">
        <v>4719</v>
      </c>
      <c r="AM108" s="1" t="s">
        <v>4685</v>
      </c>
      <c r="AN108" s="1" t="s">
        <v>4686</v>
      </c>
      <c r="AO108" s="1" t="s">
        <v>5515</v>
      </c>
      <c r="AP108" s="1" t="s">
        <v>4687</v>
      </c>
      <c r="AQ108" s="1" t="s">
        <v>4688</v>
      </c>
      <c r="AR108" s="1">
        <v>255.0</v>
      </c>
      <c r="AS108" s="3"/>
      <c r="AT108" s="3"/>
      <c r="AU108" s="4" t="s">
        <v>5516</v>
      </c>
      <c r="BA108" s="3"/>
      <c r="BB108" s="3"/>
      <c r="BC108" s="3"/>
      <c r="BD108" s="3"/>
      <c r="BE108" s="1" t="b">
        <v>1</v>
      </c>
      <c r="BF108" s="3"/>
      <c r="BG108" s="3"/>
      <c r="BH108" s="3"/>
      <c r="BI108" s="3"/>
      <c r="BJ108" s="3"/>
      <c r="BK108" s="4" t="s">
        <v>4695</v>
      </c>
    </row>
    <row r="109">
      <c r="A109" s="1" t="s">
        <v>1058</v>
      </c>
      <c r="B109" s="1" t="s">
        <v>1057</v>
      </c>
      <c r="C109" s="1" t="s">
        <v>1057</v>
      </c>
      <c r="D109" s="1" t="s">
        <v>4772</v>
      </c>
      <c r="E109" s="1" t="s">
        <v>5517</v>
      </c>
      <c r="F109" s="1" t="s">
        <v>5518</v>
      </c>
      <c r="G109" s="3"/>
      <c r="H109" s="3"/>
      <c r="I109" s="1" t="s">
        <v>4699</v>
      </c>
      <c r="J109" s="1" t="s">
        <v>5519</v>
      </c>
      <c r="K109" s="3">
        <f>+821029511149</f>
        <v>821029511149</v>
      </c>
      <c r="L109" s="3"/>
      <c r="M109" s="3"/>
      <c r="N109" s="3"/>
      <c r="O109" s="3"/>
      <c r="P109" s="1">
        <v>1.09015326E8</v>
      </c>
      <c r="Q109" s="1" t="b">
        <v>1</v>
      </c>
      <c r="R109" s="1">
        <v>629.0</v>
      </c>
      <c r="S109" s="1" t="s">
        <v>4752</v>
      </c>
      <c r="T109" s="3"/>
      <c r="U109" s="1" t="s">
        <v>4672</v>
      </c>
      <c r="V109" s="1" t="s">
        <v>4673</v>
      </c>
      <c r="W109" s="1" t="s">
        <v>5520</v>
      </c>
      <c r="X109" s="1" t="b">
        <v>0</v>
      </c>
      <c r="Y109" s="1" t="s">
        <v>4675</v>
      </c>
      <c r="Z109" s="1" t="s">
        <v>5521</v>
      </c>
      <c r="AB109" s="1" t="s">
        <v>4677</v>
      </c>
      <c r="AC109" s="1" t="s">
        <v>4678</v>
      </c>
      <c r="AD109" s="1" t="s">
        <v>5522</v>
      </c>
      <c r="AE109" s="1" t="s">
        <v>5521</v>
      </c>
      <c r="AF109" s="1" t="s">
        <v>4757</v>
      </c>
      <c r="AG109" s="1" t="s">
        <v>4758</v>
      </c>
      <c r="AH109" s="1">
        <v>79.0</v>
      </c>
      <c r="AI109" s="1" t="b">
        <v>0</v>
      </c>
      <c r="AJ109" s="1" t="b">
        <v>0</v>
      </c>
      <c r="AK109" s="1" t="s">
        <v>5521</v>
      </c>
      <c r="AL109" s="1" t="s">
        <v>4719</v>
      </c>
      <c r="AM109" s="1" t="s">
        <v>4685</v>
      </c>
      <c r="AN109" s="1" t="s">
        <v>4686</v>
      </c>
      <c r="AO109" s="1" t="s">
        <v>5523</v>
      </c>
      <c r="AP109" s="1" t="s">
        <v>4687</v>
      </c>
      <c r="AQ109" s="1" t="s">
        <v>4688</v>
      </c>
      <c r="AR109" s="1">
        <v>550.0</v>
      </c>
      <c r="AS109" s="3"/>
      <c r="AT109" s="3"/>
      <c r="AU109" s="4" t="s">
        <v>4695</v>
      </c>
      <c r="AW109" s="3"/>
      <c r="AX109" s="3"/>
      <c r="AY109" s="3"/>
      <c r="AZ109" s="3"/>
      <c r="BA109" s="3"/>
      <c r="BB109" s="3"/>
      <c r="BC109" s="3"/>
      <c r="BD109" s="3"/>
      <c r="BE109" s="1" t="b">
        <v>1</v>
      </c>
      <c r="BF109" s="3"/>
      <c r="BG109" s="3"/>
      <c r="BH109" s="3"/>
      <c r="BI109" s="3"/>
      <c r="BJ109" s="3"/>
      <c r="BK109" s="4" t="s">
        <v>4695</v>
      </c>
    </row>
    <row r="110">
      <c r="A110" s="1" t="s">
        <v>2024</v>
      </c>
      <c r="B110" s="1" t="s">
        <v>2022</v>
      </c>
      <c r="C110" s="1" t="s">
        <v>2022</v>
      </c>
      <c r="D110" s="1" t="s">
        <v>5412</v>
      </c>
      <c r="E110" s="1" t="s">
        <v>5524</v>
      </c>
      <c r="F110" s="1" t="s">
        <v>5525</v>
      </c>
      <c r="G110" s="3"/>
      <c r="H110" s="3"/>
      <c r="I110" s="1" t="s">
        <v>4925</v>
      </c>
      <c r="J110" s="1" t="s">
        <v>5526</v>
      </c>
      <c r="K110" s="3">
        <f>+821071941754</f>
        <v>821071941754</v>
      </c>
      <c r="L110" s="3"/>
      <c r="M110" s="3"/>
      <c r="N110" s="3"/>
      <c r="O110" s="3"/>
      <c r="P110" s="1">
        <v>1.09016155E8</v>
      </c>
      <c r="Q110" s="1" t="b">
        <v>1</v>
      </c>
      <c r="R110" s="1">
        <v>10.0</v>
      </c>
      <c r="S110" s="1" t="s">
        <v>4885</v>
      </c>
      <c r="T110" s="3"/>
      <c r="U110" s="1" t="s">
        <v>4672</v>
      </c>
      <c r="V110" s="1" t="s">
        <v>4673</v>
      </c>
      <c r="W110" s="1" t="s">
        <v>5527</v>
      </c>
      <c r="X110" s="1" t="b">
        <v>0</v>
      </c>
      <c r="Y110" s="1" t="s">
        <v>4675</v>
      </c>
      <c r="Z110" s="1" t="s">
        <v>5528</v>
      </c>
      <c r="AB110" s="3"/>
      <c r="AC110" s="3"/>
      <c r="AD110" s="3"/>
      <c r="AE110" s="3"/>
      <c r="AF110" s="3"/>
      <c r="AG110" s="3"/>
      <c r="AH110" s="3"/>
      <c r="AI110" s="1" t="b">
        <v>0</v>
      </c>
      <c r="AJ110" s="1" t="b">
        <v>0</v>
      </c>
      <c r="AK110" s="1" t="s">
        <v>5529</v>
      </c>
      <c r="AL110" s="1" t="s">
        <v>5530</v>
      </c>
      <c r="AM110" s="1" t="s">
        <v>4685</v>
      </c>
      <c r="AN110" s="1" t="s">
        <v>4720</v>
      </c>
      <c r="AO110" s="1" t="s">
        <v>5528</v>
      </c>
      <c r="AP110" s="1" t="s">
        <v>4721</v>
      </c>
      <c r="AQ110" s="1" t="s">
        <v>4722</v>
      </c>
      <c r="AR110" s="1">
        <v>10.0</v>
      </c>
      <c r="AS110" s="3"/>
      <c r="AT110" s="3"/>
      <c r="AU110" s="4" t="s">
        <v>4695</v>
      </c>
      <c r="AV110" s="1" t="s">
        <v>4690</v>
      </c>
      <c r="AW110" s="1" t="s">
        <v>4691</v>
      </c>
      <c r="AX110" s="1" t="s">
        <v>4692</v>
      </c>
      <c r="AY110" s="1" t="s">
        <v>4693</v>
      </c>
      <c r="AZ110" s="1" t="s">
        <v>5257</v>
      </c>
      <c r="BA110" s="3"/>
      <c r="BB110" s="3"/>
      <c r="BC110" s="3"/>
      <c r="BD110" s="3"/>
      <c r="BE110" s="1" t="b">
        <v>1</v>
      </c>
      <c r="BF110" s="1" t="s">
        <v>4693</v>
      </c>
      <c r="BG110" s="1" t="s">
        <v>4692</v>
      </c>
      <c r="BH110" s="1" t="s">
        <v>4690</v>
      </c>
      <c r="BI110" s="1" t="s">
        <v>4691</v>
      </c>
      <c r="BJ110" s="1" t="s">
        <v>5257</v>
      </c>
      <c r="BK110" s="4" t="s">
        <v>4695</v>
      </c>
    </row>
    <row r="111">
      <c r="A111" s="1" t="s">
        <v>1468</v>
      </c>
      <c r="B111" s="1" t="s">
        <v>1465</v>
      </c>
      <c r="C111" s="1" t="s">
        <v>1465</v>
      </c>
      <c r="D111" s="1" t="s">
        <v>5092</v>
      </c>
      <c r="E111" s="1" t="s">
        <v>5531</v>
      </c>
      <c r="F111" s="1" t="s">
        <v>5532</v>
      </c>
      <c r="G111" s="3"/>
      <c r="H111" s="3"/>
      <c r="I111" s="1" t="s">
        <v>5338</v>
      </c>
      <c r="J111" s="1" t="s">
        <v>5533</v>
      </c>
      <c r="K111" s="3"/>
      <c r="L111" s="3"/>
      <c r="M111" s="3"/>
      <c r="N111" s="3"/>
      <c r="O111" s="3"/>
      <c r="P111" s="1">
        <v>1.12250711E8</v>
      </c>
      <c r="Q111" s="1" t="b">
        <v>1</v>
      </c>
      <c r="R111" s="1">
        <v>13.0</v>
      </c>
      <c r="S111" s="1" t="s">
        <v>5116</v>
      </c>
      <c r="U111" s="1" t="s">
        <v>4672</v>
      </c>
      <c r="V111" s="1" t="s">
        <v>4673</v>
      </c>
      <c r="W111" s="1" t="s">
        <v>5534</v>
      </c>
      <c r="X111" s="1" t="b">
        <v>0</v>
      </c>
      <c r="Y111" s="1" t="s">
        <v>4675</v>
      </c>
      <c r="Z111" s="1" t="s">
        <v>5535</v>
      </c>
      <c r="AB111" s="3"/>
      <c r="AC111" s="3"/>
      <c r="AD111" s="3"/>
      <c r="AE111" s="3"/>
      <c r="AF111" s="3"/>
      <c r="AG111" s="3"/>
      <c r="AH111" s="3"/>
      <c r="AI111" s="1" t="b">
        <v>0</v>
      </c>
      <c r="AJ111" s="1" t="b">
        <v>0</v>
      </c>
      <c r="AK111" s="1" t="s">
        <v>5536</v>
      </c>
      <c r="AL111" s="1" t="s">
        <v>4719</v>
      </c>
      <c r="AM111" s="1" t="s">
        <v>4685</v>
      </c>
      <c r="AN111" s="1" t="s">
        <v>4720</v>
      </c>
      <c r="AO111" s="1" t="s">
        <v>5535</v>
      </c>
      <c r="AP111" s="1" t="s">
        <v>4721</v>
      </c>
      <c r="AQ111" s="1" t="s">
        <v>4722</v>
      </c>
      <c r="AR111" s="1">
        <v>13.0</v>
      </c>
      <c r="AS111" s="3"/>
      <c r="AT111" s="3"/>
      <c r="AU111" s="4" t="s">
        <v>4695</v>
      </c>
      <c r="AW111" s="3"/>
      <c r="AX111" s="3"/>
      <c r="AY111" s="3"/>
      <c r="AZ111" s="3"/>
      <c r="BA111" s="3"/>
      <c r="BB111" s="3"/>
      <c r="BC111" s="3"/>
      <c r="BD111" s="3"/>
      <c r="BE111" s="1" t="b">
        <v>1</v>
      </c>
      <c r="BF111" s="3"/>
      <c r="BG111" s="3"/>
      <c r="BH111" s="3"/>
      <c r="BI111" s="3"/>
      <c r="BJ111" s="3"/>
      <c r="BK111" s="4" t="s">
        <v>4695</v>
      </c>
    </row>
    <row r="112">
      <c r="A112" s="1" t="s">
        <v>277</v>
      </c>
      <c r="B112" s="1" t="s">
        <v>276</v>
      </c>
      <c r="C112" s="1" t="s">
        <v>276</v>
      </c>
      <c r="D112" s="1" t="s">
        <v>4711</v>
      </c>
      <c r="E112" s="1" t="s">
        <v>5537</v>
      </c>
      <c r="F112" s="1" t="s">
        <v>5538</v>
      </c>
      <c r="G112" s="3"/>
      <c r="H112" s="3"/>
      <c r="I112" s="1" t="s">
        <v>4742</v>
      </c>
      <c r="J112" s="1" t="s">
        <v>5539</v>
      </c>
      <c r="K112" s="3">
        <f>+821082282975</f>
        <v>821082282975</v>
      </c>
      <c r="L112" s="3"/>
      <c r="M112" s="3"/>
      <c r="N112" s="3"/>
      <c r="O112" s="3"/>
      <c r="P112" s="1">
        <v>1.12288763E8</v>
      </c>
      <c r="Q112" s="1" t="b">
        <v>1</v>
      </c>
      <c r="R112" s="1">
        <v>250.0</v>
      </c>
      <c r="S112" s="1" t="s">
        <v>5540</v>
      </c>
      <c r="T112" s="3"/>
      <c r="U112" s="1" t="s">
        <v>4672</v>
      </c>
      <c r="V112" s="1" t="s">
        <v>4673</v>
      </c>
      <c r="W112" s="1" t="s">
        <v>5541</v>
      </c>
      <c r="X112" s="1" t="b">
        <v>0</v>
      </c>
      <c r="Y112" s="1" t="s">
        <v>5087</v>
      </c>
      <c r="Z112" s="1" t="s">
        <v>5542</v>
      </c>
      <c r="AB112" s="1" t="s">
        <v>4677</v>
      </c>
      <c r="AC112" s="1" t="s">
        <v>4678</v>
      </c>
      <c r="AD112" s="1" t="s">
        <v>4679</v>
      </c>
      <c r="AE112" s="1" t="s">
        <v>5543</v>
      </c>
      <c r="AF112" s="1" t="s">
        <v>4681</v>
      </c>
      <c r="AG112" s="1" t="s">
        <v>4682</v>
      </c>
      <c r="AH112" s="1">
        <v>144.0</v>
      </c>
      <c r="AI112" s="1" t="b">
        <v>0</v>
      </c>
      <c r="AJ112" s="1" t="b">
        <v>0</v>
      </c>
      <c r="AK112" s="1" t="s">
        <v>5544</v>
      </c>
      <c r="AL112" s="1" t="s">
        <v>4684</v>
      </c>
      <c r="AM112" s="1" t="s">
        <v>4685</v>
      </c>
      <c r="AN112" s="1" t="s">
        <v>4686</v>
      </c>
      <c r="AO112" s="1" t="s">
        <v>5542</v>
      </c>
      <c r="AP112" s="1" t="s">
        <v>4687</v>
      </c>
      <c r="AQ112" s="1" t="s">
        <v>4688</v>
      </c>
      <c r="AR112" s="1">
        <v>106.0</v>
      </c>
      <c r="AS112" s="3"/>
      <c r="AT112" s="3"/>
      <c r="AU112" s="4" t="s">
        <v>5545</v>
      </c>
      <c r="AV112" s="1" t="s">
        <v>4690</v>
      </c>
      <c r="AW112" s="1" t="s">
        <v>4691</v>
      </c>
      <c r="AX112" s="1" t="s">
        <v>4692</v>
      </c>
      <c r="AY112" s="1" t="s">
        <v>4693</v>
      </c>
      <c r="AZ112" s="1" t="s">
        <v>4694</v>
      </c>
      <c r="BA112" s="3"/>
      <c r="BB112" s="3"/>
      <c r="BC112" s="3"/>
      <c r="BD112" s="3"/>
      <c r="BE112" s="1" t="b">
        <v>1</v>
      </c>
      <c r="BF112" s="1" t="s">
        <v>4693</v>
      </c>
      <c r="BG112" s="1" t="s">
        <v>4692</v>
      </c>
      <c r="BH112" s="1" t="s">
        <v>4690</v>
      </c>
      <c r="BI112" s="1" t="s">
        <v>4691</v>
      </c>
      <c r="BJ112" s="1" t="s">
        <v>4694</v>
      </c>
      <c r="BK112" s="4" t="s">
        <v>4695</v>
      </c>
    </row>
    <row r="113">
      <c r="A113" s="1" t="s">
        <v>1996</v>
      </c>
      <c r="B113" s="1" t="s">
        <v>1995</v>
      </c>
      <c r="C113" s="1" t="s">
        <v>1995</v>
      </c>
      <c r="D113" s="1" t="s">
        <v>4913</v>
      </c>
      <c r="E113" s="1" t="s">
        <v>5546</v>
      </c>
      <c r="F113" s="1" t="s">
        <v>5547</v>
      </c>
      <c r="G113" s="3"/>
      <c r="H113" s="3"/>
      <c r="I113" s="1" t="s">
        <v>5548</v>
      </c>
      <c r="J113" s="1" t="s">
        <v>5549</v>
      </c>
      <c r="K113" s="3">
        <f>+821087202266</f>
        <v>821087202266</v>
      </c>
      <c r="L113" s="3"/>
      <c r="M113" s="3"/>
      <c r="N113" s="3"/>
      <c r="O113" s="3"/>
      <c r="P113" s="1">
        <v>1.12559356E8</v>
      </c>
      <c r="Q113" s="1" t="b">
        <v>1</v>
      </c>
      <c r="R113" s="1">
        <v>9.0</v>
      </c>
      <c r="S113" s="1" t="s">
        <v>5340</v>
      </c>
      <c r="T113" s="3"/>
      <c r="U113" s="1" t="s">
        <v>4672</v>
      </c>
      <c r="V113" s="1" t="s">
        <v>4673</v>
      </c>
      <c r="W113" s="1" t="s">
        <v>5550</v>
      </c>
      <c r="X113" s="1" t="b">
        <v>0</v>
      </c>
      <c r="Y113" s="1" t="s">
        <v>4675</v>
      </c>
      <c r="Z113" s="1" t="s">
        <v>5551</v>
      </c>
      <c r="AB113" s="3"/>
      <c r="AC113" s="3"/>
      <c r="AD113" s="3"/>
      <c r="AE113" s="3"/>
      <c r="AF113" s="3"/>
      <c r="AG113" s="3"/>
      <c r="AH113" s="3"/>
      <c r="AI113" s="1" t="b">
        <v>0</v>
      </c>
      <c r="AJ113" s="1" t="b">
        <v>0</v>
      </c>
      <c r="AK113" s="1" t="s">
        <v>5551</v>
      </c>
      <c r="AL113" s="1" t="s">
        <v>4719</v>
      </c>
      <c r="AM113" s="1" t="s">
        <v>4685</v>
      </c>
      <c r="AN113" s="1" t="s">
        <v>4720</v>
      </c>
      <c r="AO113" s="1" t="s">
        <v>5551</v>
      </c>
      <c r="AP113" s="1" t="s">
        <v>4721</v>
      </c>
      <c r="AQ113" s="1" t="s">
        <v>4722</v>
      </c>
      <c r="AR113" s="1">
        <v>9.0</v>
      </c>
      <c r="AS113" s="3"/>
      <c r="AT113" s="3"/>
      <c r="AU113" s="4" t="s">
        <v>4695</v>
      </c>
      <c r="AW113" s="3"/>
      <c r="AX113" s="3"/>
      <c r="AY113" s="3"/>
      <c r="AZ113" s="3"/>
      <c r="BA113" s="3"/>
      <c r="BB113" s="3"/>
      <c r="BC113" s="3"/>
      <c r="BD113" s="3"/>
      <c r="BE113" s="1" t="b">
        <v>1</v>
      </c>
      <c r="BF113" s="3"/>
      <c r="BG113" s="3"/>
      <c r="BH113" s="3"/>
      <c r="BI113" s="3"/>
      <c r="BJ113" s="3"/>
      <c r="BK113" s="4" t="s">
        <v>4695</v>
      </c>
    </row>
    <row r="114">
      <c r="A114" s="1" t="s">
        <v>1492</v>
      </c>
      <c r="B114" s="1" t="s">
        <v>1490</v>
      </c>
      <c r="C114" s="1" t="s">
        <v>1490</v>
      </c>
      <c r="D114" s="1" t="s">
        <v>4711</v>
      </c>
      <c r="E114" s="1" t="s">
        <v>5552</v>
      </c>
      <c r="F114" s="1" t="s">
        <v>5553</v>
      </c>
      <c r="G114" s="3"/>
      <c r="H114" s="3"/>
      <c r="I114" s="1" t="s">
        <v>4872</v>
      </c>
      <c r="J114" s="1" t="s">
        <v>5554</v>
      </c>
      <c r="K114" s="3">
        <f>+821027877117</f>
        <v>821027877117</v>
      </c>
      <c r="L114" s="3"/>
      <c r="M114" s="3"/>
      <c r="N114" s="3"/>
      <c r="O114" s="3"/>
      <c r="P114" s="1">
        <v>1.09983571E8</v>
      </c>
      <c r="Q114" s="1" t="b">
        <v>1</v>
      </c>
      <c r="R114" s="1">
        <v>361.0</v>
      </c>
      <c r="S114" s="1" t="s">
        <v>5555</v>
      </c>
      <c r="T114" s="3"/>
      <c r="U114" s="1" t="s">
        <v>4672</v>
      </c>
      <c r="V114" s="1" t="s">
        <v>4673</v>
      </c>
      <c r="W114" s="1" t="s">
        <v>5556</v>
      </c>
      <c r="X114" s="1" t="b">
        <v>0</v>
      </c>
      <c r="Y114" s="1" t="s">
        <v>4675</v>
      </c>
      <c r="Z114" s="1" t="s">
        <v>5557</v>
      </c>
      <c r="AB114" s="1" t="s">
        <v>4677</v>
      </c>
      <c r="AC114" s="1" t="s">
        <v>4678</v>
      </c>
      <c r="AD114" s="1" t="s">
        <v>4679</v>
      </c>
      <c r="AE114" s="1" t="s">
        <v>5557</v>
      </c>
      <c r="AF114" s="1" t="s">
        <v>4681</v>
      </c>
      <c r="AG114" s="1" t="s">
        <v>4682</v>
      </c>
      <c r="AH114" s="1">
        <v>104.0</v>
      </c>
      <c r="AI114" s="1" t="b">
        <v>0</v>
      </c>
      <c r="AJ114" s="1" t="b">
        <v>0</v>
      </c>
      <c r="AK114" s="1" t="s">
        <v>5558</v>
      </c>
      <c r="AL114" s="1" t="s">
        <v>4707</v>
      </c>
      <c r="AM114" s="1" t="s">
        <v>4708</v>
      </c>
      <c r="AN114" s="1" t="s">
        <v>4686</v>
      </c>
      <c r="AO114" s="1" t="s">
        <v>5559</v>
      </c>
      <c r="AP114" s="1" t="s">
        <v>4709</v>
      </c>
      <c r="AQ114" s="1" t="s">
        <v>4688</v>
      </c>
      <c r="AR114" s="1">
        <v>257.0</v>
      </c>
      <c r="AS114" s="3"/>
      <c r="AT114" s="3"/>
      <c r="AU114" s="4" t="s">
        <v>4695</v>
      </c>
      <c r="AW114" s="3"/>
      <c r="AX114" s="3"/>
      <c r="AY114" s="3"/>
      <c r="AZ114" s="3"/>
      <c r="BA114" s="3"/>
      <c r="BB114" s="3"/>
      <c r="BC114" s="3"/>
      <c r="BD114" s="3"/>
      <c r="BE114" s="1" t="b">
        <v>1</v>
      </c>
      <c r="BF114" s="3"/>
      <c r="BG114" s="3"/>
      <c r="BH114" s="3"/>
      <c r="BI114" s="3"/>
      <c r="BJ114" s="3"/>
      <c r="BK114" s="4" t="s">
        <v>4695</v>
      </c>
    </row>
    <row r="115">
      <c r="A115" s="1" t="s">
        <v>669</v>
      </c>
      <c r="B115" s="1" t="s">
        <v>668</v>
      </c>
      <c r="C115" s="1" t="s">
        <v>668</v>
      </c>
      <c r="D115" s="1" t="s">
        <v>4922</v>
      </c>
      <c r="E115" s="1" t="s">
        <v>5560</v>
      </c>
      <c r="F115" s="1" t="s">
        <v>5561</v>
      </c>
      <c r="G115" s="3"/>
      <c r="H115" s="3"/>
      <c r="I115" s="1" t="s">
        <v>4669</v>
      </c>
      <c r="J115" s="1" t="s">
        <v>5562</v>
      </c>
      <c r="K115" s="3">
        <f>+821056349331</f>
        <v>821056349331</v>
      </c>
      <c r="L115" s="3"/>
      <c r="M115" s="3"/>
      <c r="N115" s="3"/>
      <c r="O115" s="3"/>
      <c r="P115" s="1">
        <v>1.12467581E8</v>
      </c>
      <c r="Q115" s="1" t="b">
        <v>1</v>
      </c>
      <c r="R115" s="1">
        <v>64.0</v>
      </c>
      <c r="S115" s="1" t="s">
        <v>5186</v>
      </c>
      <c r="T115" s="3"/>
      <c r="U115" s="1" t="s">
        <v>4672</v>
      </c>
      <c r="V115" s="1" t="s">
        <v>4673</v>
      </c>
      <c r="W115" s="1" t="s">
        <v>5563</v>
      </c>
      <c r="X115" s="1" t="b">
        <v>0</v>
      </c>
      <c r="Y115" s="1" t="s">
        <v>4675</v>
      </c>
      <c r="Z115" s="1" t="s">
        <v>5564</v>
      </c>
      <c r="AB115" s="1" t="s">
        <v>4677</v>
      </c>
      <c r="AC115" s="1" t="s">
        <v>4678</v>
      </c>
      <c r="AD115" s="1" t="s">
        <v>4679</v>
      </c>
      <c r="AE115" s="1" t="s">
        <v>5565</v>
      </c>
      <c r="AF115" s="1" t="s">
        <v>4681</v>
      </c>
      <c r="AG115" s="1" t="s">
        <v>4682</v>
      </c>
      <c r="AH115" s="1">
        <v>11.0</v>
      </c>
      <c r="AI115" s="1" t="b">
        <v>0</v>
      </c>
      <c r="AJ115" s="1" t="b">
        <v>0</v>
      </c>
      <c r="AK115" s="1" t="s">
        <v>5566</v>
      </c>
      <c r="AL115" s="1" t="s">
        <v>4684</v>
      </c>
      <c r="AM115" s="1" t="s">
        <v>4685</v>
      </c>
      <c r="AN115" s="1" t="s">
        <v>4686</v>
      </c>
      <c r="AO115" s="1" t="s">
        <v>5564</v>
      </c>
      <c r="AP115" s="1" t="s">
        <v>4687</v>
      </c>
      <c r="AQ115" s="1" t="s">
        <v>4688</v>
      </c>
      <c r="AR115" s="1">
        <v>53.0</v>
      </c>
      <c r="AS115" s="3"/>
      <c r="AT115" s="3"/>
      <c r="AU115" s="4" t="s">
        <v>4695</v>
      </c>
      <c r="AW115" s="3"/>
      <c r="AX115" s="3"/>
      <c r="AY115" s="3"/>
      <c r="AZ115" s="3"/>
      <c r="BA115" s="3"/>
      <c r="BB115" s="3"/>
      <c r="BC115" s="3"/>
      <c r="BD115" s="3"/>
      <c r="BE115" s="1" t="b">
        <v>1</v>
      </c>
      <c r="BF115" s="3"/>
      <c r="BG115" s="3"/>
      <c r="BH115" s="3"/>
      <c r="BI115" s="3"/>
      <c r="BJ115" s="3"/>
      <c r="BK115" s="4" t="s">
        <v>4695</v>
      </c>
    </row>
    <row r="116">
      <c r="A116" s="1" t="s">
        <v>393</v>
      </c>
      <c r="B116" s="1" t="s">
        <v>391</v>
      </c>
      <c r="C116" s="3"/>
      <c r="D116" s="3"/>
      <c r="E116" s="3"/>
      <c r="F116" s="3"/>
      <c r="G116" s="3"/>
      <c r="H116" s="3"/>
      <c r="I116" s="3"/>
      <c r="J116" s="3"/>
      <c r="K116" s="3"/>
      <c r="L116" s="3"/>
      <c r="M116" s="3"/>
      <c r="N116" s="3"/>
      <c r="O116" s="3"/>
      <c r="P116" s="1" t="s">
        <v>5567</v>
      </c>
      <c r="Q116" s="1" t="b">
        <v>0</v>
      </c>
      <c r="R116" s="1">
        <v>10.0</v>
      </c>
      <c r="S116" s="1" t="s">
        <v>4671</v>
      </c>
      <c r="T116" s="3"/>
      <c r="U116" s="1" t="s">
        <v>4672</v>
      </c>
      <c r="V116" s="1" t="s">
        <v>4673</v>
      </c>
      <c r="W116" s="1" t="s">
        <v>5568</v>
      </c>
      <c r="X116" s="1" t="b">
        <v>0</v>
      </c>
      <c r="Y116" s="1" t="s">
        <v>4675</v>
      </c>
      <c r="Z116" s="1" t="s">
        <v>5569</v>
      </c>
      <c r="AB116" s="3"/>
      <c r="AC116" s="3"/>
      <c r="AD116" s="3"/>
      <c r="AE116" s="3"/>
      <c r="AF116" s="3"/>
      <c r="AG116" s="3"/>
      <c r="AH116" s="3"/>
      <c r="AI116" s="1" t="b">
        <v>0</v>
      </c>
      <c r="AJ116" s="1" t="b">
        <v>0</v>
      </c>
      <c r="AK116" s="1" t="s">
        <v>5569</v>
      </c>
      <c r="AL116" s="1" t="s">
        <v>5570</v>
      </c>
      <c r="AM116" s="1" t="s">
        <v>4685</v>
      </c>
      <c r="AN116" s="1" t="s">
        <v>4679</v>
      </c>
      <c r="AO116" s="1" t="s">
        <v>5569</v>
      </c>
      <c r="AP116" s="1" t="s">
        <v>5571</v>
      </c>
      <c r="AQ116" s="1" t="s">
        <v>4682</v>
      </c>
      <c r="AR116" s="1">
        <v>10.0</v>
      </c>
      <c r="AS116" s="3"/>
      <c r="AT116" s="3"/>
      <c r="AU116" s="4" t="s">
        <v>4695</v>
      </c>
      <c r="AW116" s="3"/>
      <c r="AX116" s="3"/>
      <c r="AY116" s="3"/>
      <c r="AZ116" s="3"/>
      <c r="BA116" s="3"/>
      <c r="BB116" s="3"/>
      <c r="BC116" s="3"/>
      <c r="BD116" s="3"/>
      <c r="BE116" s="1" t="b">
        <v>1</v>
      </c>
      <c r="BF116" s="3"/>
      <c r="BG116" s="3"/>
      <c r="BH116" s="3"/>
      <c r="BI116" s="3"/>
      <c r="BJ116" s="3"/>
      <c r="BK116" s="4" t="s">
        <v>4695</v>
      </c>
    </row>
    <row r="117">
      <c r="A117" s="1" t="s">
        <v>1084</v>
      </c>
      <c r="B117" s="1" t="s">
        <v>1083</v>
      </c>
      <c r="C117" s="1" t="s">
        <v>1083</v>
      </c>
      <c r="D117" s="1" t="s">
        <v>5000</v>
      </c>
      <c r="E117" s="1" t="s">
        <v>5572</v>
      </c>
      <c r="F117" s="1" t="s">
        <v>5573</v>
      </c>
      <c r="G117" s="3"/>
      <c r="H117" s="3"/>
      <c r="I117" s="3"/>
      <c r="J117" s="1" t="s">
        <v>5574</v>
      </c>
      <c r="L117" s="3"/>
      <c r="M117" s="3"/>
      <c r="N117" s="3"/>
      <c r="O117" s="3"/>
      <c r="P117" s="1">
        <v>1.22918806E8</v>
      </c>
      <c r="Q117" s="1" t="b">
        <v>1</v>
      </c>
      <c r="R117" s="1">
        <v>58.0</v>
      </c>
      <c r="S117" s="1" t="s">
        <v>4752</v>
      </c>
      <c r="T117" s="3"/>
      <c r="U117" s="1" t="s">
        <v>4672</v>
      </c>
      <c r="V117" s="1" t="s">
        <v>4673</v>
      </c>
      <c r="W117" s="1" t="s">
        <v>5575</v>
      </c>
      <c r="X117" s="1" t="b">
        <v>0</v>
      </c>
      <c r="Y117" s="1" t="s">
        <v>4675</v>
      </c>
      <c r="Z117" s="1" t="s">
        <v>5576</v>
      </c>
      <c r="AB117" s="1" t="s">
        <v>4677</v>
      </c>
      <c r="AC117" s="1" t="s">
        <v>4678</v>
      </c>
      <c r="AD117" s="1" t="s">
        <v>5577</v>
      </c>
      <c r="AE117" s="1" t="s">
        <v>5576</v>
      </c>
      <c r="AF117" s="1" t="s">
        <v>4757</v>
      </c>
      <c r="AG117" s="1" t="s">
        <v>4758</v>
      </c>
      <c r="AH117" s="1">
        <v>24.0</v>
      </c>
      <c r="AI117" s="1" t="b">
        <v>0</v>
      </c>
      <c r="AJ117" s="1" t="b">
        <v>0</v>
      </c>
      <c r="AK117" s="1" t="s">
        <v>5576</v>
      </c>
      <c r="AL117" s="1" t="s">
        <v>4684</v>
      </c>
      <c r="AM117" s="1" t="s">
        <v>4685</v>
      </c>
      <c r="AN117" s="1" t="s">
        <v>4686</v>
      </c>
      <c r="AO117" s="1" t="s">
        <v>5578</v>
      </c>
      <c r="AP117" s="1" t="s">
        <v>4687</v>
      </c>
      <c r="AQ117" s="1" t="s">
        <v>4688</v>
      </c>
      <c r="AR117" s="1">
        <v>34.0</v>
      </c>
      <c r="AS117" s="3"/>
      <c r="AT117" s="3"/>
      <c r="AU117" s="4" t="s">
        <v>4695</v>
      </c>
      <c r="AW117" s="3"/>
      <c r="AX117" s="3"/>
      <c r="AY117" s="3"/>
      <c r="AZ117" s="3"/>
      <c r="BA117" s="3"/>
      <c r="BB117" s="3"/>
      <c r="BC117" s="3"/>
      <c r="BD117" s="3"/>
      <c r="BE117" s="1" t="b">
        <v>1</v>
      </c>
      <c r="BF117" s="3"/>
      <c r="BG117" s="3"/>
      <c r="BH117" s="3"/>
      <c r="BI117" s="3"/>
      <c r="BJ117" s="3"/>
      <c r="BK117" s="4" t="s">
        <v>4695</v>
      </c>
    </row>
    <row r="118">
      <c r="A118" s="1" t="s">
        <v>647</v>
      </c>
      <c r="B118" s="1" t="s">
        <v>646</v>
      </c>
      <c r="C118" s="1" t="s">
        <v>646</v>
      </c>
      <c r="D118" s="1" t="s">
        <v>4696</v>
      </c>
      <c r="E118" s="1" t="s">
        <v>5579</v>
      </c>
      <c r="F118" s="1" t="s">
        <v>5580</v>
      </c>
      <c r="G118" s="3"/>
      <c r="H118" s="3"/>
      <c r="I118" s="1" t="s">
        <v>4742</v>
      </c>
      <c r="J118" s="1" t="s">
        <v>5581</v>
      </c>
      <c r="K118" s="3">
        <f>+821030005972</f>
        <v>821030005972</v>
      </c>
      <c r="L118" s="3"/>
      <c r="M118" s="3"/>
      <c r="N118" s="3"/>
      <c r="O118" s="3"/>
      <c r="P118" s="1">
        <v>2.086164618E9</v>
      </c>
      <c r="Q118" s="1" t="b">
        <v>1</v>
      </c>
      <c r="R118" s="1">
        <v>185.0</v>
      </c>
      <c r="S118" s="1" t="s">
        <v>4885</v>
      </c>
      <c r="T118" s="3"/>
      <c r="U118" s="1" t="s">
        <v>4672</v>
      </c>
      <c r="V118" s="1" t="s">
        <v>4673</v>
      </c>
      <c r="W118" s="1" t="s">
        <v>5582</v>
      </c>
      <c r="X118" s="1" t="b">
        <v>0</v>
      </c>
      <c r="Y118" s="1" t="s">
        <v>4675</v>
      </c>
      <c r="Z118" s="1" t="s">
        <v>5583</v>
      </c>
      <c r="AB118" s="1" t="s">
        <v>4677</v>
      </c>
      <c r="AC118" s="1" t="s">
        <v>5052</v>
      </c>
      <c r="AD118" s="1" t="s">
        <v>4824</v>
      </c>
      <c r="AE118" s="1" t="s">
        <v>5584</v>
      </c>
      <c r="AF118" s="1" t="s">
        <v>4757</v>
      </c>
      <c r="AG118" s="1" t="s">
        <v>4758</v>
      </c>
      <c r="AH118" s="1">
        <v>117.0</v>
      </c>
      <c r="AI118" s="1" t="b">
        <v>0</v>
      </c>
      <c r="AJ118" s="1" t="b">
        <v>0</v>
      </c>
      <c r="AK118" s="1" t="s">
        <v>5585</v>
      </c>
      <c r="AL118" s="1" t="s">
        <v>4719</v>
      </c>
      <c r="AM118" s="1" t="s">
        <v>4685</v>
      </c>
      <c r="AN118" s="1" t="s">
        <v>4686</v>
      </c>
      <c r="AO118" s="1" t="s">
        <v>5583</v>
      </c>
      <c r="AP118" s="1" t="s">
        <v>4687</v>
      </c>
      <c r="AQ118" s="1" t="s">
        <v>4688</v>
      </c>
      <c r="AR118" s="1">
        <v>68.0</v>
      </c>
      <c r="AS118" s="3"/>
      <c r="AT118" s="3"/>
      <c r="AU118" s="4" t="s">
        <v>4695</v>
      </c>
      <c r="AW118" s="3"/>
      <c r="AX118" s="3"/>
      <c r="AY118" s="3"/>
      <c r="AZ118" s="3"/>
      <c r="BA118" s="3"/>
      <c r="BB118" s="3"/>
      <c r="BC118" s="3"/>
      <c r="BD118" s="3"/>
      <c r="BE118" s="1" t="b">
        <v>1</v>
      </c>
      <c r="BF118" s="3"/>
      <c r="BG118" s="3"/>
      <c r="BH118" s="3"/>
      <c r="BI118" s="3"/>
      <c r="BJ118" s="3"/>
      <c r="BK118" s="4" t="s">
        <v>4695</v>
      </c>
    </row>
    <row r="119">
      <c r="A119" s="1" t="s">
        <v>236</v>
      </c>
      <c r="B119" s="1" t="s">
        <v>233</v>
      </c>
      <c r="C119" s="1" t="s">
        <v>233</v>
      </c>
      <c r="D119" s="1" t="s">
        <v>5092</v>
      </c>
      <c r="E119" s="1" t="s">
        <v>5586</v>
      </c>
      <c r="F119" s="1" t="s">
        <v>5587</v>
      </c>
      <c r="G119" s="3"/>
      <c r="H119" s="3"/>
      <c r="I119" s="3"/>
      <c r="J119" s="1" t="s">
        <v>4535</v>
      </c>
      <c r="L119" s="3"/>
      <c r="M119" s="3"/>
      <c r="N119" s="3"/>
      <c r="O119" s="3"/>
      <c r="P119" s="1">
        <v>1.09950778E8</v>
      </c>
      <c r="Q119" s="1" t="b">
        <v>1</v>
      </c>
      <c r="R119" s="1">
        <v>5.0</v>
      </c>
      <c r="S119" s="1" t="s">
        <v>5588</v>
      </c>
      <c r="U119" s="1" t="s">
        <v>4672</v>
      </c>
      <c r="V119" s="1" t="s">
        <v>4673</v>
      </c>
      <c r="W119" s="1" t="s">
        <v>5589</v>
      </c>
      <c r="X119" s="1" t="b">
        <v>0</v>
      </c>
      <c r="Y119" s="1" t="s">
        <v>4675</v>
      </c>
      <c r="Z119" s="1" t="s">
        <v>5590</v>
      </c>
      <c r="AB119" s="3"/>
      <c r="AC119" s="3"/>
      <c r="AD119" s="3"/>
      <c r="AE119" s="3"/>
      <c r="AF119" s="3"/>
      <c r="AG119" s="3"/>
      <c r="AH119" s="3"/>
      <c r="AI119" s="1" t="b">
        <v>0</v>
      </c>
      <c r="AJ119" s="1" t="b">
        <v>0</v>
      </c>
      <c r="AK119" s="1" t="s">
        <v>5590</v>
      </c>
      <c r="AL119" s="1" t="s">
        <v>4684</v>
      </c>
      <c r="AM119" s="1" t="s">
        <v>4685</v>
      </c>
      <c r="AN119" s="1" t="s">
        <v>4686</v>
      </c>
      <c r="AO119" s="1" t="s">
        <v>5590</v>
      </c>
      <c r="AP119" s="1" t="s">
        <v>4687</v>
      </c>
      <c r="AQ119" s="1" t="s">
        <v>4688</v>
      </c>
      <c r="AR119" s="1">
        <v>5.0</v>
      </c>
      <c r="AS119" s="3"/>
      <c r="AT119" s="3"/>
      <c r="AU119" s="3"/>
      <c r="AV119" s="3"/>
      <c r="AW119" s="3"/>
      <c r="AX119" s="3"/>
      <c r="AY119" s="3"/>
      <c r="AZ119" s="3"/>
      <c r="BA119" s="3"/>
      <c r="BB119" s="3"/>
      <c r="BC119" s="3"/>
      <c r="BD119" s="3"/>
      <c r="BE119" s="1" t="b">
        <v>1</v>
      </c>
      <c r="BF119" s="3"/>
      <c r="BG119" s="3"/>
      <c r="BH119" s="3"/>
      <c r="BI119" s="3"/>
      <c r="BJ119" s="3"/>
      <c r="BK119" s="3"/>
      <c r="BL119" s="3"/>
    </row>
    <row r="120">
      <c r="A120" s="1" t="s">
        <v>1195</v>
      </c>
      <c r="B120" s="1" t="s">
        <v>1194</v>
      </c>
      <c r="C120" s="1" t="s">
        <v>1194</v>
      </c>
      <c r="D120" s="1" t="s">
        <v>4913</v>
      </c>
      <c r="E120" s="1" t="s">
        <v>5591</v>
      </c>
      <c r="F120" s="1" t="s">
        <v>5592</v>
      </c>
      <c r="G120" s="3"/>
      <c r="H120" s="3"/>
      <c r="I120" s="1" t="s">
        <v>4742</v>
      </c>
      <c r="J120" s="1" t="s">
        <v>5593</v>
      </c>
      <c r="K120" s="3">
        <f>+821056175603</f>
        <v>821056175603</v>
      </c>
      <c r="L120" s="3"/>
      <c r="M120" s="3"/>
      <c r="N120" s="3"/>
      <c r="O120" s="3"/>
      <c r="P120" s="1">
        <v>1.11203152E8</v>
      </c>
      <c r="Q120" s="1" t="b">
        <v>1</v>
      </c>
      <c r="R120" s="1">
        <v>925.0</v>
      </c>
      <c r="S120" s="1" t="s">
        <v>4805</v>
      </c>
      <c r="T120" s="3"/>
      <c r="U120" s="1" t="s">
        <v>4672</v>
      </c>
      <c r="V120" s="1" t="s">
        <v>4673</v>
      </c>
      <c r="W120" s="1" t="s">
        <v>5594</v>
      </c>
      <c r="X120" s="1" t="b">
        <v>0</v>
      </c>
      <c r="Y120" s="1" t="s">
        <v>4675</v>
      </c>
      <c r="Z120" s="1" t="s">
        <v>5595</v>
      </c>
      <c r="AB120" s="3"/>
      <c r="AC120" s="3"/>
      <c r="AD120" s="3"/>
      <c r="AE120" s="3"/>
      <c r="AF120" s="3"/>
      <c r="AG120" s="3"/>
      <c r="AH120" s="3"/>
      <c r="AI120" s="1" t="b">
        <v>0</v>
      </c>
      <c r="AJ120" s="1" t="b">
        <v>0</v>
      </c>
      <c r="AK120" s="1" t="s">
        <v>5596</v>
      </c>
      <c r="AL120" s="1" t="s">
        <v>4684</v>
      </c>
      <c r="AM120" s="1" t="s">
        <v>4685</v>
      </c>
      <c r="AN120" s="1" t="s">
        <v>4686</v>
      </c>
      <c r="AO120" s="1" t="s">
        <v>5595</v>
      </c>
      <c r="AP120" s="1" t="s">
        <v>4687</v>
      </c>
      <c r="AQ120" s="1" t="s">
        <v>4688</v>
      </c>
      <c r="AR120" s="1">
        <v>925.0</v>
      </c>
      <c r="AS120" s="3"/>
      <c r="AT120" s="3"/>
      <c r="AU120" s="4" t="s">
        <v>4856</v>
      </c>
      <c r="BB120" s="3"/>
      <c r="BC120" s="3"/>
      <c r="BD120" s="3"/>
      <c r="BE120" s="1" t="b">
        <v>1</v>
      </c>
      <c r="BF120" s="3"/>
      <c r="BG120" s="3"/>
      <c r="BH120" s="3"/>
      <c r="BI120" s="3"/>
      <c r="BJ120" s="3"/>
      <c r="BK120" s="4" t="s">
        <v>4780</v>
      </c>
    </row>
    <row r="121">
      <c r="A121" s="1" t="s">
        <v>1615</v>
      </c>
      <c r="B121" s="1" t="s">
        <v>1614</v>
      </c>
      <c r="C121" s="1" t="s">
        <v>1614</v>
      </c>
      <c r="D121" s="1" t="s">
        <v>5597</v>
      </c>
      <c r="E121" s="1" t="s">
        <v>5598</v>
      </c>
      <c r="F121" s="1" t="s">
        <v>5599</v>
      </c>
      <c r="G121" s="3"/>
      <c r="H121" s="3"/>
      <c r="I121" s="1" t="s">
        <v>5338</v>
      </c>
      <c r="J121" s="1" t="s">
        <v>5600</v>
      </c>
      <c r="K121" s="3">
        <f>+821022622771</f>
        <v>821022622771</v>
      </c>
      <c r="L121" s="3"/>
      <c r="M121" s="3"/>
      <c r="N121" s="3"/>
      <c r="O121" s="3"/>
      <c r="P121" s="1">
        <v>1.10999611E8</v>
      </c>
      <c r="Q121" s="1" t="b">
        <v>1</v>
      </c>
      <c r="R121" s="1">
        <v>2098.0</v>
      </c>
      <c r="S121" s="1" t="s">
        <v>5429</v>
      </c>
      <c r="T121" s="3"/>
      <c r="U121" s="1" t="s">
        <v>4672</v>
      </c>
      <c r="V121" s="1" t="s">
        <v>4673</v>
      </c>
      <c r="W121" s="1" t="s">
        <v>5601</v>
      </c>
      <c r="X121" s="1" t="b">
        <v>0</v>
      </c>
      <c r="Y121" s="1" t="s">
        <v>4675</v>
      </c>
      <c r="Z121" s="1" t="s">
        <v>5602</v>
      </c>
      <c r="AB121" s="3"/>
      <c r="AC121" s="3"/>
      <c r="AD121" s="3"/>
      <c r="AE121" s="3"/>
      <c r="AF121" s="3"/>
      <c r="AG121" s="3"/>
      <c r="AH121" s="3"/>
      <c r="AI121" s="1" t="b">
        <v>0</v>
      </c>
      <c r="AJ121" s="1" t="b">
        <v>0</v>
      </c>
      <c r="AK121" s="1" t="s">
        <v>5603</v>
      </c>
      <c r="AL121" s="1" t="s">
        <v>4684</v>
      </c>
      <c r="AM121" s="1" t="s">
        <v>4685</v>
      </c>
      <c r="AN121" s="1" t="s">
        <v>4686</v>
      </c>
      <c r="AO121" s="1" t="s">
        <v>5602</v>
      </c>
      <c r="AP121" s="1" t="s">
        <v>4687</v>
      </c>
      <c r="AQ121" s="1" t="s">
        <v>4688</v>
      </c>
      <c r="AR121" s="1">
        <v>2098.0</v>
      </c>
      <c r="AS121" s="3"/>
      <c r="AT121" s="3"/>
      <c r="AU121" s="4" t="s">
        <v>5604</v>
      </c>
      <c r="BE121" s="1" t="b">
        <v>1</v>
      </c>
      <c r="BF121" s="3"/>
      <c r="BG121" s="3"/>
      <c r="BH121" s="3"/>
      <c r="BI121" s="3"/>
      <c r="BJ121" s="3"/>
      <c r="BK121" s="4" t="s">
        <v>4695</v>
      </c>
    </row>
    <row r="122">
      <c r="A122" s="1" t="s">
        <v>384</v>
      </c>
      <c r="B122" s="1" t="s">
        <v>383</v>
      </c>
      <c r="C122" s="3"/>
      <c r="D122" s="3"/>
      <c r="E122" s="3"/>
      <c r="F122" s="3"/>
      <c r="G122" s="3"/>
      <c r="H122" s="3"/>
      <c r="I122" s="3"/>
      <c r="J122" s="3"/>
      <c r="K122" s="3"/>
      <c r="L122" s="3"/>
      <c r="M122" s="3"/>
      <c r="N122" s="3"/>
      <c r="O122" s="3"/>
      <c r="P122" s="1" t="s">
        <v>5605</v>
      </c>
      <c r="Q122" s="1" t="b">
        <v>0</v>
      </c>
      <c r="R122" s="1">
        <v>1.0</v>
      </c>
      <c r="S122" s="1" t="s">
        <v>5606</v>
      </c>
      <c r="U122" s="1" t="s">
        <v>4672</v>
      </c>
      <c r="V122" s="1" t="s">
        <v>4673</v>
      </c>
      <c r="W122" s="1" t="s">
        <v>5607</v>
      </c>
      <c r="X122" s="1" t="b">
        <v>0</v>
      </c>
      <c r="Y122" s="1" t="s">
        <v>4675</v>
      </c>
      <c r="Z122" s="1" t="s">
        <v>5608</v>
      </c>
      <c r="AB122" s="3"/>
      <c r="AC122" s="3"/>
      <c r="AD122" s="3"/>
      <c r="AE122" s="3"/>
      <c r="AF122" s="3"/>
      <c r="AG122" s="3"/>
      <c r="AH122" s="3"/>
      <c r="AI122" s="1" t="b">
        <v>0</v>
      </c>
      <c r="AJ122" s="1" t="b">
        <v>0</v>
      </c>
      <c r="AK122" s="1" t="s">
        <v>5607</v>
      </c>
      <c r="AL122" s="1" t="s">
        <v>4719</v>
      </c>
      <c r="AM122" s="1" t="s">
        <v>4685</v>
      </c>
      <c r="AN122" s="1" t="s">
        <v>4686</v>
      </c>
      <c r="AO122" s="1" t="s">
        <v>5608</v>
      </c>
      <c r="AP122" s="1" t="s">
        <v>4687</v>
      </c>
      <c r="AQ122" s="1" t="s">
        <v>4688</v>
      </c>
      <c r="AR122" s="1">
        <v>1.0</v>
      </c>
      <c r="AS122" s="3"/>
      <c r="AT122" s="3"/>
      <c r="AU122" s="4" t="s">
        <v>4695</v>
      </c>
      <c r="AW122" s="3"/>
      <c r="AX122" s="3"/>
      <c r="AY122" s="3"/>
      <c r="AZ122" s="3"/>
      <c r="BA122" s="3"/>
      <c r="BB122" s="3"/>
      <c r="BC122" s="3"/>
      <c r="BD122" s="3"/>
      <c r="BE122" s="1" t="b">
        <v>1</v>
      </c>
      <c r="BF122" s="3"/>
      <c r="BG122" s="3"/>
      <c r="BH122" s="3"/>
      <c r="BI122" s="3"/>
      <c r="BJ122" s="3"/>
      <c r="BK122" s="4" t="s">
        <v>4695</v>
      </c>
    </row>
    <row r="123">
      <c r="A123" s="1" t="s">
        <v>1177</v>
      </c>
      <c r="B123" s="1" t="s">
        <v>1176</v>
      </c>
      <c r="C123" s="1" t="s">
        <v>1176</v>
      </c>
      <c r="D123" s="1" t="s">
        <v>4711</v>
      </c>
      <c r="E123" s="1" t="s">
        <v>5609</v>
      </c>
      <c r="F123" s="1" t="s">
        <v>5610</v>
      </c>
      <c r="G123" s="3"/>
      <c r="H123" s="1" t="s">
        <v>3850</v>
      </c>
      <c r="I123" s="1" t="s">
        <v>5611</v>
      </c>
      <c r="J123" s="1" t="s">
        <v>5612</v>
      </c>
      <c r="K123" s="3">
        <f>+821074522446</f>
        <v>821074522446</v>
      </c>
      <c r="L123" s="3"/>
      <c r="M123" s="3"/>
      <c r="N123" s="3"/>
      <c r="O123" s="3"/>
      <c r="P123" s="1">
        <v>2.085885126E9</v>
      </c>
      <c r="Q123" s="1" t="b">
        <v>1</v>
      </c>
      <c r="R123" s="1">
        <v>527.0</v>
      </c>
      <c r="S123" s="1" t="s">
        <v>5613</v>
      </c>
      <c r="T123" s="3"/>
      <c r="U123" s="1" t="s">
        <v>4672</v>
      </c>
      <c r="V123" s="1" t="s">
        <v>4673</v>
      </c>
      <c r="W123" s="1" t="s">
        <v>5614</v>
      </c>
      <c r="X123" s="1" t="b">
        <v>0</v>
      </c>
      <c r="Y123" s="1" t="s">
        <v>4675</v>
      </c>
      <c r="Z123" s="1" t="s">
        <v>5615</v>
      </c>
      <c r="AB123" s="3"/>
      <c r="AC123" s="3"/>
      <c r="AD123" s="3"/>
      <c r="AE123" s="3"/>
      <c r="AF123" s="3"/>
      <c r="AG123" s="3"/>
      <c r="AH123" s="3"/>
      <c r="AI123" s="1" t="b">
        <v>0</v>
      </c>
      <c r="AJ123" s="1" t="b">
        <v>0</v>
      </c>
      <c r="AK123" s="1" t="s">
        <v>5616</v>
      </c>
      <c r="AL123" s="1" t="s">
        <v>4719</v>
      </c>
      <c r="AM123" s="1" t="s">
        <v>4685</v>
      </c>
      <c r="AN123" s="1" t="s">
        <v>4686</v>
      </c>
      <c r="AO123" s="1" t="s">
        <v>5615</v>
      </c>
      <c r="AP123" s="1" t="s">
        <v>4687</v>
      </c>
      <c r="AQ123" s="1" t="s">
        <v>4688</v>
      </c>
      <c r="AR123" s="1">
        <v>527.0</v>
      </c>
      <c r="AS123" s="3"/>
      <c r="AT123" s="3"/>
      <c r="AU123" s="4" t="s">
        <v>4695</v>
      </c>
      <c r="AV123" s="1" t="s">
        <v>4788</v>
      </c>
      <c r="AW123" s="1" t="s">
        <v>4789</v>
      </c>
      <c r="AX123" s="1" t="s">
        <v>4692</v>
      </c>
      <c r="AY123" s="1" t="s">
        <v>4790</v>
      </c>
      <c r="AZ123" s="1" t="s">
        <v>4791</v>
      </c>
      <c r="BA123" s="3"/>
      <c r="BB123" s="3"/>
      <c r="BC123" s="3"/>
      <c r="BD123" s="3"/>
      <c r="BE123" s="1" t="b">
        <v>1</v>
      </c>
      <c r="BF123" s="1" t="s">
        <v>4790</v>
      </c>
      <c r="BG123" s="1" t="s">
        <v>4692</v>
      </c>
      <c r="BH123" s="1" t="s">
        <v>4788</v>
      </c>
      <c r="BI123" s="1" t="s">
        <v>4789</v>
      </c>
      <c r="BJ123" s="1" t="s">
        <v>4791</v>
      </c>
      <c r="BK123" s="4" t="s">
        <v>4881</v>
      </c>
    </row>
    <row r="124">
      <c r="A124" s="1" t="s">
        <v>963</v>
      </c>
      <c r="B124" s="1" t="s">
        <v>962</v>
      </c>
      <c r="C124" s="3"/>
      <c r="D124" s="3"/>
      <c r="E124" s="3"/>
      <c r="F124" s="3"/>
      <c r="G124" s="3"/>
      <c r="H124" s="3"/>
      <c r="I124" s="1" t="s">
        <v>4669</v>
      </c>
      <c r="J124" s="3"/>
      <c r="K124" s="3"/>
      <c r="L124" s="3"/>
      <c r="M124" s="3"/>
      <c r="N124" s="3"/>
      <c r="O124" s="3"/>
      <c r="P124" s="1" t="s">
        <v>5617</v>
      </c>
      <c r="Q124" s="1" t="b">
        <v>0</v>
      </c>
      <c r="R124" s="1">
        <v>2.0</v>
      </c>
      <c r="S124" s="1" t="s">
        <v>5618</v>
      </c>
      <c r="T124" s="3"/>
      <c r="U124" s="1" t="s">
        <v>4672</v>
      </c>
      <c r="V124" s="1" t="s">
        <v>4673</v>
      </c>
      <c r="W124" s="1" t="s">
        <v>5619</v>
      </c>
      <c r="X124" s="1" t="b">
        <v>0</v>
      </c>
      <c r="Y124" s="1" t="s">
        <v>4675</v>
      </c>
      <c r="Z124" s="1" t="s">
        <v>5620</v>
      </c>
      <c r="AB124" s="3"/>
      <c r="AC124" s="3"/>
      <c r="AD124" s="3"/>
      <c r="AE124" s="3"/>
      <c r="AF124" s="3"/>
      <c r="AG124" s="3"/>
      <c r="AH124" s="3"/>
      <c r="AI124" s="1" t="b">
        <v>0</v>
      </c>
      <c r="AJ124" s="1" t="b">
        <v>0</v>
      </c>
      <c r="AK124" s="1" t="s">
        <v>5621</v>
      </c>
      <c r="AL124" s="1" t="s">
        <v>4719</v>
      </c>
      <c r="AM124" s="1" t="s">
        <v>4685</v>
      </c>
      <c r="AN124" s="1" t="s">
        <v>4686</v>
      </c>
      <c r="AO124" s="1" t="s">
        <v>5620</v>
      </c>
      <c r="AP124" s="1" t="s">
        <v>4687</v>
      </c>
      <c r="AQ124" s="1" t="s">
        <v>4688</v>
      </c>
      <c r="AR124" s="1">
        <v>2.0</v>
      </c>
      <c r="AS124" s="3"/>
      <c r="AT124" s="3"/>
      <c r="AU124" s="4" t="s">
        <v>4780</v>
      </c>
      <c r="AW124" s="3"/>
      <c r="AX124" s="3"/>
      <c r="AY124" s="3"/>
      <c r="AZ124" s="3"/>
      <c r="BA124" s="3"/>
      <c r="BB124" s="3"/>
      <c r="BC124" s="3"/>
      <c r="BD124" s="3"/>
      <c r="BE124" s="1" t="b">
        <v>1</v>
      </c>
      <c r="BF124" s="3"/>
      <c r="BG124" s="3"/>
      <c r="BH124" s="3"/>
      <c r="BI124" s="3"/>
      <c r="BJ124" s="3"/>
      <c r="BK124" s="4" t="s">
        <v>4780</v>
      </c>
    </row>
    <row r="125">
      <c r="A125" s="1" t="s">
        <v>1816</v>
      </c>
      <c r="B125" s="1" t="s">
        <v>1815</v>
      </c>
      <c r="C125" s="1" t="s">
        <v>1815</v>
      </c>
      <c r="D125" s="1" t="s">
        <v>5622</v>
      </c>
      <c r="E125" s="1" t="s">
        <v>5623</v>
      </c>
      <c r="F125" s="1" t="s">
        <v>5624</v>
      </c>
      <c r="G125" s="3"/>
      <c r="H125" s="3"/>
      <c r="I125" s="1" t="s">
        <v>5095</v>
      </c>
      <c r="J125" s="1" t="s">
        <v>5625</v>
      </c>
      <c r="L125" s="3"/>
      <c r="M125" s="3"/>
      <c r="N125" s="3"/>
      <c r="O125" s="3"/>
      <c r="P125" s="1">
        <v>1.22917749E8</v>
      </c>
      <c r="Q125" s="1" t="b">
        <v>1</v>
      </c>
      <c r="R125" s="1">
        <v>16.0</v>
      </c>
      <c r="S125" s="1" t="s">
        <v>4752</v>
      </c>
      <c r="T125" s="3"/>
      <c r="U125" s="1" t="s">
        <v>4672</v>
      </c>
      <c r="V125" s="1" t="s">
        <v>4673</v>
      </c>
      <c r="W125" s="1" t="s">
        <v>5626</v>
      </c>
      <c r="X125" s="1" t="b">
        <v>0</v>
      </c>
      <c r="Y125" s="1" t="s">
        <v>4675</v>
      </c>
      <c r="Z125" s="1" t="s">
        <v>5627</v>
      </c>
      <c r="AB125" s="1" t="s">
        <v>4677</v>
      </c>
      <c r="AC125" s="1" t="s">
        <v>4678</v>
      </c>
      <c r="AD125" s="1" t="s">
        <v>4679</v>
      </c>
      <c r="AE125" s="1" t="s">
        <v>5628</v>
      </c>
      <c r="AF125" s="1" t="s">
        <v>4681</v>
      </c>
      <c r="AG125" s="1" t="s">
        <v>4682</v>
      </c>
      <c r="AH125" s="1">
        <v>8.0</v>
      </c>
      <c r="AI125" s="1" t="b">
        <v>0</v>
      </c>
      <c r="AJ125" s="1" t="b">
        <v>0</v>
      </c>
      <c r="AK125" s="1" t="s">
        <v>5629</v>
      </c>
      <c r="AL125" s="1" t="s">
        <v>4719</v>
      </c>
      <c r="AM125" s="1" t="s">
        <v>4685</v>
      </c>
      <c r="AN125" s="1" t="s">
        <v>4720</v>
      </c>
      <c r="AO125" s="1" t="s">
        <v>5627</v>
      </c>
      <c r="AP125" s="1" t="s">
        <v>4721</v>
      </c>
      <c r="AQ125" s="1" t="s">
        <v>4722</v>
      </c>
      <c r="AR125" s="1">
        <v>8.0</v>
      </c>
      <c r="AS125" s="3"/>
      <c r="AT125" s="3"/>
      <c r="AU125" s="4" t="s">
        <v>4695</v>
      </c>
      <c r="AW125" s="3"/>
      <c r="AX125" s="3"/>
      <c r="AY125" s="3"/>
      <c r="AZ125" s="3"/>
      <c r="BA125" s="3"/>
      <c r="BB125" s="3"/>
      <c r="BC125" s="3"/>
      <c r="BD125" s="3"/>
      <c r="BE125" s="1" t="b">
        <v>1</v>
      </c>
      <c r="BF125" s="3"/>
      <c r="BG125" s="3"/>
      <c r="BH125" s="3"/>
      <c r="BI125" s="3"/>
      <c r="BJ125" s="3"/>
      <c r="BK125" s="4" t="s">
        <v>4695</v>
      </c>
    </row>
    <row r="126">
      <c r="A126" s="1" t="s">
        <v>467</v>
      </c>
      <c r="B126" s="1" t="s">
        <v>466</v>
      </c>
      <c r="C126" s="3"/>
      <c r="D126" s="3"/>
      <c r="E126" s="3"/>
      <c r="F126" s="3"/>
      <c r="G126" s="3"/>
      <c r="H126" s="3"/>
      <c r="I126" s="3"/>
      <c r="J126" s="3"/>
      <c r="K126" s="3"/>
      <c r="L126" s="3"/>
      <c r="M126" s="3"/>
      <c r="N126" s="3"/>
      <c r="O126" s="3"/>
      <c r="P126" s="1" t="s">
        <v>5630</v>
      </c>
      <c r="Q126" s="1" t="b">
        <v>0</v>
      </c>
      <c r="R126" s="1">
        <v>2.0</v>
      </c>
      <c r="S126" s="1" t="s">
        <v>5631</v>
      </c>
      <c r="T126" s="3"/>
      <c r="U126" s="1" t="s">
        <v>4672</v>
      </c>
      <c r="V126" s="1" t="s">
        <v>4673</v>
      </c>
      <c r="W126" s="1" t="s">
        <v>5632</v>
      </c>
      <c r="X126" s="1" t="b">
        <v>0</v>
      </c>
      <c r="Y126" s="1" t="s">
        <v>4675</v>
      </c>
      <c r="Z126" s="1" t="s">
        <v>5633</v>
      </c>
      <c r="AB126" s="3"/>
      <c r="AC126" s="3"/>
      <c r="AD126" s="3"/>
      <c r="AE126" s="3"/>
      <c r="AF126" s="3"/>
      <c r="AG126" s="3"/>
      <c r="AH126" s="3"/>
      <c r="AI126" s="1" t="b">
        <v>0</v>
      </c>
      <c r="AJ126" s="1" t="b">
        <v>0</v>
      </c>
      <c r="AK126" s="1" t="s">
        <v>5634</v>
      </c>
      <c r="AL126" s="1" t="s">
        <v>5635</v>
      </c>
      <c r="AM126" s="1" t="s">
        <v>4685</v>
      </c>
      <c r="AN126" s="1" t="s">
        <v>4720</v>
      </c>
      <c r="AO126" s="1" t="s">
        <v>5633</v>
      </c>
      <c r="AP126" s="1" t="s">
        <v>4721</v>
      </c>
      <c r="AQ126" s="1" t="s">
        <v>4722</v>
      </c>
      <c r="AR126" s="1">
        <v>2.0</v>
      </c>
      <c r="AS126" s="3"/>
      <c r="AT126" s="3"/>
      <c r="AU126" s="4" t="s">
        <v>4695</v>
      </c>
      <c r="AW126" s="3"/>
      <c r="AX126" s="3"/>
      <c r="AY126" s="3"/>
      <c r="AZ126" s="3"/>
      <c r="BA126" s="3"/>
      <c r="BB126" s="3"/>
      <c r="BC126" s="3"/>
      <c r="BD126" s="3"/>
      <c r="BE126" s="1" t="b">
        <v>1</v>
      </c>
      <c r="BF126" s="3"/>
      <c r="BG126" s="3"/>
      <c r="BH126" s="3"/>
      <c r="BI126" s="3"/>
      <c r="BJ126" s="3"/>
      <c r="BK126" s="4" t="s">
        <v>4695</v>
      </c>
    </row>
    <row r="127">
      <c r="A127" s="1" t="s">
        <v>529</v>
      </c>
      <c r="B127" s="1" t="s">
        <v>528</v>
      </c>
      <c r="C127" s="1" t="s">
        <v>528</v>
      </c>
      <c r="D127" s="1" t="s">
        <v>4724</v>
      </c>
      <c r="E127" s="1" t="s">
        <v>5636</v>
      </c>
      <c r="F127" s="1" t="s">
        <v>5637</v>
      </c>
      <c r="G127" s="3"/>
      <c r="H127" s="3"/>
      <c r="I127" s="3"/>
      <c r="J127" s="1" t="s">
        <v>5638</v>
      </c>
      <c r="K127" s="3">
        <f>+821026165245</f>
        <v>821026165245</v>
      </c>
      <c r="L127" s="3"/>
      <c r="M127" s="3"/>
      <c r="N127" s="3"/>
      <c r="O127" s="3"/>
      <c r="P127" s="1">
        <v>1.12456668E8</v>
      </c>
      <c r="Q127" s="1" t="b">
        <v>1</v>
      </c>
      <c r="R127" s="1">
        <v>13.0</v>
      </c>
      <c r="S127" s="1" t="s">
        <v>5281</v>
      </c>
      <c r="T127" s="3"/>
      <c r="U127" s="1" t="s">
        <v>4672</v>
      </c>
      <c r="V127" s="1" t="s">
        <v>4673</v>
      </c>
      <c r="W127" s="1" t="s">
        <v>5639</v>
      </c>
      <c r="X127" s="1" t="b">
        <v>0</v>
      </c>
      <c r="Y127" s="1" t="s">
        <v>4675</v>
      </c>
      <c r="Z127" s="1" t="s">
        <v>5640</v>
      </c>
      <c r="AB127" s="3"/>
      <c r="AC127" s="3"/>
      <c r="AD127" s="3"/>
      <c r="AE127" s="3"/>
      <c r="AF127" s="3"/>
      <c r="AG127" s="3"/>
      <c r="AH127" s="3"/>
      <c r="AI127" s="1" t="b">
        <v>0</v>
      </c>
      <c r="AJ127" s="1" t="b">
        <v>0</v>
      </c>
      <c r="AK127" s="1" t="s">
        <v>5641</v>
      </c>
      <c r="AL127" s="1" t="s">
        <v>4719</v>
      </c>
      <c r="AM127" s="1" t="s">
        <v>4685</v>
      </c>
      <c r="AN127" s="1" t="s">
        <v>4720</v>
      </c>
      <c r="AO127" s="1" t="s">
        <v>5640</v>
      </c>
      <c r="AP127" s="1" t="s">
        <v>4721</v>
      </c>
      <c r="AQ127" s="1" t="s">
        <v>4722</v>
      </c>
      <c r="AR127" s="1">
        <v>13.0</v>
      </c>
      <c r="AS127" s="3"/>
      <c r="AT127" s="3"/>
      <c r="AU127" s="4" t="s">
        <v>4695</v>
      </c>
      <c r="AW127" s="3"/>
      <c r="AX127" s="3"/>
      <c r="AY127" s="3"/>
      <c r="AZ127" s="3"/>
      <c r="BA127" s="3"/>
      <c r="BB127" s="3"/>
      <c r="BC127" s="3"/>
      <c r="BD127" s="3"/>
      <c r="BE127" s="1" t="b">
        <v>1</v>
      </c>
      <c r="BF127" s="3"/>
      <c r="BG127" s="3"/>
      <c r="BH127" s="3"/>
      <c r="BI127" s="3"/>
      <c r="BJ127" s="3"/>
      <c r="BK127" s="4" t="s">
        <v>4695</v>
      </c>
    </row>
    <row r="128">
      <c r="A128" s="1" t="s">
        <v>155</v>
      </c>
      <c r="B128" s="1" t="s">
        <v>154</v>
      </c>
      <c r="C128" s="3"/>
      <c r="D128" s="3"/>
      <c r="E128" s="3"/>
      <c r="F128" s="3"/>
      <c r="G128" s="3"/>
      <c r="H128" s="3"/>
      <c r="I128" s="3"/>
      <c r="J128" s="3"/>
      <c r="K128" s="3"/>
      <c r="L128" s="3"/>
      <c r="M128" s="3"/>
      <c r="N128" s="3"/>
      <c r="O128" s="3"/>
      <c r="P128" s="1" t="s">
        <v>5642</v>
      </c>
      <c r="Q128" s="1" t="b">
        <v>0</v>
      </c>
      <c r="R128" s="1">
        <v>2.0</v>
      </c>
      <c r="S128" s="1" t="s">
        <v>4902</v>
      </c>
      <c r="T128" s="3"/>
      <c r="U128" s="1" t="s">
        <v>4672</v>
      </c>
      <c r="V128" s="1" t="s">
        <v>4673</v>
      </c>
      <c r="W128" s="1" t="s">
        <v>5643</v>
      </c>
      <c r="X128" s="1" t="b">
        <v>0</v>
      </c>
      <c r="Y128" s="1" t="s">
        <v>4675</v>
      </c>
      <c r="Z128" s="1" t="s">
        <v>5644</v>
      </c>
      <c r="AB128" s="3"/>
      <c r="AC128" s="3"/>
      <c r="AD128" s="3"/>
      <c r="AE128" s="3"/>
      <c r="AF128" s="3"/>
      <c r="AG128" s="3"/>
      <c r="AH128" s="3"/>
      <c r="AI128" s="1" t="b">
        <v>0</v>
      </c>
      <c r="AJ128" s="1" t="b">
        <v>0</v>
      </c>
      <c r="AK128" s="1" t="s">
        <v>5644</v>
      </c>
      <c r="AL128" s="1" t="s">
        <v>5645</v>
      </c>
      <c r="AM128" s="1" t="s">
        <v>4708</v>
      </c>
      <c r="AN128" s="1" t="s">
        <v>4686</v>
      </c>
      <c r="AO128" s="1" t="s">
        <v>5644</v>
      </c>
      <c r="AP128" s="1" t="s">
        <v>4709</v>
      </c>
      <c r="AQ128" s="1" t="s">
        <v>4688</v>
      </c>
      <c r="AR128" s="1">
        <v>2.0</v>
      </c>
      <c r="AS128" s="3"/>
      <c r="AT128" s="3"/>
      <c r="AU128" s="4" t="s">
        <v>4780</v>
      </c>
      <c r="AV128" s="1" t="s">
        <v>4788</v>
      </c>
      <c r="AW128" s="1" t="s">
        <v>4789</v>
      </c>
      <c r="AX128" s="1" t="s">
        <v>4692</v>
      </c>
      <c r="AY128" s="1" t="s">
        <v>4790</v>
      </c>
      <c r="AZ128" s="1" t="s">
        <v>4791</v>
      </c>
      <c r="BA128" s="3"/>
      <c r="BB128" s="3"/>
      <c r="BC128" s="3"/>
      <c r="BD128" s="3"/>
      <c r="BE128" s="1" t="b">
        <v>1</v>
      </c>
      <c r="BF128" s="1" t="s">
        <v>4790</v>
      </c>
      <c r="BG128" s="1" t="s">
        <v>4692</v>
      </c>
      <c r="BH128" s="1" t="s">
        <v>4788</v>
      </c>
      <c r="BI128" s="1" t="s">
        <v>4789</v>
      </c>
      <c r="BJ128" s="1" t="s">
        <v>4791</v>
      </c>
      <c r="BK128" s="4" t="s">
        <v>4780</v>
      </c>
    </row>
    <row r="129">
      <c r="A129" s="1" t="s">
        <v>204</v>
      </c>
      <c r="B129" s="1" t="s">
        <v>203</v>
      </c>
      <c r="C129" s="1" t="s">
        <v>203</v>
      </c>
      <c r="D129" s="1" t="s">
        <v>4724</v>
      </c>
      <c r="E129" s="1" t="s">
        <v>5646</v>
      </c>
      <c r="F129" s="1" t="s">
        <v>5647</v>
      </c>
      <c r="G129" s="3"/>
      <c r="H129" s="3"/>
      <c r="I129" s="1" t="s">
        <v>5026</v>
      </c>
      <c r="J129" s="1" t="s">
        <v>5648</v>
      </c>
      <c r="K129" s="3">
        <f>+821092501371</f>
        <v>821092501371</v>
      </c>
      <c r="L129" s="3"/>
      <c r="M129" s="3"/>
      <c r="N129" s="3"/>
      <c r="O129" s="3"/>
      <c r="P129" s="1">
        <v>1.2295795E8</v>
      </c>
      <c r="Q129" s="1" t="b">
        <v>1</v>
      </c>
      <c r="R129" s="1">
        <v>8.0</v>
      </c>
      <c r="S129" s="1" t="s">
        <v>5649</v>
      </c>
      <c r="T129" s="3"/>
      <c r="U129" s="1" t="s">
        <v>4672</v>
      </c>
      <c r="V129" s="1" t="s">
        <v>4673</v>
      </c>
      <c r="W129" s="1" t="s">
        <v>5650</v>
      </c>
      <c r="X129" s="1" t="b">
        <v>0</v>
      </c>
      <c r="Y129" s="1" t="s">
        <v>4675</v>
      </c>
      <c r="Z129" s="1" t="s">
        <v>5651</v>
      </c>
      <c r="AB129" s="3"/>
      <c r="AC129" s="3"/>
      <c r="AD129" s="3"/>
      <c r="AE129" s="3"/>
      <c r="AF129" s="3"/>
      <c r="AG129" s="3"/>
      <c r="AH129" s="3"/>
      <c r="AI129" s="1" t="b">
        <v>0</v>
      </c>
      <c r="AJ129" s="1" t="b">
        <v>0</v>
      </c>
      <c r="AK129" s="1" t="s">
        <v>5652</v>
      </c>
      <c r="AL129" s="1" t="s">
        <v>4684</v>
      </c>
      <c r="AM129" s="1" t="s">
        <v>4685</v>
      </c>
      <c r="AN129" s="1" t="s">
        <v>4686</v>
      </c>
      <c r="AO129" s="1" t="s">
        <v>5651</v>
      </c>
      <c r="AP129" s="1" t="s">
        <v>4687</v>
      </c>
      <c r="AQ129" s="1" t="s">
        <v>4688</v>
      </c>
      <c r="AR129" s="1">
        <v>8.0</v>
      </c>
      <c r="AS129" s="3"/>
      <c r="AT129" s="3"/>
      <c r="AU129" s="4" t="s">
        <v>4695</v>
      </c>
      <c r="AV129" s="1" t="s">
        <v>4690</v>
      </c>
      <c r="AW129" s="1" t="s">
        <v>4691</v>
      </c>
      <c r="AX129" s="1" t="s">
        <v>4692</v>
      </c>
      <c r="AY129" s="1" t="s">
        <v>4693</v>
      </c>
      <c r="AZ129" s="1" t="s">
        <v>4694</v>
      </c>
      <c r="BA129" s="3"/>
      <c r="BB129" s="3"/>
      <c r="BC129" s="3"/>
      <c r="BD129" s="3"/>
      <c r="BE129" s="1" t="b">
        <v>1</v>
      </c>
      <c r="BF129" s="1" t="s">
        <v>4693</v>
      </c>
      <c r="BG129" s="1" t="s">
        <v>4692</v>
      </c>
      <c r="BH129" s="1" t="s">
        <v>4690</v>
      </c>
      <c r="BI129" s="1" t="s">
        <v>4691</v>
      </c>
      <c r="BJ129" s="1" t="s">
        <v>4694</v>
      </c>
      <c r="BK129" s="4" t="s">
        <v>4695</v>
      </c>
    </row>
    <row r="130">
      <c r="A130" s="1" t="s">
        <v>1322</v>
      </c>
      <c r="B130" s="1" t="s">
        <v>1321</v>
      </c>
      <c r="C130" s="1" t="s">
        <v>1321</v>
      </c>
      <c r="D130" s="1" t="s">
        <v>5092</v>
      </c>
      <c r="E130" s="1" t="s">
        <v>5653</v>
      </c>
      <c r="F130" s="1" t="s">
        <v>5654</v>
      </c>
      <c r="G130" s="3"/>
      <c r="H130" s="3"/>
      <c r="I130" s="1" t="s">
        <v>5338</v>
      </c>
      <c r="J130" s="1" t="s">
        <v>5655</v>
      </c>
      <c r="L130" s="3"/>
      <c r="M130" s="3"/>
      <c r="N130" s="3"/>
      <c r="O130" s="3"/>
      <c r="P130" s="1">
        <v>1.1102677E8</v>
      </c>
      <c r="Q130" s="1" t="b">
        <v>1</v>
      </c>
      <c r="R130" s="1">
        <v>34.0</v>
      </c>
      <c r="S130" s="1" t="s">
        <v>4805</v>
      </c>
      <c r="T130" s="3"/>
      <c r="U130" s="1" t="s">
        <v>4672</v>
      </c>
      <c r="V130" s="1" t="s">
        <v>4673</v>
      </c>
      <c r="W130" s="1" t="s">
        <v>5656</v>
      </c>
      <c r="X130" s="1" t="b">
        <v>0</v>
      </c>
      <c r="Y130" s="1" t="s">
        <v>4675</v>
      </c>
      <c r="Z130" s="1" t="s">
        <v>5657</v>
      </c>
      <c r="AB130" s="1" t="s">
        <v>4677</v>
      </c>
      <c r="AC130" s="1" t="s">
        <v>4678</v>
      </c>
      <c r="AD130" s="1" t="s">
        <v>4679</v>
      </c>
      <c r="AE130" s="1" t="s">
        <v>5657</v>
      </c>
      <c r="AF130" s="1" t="s">
        <v>5658</v>
      </c>
      <c r="AG130" s="1" t="s">
        <v>4682</v>
      </c>
      <c r="AH130" s="1">
        <v>31.0</v>
      </c>
      <c r="AI130" s="1" t="b">
        <v>0</v>
      </c>
      <c r="AJ130" s="1" t="b">
        <v>0</v>
      </c>
      <c r="AK130" s="1" t="s">
        <v>5659</v>
      </c>
      <c r="AL130" s="1" t="s">
        <v>5306</v>
      </c>
      <c r="AM130" s="1" t="s">
        <v>5307</v>
      </c>
      <c r="AN130" s="1" t="s">
        <v>4686</v>
      </c>
      <c r="AO130" s="1" t="s">
        <v>5660</v>
      </c>
      <c r="AP130" s="1" t="s">
        <v>4687</v>
      </c>
      <c r="AQ130" s="1" t="s">
        <v>4688</v>
      </c>
      <c r="AR130" s="1">
        <v>3.0</v>
      </c>
      <c r="AS130" s="3"/>
      <c r="AT130" s="3"/>
      <c r="AU130" s="4" t="s">
        <v>4780</v>
      </c>
      <c r="AV130" s="1" t="s">
        <v>4788</v>
      </c>
      <c r="AW130" s="1" t="s">
        <v>4789</v>
      </c>
      <c r="AX130" s="1" t="s">
        <v>4692</v>
      </c>
      <c r="AY130" s="1" t="s">
        <v>4790</v>
      </c>
      <c r="AZ130" s="1" t="s">
        <v>4791</v>
      </c>
      <c r="BA130" s="3"/>
      <c r="BB130" s="3"/>
      <c r="BC130" s="3"/>
      <c r="BD130" s="3"/>
      <c r="BE130" s="1" t="b">
        <v>1</v>
      </c>
      <c r="BF130" s="1" t="s">
        <v>4790</v>
      </c>
      <c r="BG130" s="1" t="s">
        <v>4692</v>
      </c>
      <c r="BH130" s="1" t="s">
        <v>4788</v>
      </c>
      <c r="BI130" s="1" t="s">
        <v>4789</v>
      </c>
      <c r="BJ130" s="1" t="s">
        <v>4791</v>
      </c>
      <c r="BK130" s="4" t="s">
        <v>4780</v>
      </c>
    </row>
    <row r="131">
      <c r="A131" s="1" t="s">
        <v>1307</v>
      </c>
      <c r="B131" s="1" t="s">
        <v>1306</v>
      </c>
      <c r="C131" s="1" t="s">
        <v>1306</v>
      </c>
      <c r="D131" s="1" t="s">
        <v>4696</v>
      </c>
      <c r="E131" s="1" t="s">
        <v>5661</v>
      </c>
      <c r="F131" s="1" t="s">
        <v>5662</v>
      </c>
      <c r="G131" s="3"/>
      <c r="H131" s="3"/>
      <c r="I131" s="1" t="s">
        <v>4742</v>
      </c>
      <c r="J131" s="1" t="s">
        <v>5663</v>
      </c>
      <c r="K131" s="3">
        <f>+821054151092</f>
        <v>821054151092</v>
      </c>
      <c r="L131" s="3"/>
      <c r="M131" s="3"/>
      <c r="N131" s="3"/>
      <c r="O131" s="3"/>
      <c r="P131" s="1">
        <v>1.10992913E8</v>
      </c>
      <c r="Q131" s="1" t="b">
        <v>1</v>
      </c>
      <c r="R131" s="1">
        <v>657.0</v>
      </c>
      <c r="S131" s="1" t="s">
        <v>5664</v>
      </c>
      <c r="T131" s="3"/>
      <c r="U131" s="1" t="s">
        <v>4672</v>
      </c>
      <c r="V131" s="1" t="s">
        <v>4673</v>
      </c>
      <c r="W131" s="1" t="s">
        <v>5665</v>
      </c>
      <c r="X131" s="1" t="b">
        <v>0</v>
      </c>
      <c r="Y131" s="1" t="s">
        <v>4675</v>
      </c>
      <c r="Z131" s="1" t="s">
        <v>5666</v>
      </c>
      <c r="AB131" s="1" t="s">
        <v>4677</v>
      </c>
      <c r="AC131" s="1" t="s">
        <v>4896</v>
      </c>
      <c r="AD131" s="1" t="s">
        <v>4679</v>
      </c>
      <c r="AE131" s="1" t="s">
        <v>5667</v>
      </c>
      <c r="AF131" s="1" t="s">
        <v>4705</v>
      </c>
      <c r="AG131" s="1" t="s">
        <v>4682</v>
      </c>
      <c r="AH131" s="1">
        <v>38.0</v>
      </c>
      <c r="AI131" s="1" t="b">
        <v>0</v>
      </c>
      <c r="AJ131" s="1" t="b">
        <v>0</v>
      </c>
      <c r="AK131" s="1" t="s">
        <v>5668</v>
      </c>
      <c r="AL131" s="1" t="s">
        <v>4719</v>
      </c>
      <c r="AM131" s="1" t="s">
        <v>4685</v>
      </c>
      <c r="AN131" s="1" t="s">
        <v>4686</v>
      </c>
      <c r="AO131" s="1" t="s">
        <v>5666</v>
      </c>
      <c r="AP131" s="1" t="s">
        <v>4687</v>
      </c>
      <c r="AQ131" s="1" t="s">
        <v>4688</v>
      </c>
      <c r="AR131" s="1">
        <v>619.0</v>
      </c>
      <c r="AS131" s="3"/>
      <c r="AT131" s="3"/>
      <c r="AU131" s="4" t="s">
        <v>4856</v>
      </c>
      <c r="BB131" s="3"/>
      <c r="BC131" s="3"/>
      <c r="BD131" s="3"/>
      <c r="BE131" s="1" t="b">
        <v>1</v>
      </c>
      <c r="BF131" s="3"/>
      <c r="BG131" s="3"/>
      <c r="BH131" s="3"/>
      <c r="BI131" s="3"/>
      <c r="BJ131" s="3"/>
      <c r="BK131" s="4" t="s">
        <v>4695</v>
      </c>
    </row>
    <row r="132">
      <c r="A132" s="1" t="s">
        <v>508</v>
      </c>
      <c r="B132" s="1" t="s">
        <v>507</v>
      </c>
      <c r="C132" s="1" t="s">
        <v>507</v>
      </c>
      <c r="D132" s="1" t="s">
        <v>5669</v>
      </c>
      <c r="E132" s="1" t="s">
        <v>5623</v>
      </c>
      <c r="F132" s="1" t="s">
        <v>5624</v>
      </c>
      <c r="G132" s="3"/>
      <c r="H132" s="3"/>
      <c r="I132" s="3"/>
      <c r="J132" s="1" t="s">
        <v>5670</v>
      </c>
      <c r="K132" s="3">
        <f>+821049419871</f>
        <v>821049419871</v>
      </c>
      <c r="L132" s="3"/>
      <c r="M132" s="3"/>
      <c r="N132" s="3"/>
      <c r="O132" s="3"/>
      <c r="P132" s="1">
        <v>1.12353335E8</v>
      </c>
      <c r="Q132" s="1" t="b">
        <v>1</v>
      </c>
      <c r="R132" s="1">
        <v>75.0</v>
      </c>
      <c r="S132" s="1" t="s">
        <v>4752</v>
      </c>
      <c r="T132" s="3"/>
      <c r="U132" s="1" t="s">
        <v>4672</v>
      </c>
      <c r="V132" s="1" t="s">
        <v>4673</v>
      </c>
      <c r="W132" s="1" t="s">
        <v>5671</v>
      </c>
      <c r="X132" s="1" t="b">
        <v>0</v>
      </c>
      <c r="Y132" s="1" t="s">
        <v>4675</v>
      </c>
      <c r="Z132" s="1" t="s">
        <v>5672</v>
      </c>
      <c r="AB132" s="1" t="s">
        <v>4677</v>
      </c>
      <c r="AC132" s="1" t="s">
        <v>4678</v>
      </c>
      <c r="AD132" s="1" t="s">
        <v>4679</v>
      </c>
      <c r="AE132" s="1" t="s">
        <v>5673</v>
      </c>
      <c r="AF132" s="1" t="s">
        <v>4681</v>
      </c>
      <c r="AG132" s="1" t="s">
        <v>4682</v>
      </c>
      <c r="AH132" s="1">
        <v>6.0</v>
      </c>
      <c r="AI132" s="1" t="b">
        <v>0</v>
      </c>
      <c r="AJ132" s="1" t="b">
        <v>0</v>
      </c>
      <c r="AK132" s="1" t="s">
        <v>5674</v>
      </c>
      <c r="AL132" s="1" t="s">
        <v>4719</v>
      </c>
      <c r="AM132" s="1" t="s">
        <v>4685</v>
      </c>
      <c r="AN132" s="1" t="s">
        <v>4686</v>
      </c>
      <c r="AO132" s="1" t="s">
        <v>5672</v>
      </c>
      <c r="AP132" s="1" t="s">
        <v>4687</v>
      </c>
      <c r="AQ132" s="1" t="s">
        <v>4688</v>
      </c>
      <c r="AR132" s="1">
        <v>69.0</v>
      </c>
      <c r="AS132" s="3"/>
      <c r="AT132" s="3"/>
      <c r="AU132" s="4" t="s">
        <v>4695</v>
      </c>
      <c r="AW132" s="3"/>
      <c r="AX132" s="3"/>
      <c r="AY132" s="3"/>
      <c r="AZ132" s="3"/>
      <c r="BA132" s="3"/>
      <c r="BB132" s="3"/>
      <c r="BC132" s="3"/>
      <c r="BD132" s="3"/>
      <c r="BE132" s="1" t="b">
        <v>1</v>
      </c>
      <c r="BF132" s="3"/>
      <c r="BG132" s="3"/>
      <c r="BH132" s="3"/>
      <c r="BI132" s="3"/>
      <c r="BJ132" s="3"/>
      <c r="BK132" s="4" t="s">
        <v>4695</v>
      </c>
    </row>
    <row r="133">
      <c r="A133" s="1" t="s">
        <v>872</v>
      </c>
      <c r="B133" s="1" t="s">
        <v>869</v>
      </c>
      <c r="C133" s="1" t="s">
        <v>869</v>
      </c>
      <c r="D133" s="1" t="s">
        <v>4696</v>
      </c>
      <c r="E133" s="1" t="s">
        <v>5675</v>
      </c>
      <c r="F133" s="1" t="s">
        <v>5676</v>
      </c>
      <c r="G133" s="3"/>
      <c r="H133" s="1" t="s">
        <v>4861</v>
      </c>
      <c r="I133" s="1" t="s">
        <v>4742</v>
      </c>
      <c r="J133" s="1" t="s">
        <v>3975</v>
      </c>
      <c r="K133" s="3">
        <f>+821040196949</f>
        <v>821040196949</v>
      </c>
      <c r="L133" s="3"/>
      <c r="M133" s="3"/>
      <c r="N133" s="3"/>
      <c r="O133" s="3"/>
      <c r="P133" s="1">
        <v>2.085773101E9</v>
      </c>
      <c r="Q133" s="1" t="b">
        <v>1</v>
      </c>
      <c r="R133" s="1">
        <v>1069.0</v>
      </c>
      <c r="S133" s="1" t="s">
        <v>5677</v>
      </c>
      <c r="T133" s="1" t="s">
        <v>5678</v>
      </c>
      <c r="U133" s="1" t="s">
        <v>5251</v>
      </c>
      <c r="V133" s="1" t="s">
        <v>5679</v>
      </c>
      <c r="W133" s="1" t="s">
        <v>5680</v>
      </c>
      <c r="X133" s="1" t="b">
        <v>0</v>
      </c>
      <c r="Y133" s="1" t="s">
        <v>4675</v>
      </c>
      <c r="Z133" s="1" t="s">
        <v>5681</v>
      </c>
      <c r="AB133" s="3"/>
      <c r="AC133" s="3"/>
      <c r="AD133" s="3"/>
      <c r="AE133" s="3"/>
      <c r="AF133" s="3"/>
      <c r="AG133" s="3"/>
      <c r="AH133" s="3"/>
      <c r="AI133" s="1" t="b">
        <v>1</v>
      </c>
      <c r="AJ133" s="1" t="b">
        <v>0</v>
      </c>
      <c r="AK133" s="1" t="s">
        <v>5682</v>
      </c>
      <c r="AL133" s="1" t="s">
        <v>4719</v>
      </c>
      <c r="AM133" s="1" t="s">
        <v>4685</v>
      </c>
      <c r="AN133" s="1" t="s">
        <v>4686</v>
      </c>
      <c r="AO133" s="1" t="s">
        <v>5681</v>
      </c>
      <c r="AP133" s="1" t="s">
        <v>4687</v>
      </c>
      <c r="AQ133" s="1" t="s">
        <v>4688</v>
      </c>
      <c r="AR133" s="1">
        <v>1069.0</v>
      </c>
      <c r="AS133" s="3"/>
      <c r="AT133" s="3"/>
      <c r="AU133" s="4" t="s">
        <v>5683</v>
      </c>
      <c r="AW133" s="3"/>
      <c r="AX133" s="3"/>
      <c r="AY133" s="3"/>
      <c r="AZ133" s="3"/>
      <c r="BA133" s="3"/>
      <c r="BB133" s="3"/>
      <c r="BC133" s="3"/>
      <c r="BD133" s="3"/>
      <c r="BE133" s="1" t="b">
        <v>1</v>
      </c>
      <c r="BF133" s="3"/>
      <c r="BG133" s="3"/>
      <c r="BH133" s="3"/>
      <c r="BI133" s="3"/>
      <c r="BJ133" s="3"/>
      <c r="BK133" s="4" t="s">
        <v>4710</v>
      </c>
    </row>
    <row r="134">
      <c r="A134" s="1" t="s">
        <v>1021</v>
      </c>
      <c r="B134" s="1" t="s">
        <v>1020</v>
      </c>
      <c r="C134" s="1" t="s">
        <v>1020</v>
      </c>
      <c r="D134" s="1" t="s">
        <v>5684</v>
      </c>
      <c r="E134" s="1" t="s">
        <v>5685</v>
      </c>
      <c r="F134" s="1" t="s">
        <v>5686</v>
      </c>
      <c r="G134" s="3"/>
      <c r="H134" s="3"/>
      <c r="I134" s="1" t="s">
        <v>5095</v>
      </c>
      <c r="J134" s="1" t="s">
        <v>5687</v>
      </c>
      <c r="K134" s="3"/>
      <c r="L134" s="3"/>
      <c r="M134" s="3"/>
      <c r="N134" s="3"/>
      <c r="O134" s="3"/>
      <c r="P134" s="1">
        <v>1.12114938E8</v>
      </c>
      <c r="Q134" s="1" t="b">
        <v>1</v>
      </c>
      <c r="R134" s="1">
        <v>159.0</v>
      </c>
      <c r="S134" s="1" t="s">
        <v>4885</v>
      </c>
      <c r="T134" s="3"/>
      <c r="U134" s="1" t="s">
        <v>4672</v>
      </c>
      <c r="V134" s="1" t="s">
        <v>4673</v>
      </c>
      <c r="W134" s="1" t="s">
        <v>5688</v>
      </c>
      <c r="X134" s="1" t="b">
        <v>0</v>
      </c>
      <c r="Y134" s="1" t="s">
        <v>5087</v>
      </c>
      <c r="Z134" s="1" t="s">
        <v>5689</v>
      </c>
      <c r="AB134" s="1" t="s">
        <v>4677</v>
      </c>
      <c r="AC134" s="1" t="s">
        <v>5690</v>
      </c>
      <c r="AD134" s="1" t="s">
        <v>4679</v>
      </c>
      <c r="AE134" s="1" t="s">
        <v>5691</v>
      </c>
      <c r="AF134" s="1" t="s">
        <v>4840</v>
      </c>
      <c r="AG134" s="1" t="s">
        <v>4682</v>
      </c>
      <c r="AH134" s="1">
        <v>25.0</v>
      </c>
      <c r="AI134" s="1" t="b">
        <v>0</v>
      </c>
      <c r="AJ134" s="1" t="b">
        <v>0</v>
      </c>
      <c r="AK134" s="1" t="s">
        <v>5689</v>
      </c>
      <c r="AL134" s="1" t="s">
        <v>5486</v>
      </c>
      <c r="AM134" s="1" t="s">
        <v>4685</v>
      </c>
      <c r="AN134" s="1" t="s">
        <v>4720</v>
      </c>
      <c r="AO134" s="1" t="s">
        <v>5689</v>
      </c>
      <c r="AP134" s="1" t="s">
        <v>4721</v>
      </c>
      <c r="AQ134" s="1" t="s">
        <v>4722</v>
      </c>
      <c r="AR134" s="1">
        <v>134.0</v>
      </c>
      <c r="AS134" s="3"/>
      <c r="AT134" s="3"/>
      <c r="AU134" s="4" t="s">
        <v>4695</v>
      </c>
      <c r="AW134" s="3"/>
      <c r="AX134" s="3"/>
      <c r="AY134" s="3"/>
      <c r="AZ134" s="3"/>
      <c r="BA134" s="3"/>
      <c r="BB134" s="3"/>
      <c r="BC134" s="3"/>
      <c r="BD134" s="3"/>
      <c r="BE134" s="1" t="b">
        <v>1</v>
      </c>
      <c r="BF134" s="3"/>
      <c r="BG134" s="3"/>
      <c r="BH134" s="3"/>
      <c r="BI134" s="3"/>
      <c r="BJ134" s="3"/>
      <c r="BK134" s="4" t="s">
        <v>4695</v>
      </c>
    </row>
    <row r="135">
      <c r="A135" s="1" t="s">
        <v>1519</v>
      </c>
      <c r="B135" s="1" t="s">
        <v>1518</v>
      </c>
      <c r="C135" s="1" t="s">
        <v>1518</v>
      </c>
      <c r="D135" s="1" t="s">
        <v>5000</v>
      </c>
      <c r="E135" s="1" t="s">
        <v>5692</v>
      </c>
      <c r="F135" s="1" t="s">
        <v>5693</v>
      </c>
      <c r="G135" s="3"/>
      <c r="H135" s="3"/>
      <c r="I135" s="1" t="s">
        <v>4742</v>
      </c>
      <c r="J135" s="1" t="s">
        <v>5694</v>
      </c>
      <c r="K135" s="3">
        <f>+821028830367</f>
        <v>821028830367</v>
      </c>
      <c r="L135" s="3"/>
      <c r="M135" s="3"/>
      <c r="N135" s="3"/>
      <c r="O135" s="3"/>
      <c r="P135" s="1">
        <v>1.10132796E8</v>
      </c>
      <c r="Q135" s="1" t="b">
        <v>1</v>
      </c>
      <c r="R135" s="1">
        <v>89.0</v>
      </c>
      <c r="S135" s="1" t="s">
        <v>4752</v>
      </c>
      <c r="T135" s="3"/>
      <c r="U135" s="1" t="s">
        <v>4672</v>
      </c>
      <c r="V135" s="1" t="s">
        <v>4673</v>
      </c>
      <c r="W135" s="1" t="s">
        <v>5695</v>
      </c>
      <c r="X135" s="1" t="b">
        <v>0</v>
      </c>
      <c r="Y135" s="1" t="s">
        <v>4675</v>
      </c>
      <c r="Z135" s="1" t="s">
        <v>5696</v>
      </c>
      <c r="AB135" s="3"/>
      <c r="AC135" s="3"/>
      <c r="AD135" s="3"/>
      <c r="AE135" s="3"/>
      <c r="AF135" s="3"/>
      <c r="AG135" s="3"/>
      <c r="AH135" s="3"/>
      <c r="AI135" s="1" t="b">
        <v>0</v>
      </c>
      <c r="AJ135" s="1" t="b">
        <v>0</v>
      </c>
      <c r="AK135" s="1" t="s">
        <v>5697</v>
      </c>
      <c r="AL135" s="1" t="s">
        <v>4719</v>
      </c>
      <c r="AM135" s="1" t="s">
        <v>4685</v>
      </c>
      <c r="AN135" s="1" t="s">
        <v>4686</v>
      </c>
      <c r="AO135" s="1" t="s">
        <v>5698</v>
      </c>
      <c r="AP135" s="1" t="s">
        <v>4687</v>
      </c>
      <c r="AQ135" s="1" t="s">
        <v>4688</v>
      </c>
      <c r="AR135" s="1">
        <v>89.0</v>
      </c>
      <c r="AS135" s="3"/>
      <c r="AT135" s="3"/>
      <c r="AU135" s="4" t="s">
        <v>5699</v>
      </c>
      <c r="AW135" s="3"/>
      <c r="AX135" s="3"/>
      <c r="AY135" s="3"/>
      <c r="AZ135" s="3"/>
      <c r="BA135" s="3"/>
      <c r="BB135" s="3"/>
      <c r="BC135" s="3"/>
      <c r="BD135" s="3"/>
      <c r="BE135" s="1" t="b">
        <v>1</v>
      </c>
      <c r="BF135" s="3"/>
      <c r="BG135" s="3"/>
      <c r="BH135" s="3"/>
      <c r="BI135" s="3"/>
      <c r="BJ135" s="3"/>
      <c r="BK135" s="4" t="s">
        <v>5699</v>
      </c>
      <c r="BL135" s="1" t="s">
        <v>4723</v>
      </c>
    </row>
    <row r="136">
      <c r="A136" s="1" t="s">
        <v>1229</v>
      </c>
      <c r="B136" s="1" t="s">
        <v>1228</v>
      </c>
      <c r="C136" s="3"/>
      <c r="D136" s="3"/>
      <c r="E136" s="3"/>
      <c r="F136" s="3"/>
      <c r="G136" s="3"/>
      <c r="H136" s="3"/>
      <c r="I136" s="3"/>
      <c r="J136" s="3"/>
      <c r="K136" s="3"/>
      <c r="L136" s="3"/>
      <c r="M136" s="3"/>
      <c r="N136" s="3"/>
      <c r="O136" s="3"/>
      <c r="P136" s="1" t="s">
        <v>5700</v>
      </c>
      <c r="Q136" s="1" t="b">
        <v>0</v>
      </c>
      <c r="R136" s="1">
        <v>1.0</v>
      </c>
      <c r="S136" s="1" t="s">
        <v>4752</v>
      </c>
      <c r="T136" s="3"/>
      <c r="U136" s="1" t="s">
        <v>4672</v>
      </c>
      <c r="V136" s="1" t="s">
        <v>4673</v>
      </c>
      <c r="W136" s="1" t="s">
        <v>5701</v>
      </c>
      <c r="X136" s="1" t="b">
        <v>0</v>
      </c>
      <c r="Y136" s="1" t="s">
        <v>4675</v>
      </c>
      <c r="Z136" s="1" t="s">
        <v>5702</v>
      </c>
      <c r="AB136" s="3"/>
      <c r="AC136" s="3"/>
      <c r="AD136" s="3"/>
      <c r="AE136" s="3"/>
      <c r="AF136" s="3"/>
      <c r="AG136" s="3"/>
      <c r="AH136" s="3"/>
      <c r="AI136" s="1" t="b">
        <v>0</v>
      </c>
      <c r="AJ136" s="1" t="b">
        <v>0</v>
      </c>
      <c r="AK136" s="1" t="s">
        <v>5701</v>
      </c>
      <c r="AL136" s="1" t="s">
        <v>4707</v>
      </c>
      <c r="AM136" s="1" t="s">
        <v>4708</v>
      </c>
      <c r="AN136" s="1" t="s">
        <v>4686</v>
      </c>
      <c r="AO136" s="1" t="s">
        <v>5702</v>
      </c>
      <c r="AP136" s="1" t="s">
        <v>4709</v>
      </c>
      <c r="AQ136" s="1" t="s">
        <v>4688</v>
      </c>
      <c r="AR136" s="1">
        <v>1.0</v>
      </c>
      <c r="AS136" s="3"/>
      <c r="AT136" s="3"/>
      <c r="AU136" s="3"/>
      <c r="AV136" s="3"/>
      <c r="AW136" s="3"/>
      <c r="AX136" s="3"/>
      <c r="AY136" s="3"/>
      <c r="AZ136" s="3"/>
      <c r="BA136" s="3"/>
      <c r="BB136" s="3"/>
      <c r="BC136" s="3"/>
      <c r="BD136" s="3"/>
      <c r="BE136" s="1" t="b">
        <v>1</v>
      </c>
      <c r="BF136" s="3"/>
      <c r="BG136" s="3"/>
      <c r="BH136" s="3"/>
      <c r="BI136" s="3"/>
      <c r="BJ136" s="3"/>
      <c r="BK136" s="3"/>
      <c r="BL136" s="3"/>
    </row>
    <row r="137">
      <c r="A137" s="1" t="s">
        <v>1500</v>
      </c>
      <c r="B137" s="1" t="s">
        <v>1499</v>
      </c>
      <c r="C137" s="1" t="s">
        <v>1499</v>
      </c>
      <c r="D137" s="1" t="s">
        <v>4711</v>
      </c>
      <c r="E137" s="1" t="s">
        <v>5703</v>
      </c>
      <c r="F137" s="1" t="s">
        <v>5704</v>
      </c>
      <c r="G137" s="3"/>
      <c r="H137" s="3"/>
      <c r="I137" s="1" t="s">
        <v>5705</v>
      </c>
      <c r="J137" s="1" t="s">
        <v>5706</v>
      </c>
      <c r="K137" s="3">
        <f>+821076590824</f>
        <v>821076590824</v>
      </c>
      <c r="L137" s="3"/>
      <c r="M137" s="3"/>
      <c r="N137" s="3"/>
      <c r="O137" s="3"/>
      <c r="P137" s="1">
        <v>1.10993204E8</v>
      </c>
      <c r="Q137" s="1" t="b">
        <v>1</v>
      </c>
      <c r="R137" s="1">
        <v>237.0</v>
      </c>
      <c r="S137" s="1" t="s">
        <v>4752</v>
      </c>
      <c r="T137" s="3"/>
      <c r="U137" s="1" t="s">
        <v>4672</v>
      </c>
      <c r="V137" s="1" t="s">
        <v>4673</v>
      </c>
      <c r="W137" s="1" t="s">
        <v>5707</v>
      </c>
      <c r="X137" s="1" t="b">
        <v>0</v>
      </c>
      <c r="Y137" s="1" t="s">
        <v>4675</v>
      </c>
      <c r="Z137" s="1" t="s">
        <v>5708</v>
      </c>
      <c r="AB137" s="1" t="s">
        <v>4677</v>
      </c>
      <c r="AC137" s="1" t="s">
        <v>4896</v>
      </c>
      <c r="AD137" s="1" t="s">
        <v>4679</v>
      </c>
      <c r="AE137" s="1" t="s">
        <v>5709</v>
      </c>
      <c r="AF137" s="1" t="s">
        <v>5054</v>
      </c>
      <c r="AG137" s="1" t="s">
        <v>4682</v>
      </c>
      <c r="AH137" s="1">
        <v>2.0</v>
      </c>
      <c r="AI137" s="1" t="b">
        <v>0</v>
      </c>
      <c r="AJ137" s="1" t="b">
        <v>0</v>
      </c>
      <c r="AK137" s="1" t="s">
        <v>5708</v>
      </c>
      <c r="AL137" s="1" t="s">
        <v>4684</v>
      </c>
      <c r="AM137" s="1" t="s">
        <v>4685</v>
      </c>
      <c r="AN137" s="1" t="s">
        <v>4686</v>
      </c>
      <c r="AO137" s="1" t="s">
        <v>5708</v>
      </c>
      <c r="AP137" s="1" t="s">
        <v>4687</v>
      </c>
      <c r="AQ137" s="1" t="s">
        <v>4688</v>
      </c>
      <c r="AR137" s="1">
        <v>235.0</v>
      </c>
      <c r="AS137" s="3"/>
      <c r="AT137" s="3"/>
      <c r="AU137" s="4" t="s">
        <v>4856</v>
      </c>
      <c r="AY137" s="1" t="s">
        <v>4761</v>
      </c>
      <c r="AZ137" s="3"/>
      <c r="BA137" s="3"/>
      <c r="BB137" s="3"/>
      <c r="BC137" s="3"/>
      <c r="BD137" s="3"/>
      <c r="BE137" s="1" t="b">
        <v>1</v>
      </c>
      <c r="BF137" s="1" t="s">
        <v>4761</v>
      </c>
      <c r="BG137" s="3"/>
      <c r="BH137" s="3"/>
      <c r="BI137" s="3"/>
      <c r="BJ137" s="3"/>
      <c r="BK137" s="4" t="s">
        <v>4856</v>
      </c>
    </row>
    <row r="138">
      <c r="A138" s="1" t="s">
        <v>1062</v>
      </c>
      <c r="B138" s="1" t="s">
        <v>1061</v>
      </c>
      <c r="C138" s="1" t="s">
        <v>1061</v>
      </c>
      <c r="D138" s="1" t="s">
        <v>4772</v>
      </c>
      <c r="E138" s="1" t="s">
        <v>5710</v>
      </c>
      <c r="F138" s="1" t="s">
        <v>5711</v>
      </c>
      <c r="G138" s="3"/>
      <c r="H138" s="1" t="s">
        <v>3850</v>
      </c>
      <c r="I138" s="1" t="s">
        <v>4742</v>
      </c>
      <c r="J138" s="1" t="s">
        <v>5712</v>
      </c>
      <c r="K138" s="3">
        <f>+821071620348</f>
        <v>821071620348</v>
      </c>
      <c r="L138" s="3"/>
      <c r="M138" s="3"/>
      <c r="N138" s="3"/>
      <c r="O138" s="3"/>
      <c r="P138" s="1">
        <v>1.1020005E8</v>
      </c>
      <c r="Q138" s="1" t="b">
        <v>1</v>
      </c>
      <c r="R138" s="1">
        <v>327.0</v>
      </c>
      <c r="S138" s="1" t="s">
        <v>5631</v>
      </c>
      <c r="T138" s="3"/>
      <c r="U138" s="1" t="s">
        <v>4672</v>
      </c>
      <c r="V138" s="1" t="s">
        <v>4673</v>
      </c>
      <c r="W138" s="1" t="s">
        <v>5713</v>
      </c>
      <c r="X138" s="1" t="b">
        <v>0</v>
      </c>
      <c r="Y138" s="1" t="s">
        <v>4675</v>
      </c>
      <c r="Z138" s="1" t="s">
        <v>5714</v>
      </c>
      <c r="AB138" s="1" t="s">
        <v>4677</v>
      </c>
      <c r="AC138" s="1" t="s">
        <v>4678</v>
      </c>
      <c r="AD138" s="1" t="s">
        <v>4679</v>
      </c>
      <c r="AE138" s="1" t="s">
        <v>5715</v>
      </c>
      <c r="AF138" s="1" t="s">
        <v>4854</v>
      </c>
      <c r="AG138" s="1" t="s">
        <v>4682</v>
      </c>
      <c r="AH138" s="1">
        <v>31.0</v>
      </c>
      <c r="AI138" s="1" t="b">
        <v>0</v>
      </c>
      <c r="AJ138" s="1" t="b">
        <v>0</v>
      </c>
      <c r="AK138" s="1" t="s">
        <v>5716</v>
      </c>
      <c r="AL138" s="1" t="s">
        <v>4684</v>
      </c>
      <c r="AM138" s="1" t="s">
        <v>4685</v>
      </c>
      <c r="AN138" s="1" t="s">
        <v>4686</v>
      </c>
      <c r="AO138" s="1" t="s">
        <v>5714</v>
      </c>
      <c r="AP138" s="1" t="s">
        <v>4687</v>
      </c>
      <c r="AQ138" s="1" t="s">
        <v>4688</v>
      </c>
      <c r="AR138" s="1">
        <v>296.0</v>
      </c>
      <c r="AS138" s="3"/>
      <c r="AT138" s="3"/>
      <c r="AU138" s="4" t="s">
        <v>5387</v>
      </c>
      <c r="AW138" s="3"/>
      <c r="AX138" s="3"/>
      <c r="AY138" s="3"/>
      <c r="AZ138" s="3"/>
      <c r="BA138" s="3"/>
      <c r="BB138" s="3"/>
      <c r="BC138" s="3"/>
      <c r="BD138" s="3"/>
      <c r="BE138" s="1" t="b">
        <v>1</v>
      </c>
      <c r="BF138" s="3"/>
      <c r="BG138" s="3"/>
      <c r="BH138" s="3"/>
      <c r="BI138" s="3"/>
      <c r="BJ138" s="3"/>
      <c r="BK138" s="4" t="s">
        <v>4695</v>
      </c>
    </row>
    <row r="139">
      <c r="A139" s="1" t="s">
        <v>590</v>
      </c>
      <c r="B139" s="1" t="s">
        <v>588</v>
      </c>
      <c r="C139" s="1" t="s">
        <v>588</v>
      </c>
      <c r="D139" s="1" t="s">
        <v>4913</v>
      </c>
      <c r="E139" s="1" t="s">
        <v>5239</v>
      </c>
      <c r="F139" s="1" t="s">
        <v>5240</v>
      </c>
      <c r="G139" s="3"/>
      <c r="H139" s="3"/>
      <c r="I139" s="3"/>
      <c r="J139" s="1" t="s">
        <v>5717</v>
      </c>
      <c r="L139" s="3"/>
      <c r="M139" s="3"/>
      <c r="N139" s="3"/>
      <c r="O139" s="3"/>
      <c r="P139" s="1">
        <v>1.22957943E8</v>
      </c>
      <c r="Q139" s="1" t="b">
        <v>1</v>
      </c>
      <c r="R139" s="1">
        <v>12.0</v>
      </c>
      <c r="S139" s="1" t="s">
        <v>4765</v>
      </c>
      <c r="T139" s="3"/>
      <c r="U139" s="1" t="s">
        <v>4672</v>
      </c>
      <c r="V139" s="1" t="s">
        <v>4673</v>
      </c>
      <c r="W139" s="1" t="s">
        <v>5718</v>
      </c>
      <c r="X139" s="1" t="b">
        <v>0</v>
      </c>
      <c r="Y139" s="1" t="s">
        <v>4675</v>
      </c>
      <c r="Z139" s="1" t="s">
        <v>5719</v>
      </c>
      <c r="AB139" s="3"/>
      <c r="AC139" s="3"/>
      <c r="AD139" s="3"/>
      <c r="AE139" s="3"/>
      <c r="AF139" s="3"/>
      <c r="AG139" s="3"/>
      <c r="AH139" s="3"/>
      <c r="AI139" s="1" t="b">
        <v>0</v>
      </c>
      <c r="AJ139" s="1" t="b">
        <v>0</v>
      </c>
      <c r="AK139" s="1" t="s">
        <v>5720</v>
      </c>
      <c r="AL139" s="1" t="s">
        <v>5570</v>
      </c>
      <c r="AM139" s="1" t="s">
        <v>4685</v>
      </c>
      <c r="AN139" s="1" t="s">
        <v>4679</v>
      </c>
      <c r="AO139" s="1" t="s">
        <v>5719</v>
      </c>
      <c r="AP139" s="1" t="s">
        <v>4681</v>
      </c>
      <c r="AQ139" s="1" t="s">
        <v>4682</v>
      </c>
      <c r="AR139" s="1">
        <v>12.0</v>
      </c>
      <c r="AS139" s="3"/>
      <c r="AT139" s="3"/>
      <c r="AU139" s="4" t="s">
        <v>4695</v>
      </c>
      <c r="AW139" s="3"/>
      <c r="AX139" s="3"/>
      <c r="AY139" s="3"/>
      <c r="AZ139" s="3"/>
      <c r="BA139" s="3"/>
      <c r="BB139" s="3"/>
      <c r="BC139" s="3"/>
      <c r="BD139" s="3"/>
      <c r="BE139" s="1" t="b">
        <v>1</v>
      </c>
      <c r="BF139" s="3"/>
      <c r="BG139" s="3"/>
      <c r="BH139" s="3"/>
      <c r="BI139" s="3"/>
      <c r="BJ139" s="3"/>
      <c r="BK139" s="4" t="s">
        <v>4695</v>
      </c>
    </row>
    <row r="140">
      <c r="A140" s="1" t="s">
        <v>103</v>
      </c>
      <c r="B140" s="1" t="s">
        <v>99</v>
      </c>
      <c r="C140" s="1" t="s">
        <v>99</v>
      </c>
      <c r="D140" s="1" t="s">
        <v>4724</v>
      </c>
      <c r="E140" s="1" t="s">
        <v>5721</v>
      </c>
      <c r="F140" s="1" t="s">
        <v>5722</v>
      </c>
      <c r="G140" s="3"/>
      <c r="H140" s="3"/>
      <c r="I140" s="3"/>
      <c r="J140" s="1" t="s">
        <v>5723</v>
      </c>
      <c r="K140" s="3">
        <f>+821045633202</f>
        <v>821045633202</v>
      </c>
      <c r="L140" s="3"/>
      <c r="M140" s="3"/>
      <c r="N140" s="3"/>
      <c r="O140" s="3"/>
      <c r="P140" s="1">
        <v>1.22991612E8</v>
      </c>
      <c r="Q140" s="1" t="b">
        <v>1</v>
      </c>
      <c r="R140" s="1">
        <v>2.0</v>
      </c>
      <c r="S140" s="1" t="s">
        <v>4885</v>
      </c>
      <c r="T140" s="3"/>
      <c r="U140" s="1" t="s">
        <v>4672</v>
      </c>
      <c r="V140" s="1" t="s">
        <v>4673</v>
      </c>
      <c r="W140" s="1" t="s">
        <v>5724</v>
      </c>
      <c r="X140" s="1" t="b">
        <v>0</v>
      </c>
      <c r="Y140" s="1" t="s">
        <v>4675</v>
      </c>
      <c r="Z140" s="1" t="s">
        <v>5725</v>
      </c>
      <c r="AB140" s="3"/>
      <c r="AC140" s="3"/>
      <c r="AD140" s="3"/>
      <c r="AE140" s="3"/>
      <c r="AF140" s="3"/>
      <c r="AG140" s="3"/>
      <c r="AH140" s="3"/>
      <c r="AI140" s="1" t="b">
        <v>0</v>
      </c>
      <c r="AJ140" s="1" t="b">
        <v>0</v>
      </c>
      <c r="AK140" s="1" t="s">
        <v>5726</v>
      </c>
      <c r="AL140" s="1" t="s">
        <v>4769</v>
      </c>
      <c r="AM140" s="1" t="s">
        <v>4708</v>
      </c>
      <c r="AN140" s="1" t="s">
        <v>4686</v>
      </c>
      <c r="AO140" s="1" t="s">
        <v>5725</v>
      </c>
      <c r="AP140" s="1" t="s">
        <v>4709</v>
      </c>
      <c r="AQ140" s="1" t="s">
        <v>4688</v>
      </c>
      <c r="AR140" s="1">
        <v>2.0</v>
      </c>
      <c r="AS140" s="3"/>
      <c r="AT140" s="3"/>
      <c r="AU140" s="4" t="s">
        <v>4881</v>
      </c>
      <c r="AW140" s="3"/>
      <c r="AX140" s="3"/>
      <c r="AY140" s="3"/>
      <c r="AZ140" s="3"/>
      <c r="BA140" s="3"/>
      <c r="BB140" s="3"/>
      <c r="BC140" s="3"/>
      <c r="BD140" s="3"/>
      <c r="BE140" s="1" t="b">
        <v>1</v>
      </c>
      <c r="BF140" s="3"/>
      <c r="BG140" s="3"/>
      <c r="BH140" s="3"/>
      <c r="BI140" s="3"/>
      <c r="BJ140" s="3"/>
      <c r="BK140" s="4" t="s">
        <v>4881</v>
      </c>
    </row>
    <row r="141">
      <c r="A141" s="1" t="s">
        <v>1030</v>
      </c>
      <c r="B141" s="1" t="s">
        <v>1029</v>
      </c>
      <c r="C141" s="3"/>
      <c r="D141" s="3"/>
      <c r="E141" s="3"/>
      <c r="F141" s="3"/>
      <c r="G141" s="3"/>
      <c r="H141" s="3"/>
      <c r="I141" s="3"/>
      <c r="J141" s="3"/>
      <c r="K141" s="3"/>
      <c r="L141" s="3"/>
      <c r="M141" s="3"/>
      <c r="N141" s="3"/>
      <c r="O141" s="3"/>
      <c r="P141" s="1" t="s">
        <v>5727</v>
      </c>
      <c r="Q141" s="1" t="b">
        <v>0</v>
      </c>
      <c r="R141" s="1">
        <v>52.0</v>
      </c>
      <c r="S141" s="1" t="s">
        <v>4752</v>
      </c>
      <c r="T141" s="3"/>
      <c r="U141" s="1" t="s">
        <v>4672</v>
      </c>
      <c r="V141" s="1" t="s">
        <v>4673</v>
      </c>
      <c r="W141" s="1" t="s">
        <v>5728</v>
      </c>
      <c r="X141" s="1" t="b">
        <v>0</v>
      </c>
      <c r="Y141" s="1" t="s">
        <v>4675</v>
      </c>
      <c r="Z141" s="1" t="s">
        <v>5729</v>
      </c>
      <c r="AB141" s="3"/>
      <c r="AC141" s="3"/>
      <c r="AD141" s="3"/>
      <c r="AE141" s="3"/>
      <c r="AF141" s="3"/>
      <c r="AG141" s="3"/>
      <c r="AH141" s="3"/>
      <c r="AI141" s="1" t="b">
        <v>0</v>
      </c>
      <c r="AJ141" s="1" t="b">
        <v>0</v>
      </c>
      <c r="AK141" s="1" t="s">
        <v>5729</v>
      </c>
      <c r="AL141" s="1" t="s">
        <v>4769</v>
      </c>
      <c r="AM141" s="1" t="s">
        <v>4708</v>
      </c>
      <c r="AN141" s="1" t="s">
        <v>4686</v>
      </c>
      <c r="AO141" s="1" t="s">
        <v>5729</v>
      </c>
      <c r="AP141" s="1" t="s">
        <v>4709</v>
      </c>
      <c r="AQ141" s="1" t="s">
        <v>4688</v>
      </c>
      <c r="AR141" s="1">
        <v>52.0</v>
      </c>
      <c r="AS141" s="3"/>
      <c r="AT141" s="3"/>
      <c r="AU141" s="4" t="s">
        <v>4695</v>
      </c>
      <c r="AV141" s="1" t="s">
        <v>5730</v>
      </c>
      <c r="AW141" s="3"/>
      <c r="AX141" s="1" t="s">
        <v>5731</v>
      </c>
      <c r="AY141" s="1" t="s">
        <v>4761</v>
      </c>
      <c r="AZ141" s="3"/>
      <c r="BA141" s="3"/>
      <c r="BB141" s="3"/>
      <c r="BC141" s="3"/>
      <c r="BD141" s="3"/>
      <c r="BE141" s="1" t="b">
        <v>1</v>
      </c>
      <c r="BF141" s="1" t="s">
        <v>4761</v>
      </c>
      <c r="BG141" s="1" t="s">
        <v>5731</v>
      </c>
      <c r="BH141" s="1" t="s">
        <v>5730</v>
      </c>
      <c r="BI141" s="3"/>
      <c r="BJ141" s="3"/>
      <c r="BK141" s="4" t="s">
        <v>5732</v>
      </c>
    </row>
    <row r="142">
      <c r="A142" s="1" t="s">
        <v>285</v>
      </c>
      <c r="B142" s="1" t="s">
        <v>284</v>
      </c>
      <c r="C142" s="1" t="s">
        <v>284</v>
      </c>
      <c r="D142" s="1" t="s">
        <v>4711</v>
      </c>
      <c r="E142" s="1" t="s">
        <v>5733</v>
      </c>
      <c r="F142" s="1" t="s">
        <v>5734</v>
      </c>
      <c r="G142" s="3"/>
      <c r="H142" s="3"/>
      <c r="I142" s="1" t="s">
        <v>5735</v>
      </c>
      <c r="J142" s="1" t="s">
        <v>5736</v>
      </c>
      <c r="K142" s="3">
        <f>+821055514460</f>
        <v>821055514460</v>
      </c>
      <c r="L142" s="3"/>
      <c r="M142" s="3"/>
      <c r="N142" s="3"/>
      <c r="O142" s="3"/>
      <c r="P142" s="1">
        <v>1.11167259E8</v>
      </c>
      <c r="Q142" s="1" t="b">
        <v>1</v>
      </c>
      <c r="R142" s="1">
        <v>212.0</v>
      </c>
      <c r="S142" s="1" t="s">
        <v>4918</v>
      </c>
      <c r="T142" s="3"/>
      <c r="U142" s="1" t="s">
        <v>4672</v>
      </c>
      <c r="V142" s="1" t="s">
        <v>4673</v>
      </c>
      <c r="W142" s="1" t="s">
        <v>5737</v>
      </c>
      <c r="X142" s="1" t="b">
        <v>0</v>
      </c>
      <c r="Y142" s="1" t="s">
        <v>4675</v>
      </c>
      <c r="Z142" s="1" t="s">
        <v>5738</v>
      </c>
      <c r="AB142" s="3"/>
      <c r="AC142" s="3"/>
      <c r="AD142" s="3"/>
      <c r="AE142" s="3"/>
      <c r="AF142" s="3"/>
      <c r="AG142" s="3"/>
      <c r="AH142" s="3"/>
      <c r="AI142" s="1" t="b">
        <v>0</v>
      </c>
      <c r="AJ142" s="1" t="b">
        <v>0</v>
      </c>
      <c r="AK142" s="1" t="s">
        <v>5739</v>
      </c>
      <c r="AL142" s="1" t="s">
        <v>4769</v>
      </c>
      <c r="AM142" s="1" t="s">
        <v>4708</v>
      </c>
      <c r="AN142" s="1" t="s">
        <v>4686</v>
      </c>
      <c r="AO142" s="1" t="s">
        <v>5738</v>
      </c>
      <c r="AP142" s="1" t="s">
        <v>4709</v>
      </c>
      <c r="AQ142" s="1" t="s">
        <v>4688</v>
      </c>
      <c r="AR142" s="1">
        <v>212.0</v>
      </c>
      <c r="AS142" s="3"/>
      <c r="AT142" s="3"/>
      <c r="AU142" s="4" t="s">
        <v>5740</v>
      </c>
      <c r="BE142" s="1" t="b">
        <v>1</v>
      </c>
      <c r="BF142" s="3"/>
      <c r="BG142" s="3"/>
      <c r="BH142" s="3"/>
      <c r="BI142" s="3"/>
      <c r="BJ142" s="3"/>
      <c r="BK142" s="4" t="s">
        <v>5264</v>
      </c>
    </row>
    <row r="143">
      <c r="A143" s="1" t="s">
        <v>405</v>
      </c>
      <c r="B143" s="1" t="s">
        <v>404</v>
      </c>
      <c r="C143" s="3"/>
      <c r="D143" s="3"/>
      <c r="E143" s="3"/>
      <c r="F143" s="3"/>
      <c r="G143" s="3"/>
      <c r="H143" s="3"/>
      <c r="I143" s="3"/>
      <c r="J143" s="3"/>
      <c r="K143" s="3"/>
      <c r="L143" s="3"/>
      <c r="M143" s="3"/>
      <c r="N143" s="3"/>
      <c r="O143" s="3"/>
      <c r="P143" s="1" t="s">
        <v>5741</v>
      </c>
      <c r="Q143" s="1" t="b">
        <v>0</v>
      </c>
      <c r="R143" s="1">
        <v>5.0</v>
      </c>
      <c r="S143" s="1" t="s">
        <v>4885</v>
      </c>
      <c r="T143" s="3"/>
      <c r="U143" s="1" t="s">
        <v>4672</v>
      </c>
      <c r="V143" s="1" t="s">
        <v>4673</v>
      </c>
      <c r="W143" s="1" t="s">
        <v>5742</v>
      </c>
      <c r="X143" s="1" t="b">
        <v>0</v>
      </c>
      <c r="Y143" s="1" t="s">
        <v>4675</v>
      </c>
      <c r="Z143" s="1" t="s">
        <v>5743</v>
      </c>
      <c r="AB143" s="3"/>
      <c r="AC143" s="3"/>
      <c r="AD143" s="3"/>
      <c r="AE143" s="3"/>
      <c r="AF143" s="3"/>
      <c r="AG143" s="3"/>
      <c r="AH143" s="3"/>
      <c r="AI143" s="1" t="b">
        <v>0</v>
      </c>
      <c r="AJ143" s="1" t="b">
        <v>0</v>
      </c>
      <c r="AK143" s="1" t="s">
        <v>5744</v>
      </c>
      <c r="AL143" s="1" t="s">
        <v>4684</v>
      </c>
      <c r="AM143" s="1" t="s">
        <v>4685</v>
      </c>
      <c r="AN143" s="1" t="s">
        <v>4795</v>
      </c>
      <c r="AO143" s="1" t="s">
        <v>5743</v>
      </c>
      <c r="AP143" s="1" t="s">
        <v>4796</v>
      </c>
      <c r="AQ143" s="1" t="s">
        <v>4758</v>
      </c>
      <c r="AR143" s="1">
        <v>5.0</v>
      </c>
      <c r="AS143" s="3"/>
      <c r="AT143" s="3"/>
      <c r="AU143" s="4" t="s">
        <v>4695</v>
      </c>
      <c r="AW143" s="3"/>
      <c r="AX143" s="3"/>
      <c r="AY143" s="3"/>
      <c r="AZ143" s="3"/>
      <c r="BA143" s="3"/>
      <c r="BB143" s="3"/>
      <c r="BC143" s="3"/>
      <c r="BD143" s="3"/>
      <c r="BE143" s="1" t="b">
        <v>1</v>
      </c>
      <c r="BF143" s="3"/>
      <c r="BG143" s="3"/>
      <c r="BH143" s="3"/>
      <c r="BI143" s="3"/>
      <c r="BJ143" s="3"/>
      <c r="BK143" s="4" t="s">
        <v>4695</v>
      </c>
    </row>
    <row r="144">
      <c r="A144" s="1" t="s">
        <v>1556</v>
      </c>
      <c r="B144" s="1" t="s">
        <v>1555</v>
      </c>
      <c r="C144" s="1" t="s">
        <v>1555</v>
      </c>
      <c r="D144" s="1" t="s">
        <v>4696</v>
      </c>
      <c r="E144" s="1" t="s">
        <v>5745</v>
      </c>
      <c r="F144" s="1" t="s">
        <v>5746</v>
      </c>
      <c r="G144" s="3"/>
      <c r="H144" s="3"/>
      <c r="I144" s="1" t="s">
        <v>4849</v>
      </c>
      <c r="J144" s="1" t="s">
        <v>5747</v>
      </c>
      <c r="K144" s="3">
        <f>+821099250880</f>
        <v>821099250880</v>
      </c>
      <c r="L144" s="3"/>
      <c r="M144" s="3"/>
      <c r="N144" s="3"/>
      <c r="O144" s="3"/>
      <c r="P144" s="1">
        <v>1.16782134E8</v>
      </c>
      <c r="Q144" s="1" t="b">
        <v>1</v>
      </c>
      <c r="R144" s="1">
        <v>986.0</v>
      </c>
      <c r="S144" s="1" t="s">
        <v>4752</v>
      </c>
      <c r="T144" s="3"/>
      <c r="U144" s="1" t="s">
        <v>4672</v>
      </c>
      <c r="V144" s="1" t="s">
        <v>4673</v>
      </c>
      <c r="W144" s="1" t="s">
        <v>5748</v>
      </c>
      <c r="X144" s="1" t="b">
        <v>0</v>
      </c>
      <c r="Y144" s="1" t="s">
        <v>4675</v>
      </c>
      <c r="Z144" s="1" t="s">
        <v>5749</v>
      </c>
      <c r="AB144" s="3"/>
      <c r="AC144" s="3"/>
      <c r="AD144" s="3"/>
      <c r="AE144" s="3"/>
      <c r="AF144" s="3"/>
      <c r="AG144" s="3"/>
      <c r="AH144" s="3"/>
      <c r="AI144" s="1" t="b">
        <v>0</v>
      </c>
      <c r="AJ144" s="1" t="b">
        <v>0</v>
      </c>
      <c r="AK144" s="1" t="s">
        <v>5750</v>
      </c>
      <c r="AL144" s="1" t="s">
        <v>4769</v>
      </c>
      <c r="AM144" s="1" t="s">
        <v>4708</v>
      </c>
      <c r="AN144" s="1" t="s">
        <v>4686</v>
      </c>
      <c r="AO144" s="1" t="s">
        <v>5749</v>
      </c>
      <c r="AP144" s="1" t="s">
        <v>4709</v>
      </c>
      <c r="AQ144" s="1" t="s">
        <v>4688</v>
      </c>
      <c r="AR144" s="1">
        <v>986.0</v>
      </c>
      <c r="AS144" s="3"/>
      <c r="AT144" s="3"/>
      <c r="AU144" s="4" t="s">
        <v>4695</v>
      </c>
      <c r="AW144" s="3"/>
      <c r="AX144" s="3"/>
      <c r="AY144" s="3"/>
      <c r="AZ144" s="3"/>
      <c r="BA144" s="3"/>
      <c r="BB144" s="3"/>
      <c r="BC144" s="3"/>
      <c r="BD144" s="3"/>
      <c r="BE144" s="1" t="b">
        <v>1</v>
      </c>
      <c r="BF144" s="3"/>
      <c r="BG144" s="3"/>
      <c r="BH144" s="3"/>
      <c r="BI144" s="3"/>
      <c r="BJ144" s="3"/>
      <c r="BK144" s="4" t="s">
        <v>4780</v>
      </c>
    </row>
    <row r="145">
      <c r="A145" s="1" t="s">
        <v>487</v>
      </c>
      <c r="B145" s="1" t="s">
        <v>486</v>
      </c>
      <c r="C145" s="1" t="s">
        <v>486</v>
      </c>
      <c r="D145" s="1" t="s">
        <v>5597</v>
      </c>
      <c r="E145" s="1" t="s">
        <v>5751</v>
      </c>
      <c r="F145" s="1" t="s">
        <v>5752</v>
      </c>
      <c r="G145" s="3"/>
      <c r="H145" s="3"/>
      <c r="I145" s="3"/>
      <c r="J145" s="1" t="s">
        <v>5753</v>
      </c>
      <c r="L145" s="3"/>
      <c r="M145" s="3"/>
      <c r="N145" s="3"/>
      <c r="O145" s="3"/>
      <c r="P145" s="1">
        <v>1.12214743E8</v>
      </c>
      <c r="Q145" s="1" t="b">
        <v>1</v>
      </c>
      <c r="R145" s="1">
        <v>151.0</v>
      </c>
      <c r="S145" s="1" t="s">
        <v>4918</v>
      </c>
      <c r="T145" s="3"/>
      <c r="U145" s="1" t="s">
        <v>4672</v>
      </c>
      <c r="V145" s="1" t="s">
        <v>4673</v>
      </c>
      <c r="W145" s="1" t="s">
        <v>5754</v>
      </c>
      <c r="X145" s="1" t="b">
        <v>0</v>
      </c>
      <c r="Y145" s="1" t="s">
        <v>4675</v>
      </c>
      <c r="Z145" s="1" t="s">
        <v>5755</v>
      </c>
      <c r="AB145" s="3"/>
      <c r="AC145" s="3"/>
      <c r="AD145" s="3"/>
      <c r="AE145" s="3"/>
      <c r="AF145" s="3"/>
      <c r="AG145" s="3"/>
      <c r="AH145" s="3"/>
      <c r="AI145" s="1" t="b">
        <v>0</v>
      </c>
      <c r="AJ145" s="1" t="b">
        <v>0</v>
      </c>
      <c r="AK145" s="1" t="s">
        <v>5756</v>
      </c>
      <c r="AL145" s="1" t="s">
        <v>4769</v>
      </c>
      <c r="AM145" s="1" t="s">
        <v>4708</v>
      </c>
      <c r="AN145" s="1" t="s">
        <v>4686</v>
      </c>
      <c r="AO145" s="1" t="s">
        <v>5755</v>
      </c>
      <c r="AP145" s="1" t="s">
        <v>4709</v>
      </c>
      <c r="AQ145" s="1" t="s">
        <v>4688</v>
      </c>
      <c r="AR145" s="1">
        <v>151.0</v>
      </c>
      <c r="AS145" s="3"/>
      <c r="AT145" s="3"/>
      <c r="AU145" s="4" t="s">
        <v>4881</v>
      </c>
      <c r="AW145" s="3"/>
      <c r="AX145" s="3"/>
      <c r="AY145" s="3"/>
      <c r="AZ145" s="3"/>
      <c r="BA145" s="3"/>
      <c r="BB145" s="3"/>
      <c r="BC145" s="3"/>
      <c r="BD145" s="3"/>
      <c r="BE145" s="1" t="b">
        <v>1</v>
      </c>
      <c r="BF145" s="3"/>
      <c r="BG145" s="3"/>
      <c r="BH145" s="3"/>
      <c r="BI145" s="3"/>
      <c r="BJ145" s="3"/>
      <c r="BK145" s="4" t="s">
        <v>5757</v>
      </c>
    </row>
    <row r="146">
      <c r="A146" s="1" t="s">
        <v>116</v>
      </c>
      <c r="B146" s="1" t="s">
        <v>113</v>
      </c>
      <c r="C146" s="1" t="s">
        <v>113</v>
      </c>
      <c r="D146" s="1" t="s">
        <v>4711</v>
      </c>
      <c r="E146" s="1" t="s">
        <v>5758</v>
      </c>
      <c r="F146" s="1" t="s">
        <v>5759</v>
      </c>
      <c r="G146" s="3"/>
      <c r="H146" s="3"/>
      <c r="I146" s="3"/>
      <c r="J146" s="1" t="s">
        <v>5760</v>
      </c>
      <c r="K146" s="3">
        <f>+821024398837</f>
        <v>821024398837</v>
      </c>
      <c r="L146" s="3"/>
      <c r="M146" s="3"/>
      <c r="N146" s="3"/>
      <c r="O146" s="3"/>
      <c r="P146" s="1">
        <v>1.10057753E8</v>
      </c>
      <c r="Q146" s="1" t="b">
        <v>1</v>
      </c>
      <c r="R146" s="1">
        <v>4.0</v>
      </c>
      <c r="S146" s="1" t="s">
        <v>5761</v>
      </c>
      <c r="T146" s="3"/>
      <c r="U146" s="1" t="s">
        <v>4672</v>
      </c>
      <c r="V146" s="1" t="s">
        <v>4673</v>
      </c>
      <c r="W146" s="1" t="s">
        <v>5762</v>
      </c>
      <c r="X146" s="1" t="b">
        <v>0</v>
      </c>
      <c r="Y146" s="1" t="s">
        <v>4675</v>
      </c>
      <c r="Z146" s="1" t="s">
        <v>5763</v>
      </c>
      <c r="AB146" s="3"/>
      <c r="AC146" s="3"/>
      <c r="AD146" s="3"/>
      <c r="AE146" s="3"/>
      <c r="AF146" s="3"/>
      <c r="AG146" s="3"/>
      <c r="AH146" s="3"/>
      <c r="AI146" s="1" t="b">
        <v>0</v>
      </c>
      <c r="AJ146" s="1" t="b">
        <v>0</v>
      </c>
      <c r="AK146" s="1" t="s">
        <v>5764</v>
      </c>
      <c r="AL146" s="1" t="s">
        <v>4684</v>
      </c>
      <c r="AM146" s="1" t="s">
        <v>4685</v>
      </c>
      <c r="AN146" s="1" t="s">
        <v>4686</v>
      </c>
      <c r="AO146" s="1" t="s">
        <v>5763</v>
      </c>
      <c r="AP146" s="1" t="s">
        <v>4687</v>
      </c>
      <c r="AQ146" s="1" t="s">
        <v>4688</v>
      </c>
      <c r="AR146" s="1">
        <v>4.0</v>
      </c>
      <c r="AS146" s="3"/>
      <c r="AT146" s="3"/>
      <c r="AU146" s="4" t="s">
        <v>4780</v>
      </c>
      <c r="AV146" s="1" t="s">
        <v>4788</v>
      </c>
      <c r="AW146" s="1" t="s">
        <v>4789</v>
      </c>
      <c r="AX146" s="1" t="s">
        <v>4692</v>
      </c>
      <c r="AY146" s="1" t="s">
        <v>4790</v>
      </c>
      <c r="AZ146" s="1" t="s">
        <v>4791</v>
      </c>
      <c r="BA146" s="3"/>
      <c r="BB146" s="3"/>
      <c r="BC146" s="3"/>
      <c r="BD146" s="3"/>
      <c r="BE146" s="1" t="b">
        <v>1</v>
      </c>
      <c r="BF146" s="1" t="s">
        <v>4790</v>
      </c>
      <c r="BG146" s="1" t="s">
        <v>4692</v>
      </c>
      <c r="BH146" s="1" t="s">
        <v>4788</v>
      </c>
      <c r="BI146" s="1" t="s">
        <v>4789</v>
      </c>
      <c r="BJ146" s="1" t="s">
        <v>4791</v>
      </c>
      <c r="BK146" s="4" t="s">
        <v>4780</v>
      </c>
    </row>
    <row r="147">
      <c r="A147" s="1" t="s">
        <v>1435</v>
      </c>
      <c r="B147" s="1" t="s">
        <v>1434</v>
      </c>
      <c r="C147" s="1" t="s">
        <v>1434</v>
      </c>
      <c r="D147" s="1" t="s">
        <v>4696</v>
      </c>
      <c r="E147" s="1" t="s">
        <v>5765</v>
      </c>
      <c r="F147" s="1" t="s">
        <v>5766</v>
      </c>
      <c r="G147" s="3"/>
      <c r="H147" s="3"/>
      <c r="I147" s="1" t="s">
        <v>4733</v>
      </c>
      <c r="J147" s="1" t="s">
        <v>5767</v>
      </c>
      <c r="K147" s="3">
        <f>+821046275419</f>
        <v>821046275419</v>
      </c>
      <c r="L147" s="3"/>
      <c r="M147" s="3"/>
      <c r="N147" s="3"/>
      <c r="O147" s="3"/>
      <c r="P147" s="1">
        <v>1.0869555E8</v>
      </c>
      <c r="Q147" s="1" t="b">
        <v>1</v>
      </c>
      <c r="R147" s="1">
        <v>30.0</v>
      </c>
      <c r="S147" s="1" t="s">
        <v>4805</v>
      </c>
      <c r="T147" s="3"/>
      <c r="U147" s="1" t="s">
        <v>4672</v>
      </c>
      <c r="V147" s="1" t="s">
        <v>4673</v>
      </c>
      <c r="W147" s="1" t="s">
        <v>5768</v>
      </c>
      <c r="X147" s="1" t="b">
        <v>0</v>
      </c>
      <c r="Y147" s="1" t="s">
        <v>4675</v>
      </c>
      <c r="Z147" s="1" t="s">
        <v>5769</v>
      </c>
      <c r="AB147" s="3"/>
      <c r="AC147" s="3"/>
      <c r="AD147" s="3"/>
      <c r="AE147" s="3"/>
      <c r="AF147" s="3"/>
      <c r="AG147" s="3"/>
      <c r="AH147" s="3"/>
      <c r="AI147" s="1" t="b">
        <v>0</v>
      </c>
      <c r="AJ147" s="1" t="b">
        <v>0</v>
      </c>
      <c r="AK147" s="1" t="s">
        <v>5770</v>
      </c>
      <c r="AL147" s="1" t="s">
        <v>5486</v>
      </c>
      <c r="AM147" s="1" t="s">
        <v>4685</v>
      </c>
      <c r="AN147" s="1" t="s">
        <v>4720</v>
      </c>
      <c r="AO147" s="1" t="s">
        <v>5769</v>
      </c>
      <c r="AP147" s="1" t="s">
        <v>4721</v>
      </c>
      <c r="AQ147" s="1" t="s">
        <v>4722</v>
      </c>
      <c r="AR147" s="1">
        <v>30.0</v>
      </c>
      <c r="AS147" s="3"/>
      <c r="AT147" s="3"/>
      <c r="AU147" s="4" t="s">
        <v>4695</v>
      </c>
      <c r="AW147" s="3"/>
      <c r="AX147" s="3"/>
      <c r="AY147" s="3"/>
      <c r="AZ147" s="3"/>
      <c r="BA147" s="3"/>
      <c r="BB147" s="3"/>
      <c r="BC147" s="3"/>
      <c r="BD147" s="3"/>
      <c r="BE147" s="1" t="b">
        <v>1</v>
      </c>
      <c r="BF147" s="3"/>
      <c r="BG147" s="3"/>
      <c r="BH147" s="3"/>
      <c r="BI147" s="3"/>
      <c r="BJ147" s="3"/>
      <c r="BK147" s="4" t="s">
        <v>4695</v>
      </c>
    </row>
    <row r="148">
      <c r="A148" s="1" t="s">
        <v>1360</v>
      </c>
      <c r="B148" s="1" t="s">
        <v>1359</v>
      </c>
      <c r="C148" s="3"/>
      <c r="D148" s="3"/>
      <c r="E148" s="3"/>
      <c r="F148" s="3"/>
      <c r="G148" s="3"/>
      <c r="H148" s="3"/>
      <c r="I148" s="3"/>
      <c r="J148" s="3"/>
      <c r="K148" s="3"/>
      <c r="L148" s="3"/>
      <c r="M148" s="3"/>
      <c r="N148" s="3"/>
      <c r="O148" s="3"/>
      <c r="P148" s="3"/>
      <c r="Q148" s="1" t="b">
        <v>0</v>
      </c>
      <c r="R148" s="1">
        <v>1.0</v>
      </c>
      <c r="S148" s="1" t="s">
        <v>4752</v>
      </c>
      <c r="T148" s="3"/>
      <c r="U148" s="1" t="s">
        <v>4672</v>
      </c>
      <c r="V148" s="1" t="s">
        <v>4673</v>
      </c>
      <c r="W148" s="1" t="s">
        <v>5771</v>
      </c>
      <c r="X148" s="1" t="b">
        <v>0</v>
      </c>
      <c r="Y148" s="1" t="s">
        <v>4675</v>
      </c>
      <c r="Z148" s="1" t="s">
        <v>5772</v>
      </c>
      <c r="AB148" s="3"/>
      <c r="AC148" s="3"/>
      <c r="AD148" s="3"/>
      <c r="AE148" s="3"/>
      <c r="AF148" s="3"/>
      <c r="AG148" s="3"/>
      <c r="AH148" s="3"/>
      <c r="AI148" s="1" t="b">
        <v>0</v>
      </c>
      <c r="AJ148" s="1" t="b">
        <v>0</v>
      </c>
      <c r="AK148" s="1" t="s">
        <v>5773</v>
      </c>
      <c r="AL148" s="1" t="s">
        <v>4719</v>
      </c>
      <c r="AM148" s="1" t="s">
        <v>4685</v>
      </c>
      <c r="AN148" s="1" t="s">
        <v>4686</v>
      </c>
      <c r="AO148" s="1" t="s">
        <v>5772</v>
      </c>
      <c r="AP148" s="1" t="s">
        <v>4687</v>
      </c>
      <c r="AQ148" s="1" t="s">
        <v>4688</v>
      </c>
      <c r="AR148" s="1">
        <v>1.0</v>
      </c>
      <c r="AS148" s="3"/>
      <c r="AT148" s="3"/>
      <c r="AU148" s="3"/>
      <c r="AV148" s="3"/>
      <c r="AW148" s="3"/>
      <c r="AX148" s="3"/>
      <c r="AY148" s="3"/>
      <c r="AZ148" s="3"/>
      <c r="BA148" s="3"/>
      <c r="BB148" s="3"/>
      <c r="BC148" s="3"/>
      <c r="BD148" s="3"/>
      <c r="BE148" s="1" t="b">
        <v>1</v>
      </c>
      <c r="BF148" s="3"/>
      <c r="BG148" s="3"/>
      <c r="BH148" s="3"/>
      <c r="BI148" s="3"/>
      <c r="BJ148" s="3"/>
      <c r="BK148" s="3"/>
      <c r="BL148" s="3"/>
    </row>
    <row r="149">
      <c r="A149" s="1" t="s">
        <v>725</v>
      </c>
      <c r="B149" s="1" t="s">
        <v>724</v>
      </c>
      <c r="C149" s="1" t="s">
        <v>724</v>
      </c>
      <c r="D149" s="1" t="s">
        <v>4711</v>
      </c>
      <c r="E149" s="1" t="s">
        <v>5774</v>
      </c>
      <c r="F149" s="1" t="s">
        <v>5775</v>
      </c>
      <c r="G149" s="3"/>
      <c r="H149" s="3"/>
      <c r="I149" s="3"/>
      <c r="J149" s="1" t="s">
        <v>5776</v>
      </c>
      <c r="K149" s="3">
        <f>+821042822717</f>
        <v>821042822717</v>
      </c>
      <c r="L149" s="3"/>
      <c r="M149" s="3"/>
      <c r="N149" s="3"/>
      <c r="O149" s="3"/>
      <c r="P149" s="1">
        <v>1.12174738E8</v>
      </c>
      <c r="Q149" s="1" t="b">
        <v>1</v>
      </c>
      <c r="R149" s="1">
        <v>17.0</v>
      </c>
      <c r="S149" s="1" t="s">
        <v>5493</v>
      </c>
      <c r="T149" s="3"/>
      <c r="U149" s="1" t="s">
        <v>4672</v>
      </c>
      <c r="V149" s="1" t="s">
        <v>4673</v>
      </c>
      <c r="W149" s="1" t="s">
        <v>5777</v>
      </c>
      <c r="X149" s="1" t="b">
        <v>0</v>
      </c>
      <c r="Y149" s="1" t="s">
        <v>4675</v>
      </c>
      <c r="Z149" s="1" t="s">
        <v>5778</v>
      </c>
      <c r="AB149" s="3"/>
      <c r="AC149" s="3"/>
      <c r="AD149" s="3"/>
      <c r="AE149" s="3"/>
      <c r="AF149" s="3"/>
      <c r="AG149" s="3"/>
      <c r="AH149" s="3"/>
      <c r="AI149" s="1" t="b">
        <v>0</v>
      </c>
      <c r="AJ149" s="1" t="b">
        <v>0</v>
      </c>
      <c r="AK149" s="1" t="s">
        <v>5779</v>
      </c>
      <c r="AL149" s="1" t="s">
        <v>4719</v>
      </c>
      <c r="AM149" s="1" t="s">
        <v>4685</v>
      </c>
      <c r="AN149" s="1" t="s">
        <v>4686</v>
      </c>
      <c r="AO149" s="1" t="s">
        <v>5778</v>
      </c>
      <c r="AP149" s="1" t="s">
        <v>4687</v>
      </c>
      <c r="AQ149" s="1" t="s">
        <v>4688</v>
      </c>
      <c r="AR149" s="1">
        <v>17.0</v>
      </c>
      <c r="AS149" s="3"/>
      <c r="AT149" s="3"/>
      <c r="AU149" s="4" t="s">
        <v>4934</v>
      </c>
      <c r="AW149" s="3"/>
      <c r="AX149" s="3"/>
      <c r="AY149" s="3"/>
      <c r="AZ149" s="3"/>
      <c r="BA149" s="3"/>
      <c r="BB149" s="3"/>
      <c r="BC149" s="3"/>
      <c r="BD149" s="3"/>
      <c r="BE149" s="1" t="b">
        <v>1</v>
      </c>
      <c r="BF149" s="3"/>
      <c r="BG149" s="3"/>
      <c r="BH149" s="3"/>
      <c r="BI149" s="3"/>
      <c r="BJ149" s="3"/>
      <c r="BK149" s="4" t="s">
        <v>4695</v>
      </c>
      <c r="BL149" s="1" t="s">
        <v>4723</v>
      </c>
    </row>
    <row r="150">
      <c r="A150" s="1" t="s">
        <v>1888</v>
      </c>
      <c r="B150" s="1" t="s">
        <v>1887</v>
      </c>
      <c r="C150" s="1" t="s">
        <v>1887</v>
      </c>
      <c r="D150" s="1" t="s">
        <v>4711</v>
      </c>
      <c r="E150" s="1" t="s">
        <v>5780</v>
      </c>
      <c r="F150" s="1" t="s">
        <v>5781</v>
      </c>
      <c r="G150" s="3"/>
      <c r="H150" s="1" t="s">
        <v>4861</v>
      </c>
      <c r="I150" s="1" t="s">
        <v>4742</v>
      </c>
      <c r="J150" s="1" t="s">
        <v>5782</v>
      </c>
      <c r="K150" s="3">
        <f>+821087368280</f>
        <v>821087368280</v>
      </c>
      <c r="L150" s="3"/>
      <c r="M150" s="3"/>
      <c r="N150" s="3"/>
      <c r="O150" s="3"/>
      <c r="P150" s="1">
        <v>1.08977369E8</v>
      </c>
      <c r="Q150" s="1" t="b">
        <v>1</v>
      </c>
      <c r="R150" s="1">
        <v>263.0</v>
      </c>
      <c r="S150" s="1" t="s">
        <v>5493</v>
      </c>
      <c r="T150" s="3"/>
      <c r="U150" s="1" t="s">
        <v>4672</v>
      </c>
      <c r="V150" s="1" t="s">
        <v>4673</v>
      </c>
      <c r="W150" s="1" t="s">
        <v>5783</v>
      </c>
      <c r="X150" s="1" t="b">
        <v>0</v>
      </c>
      <c r="Y150" s="1" t="s">
        <v>4675</v>
      </c>
      <c r="Z150" s="1" t="s">
        <v>5784</v>
      </c>
      <c r="AB150" s="1" t="s">
        <v>4677</v>
      </c>
      <c r="AC150" s="1" t="s">
        <v>4678</v>
      </c>
      <c r="AD150" s="1" t="s">
        <v>5785</v>
      </c>
      <c r="AE150" s="1" t="s">
        <v>5786</v>
      </c>
      <c r="AF150" s="1" t="s">
        <v>5787</v>
      </c>
      <c r="AG150" s="1" t="s">
        <v>4758</v>
      </c>
      <c r="AH150" s="1">
        <v>9.0</v>
      </c>
      <c r="AI150" s="1" t="b">
        <v>0</v>
      </c>
      <c r="AJ150" s="1" t="b">
        <v>0</v>
      </c>
      <c r="AK150" s="1" t="s">
        <v>5788</v>
      </c>
      <c r="AL150" s="1" t="s">
        <v>4707</v>
      </c>
      <c r="AM150" s="1" t="s">
        <v>4708</v>
      </c>
      <c r="AN150" s="1" t="s">
        <v>4686</v>
      </c>
      <c r="AO150" s="1" t="s">
        <v>5784</v>
      </c>
      <c r="AP150" s="1" t="s">
        <v>4709</v>
      </c>
      <c r="AQ150" s="1" t="s">
        <v>4688</v>
      </c>
      <c r="AR150" s="1">
        <v>254.0</v>
      </c>
      <c r="AS150" s="3"/>
      <c r="AT150" s="3"/>
      <c r="AU150" s="4" t="s">
        <v>5789</v>
      </c>
      <c r="BE150" s="1" t="b">
        <v>1</v>
      </c>
      <c r="BF150" s="3"/>
      <c r="BG150" s="3"/>
      <c r="BH150" s="3"/>
      <c r="BI150" s="3"/>
      <c r="BJ150" s="3"/>
      <c r="BK150" s="4" t="s">
        <v>4780</v>
      </c>
    </row>
    <row r="151">
      <c r="A151" s="1" t="s">
        <v>566</v>
      </c>
      <c r="B151" s="1" t="s">
        <v>564</v>
      </c>
      <c r="C151" s="1" t="s">
        <v>564</v>
      </c>
      <c r="D151" s="1" t="s">
        <v>4711</v>
      </c>
      <c r="E151" s="1" t="s">
        <v>5790</v>
      </c>
      <c r="F151" s="1" t="s">
        <v>5791</v>
      </c>
      <c r="G151" s="3"/>
      <c r="H151" s="3"/>
      <c r="I151" s="1" t="s">
        <v>5026</v>
      </c>
      <c r="J151" s="1" t="s">
        <v>5792</v>
      </c>
      <c r="K151" s="3">
        <f>+821034207919</f>
        <v>821034207919</v>
      </c>
      <c r="L151" s="3"/>
      <c r="M151" s="3"/>
      <c r="N151" s="3"/>
      <c r="O151" s="3"/>
      <c r="P151" s="1">
        <v>1.11352503E8</v>
      </c>
      <c r="Q151" s="1" t="b">
        <v>1</v>
      </c>
      <c r="R151" s="1">
        <v>43.0</v>
      </c>
      <c r="S151" s="1" t="s">
        <v>5793</v>
      </c>
      <c r="T151" s="3"/>
      <c r="U151" s="1" t="s">
        <v>4672</v>
      </c>
      <c r="V151" s="1" t="s">
        <v>4673</v>
      </c>
      <c r="W151" s="1" t="s">
        <v>5794</v>
      </c>
      <c r="X151" s="1" t="b">
        <v>0</v>
      </c>
      <c r="Y151" s="1" t="s">
        <v>4675</v>
      </c>
      <c r="Z151" s="1" t="s">
        <v>5795</v>
      </c>
      <c r="AB151" s="3"/>
      <c r="AC151" s="3"/>
      <c r="AD151" s="3"/>
      <c r="AE151" s="3"/>
      <c r="AF151" s="3"/>
      <c r="AG151" s="3"/>
      <c r="AH151" s="3"/>
      <c r="AI151" s="1" t="b">
        <v>0</v>
      </c>
      <c r="AJ151" s="1" t="b">
        <v>0</v>
      </c>
      <c r="AK151" s="1" t="s">
        <v>5796</v>
      </c>
      <c r="AL151" s="1" t="s">
        <v>4707</v>
      </c>
      <c r="AM151" s="1" t="s">
        <v>4708</v>
      </c>
      <c r="AN151" s="1" t="s">
        <v>4686</v>
      </c>
      <c r="AO151" s="1" t="s">
        <v>5795</v>
      </c>
      <c r="AP151" s="1" t="s">
        <v>4709</v>
      </c>
      <c r="AQ151" s="1" t="s">
        <v>4688</v>
      </c>
      <c r="AR151" s="1">
        <v>43.0</v>
      </c>
      <c r="AS151" s="3"/>
      <c r="AT151" s="3"/>
      <c r="AU151" s="4" t="s">
        <v>5797</v>
      </c>
      <c r="BC151" s="3"/>
      <c r="BD151" s="3"/>
      <c r="BE151" s="1" t="b">
        <v>1</v>
      </c>
      <c r="BF151" s="3"/>
      <c r="BG151" s="3"/>
      <c r="BH151" s="3"/>
      <c r="BI151" s="3"/>
      <c r="BJ151" s="3"/>
      <c r="BK151" s="4" t="s">
        <v>5264</v>
      </c>
      <c r="BL151" s="1" t="s">
        <v>4723</v>
      </c>
    </row>
    <row r="152">
      <c r="A152" s="1" t="s">
        <v>1758</v>
      </c>
      <c r="B152" s="1" t="s">
        <v>1757</v>
      </c>
      <c r="C152" s="3"/>
      <c r="D152" s="3"/>
      <c r="E152" s="3"/>
      <c r="F152" s="3"/>
      <c r="G152" s="3"/>
      <c r="H152" s="3"/>
      <c r="I152" s="1" t="s">
        <v>4669</v>
      </c>
      <c r="J152" s="3"/>
      <c r="K152" s="3"/>
      <c r="L152" s="3"/>
      <c r="M152" s="3"/>
      <c r="N152" s="3"/>
      <c r="O152" s="3"/>
      <c r="P152" s="1" t="s">
        <v>5798</v>
      </c>
      <c r="Q152" s="1" t="b">
        <v>0</v>
      </c>
      <c r="R152" s="1">
        <v>3.0</v>
      </c>
      <c r="S152" s="1" t="s">
        <v>5116</v>
      </c>
      <c r="U152" s="1" t="s">
        <v>4672</v>
      </c>
      <c r="V152" s="1" t="s">
        <v>4673</v>
      </c>
      <c r="W152" s="1" t="s">
        <v>5799</v>
      </c>
      <c r="X152" s="1" t="b">
        <v>0</v>
      </c>
      <c r="Y152" s="1" t="s">
        <v>4675</v>
      </c>
      <c r="Z152" s="1" t="s">
        <v>5800</v>
      </c>
      <c r="AB152" s="3"/>
      <c r="AC152" s="3"/>
      <c r="AD152" s="3"/>
      <c r="AE152" s="3"/>
      <c r="AF152" s="3"/>
      <c r="AG152" s="3"/>
      <c r="AH152" s="3"/>
      <c r="AI152" s="1" t="b">
        <v>0</v>
      </c>
      <c r="AJ152" s="1" t="b">
        <v>0</v>
      </c>
      <c r="AK152" s="1" t="s">
        <v>5800</v>
      </c>
      <c r="AL152" s="1" t="s">
        <v>4707</v>
      </c>
      <c r="AM152" s="1" t="s">
        <v>4708</v>
      </c>
      <c r="AN152" s="1" t="s">
        <v>4686</v>
      </c>
      <c r="AO152" s="1" t="s">
        <v>5800</v>
      </c>
      <c r="AP152" s="1" t="s">
        <v>4709</v>
      </c>
      <c r="AQ152" s="1" t="s">
        <v>4688</v>
      </c>
      <c r="AR152" s="1">
        <v>3.0</v>
      </c>
      <c r="AS152" s="3"/>
      <c r="AT152" s="3"/>
      <c r="AU152" s="3"/>
      <c r="AV152" s="3"/>
      <c r="AW152" s="3"/>
      <c r="AX152" s="3"/>
      <c r="AY152" s="3"/>
      <c r="AZ152" s="3"/>
      <c r="BA152" s="3"/>
      <c r="BB152" s="3"/>
      <c r="BC152" s="3"/>
      <c r="BD152" s="3"/>
      <c r="BE152" s="1" t="b">
        <v>1</v>
      </c>
      <c r="BF152" s="3"/>
      <c r="BG152" s="3"/>
      <c r="BH152" s="3"/>
      <c r="BI152" s="3"/>
      <c r="BJ152" s="3"/>
      <c r="BK152" s="3"/>
      <c r="BL152" s="3"/>
    </row>
    <row r="153">
      <c r="A153" s="1" t="s">
        <v>1295</v>
      </c>
      <c r="B153" s="1" t="s">
        <v>1294</v>
      </c>
      <c r="C153" s="1" t="s">
        <v>1294</v>
      </c>
      <c r="D153" s="1" t="s">
        <v>4711</v>
      </c>
      <c r="E153" s="1" t="s">
        <v>5801</v>
      </c>
      <c r="F153" s="1" t="s">
        <v>5802</v>
      </c>
      <c r="G153" s="3"/>
      <c r="H153" s="3"/>
      <c r="I153" s="1" t="s">
        <v>4742</v>
      </c>
      <c r="J153" s="1" t="s">
        <v>5803</v>
      </c>
      <c r="K153" s="3">
        <f>+821026874980</f>
        <v>821026874980</v>
      </c>
      <c r="L153" s="3"/>
      <c r="M153" s="3"/>
      <c r="N153" s="3"/>
      <c r="O153" s="3"/>
      <c r="P153" s="1">
        <v>1.09980433E8</v>
      </c>
      <c r="Q153" s="1" t="b">
        <v>1</v>
      </c>
      <c r="R153" s="1">
        <v>181.0</v>
      </c>
      <c r="S153" s="1" t="s">
        <v>5793</v>
      </c>
      <c r="T153" s="3"/>
      <c r="U153" s="1" t="s">
        <v>4672</v>
      </c>
      <c r="V153" s="1" t="s">
        <v>4673</v>
      </c>
      <c r="W153" s="1" t="s">
        <v>5804</v>
      </c>
      <c r="X153" s="1" t="b">
        <v>0</v>
      </c>
      <c r="Y153" s="1" t="s">
        <v>4675</v>
      </c>
      <c r="Z153" s="1" t="s">
        <v>5805</v>
      </c>
      <c r="AB153" s="3"/>
      <c r="AC153" s="3"/>
      <c r="AD153" s="3"/>
      <c r="AE153" s="3"/>
      <c r="AF153" s="3"/>
      <c r="AG153" s="3"/>
      <c r="AH153" s="3"/>
      <c r="AI153" s="1" t="b">
        <v>0</v>
      </c>
      <c r="AJ153" s="1" t="b">
        <v>0</v>
      </c>
      <c r="AK153" s="1" t="s">
        <v>5806</v>
      </c>
      <c r="AL153" s="1" t="s">
        <v>4719</v>
      </c>
      <c r="AM153" s="1" t="s">
        <v>4685</v>
      </c>
      <c r="AN153" s="1" t="s">
        <v>4686</v>
      </c>
      <c r="AO153" s="1" t="s">
        <v>5805</v>
      </c>
      <c r="AP153" s="1" t="s">
        <v>4687</v>
      </c>
      <c r="AQ153" s="1" t="s">
        <v>4688</v>
      </c>
      <c r="AR153" s="1">
        <v>181.0</v>
      </c>
      <c r="AS153" s="3"/>
      <c r="AT153" s="3"/>
      <c r="AU153" s="4" t="s">
        <v>4695</v>
      </c>
      <c r="AW153" s="3"/>
      <c r="AX153" s="3"/>
      <c r="AY153" s="3"/>
      <c r="AZ153" s="3"/>
      <c r="BA153" s="3"/>
      <c r="BB153" s="3"/>
      <c r="BC153" s="3"/>
      <c r="BD153" s="3"/>
      <c r="BE153" s="1" t="b">
        <v>1</v>
      </c>
      <c r="BF153" s="3"/>
      <c r="BG153" s="3"/>
      <c r="BH153" s="3"/>
      <c r="BI153" s="3"/>
      <c r="BJ153" s="3"/>
      <c r="BK153" s="4" t="s">
        <v>4780</v>
      </c>
    </row>
    <row r="154">
      <c r="A154" s="1" t="s">
        <v>1646</v>
      </c>
      <c r="B154" s="1" t="s">
        <v>1644</v>
      </c>
      <c r="C154" s="3"/>
      <c r="D154" s="3"/>
      <c r="E154" s="3"/>
      <c r="F154" s="3"/>
      <c r="G154" s="3"/>
      <c r="H154" s="3"/>
      <c r="I154" s="1" t="s">
        <v>4669</v>
      </c>
      <c r="J154" s="3"/>
      <c r="K154" s="3"/>
      <c r="L154" s="3"/>
      <c r="M154" s="3"/>
      <c r="N154" s="3"/>
      <c r="O154" s="3"/>
      <c r="P154" s="1" t="s">
        <v>5807</v>
      </c>
      <c r="Q154" s="1" t="b">
        <v>0</v>
      </c>
      <c r="R154" s="1">
        <v>2.0</v>
      </c>
      <c r="S154" s="1" t="s">
        <v>4805</v>
      </c>
      <c r="T154" s="3"/>
      <c r="U154" s="1" t="s">
        <v>4672</v>
      </c>
      <c r="V154" s="1" t="s">
        <v>4673</v>
      </c>
      <c r="W154" s="1" t="s">
        <v>5808</v>
      </c>
      <c r="X154" s="1" t="b">
        <v>0</v>
      </c>
      <c r="Y154" s="1" t="s">
        <v>4675</v>
      </c>
      <c r="Z154" s="1" t="s">
        <v>5809</v>
      </c>
      <c r="AB154" s="3"/>
      <c r="AC154" s="3"/>
      <c r="AD154" s="3"/>
      <c r="AE154" s="3"/>
      <c r="AF154" s="3"/>
      <c r="AG154" s="3"/>
      <c r="AH154" s="3"/>
      <c r="AI154" s="1" t="b">
        <v>0</v>
      </c>
      <c r="AJ154" s="1" t="b">
        <v>0</v>
      </c>
      <c r="AK154" s="1" t="s">
        <v>5810</v>
      </c>
      <c r="AL154" s="1" t="s">
        <v>4707</v>
      </c>
      <c r="AM154" s="1" t="s">
        <v>4708</v>
      </c>
      <c r="AN154" s="1" t="s">
        <v>4686</v>
      </c>
      <c r="AO154" s="1" t="s">
        <v>5809</v>
      </c>
      <c r="AP154" s="1" t="s">
        <v>4709</v>
      </c>
      <c r="AQ154" s="1" t="s">
        <v>4688</v>
      </c>
      <c r="AR154" s="1">
        <v>2.0</v>
      </c>
      <c r="AS154" s="3"/>
      <c r="AT154" s="3"/>
      <c r="AU154" s="4" t="s">
        <v>4780</v>
      </c>
      <c r="AW154" s="3"/>
      <c r="AX154" s="3"/>
      <c r="AY154" s="3"/>
      <c r="AZ154" s="3"/>
      <c r="BA154" s="3"/>
      <c r="BB154" s="3"/>
      <c r="BC154" s="3"/>
      <c r="BD154" s="3"/>
      <c r="BE154" s="1" t="b">
        <v>1</v>
      </c>
      <c r="BF154" s="3"/>
      <c r="BG154" s="3"/>
      <c r="BH154" s="3"/>
      <c r="BI154" s="3"/>
      <c r="BJ154" s="3"/>
      <c r="BK154" s="4" t="s">
        <v>4780</v>
      </c>
    </row>
    <row r="155">
      <c r="A155" s="1" t="s">
        <v>1832</v>
      </c>
      <c r="B155" s="1" t="s">
        <v>1830</v>
      </c>
      <c r="C155" s="1" t="s">
        <v>1830</v>
      </c>
      <c r="D155" s="1" t="s">
        <v>4772</v>
      </c>
      <c r="E155" s="1" t="s">
        <v>5811</v>
      </c>
      <c r="F155" s="1" t="s">
        <v>5812</v>
      </c>
      <c r="G155" s="3"/>
      <c r="H155" s="3"/>
      <c r="I155" s="1" t="s">
        <v>4925</v>
      </c>
      <c r="J155" s="1" t="s">
        <v>5813</v>
      </c>
      <c r="K155" s="3">
        <f>+821041008459</f>
        <v>821041008459</v>
      </c>
      <c r="L155" s="3"/>
      <c r="M155" s="3"/>
      <c r="N155" s="3"/>
      <c r="O155" s="3"/>
      <c r="P155" s="1">
        <v>1.22950427E8</v>
      </c>
      <c r="Q155" s="1" t="b">
        <v>1</v>
      </c>
      <c r="R155" s="1">
        <v>26.0</v>
      </c>
      <c r="S155" s="1" t="s">
        <v>4744</v>
      </c>
      <c r="T155" s="3"/>
      <c r="U155" s="1" t="s">
        <v>4672</v>
      </c>
      <c r="V155" s="1" t="s">
        <v>4673</v>
      </c>
      <c r="W155" s="1" t="s">
        <v>5814</v>
      </c>
      <c r="X155" s="1" t="b">
        <v>0</v>
      </c>
      <c r="Y155" s="1" t="s">
        <v>4675</v>
      </c>
      <c r="Z155" s="1" t="s">
        <v>5815</v>
      </c>
      <c r="AB155" s="3"/>
      <c r="AC155" s="3"/>
      <c r="AD155" s="3"/>
      <c r="AE155" s="3"/>
      <c r="AF155" s="3"/>
      <c r="AG155" s="3"/>
      <c r="AH155" s="3"/>
      <c r="AI155" s="1" t="b">
        <v>0</v>
      </c>
      <c r="AJ155" s="1" t="b">
        <v>0</v>
      </c>
      <c r="AK155" s="1" t="s">
        <v>5816</v>
      </c>
      <c r="AL155" s="1" t="s">
        <v>4719</v>
      </c>
      <c r="AM155" s="1" t="s">
        <v>4685</v>
      </c>
      <c r="AN155" s="1" t="s">
        <v>4686</v>
      </c>
      <c r="AO155" s="1" t="s">
        <v>5815</v>
      </c>
      <c r="AP155" s="1" t="s">
        <v>4687</v>
      </c>
      <c r="AQ155" s="1" t="s">
        <v>4688</v>
      </c>
      <c r="AR155" s="1">
        <v>26.0</v>
      </c>
      <c r="AS155" s="3"/>
      <c r="AT155" s="3"/>
      <c r="AU155" s="3"/>
      <c r="AV155" s="3"/>
      <c r="AW155" s="3"/>
      <c r="AX155" s="3"/>
      <c r="AY155" s="3"/>
      <c r="AZ155" s="3"/>
      <c r="BA155" s="3"/>
      <c r="BB155" s="3"/>
      <c r="BC155" s="3"/>
      <c r="BD155" s="3"/>
      <c r="BE155" s="1" t="b">
        <v>1</v>
      </c>
      <c r="BF155" s="3"/>
      <c r="BG155" s="3"/>
      <c r="BH155" s="3"/>
      <c r="BI155" s="3"/>
      <c r="BJ155" s="3"/>
      <c r="BK155" s="3"/>
      <c r="BL155" s="3"/>
    </row>
    <row r="156">
      <c r="A156" s="1" t="s">
        <v>1678</v>
      </c>
      <c r="B156" s="1" t="s">
        <v>1677</v>
      </c>
      <c r="C156" s="1" t="s">
        <v>1677</v>
      </c>
      <c r="D156" s="1" t="s">
        <v>4696</v>
      </c>
      <c r="E156" s="1" t="s">
        <v>5817</v>
      </c>
      <c r="F156" s="1" t="s">
        <v>5818</v>
      </c>
      <c r="G156" s="3"/>
      <c r="H156" s="3"/>
      <c r="I156" s="1" t="s">
        <v>5819</v>
      </c>
      <c r="J156" s="1" t="s">
        <v>5820</v>
      </c>
      <c r="L156" s="3"/>
      <c r="M156" s="3"/>
      <c r="N156" s="3"/>
      <c r="O156" s="3"/>
      <c r="P156" s="1">
        <v>1.11166333E8</v>
      </c>
      <c r="Q156" s="1" t="b">
        <v>1</v>
      </c>
      <c r="R156" s="1">
        <v>31.0</v>
      </c>
      <c r="S156" s="1" t="s">
        <v>4752</v>
      </c>
      <c r="T156" s="3"/>
      <c r="U156" s="1" t="s">
        <v>4672</v>
      </c>
      <c r="V156" s="1" t="s">
        <v>4673</v>
      </c>
      <c r="W156" s="1" t="s">
        <v>5821</v>
      </c>
      <c r="X156" s="1" t="b">
        <v>0</v>
      </c>
      <c r="Y156" s="1" t="s">
        <v>4675</v>
      </c>
      <c r="Z156" s="1" t="s">
        <v>5822</v>
      </c>
      <c r="AB156" s="3"/>
      <c r="AC156" s="3"/>
      <c r="AD156" s="3"/>
      <c r="AE156" s="3"/>
      <c r="AF156" s="3"/>
      <c r="AG156" s="3"/>
      <c r="AH156" s="3"/>
      <c r="AI156" s="1" t="b">
        <v>0</v>
      </c>
      <c r="AJ156" s="1" t="b">
        <v>0</v>
      </c>
      <c r="AK156" s="1" t="s">
        <v>5823</v>
      </c>
      <c r="AL156" s="1" t="s">
        <v>4719</v>
      </c>
      <c r="AM156" s="1" t="s">
        <v>4685</v>
      </c>
      <c r="AN156" s="1" t="s">
        <v>4686</v>
      </c>
      <c r="AO156" s="1" t="s">
        <v>5822</v>
      </c>
      <c r="AP156" s="1" t="s">
        <v>4687</v>
      </c>
      <c r="AQ156" s="1" t="s">
        <v>4688</v>
      </c>
      <c r="AR156" s="1">
        <v>31.0</v>
      </c>
      <c r="AS156" s="3"/>
      <c r="AT156" s="3"/>
      <c r="AU156" s="4" t="s">
        <v>4695</v>
      </c>
      <c r="AW156" s="3"/>
      <c r="AX156" s="3"/>
      <c r="AY156" s="3"/>
      <c r="AZ156" s="3"/>
      <c r="BA156" s="3"/>
      <c r="BB156" s="3"/>
      <c r="BC156" s="3"/>
      <c r="BD156" s="3"/>
      <c r="BE156" s="1" t="b">
        <v>1</v>
      </c>
      <c r="BF156" s="3"/>
      <c r="BG156" s="3"/>
      <c r="BH156" s="3"/>
      <c r="BI156" s="3"/>
      <c r="BJ156" s="3"/>
      <c r="BK156" s="4" t="s">
        <v>4695</v>
      </c>
    </row>
    <row r="157">
      <c r="A157" s="1" t="s">
        <v>409</v>
      </c>
      <c r="B157" s="1" t="s">
        <v>408</v>
      </c>
      <c r="C157" s="1" t="s">
        <v>408</v>
      </c>
      <c r="D157" s="1" t="s">
        <v>5320</v>
      </c>
      <c r="E157" s="1" t="s">
        <v>5824</v>
      </c>
      <c r="F157" s="1" t="s">
        <v>5825</v>
      </c>
      <c r="G157" s="3"/>
      <c r="H157" s="3"/>
      <c r="I157" s="3"/>
      <c r="J157" s="1" t="s">
        <v>5826</v>
      </c>
      <c r="L157" s="3"/>
      <c r="M157" s="3"/>
      <c r="N157" s="3"/>
      <c r="O157" s="3"/>
      <c r="P157" s="1">
        <v>1.12351095E8</v>
      </c>
      <c r="Q157" s="1" t="b">
        <v>1</v>
      </c>
      <c r="R157" s="1">
        <v>139.0</v>
      </c>
      <c r="S157" s="1" t="s">
        <v>5827</v>
      </c>
      <c r="U157" s="1" t="s">
        <v>4672</v>
      </c>
      <c r="V157" s="1" t="s">
        <v>4673</v>
      </c>
      <c r="W157" s="1" t="s">
        <v>5828</v>
      </c>
      <c r="X157" s="1" t="b">
        <v>0</v>
      </c>
      <c r="Y157" s="1" t="s">
        <v>4675</v>
      </c>
      <c r="Z157" s="1" t="s">
        <v>5829</v>
      </c>
      <c r="AB157" s="1" t="s">
        <v>4677</v>
      </c>
      <c r="AC157" s="1" t="s">
        <v>4678</v>
      </c>
      <c r="AD157" s="1" t="s">
        <v>4679</v>
      </c>
      <c r="AE157" s="1" t="s">
        <v>5829</v>
      </c>
      <c r="AF157" s="1" t="s">
        <v>5830</v>
      </c>
      <c r="AG157" s="1" t="s">
        <v>4682</v>
      </c>
      <c r="AH157" s="1">
        <v>135.0</v>
      </c>
      <c r="AI157" s="1" t="b">
        <v>0</v>
      </c>
      <c r="AJ157" s="1" t="b">
        <v>0</v>
      </c>
      <c r="AK157" s="1" t="s">
        <v>5831</v>
      </c>
      <c r="AL157" s="1" t="s">
        <v>4719</v>
      </c>
      <c r="AM157" s="1" t="s">
        <v>4685</v>
      </c>
      <c r="AN157" s="1" t="s">
        <v>4686</v>
      </c>
      <c r="AO157" s="1" t="s">
        <v>5832</v>
      </c>
      <c r="AP157" s="1" t="s">
        <v>4687</v>
      </c>
      <c r="AQ157" s="1" t="s">
        <v>4688</v>
      </c>
      <c r="AR157" s="1">
        <v>4.0</v>
      </c>
      <c r="AS157" s="3"/>
      <c r="AT157" s="3"/>
      <c r="AU157" s="3"/>
      <c r="AV157" s="3"/>
      <c r="AW157" s="3"/>
      <c r="AX157" s="3"/>
      <c r="AY157" s="3"/>
      <c r="AZ157" s="3"/>
      <c r="BA157" s="3"/>
      <c r="BB157" s="3"/>
      <c r="BC157" s="3"/>
      <c r="BD157" s="3"/>
      <c r="BE157" s="1" t="b">
        <v>1</v>
      </c>
      <c r="BF157" s="3"/>
      <c r="BG157" s="3"/>
      <c r="BH157" s="3"/>
      <c r="BI157" s="3"/>
      <c r="BJ157" s="3"/>
      <c r="BK157" s="3"/>
      <c r="BL157" s="3"/>
    </row>
    <row r="158">
      <c r="A158" s="1" t="s">
        <v>1200</v>
      </c>
      <c r="B158" s="1" t="s">
        <v>1198</v>
      </c>
      <c r="C158" s="1" t="s">
        <v>1198</v>
      </c>
      <c r="D158" s="1" t="s">
        <v>5000</v>
      </c>
      <c r="E158" s="1" t="s">
        <v>5685</v>
      </c>
      <c r="F158" s="1" t="s">
        <v>5686</v>
      </c>
      <c r="G158" s="3"/>
      <c r="H158" s="3"/>
      <c r="I158" s="1" t="s">
        <v>4742</v>
      </c>
      <c r="J158" s="1" t="s">
        <v>5833</v>
      </c>
      <c r="L158" s="3"/>
      <c r="M158" s="3"/>
      <c r="N158" s="3"/>
      <c r="O158" s="3"/>
      <c r="P158" s="1">
        <v>1.2292409E8</v>
      </c>
      <c r="Q158" s="1" t="b">
        <v>1</v>
      </c>
      <c r="R158" s="1">
        <v>63.0</v>
      </c>
      <c r="S158" s="1" t="s">
        <v>4885</v>
      </c>
      <c r="T158" s="3"/>
      <c r="U158" s="1" t="s">
        <v>4672</v>
      </c>
      <c r="V158" s="1" t="s">
        <v>4673</v>
      </c>
      <c r="W158" s="1" t="s">
        <v>5834</v>
      </c>
      <c r="X158" s="1" t="b">
        <v>0</v>
      </c>
      <c r="Y158" s="1" t="s">
        <v>4675</v>
      </c>
      <c r="Z158" s="1" t="s">
        <v>5835</v>
      </c>
      <c r="AB158" s="1" t="s">
        <v>4677</v>
      </c>
      <c r="AC158" s="1" t="s">
        <v>4896</v>
      </c>
      <c r="AD158" s="1" t="s">
        <v>4679</v>
      </c>
      <c r="AE158" s="1" t="s">
        <v>5836</v>
      </c>
      <c r="AF158" s="1" t="s">
        <v>5054</v>
      </c>
      <c r="AG158" s="1" t="s">
        <v>4682</v>
      </c>
      <c r="AH158" s="1">
        <v>10.0</v>
      </c>
      <c r="AI158" s="1" t="b">
        <v>0</v>
      </c>
      <c r="AJ158" s="1" t="b">
        <v>0</v>
      </c>
      <c r="AK158" s="1" t="s">
        <v>5837</v>
      </c>
      <c r="AL158" s="1" t="s">
        <v>4684</v>
      </c>
      <c r="AM158" s="1" t="s">
        <v>4685</v>
      </c>
      <c r="AN158" s="1" t="s">
        <v>4686</v>
      </c>
      <c r="AO158" s="1" t="s">
        <v>5835</v>
      </c>
      <c r="AP158" s="1" t="s">
        <v>4687</v>
      </c>
      <c r="AQ158" s="1" t="s">
        <v>4688</v>
      </c>
      <c r="AR158" s="1">
        <v>53.0</v>
      </c>
      <c r="AS158" s="3"/>
      <c r="AT158" s="3"/>
      <c r="AU158" s="3"/>
      <c r="AV158" s="3"/>
      <c r="AW158" s="3"/>
      <c r="AX158" s="3"/>
      <c r="AY158" s="3"/>
      <c r="AZ158" s="3"/>
      <c r="BA158" s="3"/>
      <c r="BB158" s="3"/>
      <c r="BC158" s="3"/>
      <c r="BD158" s="3"/>
      <c r="BE158" s="1" t="b">
        <v>1</v>
      </c>
      <c r="BF158" s="3"/>
      <c r="BG158" s="3"/>
      <c r="BH158" s="3"/>
      <c r="BI158" s="3"/>
      <c r="BJ158" s="3"/>
      <c r="BK158" s="3"/>
      <c r="BL158" s="3"/>
    </row>
    <row r="159">
      <c r="A159" s="1" t="s">
        <v>1096</v>
      </c>
      <c r="B159" s="1" t="s">
        <v>1095</v>
      </c>
      <c r="C159" s="1" t="s">
        <v>1095</v>
      </c>
      <c r="D159" s="1" t="s">
        <v>4696</v>
      </c>
      <c r="E159" s="1" t="s">
        <v>5838</v>
      </c>
      <c r="F159" s="1" t="s">
        <v>5839</v>
      </c>
      <c r="G159" s="3"/>
      <c r="H159" s="1" t="s">
        <v>4861</v>
      </c>
      <c r="I159" s="1" t="s">
        <v>4742</v>
      </c>
      <c r="J159" s="1" t="s">
        <v>5840</v>
      </c>
      <c r="K159" s="3">
        <f>+821062939767</f>
        <v>821062939767</v>
      </c>
      <c r="L159" s="3"/>
      <c r="M159" s="3"/>
      <c r="N159" s="3"/>
      <c r="O159" s="3"/>
      <c r="P159" s="1">
        <v>1.09951888E8</v>
      </c>
      <c r="Q159" s="1" t="b">
        <v>1</v>
      </c>
      <c r="R159" s="1">
        <v>161.0</v>
      </c>
      <c r="S159" s="1" t="s">
        <v>4752</v>
      </c>
      <c r="T159" s="3"/>
      <c r="U159" s="1" t="s">
        <v>4672</v>
      </c>
      <c r="V159" s="1" t="s">
        <v>4673</v>
      </c>
      <c r="W159" s="1" t="s">
        <v>5841</v>
      </c>
      <c r="X159" s="1" t="b">
        <v>0</v>
      </c>
      <c r="Y159" s="1" t="s">
        <v>4675</v>
      </c>
      <c r="Z159" s="1" t="s">
        <v>5842</v>
      </c>
      <c r="AB159" s="1" t="s">
        <v>4677</v>
      </c>
      <c r="AC159" s="1" t="s">
        <v>4678</v>
      </c>
      <c r="AD159" s="1" t="s">
        <v>4679</v>
      </c>
      <c r="AE159" s="1" t="s">
        <v>5843</v>
      </c>
      <c r="AF159" s="1" t="s">
        <v>4681</v>
      </c>
      <c r="AG159" s="1" t="s">
        <v>4682</v>
      </c>
      <c r="AH159" s="1">
        <v>7.0</v>
      </c>
      <c r="AI159" s="1" t="b">
        <v>0</v>
      </c>
      <c r="AJ159" s="1" t="b">
        <v>0</v>
      </c>
      <c r="AK159" s="1" t="s">
        <v>5844</v>
      </c>
      <c r="AL159" s="1" t="s">
        <v>4719</v>
      </c>
      <c r="AM159" s="1" t="s">
        <v>4685</v>
      </c>
      <c r="AN159" s="1" t="s">
        <v>4720</v>
      </c>
      <c r="AO159" s="1" t="s">
        <v>5842</v>
      </c>
      <c r="AP159" s="1" t="s">
        <v>4721</v>
      </c>
      <c r="AQ159" s="1" t="s">
        <v>4722</v>
      </c>
      <c r="AR159" s="1">
        <v>154.0</v>
      </c>
      <c r="AS159" s="3"/>
      <c r="AT159" s="3"/>
      <c r="AU159" s="4" t="s">
        <v>4934</v>
      </c>
      <c r="AW159" s="3"/>
      <c r="AX159" s="3"/>
      <c r="AY159" s="1" t="s">
        <v>4761</v>
      </c>
      <c r="AZ159" s="3"/>
      <c r="BA159" s="3"/>
      <c r="BB159" s="3"/>
      <c r="BC159" s="3"/>
      <c r="BD159" s="3"/>
      <c r="BE159" s="1" t="b">
        <v>1</v>
      </c>
      <c r="BF159" s="1" t="s">
        <v>4761</v>
      </c>
      <c r="BG159" s="3"/>
      <c r="BH159" s="3"/>
      <c r="BI159" s="3"/>
      <c r="BJ159" s="3"/>
      <c r="BK159" s="4" t="s">
        <v>4695</v>
      </c>
      <c r="BL159" s="1" t="s">
        <v>4723</v>
      </c>
    </row>
    <row r="160">
      <c r="A160" s="1" t="s">
        <v>1542</v>
      </c>
      <c r="B160" s="1" t="s">
        <v>1541</v>
      </c>
      <c r="C160" s="1" t="s">
        <v>1541</v>
      </c>
      <c r="D160" s="1" t="s">
        <v>4772</v>
      </c>
      <c r="E160" s="1" t="s">
        <v>5845</v>
      </c>
      <c r="F160" s="1" t="s">
        <v>5846</v>
      </c>
      <c r="G160" s="3"/>
      <c r="H160" s="1" t="s">
        <v>4861</v>
      </c>
      <c r="I160" s="1" t="s">
        <v>5819</v>
      </c>
      <c r="J160" s="1" t="s">
        <v>5847</v>
      </c>
      <c r="K160" s="3">
        <f>+821066864651</f>
        <v>821066864651</v>
      </c>
      <c r="L160" s="3"/>
      <c r="M160" s="3"/>
      <c r="N160" s="3"/>
      <c r="O160" s="3"/>
      <c r="P160" s="1">
        <v>1.11070366E8</v>
      </c>
      <c r="Q160" s="1" t="b">
        <v>1</v>
      </c>
      <c r="R160" s="1">
        <v>177.0</v>
      </c>
      <c r="S160" s="1" t="s">
        <v>4885</v>
      </c>
      <c r="T160" s="3"/>
      <c r="U160" s="1" t="s">
        <v>4672</v>
      </c>
      <c r="V160" s="1" t="s">
        <v>4673</v>
      </c>
      <c r="W160" s="1" t="s">
        <v>5848</v>
      </c>
      <c r="X160" s="1" t="b">
        <v>0</v>
      </c>
      <c r="Y160" s="1" t="s">
        <v>4675</v>
      </c>
      <c r="Z160" s="1" t="s">
        <v>5849</v>
      </c>
      <c r="AB160" s="1" t="s">
        <v>4677</v>
      </c>
      <c r="AC160" s="1" t="s">
        <v>4678</v>
      </c>
      <c r="AD160" s="1" t="s">
        <v>5432</v>
      </c>
      <c r="AE160" s="1" t="s">
        <v>5849</v>
      </c>
      <c r="AF160" s="1" t="s">
        <v>4757</v>
      </c>
      <c r="AG160" s="1" t="s">
        <v>4758</v>
      </c>
      <c r="AH160" s="1">
        <v>66.0</v>
      </c>
      <c r="AI160" s="1" t="b">
        <v>0</v>
      </c>
      <c r="AJ160" s="1" t="b">
        <v>0</v>
      </c>
      <c r="AK160" s="1" t="s">
        <v>5850</v>
      </c>
      <c r="AL160" s="1" t="s">
        <v>4719</v>
      </c>
      <c r="AM160" s="1" t="s">
        <v>4685</v>
      </c>
      <c r="AN160" s="1" t="s">
        <v>4686</v>
      </c>
      <c r="AO160" s="1" t="s">
        <v>5851</v>
      </c>
      <c r="AP160" s="1" t="s">
        <v>4687</v>
      </c>
      <c r="AQ160" s="1" t="s">
        <v>4688</v>
      </c>
      <c r="AR160" s="1">
        <v>111.0</v>
      </c>
      <c r="AS160" s="3"/>
      <c r="AT160" s="3"/>
      <c r="AU160" s="4" t="s">
        <v>5852</v>
      </c>
      <c r="BE160" s="1" t="b">
        <v>1</v>
      </c>
      <c r="BF160" s="3"/>
      <c r="BG160" s="3"/>
      <c r="BH160" s="3"/>
      <c r="BI160" s="3"/>
      <c r="BJ160" s="3"/>
      <c r="BK160" s="4" t="s">
        <v>4780</v>
      </c>
    </row>
    <row r="161">
      <c r="A161" s="1" t="s">
        <v>496</v>
      </c>
      <c r="B161" s="1" t="s">
        <v>494</v>
      </c>
      <c r="C161" s="1" t="s">
        <v>494</v>
      </c>
      <c r="D161" s="1" t="s">
        <v>4711</v>
      </c>
      <c r="E161" s="1" t="s">
        <v>5853</v>
      </c>
      <c r="F161" s="1" t="s">
        <v>5854</v>
      </c>
      <c r="G161" s="3"/>
      <c r="H161" s="3"/>
      <c r="I161" s="3"/>
      <c r="J161" s="1" t="s">
        <v>5855</v>
      </c>
      <c r="L161" s="3"/>
      <c r="M161" s="3"/>
      <c r="N161" s="3"/>
      <c r="O161" s="3"/>
      <c r="P161" s="1">
        <v>1.12107029E8</v>
      </c>
      <c r="Q161" s="1" t="b">
        <v>1</v>
      </c>
      <c r="R161" s="1">
        <v>5.0</v>
      </c>
      <c r="S161" s="1" t="s">
        <v>4752</v>
      </c>
      <c r="T161" s="3"/>
      <c r="U161" s="1" t="s">
        <v>4672</v>
      </c>
      <c r="V161" s="1" t="s">
        <v>4673</v>
      </c>
      <c r="W161" s="1" t="s">
        <v>5856</v>
      </c>
      <c r="X161" s="1" t="b">
        <v>0</v>
      </c>
      <c r="Y161" s="1" t="s">
        <v>5087</v>
      </c>
      <c r="Z161" s="1" t="s">
        <v>5857</v>
      </c>
      <c r="AB161" s="3"/>
      <c r="AC161" s="3"/>
      <c r="AD161" s="3"/>
      <c r="AE161" s="3"/>
      <c r="AF161" s="3"/>
      <c r="AG161" s="3"/>
      <c r="AH161" s="3"/>
      <c r="AI161" s="1" t="b">
        <v>0</v>
      </c>
      <c r="AJ161" s="1" t="b">
        <v>0</v>
      </c>
      <c r="AK161" s="1" t="s">
        <v>5857</v>
      </c>
      <c r="AL161" s="1" t="s">
        <v>5204</v>
      </c>
      <c r="AM161" s="1" t="s">
        <v>4685</v>
      </c>
      <c r="AN161" s="1" t="s">
        <v>4720</v>
      </c>
      <c r="AO161" s="1" t="s">
        <v>5857</v>
      </c>
      <c r="AP161" s="1" t="s">
        <v>4721</v>
      </c>
      <c r="AQ161" s="1" t="s">
        <v>4722</v>
      </c>
      <c r="AR161" s="1">
        <v>5.0</v>
      </c>
      <c r="AS161" s="3"/>
      <c r="AT161" s="3"/>
      <c r="AU161" s="3"/>
      <c r="AV161" s="3"/>
      <c r="AW161" s="3"/>
      <c r="AX161" s="3"/>
      <c r="AY161" s="3"/>
      <c r="AZ161" s="3"/>
      <c r="BA161" s="3"/>
      <c r="BB161" s="3"/>
      <c r="BC161" s="3"/>
      <c r="BD161" s="3"/>
      <c r="BE161" s="1" t="b">
        <v>1</v>
      </c>
      <c r="BF161" s="3"/>
      <c r="BG161" s="3"/>
      <c r="BH161" s="3"/>
      <c r="BI161" s="3"/>
      <c r="BJ161" s="3"/>
      <c r="BK161" s="3"/>
      <c r="BL161" s="1" t="s">
        <v>4723</v>
      </c>
    </row>
    <row r="162">
      <c r="A162" s="1" t="s">
        <v>1354</v>
      </c>
      <c r="B162" s="1" t="s">
        <v>1353</v>
      </c>
      <c r="C162" s="3"/>
      <c r="D162" s="3"/>
      <c r="E162" s="3"/>
      <c r="F162" s="3"/>
      <c r="G162" s="3"/>
      <c r="H162" s="3"/>
      <c r="I162" s="3"/>
      <c r="J162" s="3"/>
      <c r="K162" s="3"/>
      <c r="L162" s="3"/>
      <c r="M162" s="3"/>
      <c r="N162" s="3"/>
      <c r="O162" s="3"/>
      <c r="P162" s="1" t="s">
        <v>5858</v>
      </c>
      <c r="Q162" s="1" t="b">
        <v>0</v>
      </c>
      <c r="R162" s="1">
        <v>2.0</v>
      </c>
      <c r="S162" s="1" t="s">
        <v>5859</v>
      </c>
      <c r="T162" s="3"/>
      <c r="U162" s="1" t="s">
        <v>4672</v>
      </c>
      <c r="V162" s="1" t="s">
        <v>4673</v>
      </c>
      <c r="W162" s="1" t="s">
        <v>5860</v>
      </c>
      <c r="X162" s="1" t="b">
        <v>0</v>
      </c>
      <c r="Y162" s="1" t="s">
        <v>4675</v>
      </c>
      <c r="Z162" s="1" t="s">
        <v>5861</v>
      </c>
      <c r="AB162" s="3"/>
      <c r="AC162" s="3"/>
      <c r="AD162" s="3"/>
      <c r="AE162" s="3"/>
      <c r="AF162" s="3"/>
      <c r="AG162" s="3"/>
      <c r="AH162" s="3"/>
      <c r="AI162" s="1" t="b">
        <v>0</v>
      </c>
      <c r="AJ162" s="1" t="b">
        <v>0</v>
      </c>
      <c r="AK162" s="1" t="s">
        <v>5861</v>
      </c>
      <c r="AL162" s="1" t="s">
        <v>4707</v>
      </c>
      <c r="AM162" s="1" t="s">
        <v>4708</v>
      </c>
      <c r="AN162" s="1" t="s">
        <v>4686</v>
      </c>
      <c r="AO162" s="1" t="s">
        <v>5861</v>
      </c>
      <c r="AP162" s="1" t="s">
        <v>4709</v>
      </c>
      <c r="AQ162" s="1" t="s">
        <v>4688</v>
      </c>
      <c r="AR162" s="1">
        <v>2.0</v>
      </c>
      <c r="AS162" s="3"/>
      <c r="AT162" s="3"/>
      <c r="AU162" s="3"/>
      <c r="AV162" s="3"/>
      <c r="AW162" s="3"/>
      <c r="AX162" s="3"/>
      <c r="AY162" s="3"/>
      <c r="AZ162" s="3"/>
      <c r="BA162" s="3"/>
      <c r="BB162" s="3"/>
      <c r="BC162" s="3"/>
      <c r="BD162" s="3"/>
      <c r="BE162" s="1" t="b">
        <v>1</v>
      </c>
      <c r="BF162" s="3"/>
      <c r="BG162" s="3"/>
      <c r="BH162" s="3"/>
      <c r="BI162" s="3"/>
      <c r="BJ162" s="3"/>
      <c r="BK162" s="3"/>
      <c r="BL162" s="3"/>
    </row>
    <row r="163">
      <c r="A163" s="1" t="s">
        <v>459</v>
      </c>
      <c r="B163" s="1" t="s">
        <v>458</v>
      </c>
      <c r="C163" s="1" t="s">
        <v>458</v>
      </c>
      <c r="D163" s="1" t="s">
        <v>4724</v>
      </c>
      <c r="E163" s="1" t="s">
        <v>5862</v>
      </c>
      <c r="F163" s="1" t="s">
        <v>5863</v>
      </c>
      <c r="G163" s="3"/>
      <c r="H163" s="3"/>
      <c r="I163" s="3"/>
      <c r="J163" s="1" t="s">
        <v>5864</v>
      </c>
      <c r="K163" s="3">
        <f>+821025193420</f>
        <v>821025193420</v>
      </c>
      <c r="L163" s="3"/>
      <c r="M163" s="3"/>
      <c r="N163" s="3"/>
      <c r="O163" s="3"/>
      <c r="P163" s="1">
        <v>1.22991546E8</v>
      </c>
      <c r="Q163" s="1" t="b">
        <v>1</v>
      </c>
      <c r="R163" s="1">
        <v>2.0</v>
      </c>
      <c r="S163" s="1" t="s">
        <v>5332</v>
      </c>
      <c r="T163" s="3"/>
      <c r="U163" s="1" t="s">
        <v>4672</v>
      </c>
      <c r="V163" s="1" t="s">
        <v>4673</v>
      </c>
      <c r="W163" s="1" t="s">
        <v>5865</v>
      </c>
      <c r="X163" s="1" t="b">
        <v>0</v>
      </c>
      <c r="Y163" s="1" t="s">
        <v>5087</v>
      </c>
      <c r="Z163" s="1" t="s">
        <v>5866</v>
      </c>
      <c r="AB163" s="3"/>
      <c r="AC163" s="3"/>
      <c r="AD163" s="3"/>
      <c r="AE163" s="3"/>
      <c r="AF163" s="3"/>
      <c r="AG163" s="3"/>
      <c r="AH163" s="3"/>
      <c r="AI163" s="1" t="b">
        <v>0</v>
      </c>
      <c r="AJ163" s="1" t="b">
        <v>0</v>
      </c>
      <c r="AK163" s="1" t="s">
        <v>5867</v>
      </c>
      <c r="AL163" s="1" t="s">
        <v>5868</v>
      </c>
      <c r="AM163" s="1" t="s">
        <v>5135</v>
      </c>
      <c r="AN163" s="1" t="s">
        <v>4720</v>
      </c>
      <c r="AO163" s="1" t="s">
        <v>5866</v>
      </c>
      <c r="AP163" s="1" t="s">
        <v>4721</v>
      </c>
      <c r="AQ163" s="1" t="s">
        <v>4722</v>
      </c>
      <c r="AR163" s="1">
        <v>2.0</v>
      </c>
      <c r="AS163" s="3"/>
      <c r="AT163" s="3"/>
      <c r="AU163" s="4" t="s">
        <v>4695</v>
      </c>
      <c r="AW163" s="3"/>
      <c r="AX163" s="3"/>
      <c r="AY163" s="3"/>
      <c r="AZ163" s="3"/>
      <c r="BA163" s="3"/>
      <c r="BB163" s="3"/>
      <c r="BC163" s="3"/>
      <c r="BD163" s="3"/>
      <c r="BE163" s="1" t="b">
        <v>1</v>
      </c>
      <c r="BF163" s="3"/>
      <c r="BG163" s="3"/>
      <c r="BH163" s="3"/>
      <c r="BI163" s="3"/>
      <c r="BJ163" s="3"/>
      <c r="BK163" s="4" t="s">
        <v>4695</v>
      </c>
    </row>
    <row r="164">
      <c r="A164" s="1" t="s">
        <v>1181</v>
      </c>
      <c r="B164" s="1" t="s">
        <v>1180</v>
      </c>
      <c r="C164" s="3"/>
      <c r="D164" s="3"/>
      <c r="E164" s="3"/>
      <c r="F164" s="3"/>
      <c r="G164" s="3"/>
      <c r="H164" s="3"/>
      <c r="I164" s="3"/>
      <c r="J164" s="3"/>
      <c r="K164" s="3"/>
      <c r="L164" s="3"/>
      <c r="M164" s="3"/>
      <c r="N164" s="3"/>
      <c r="O164" s="3"/>
      <c r="P164" s="1" t="s">
        <v>5869</v>
      </c>
      <c r="Q164" s="1" t="b">
        <v>0</v>
      </c>
      <c r="R164" s="1">
        <v>1.0</v>
      </c>
      <c r="S164" s="1" t="s">
        <v>5540</v>
      </c>
      <c r="T164" s="3"/>
      <c r="U164" s="1" t="s">
        <v>4672</v>
      </c>
      <c r="V164" s="1" t="s">
        <v>4673</v>
      </c>
      <c r="W164" s="1" t="s">
        <v>5870</v>
      </c>
      <c r="X164" s="1" t="b">
        <v>0</v>
      </c>
      <c r="Y164" s="1" t="s">
        <v>4675</v>
      </c>
      <c r="Z164" s="1" t="s">
        <v>5870</v>
      </c>
      <c r="AB164" s="3"/>
      <c r="AC164" s="3"/>
      <c r="AD164" s="3"/>
      <c r="AE164" s="3"/>
      <c r="AF164" s="3"/>
      <c r="AG164" s="3"/>
      <c r="AH164" s="3"/>
      <c r="AI164" s="1" t="b">
        <v>0</v>
      </c>
      <c r="AJ164" s="1" t="b">
        <v>0</v>
      </c>
      <c r="AK164" s="1" t="s">
        <v>5870</v>
      </c>
      <c r="AL164" s="1" t="s">
        <v>4719</v>
      </c>
      <c r="AM164" s="1" t="s">
        <v>4685</v>
      </c>
      <c r="AN164" s="1" t="s">
        <v>4686</v>
      </c>
      <c r="AO164" s="1" t="s">
        <v>5870</v>
      </c>
      <c r="AP164" s="1" t="s">
        <v>4687</v>
      </c>
      <c r="AQ164" s="1" t="s">
        <v>4688</v>
      </c>
      <c r="AR164" s="1">
        <v>1.0</v>
      </c>
      <c r="AS164" s="3"/>
      <c r="AT164" s="3"/>
      <c r="AU164" s="4" t="s">
        <v>4780</v>
      </c>
      <c r="AV164" s="1" t="s">
        <v>5871</v>
      </c>
      <c r="AW164" s="1" t="s">
        <v>5872</v>
      </c>
      <c r="AX164" s="1" t="s">
        <v>4692</v>
      </c>
      <c r="AY164" s="1" t="s">
        <v>4790</v>
      </c>
      <c r="AZ164" s="3"/>
      <c r="BA164" s="3"/>
      <c r="BB164" s="3"/>
      <c r="BC164" s="3"/>
      <c r="BD164" s="3"/>
      <c r="BE164" s="1" t="b">
        <v>1</v>
      </c>
      <c r="BF164" s="1" t="s">
        <v>4790</v>
      </c>
      <c r="BG164" s="1" t="s">
        <v>4692</v>
      </c>
      <c r="BH164" s="1" t="s">
        <v>5871</v>
      </c>
      <c r="BI164" s="1" t="s">
        <v>5872</v>
      </c>
      <c r="BJ164" s="3"/>
      <c r="BK164" s="4" t="s">
        <v>4780</v>
      </c>
    </row>
    <row r="165">
      <c r="A165" s="1" t="s">
        <v>1281</v>
      </c>
      <c r="B165" s="1" t="s">
        <v>1279</v>
      </c>
      <c r="C165" s="1" t="s">
        <v>1279</v>
      </c>
      <c r="D165" s="1" t="s">
        <v>4696</v>
      </c>
      <c r="E165" s="1" t="s">
        <v>5873</v>
      </c>
      <c r="F165" s="1" t="s">
        <v>5874</v>
      </c>
      <c r="G165" s="3"/>
      <c r="H165" s="1" t="s">
        <v>4861</v>
      </c>
      <c r="I165" s="1" t="s">
        <v>4742</v>
      </c>
      <c r="J165" s="1" t="s">
        <v>5875</v>
      </c>
      <c r="K165" s="3">
        <f>+821054275718</f>
        <v>821054275718</v>
      </c>
      <c r="L165" s="3"/>
      <c r="M165" s="3"/>
      <c r="N165" s="3"/>
      <c r="O165" s="3"/>
      <c r="P165" s="1">
        <v>1.10199167E8</v>
      </c>
      <c r="Q165" s="1" t="b">
        <v>1</v>
      </c>
      <c r="R165" s="1">
        <v>328.0</v>
      </c>
      <c r="S165" s="1" t="s">
        <v>4744</v>
      </c>
      <c r="T165" s="3"/>
      <c r="U165" s="1" t="s">
        <v>4672</v>
      </c>
      <c r="V165" s="1" t="s">
        <v>4673</v>
      </c>
      <c r="W165" s="1" t="s">
        <v>5876</v>
      </c>
      <c r="X165" s="1" t="b">
        <v>0</v>
      </c>
      <c r="Y165" s="1" t="s">
        <v>4675</v>
      </c>
      <c r="Z165" s="1" t="s">
        <v>5877</v>
      </c>
      <c r="AB165" s="1" t="s">
        <v>4677</v>
      </c>
      <c r="AC165" s="1" t="s">
        <v>4678</v>
      </c>
      <c r="AD165" s="1" t="s">
        <v>4679</v>
      </c>
      <c r="AE165" s="1" t="s">
        <v>5878</v>
      </c>
      <c r="AF165" s="1" t="s">
        <v>4681</v>
      </c>
      <c r="AG165" s="1" t="s">
        <v>4682</v>
      </c>
      <c r="AH165" s="1">
        <v>77.0</v>
      </c>
      <c r="AI165" s="1" t="b">
        <v>0</v>
      </c>
      <c r="AJ165" s="1" t="b">
        <v>0</v>
      </c>
      <c r="AK165" s="1" t="s">
        <v>5879</v>
      </c>
      <c r="AL165" s="1" t="s">
        <v>4684</v>
      </c>
      <c r="AM165" s="1" t="s">
        <v>4685</v>
      </c>
      <c r="AN165" s="1" t="s">
        <v>4686</v>
      </c>
      <c r="AO165" s="1" t="s">
        <v>5877</v>
      </c>
      <c r="AP165" s="1" t="s">
        <v>4687</v>
      </c>
      <c r="AQ165" s="1" t="s">
        <v>4688</v>
      </c>
      <c r="AR165" s="1">
        <v>251.0</v>
      </c>
      <c r="AS165" s="3"/>
      <c r="AT165" s="3"/>
      <c r="AU165" s="4" t="s">
        <v>4695</v>
      </c>
      <c r="AW165" s="3"/>
      <c r="AX165" s="3"/>
      <c r="AY165" s="1" t="s">
        <v>4761</v>
      </c>
      <c r="AZ165" s="3"/>
      <c r="BA165" s="3"/>
      <c r="BB165" s="3"/>
      <c r="BC165" s="3"/>
      <c r="BD165" s="3"/>
      <c r="BE165" s="1" t="b">
        <v>1</v>
      </c>
      <c r="BF165" s="1" t="s">
        <v>4761</v>
      </c>
      <c r="BG165" s="3"/>
      <c r="BH165" s="3"/>
      <c r="BI165" s="3"/>
      <c r="BJ165" s="3"/>
      <c r="BK165" s="4" t="s">
        <v>4695</v>
      </c>
    </row>
    <row r="166">
      <c r="A166" s="1" t="s">
        <v>976</v>
      </c>
      <c r="B166" s="1" t="s">
        <v>284</v>
      </c>
      <c r="C166" s="1" t="s">
        <v>284</v>
      </c>
      <c r="D166" s="1" t="s">
        <v>4696</v>
      </c>
      <c r="E166" s="1" t="s">
        <v>5880</v>
      </c>
      <c r="F166" s="1" t="s">
        <v>5881</v>
      </c>
      <c r="G166" s="3"/>
      <c r="H166" s="1" t="s">
        <v>4861</v>
      </c>
      <c r="I166" s="1" t="s">
        <v>4742</v>
      </c>
      <c r="J166" s="1" t="s">
        <v>5882</v>
      </c>
      <c r="K166" s="3">
        <f>+821052448844</f>
        <v>821052448844</v>
      </c>
      <c r="L166" s="3"/>
      <c r="M166" s="3"/>
      <c r="N166" s="3"/>
      <c r="O166" s="3"/>
      <c r="P166" s="1">
        <v>1.16919193E8</v>
      </c>
      <c r="Q166" s="1" t="b">
        <v>1</v>
      </c>
      <c r="R166" s="1">
        <v>264.0</v>
      </c>
      <c r="S166" s="1" t="s">
        <v>4752</v>
      </c>
      <c r="T166" s="3"/>
      <c r="U166" s="1" t="s">
        <v>4672</v>
      </c>
      <c r="V166" s="1" t="s">
        <v>4673</v>
      </c>
      <c r="W166" s="1" t="s">
        <v>5883</v>
      </c>
      <c r="X166" s="1" t="b">
        <v>0</v>
      </c>
      <c r="Y166" s="1" t="s">
        <v>4675</v>
      </c>
      <c r="Z166" s="1" t="s">
        <v>5884</v>
      </c>
      <c r="AB166" s="3"/>
      <c r="AC166" s="3"/>
      <c r="AD166" s="3"/>
      <c r="AE166" s="3"/>
      <c r="AF166" s="3"/>
      <c r="AG166" s="3"/>
      <c r="AH166" s="3"/>
      <c r="AI166" s="1" t="b">
        <v>0</v>
      </c>
      <c r="AJ166" s="1" t="b">
        <v>0</v>
      </c>
      <c r="AK166" s="1" t="s">
        <v>5885</v>
      </c>
      <c r="AL166" s="1" t="s">
        <v>4719</v>
      </c>
      <c r="AM166" s="1" t="s">
        <v>4685</v>
      </c>
      <c r="AN166" s="1" t="s">
        <v>4686</v>
      </c>
      <c r="AO166" s="1" t="s">
        <v>5884</v>
      </c>
      <c r="AP166" s="1" t="s">
        <v>4687</v>
      </c>
      <c r="AQ166" s="1" t="s">
        <v>4688</v>
      </c>
      <c r="AR166" s="1">
        <v>264.0</v>
      </c>
      <c r="AS166" s="3"/>
      <c r="AT166" s="3"/>
      <c r="AU166" s="4" t="s">
        <v>4710</v>
      </c>
      <c r="AX166" s="3"/>
      <c r="AY166" s="3"/>
      <c r="AZ166" s="3"/>
      <c r="BA166" s="3"/>
      <c r="BB166" s="3"/>
      <c r="BC166" s="3"/>
      <c r="BD166" s="3"/>
      <c r="BE166" s="1" t="b">
        <v>1</v>
      </c>
      <c r="BF166" s="3"/>
      <c r="BG166" s="3"/>
      <c r="BH166" s="3"/>
      <c r="BI166" s="3"/>
      <c r="BJ166" s="3"/>
      <c r="BK166" s="4" t="s">
        <v>4710</v>
      </c>
    </row>
    <row r="167">
      <c r="A167" s="1" t="s">
        <v>1221</v>
      </c>
      <c r="B167" s="1" t="s">
        <v>1220</v>
      </c>
      <c r="C167" s="3"/>
      <c r="D167" s="3"/>
      <c r="E167" s="3"/>
      <c r="F167" s="3"/>
      <c r="G167" s="3"/>
      <c r="H167" s="3"/>
      <c r="I167" s="3"/>
      <c r="J167" s="3"/>
      <c r="K167" s="3"/>
      <c r="L167" s="3"/>
      <c r="M167" s="3"/>
      <c r="N167" s="3"/>
      <c r="O167" s="3"/>
      <c r="P167" s="1" t="s">
        <v>5886</v>
      </c>
      <c r="Q167" s="1" t="b">
        <v>0</v>
      </c>
      <c r="R167" s="1">
        <v>4.0</v>
      </c>
      <c r="S167" s="1" t="s">
        <v>4942</v>
      </c>
      <c r="U167" s="1" t="s">
        <v>4672</v>
      </c>
      <c r="V167" s="1" t="s">
        <v>4673</v>
      </c>
      <c r="W167" s="1" t="s">
        <v>5887</v>
      </c>
      <c r="X167" s="1" t="b">
        <v>0</v>
      </c>
      <c r="Y167" s="1" t="s">
        <v>4675</v>
      </c>
      <c r="Z167" s="1" t="s">
        <v>5888</v>
      </c>
      <c r="AB167" s="3"/>
      <c r="AC167" s="3"/>
      <c r="AD167" s="3"/>
      <c r="AE167" s="3"/>
      <c r="AF167" s="3"/>
      <c r="AG167" s="3"/>
      <c r="AH167" s="3"/>
      <c r="AI167" s="1" t="b">
        <v>0</v>
      </c>
      <c r="AJ167" s="1" t="b">
        <v>0</v>
      </c>
      <c r="AK167" s="1" t="s">
        <v>5889</v>
      </c>
      <c r="AL167" s="1" t="s">
        <v>5890</v>
      </c>
      <c r="AM167" s="1" t="s">
        <v>5286</v>
      </c>
      <c r="AN167" s="1" t="s">
        <v>5891</v>
      </c>
      <c r="AO167" s="1" t="s">
        <v>5888</v>
      </c>
      <c r="AP167" s="1" t="s">
        <v>4757</v>
      </c>
      <c r="AQ167" s="1" t="s">
        <v>4758</v>
      </c>
      <c r="AR167" s="1">
        <v>4.0</v>
      </c>
      <c r="AS167" s="3"/>
      <c r="AT167" s="3"/>
      <c r="AU167" s="4" t="s">
        <v>5287</v>
      </c>
      <c r="AV167" s="1" t="s">
        <v>4690</v>
      </c>
      <c r="AW167" s="1" t="s">
        <v>5892</v>
      </c>
      <c r="AX167" s="1" t="s">
        <v>5271</v>
      </c>
      <c r="AY167" s="1" t="s">
        <v>5272</v>
      </c>
      <c r="AZ167" s="1" t="s">
        <v>5893</v>
      </c>
      <c r="BB167" s="3"/>
      <c r="BC167" s="3"/>
      <c r="BD167" s="3"/>
      <c r="BE167" s="1" t="b">
        <v>1</v>
      </c>
      <c r="BF167" s="1" t="s">
        <v>5272</v>
      </c>
      <c r="BG167" s="1" t="s">
        <v>5271</v>
      </c>
      <c r="BH167" s="1" t="s">
        <v>5894</v>
      </c>
      <c r="BI167" s="1" t="s">
        <v>5895</v>
      </c>
      <c r="BJ167" s="1" t="s">
        <v>5896</v>
      </c>
      <c r="BK167" s="4" t="s">
        <v>5897</v>
      </c>
    </row>
    <row r="168">
      <c r="A168" s="1" t="s">
        <v>1965</v>
      </c>
      <c r="B168" s="1" t="s">
        <v>1964</v>
      </c>
      <c r="C168" s="1" t="s">
        <v>1964</v>
      </c>
      <c r="D168" s="1" t="s">
        <v>4711</v>
      </c>
      <c r="E168" s="1" t="s">
        <v>5898</v>
      </c>
      <c r="F168" s="1" t="s">
        <v>5899</v>
      </c>
      <c r="G168" s="3"/>
      <c r="H168" s="3"/>
      <c r="I168" s="1" t="s">
        <v>4742</v>
      </c>
      <c r="J168" s="1" t="s">
        <v>5900</v>
      </c>
      <c r="K168" s="3">
        <f>+821051022543</f>
        <v>821051022543</v>
      </c>
      <c r="L168" s="3"/>
      <c r="M168" s="3"/>
      <c r="N168" s="3"/>
      <c r="O168" s="3"/>
      <c r="P168" s="1">
        <v>2.086130159E9</v>
      </c>
      <c r="Q168" s="1" t="b">
        <v>1</v>
      </c>
      <c r="R168" s="1">
        <v>111.0</v>
      </c>
      <c r="S168" s="1" t="s">
        <v>4765</v>
      </c>
      <c r="T168" s="3"/>
      <c r="U168" s="1" t="s">
        <v>4672</v>
      </c>
      <c r="V168" s="1" t="s">
        <v>4673</v>
      </c>
      <c r="W168" s="1" t="s">
        <v>5901</v>
      </c>
      <c r="X168" s="1" t="b">
        <v>0</v>
      </c>
      <c r="Y168" s="1" t="s">
        <v>4675</v>
      </c>
      <c r="Z168" s="1" t="s">
        <v>5902</v>
      </c>
      <c r="AB168" s="1" t="s">
        <v>4677</v>
      </c>
      <c r="AC168" s="1" t="s">
        <v>4678</v>
      </c>
      <c r="AD168" s="1" t="s">
        <v>4679</v>
      </c>
      <c r="AE168" s="1" t="s">
        <v>5902</v>
      </c>
      <c r="AF168" s="1" t="s">
        <v>4681</v>
      </c>
      <c r="AG168" s="1" t="s">
        <v>4682</v>
      </c>
      <c r="AH168" s="1">
        <v>23.0</v>
      </c>
      <c r="AI168" s="1" t="b">
        <v>0</v>
      </c>
      <c r="AJ168" s="1" t="b">
        <v>0</v>
      </c>
      <c r="AK168" s="1" t="s">
        <v>5903</v>
      </c>
      <c r="AL168" s="1" t="s">
        <v>4719</v>
      </c>
      <c r="AM168" s="1" t="s">
        <v>4685</v>
      </c>
      <c r="AN168" s="1" t="s">
        <v>4686</v>
      </c>
      <c r="AO168" s="1" t="s">
        <v>5904</v>
      </c>
      <c r="AP168" s="1" t="s">
        <v>4687</v>
      </c>
      <c r="AQ168" s="1" t="s">
        <v>4688</v>
      </c>
      <c r="AR168" s="1">
        <v>88.0</v>
      </c>
      <c r="AS168" s="3"/>
      <c r="AT168" s="3"/>
      <c r="AU168" s="4" t="s">
        <v>4695</v>
      </c>
      <c r="AW168" s="3"/>
      <c r="AX168" s="3"/>
      <c r="AY168" s="3"/>
      <c r="AZ168" s="3"/>
      <c r="BA168" s="3"/>
      <c r="BB168" s="3"/>
      <c r="BC168" s="3"/>
      <c r="BD168" s="3"/>
      <c r="BE168" s="1" t="b">
        <v>1</v>
      </c>
      <c r="BF168" s="3"/>
      <c r="BG168" s="3"/>
      <c r="BH168" s="3"/>
      <c r="BI168" s="3"/>
      <c r="BJ168" s="3"/>
      <c r="BK168" s="4" t="s">
        <v>4695</v>
      </c>
    </row>
    <row r="169">
      <c r="A169" s="1" t="s">
        <v>1568</v>
      </c>
      <c r="B169" s="1" t="s">
        <v>1567</v>
      </c>
      <c r="C169" s="1" t="s">
        <v>1567</v>
      </c>
      <c r="D169" s="1" t="s">
        <v>5092</v>
      </c>
      <c r="E169" s="1" t="s">
        <v>5905</v>
      </c>
      <c r="F169" s="1" t="s">
        <v>5906</v>
      </c>
      <c r="G169" s="3"/>
      <c r="H169" s="3"/>
      <c r="I169" s="1" t="s">
        <v>4669</v>
      </c>
      <c r="J169" s="1" t="s">
        <v>5907</v>
      </c>
      <c r="K169" s="3"/>
      <c r="L169" s="3"/>
      <c r="M169" s="3"/>
      <c r="N169" s="3"/>
      <c r="O169" s="3"/>
      <c r="P169" s="1">
        <v>1.12463228E8</v>
      </c>
      <c r="Q169" s="1" t="b">
        <v>1</v>
      </c>
      <c r="R169" s="1">
        <v>10.0</v>
      </c>
      <c r="S169" s="1" t="s">
        <v>4805</v>
      </c>
      <c r="T169" s="3"/>
      <c r="U169" s="1" t="s">
        <v>4672</v>
      </c>
      <c r="V169" s="1" t="s">
        <v>4673</v>
      </c>
      <c r="W169" s="1" t="s">
        <v>5908</v>
      </c>
      <c r="X169" s="1" t="b">
        <v>0</v>
      </c>
      <c r="Y169" s="1" t="s">
        <v>4675</v>
      </c>
      <c r="Z169" s="1" t="s">
        <v>5909</v>
      </c>
      <c r="AB169" s="1" t="s">
        <v>4677</v>
      </c>
      <c r="AC169" s="1" t="s">
        <v>4678</v>
      </c>
      <c r="AD169" s="1" t="s">
        <v>4679</v>
      </c>
      <c r="AE169" s="1" t="s">
        <v>5909</v>
      </c>
      <c r="AF169" s="1" t="s">
        <v>4854</v>
      </c>
      <c r="AG169" s="1" t="s">
        <v>4682</v>
      </c>
      <c r="AH169" s="1">
        <v>6.0</v>
      </c>
      <c r="AI169" s="1" t="b">
        <v>0</v>
      </c>
      <c r="AJ169" s="1" t="b">
        <v>0</v>
      </c>
      <c r="AK169" s="1" t="s">
        <v>5910</v>
      </c>
      <c r="AL169" s="1" t="s">
        <v>5645</v>
      </c>
      <c r="AM169" s="1" t="s">
        <v>4708</v>
      </c>
      <c r="AN169" s="1" t="s">
        <v>4686</v>
      </c>
      <c r="AO169" s="1" t="s">
        <v>5911</v>
      </c>
      <c r="AP169" s="1" t="s">
        <v>4709</v>
      </c>
      <c r="AQ169" s="1" t="s">
        <v>4688</v>
      </c>
      <c r="AR169" s="1">
        <v>4.0</v>
      </c>
      <c r="AS169" s="3"/>
      <c r="AT169" s="3"/>
      <c r="AU169" s="4" t="s">
        <v>4695</v>
      </c>
      <c r="AV169" s="1" t="s">
        <v>4788</v>
      </c>
      <c r="AW169" s="1" t="s">
        <v>4789</v>
      </c>
      <c r="AX169" s="1" t="s">
        <v>4692</v>
      </c>
      <c r="AY169" s="1" t="s">
        <v>4790</v>
      </c>
      <c r="AZ169" s="1" t="s">
        <v>4791</v>
      </c>
      <c r="BA169" s="3"/>
      <c r="BB169" s="3"/>
      <c r="BC169" s="3"/>
      <c r="BD169" s="3"/>
      <c r="BE169" s="1" t="b">
        <v>1</v>
      </c>
      <c r="BF169" s="1" t="s">
        <v>4790</v>
      </c>
      <c r="BG169" s="1" t="s">
        <v>4692</v>
      </c>
      <c r="BH169" s="1" t="s">
        <v>4788</v>
      </c>
      <c r="BI169" s="1" t="s">
        <v>4789</v>
      </c>
      <c r="BJ169" s="1" t="s">
        <v>4791</v>
      </c>
      <c r="BK169" s="4" t="s">
        <v>4780</v>
      </c>
    </row>
    <row r="170">
      <c r="A170" s="1" t="s">
        <v>993</v>
      </c>
      <c r="B170" s="1" t="s">
        <v>991</v>
      </c>
      <c r="C170" s="1" t="s">
        <v>991</v>
      </c>
      <c r="D170" s="1" t="s">
        <v>4711</v>
      </c>
      <c r="E170" s="1" t="s">
        <v>5912</v>
      </c>
      <c r="F170" s="1" t="s">
        <v>5913</v>
      </c>
      <c r="G170" s="3"/>
      <c r="H170" s="1" t="s">
        <v>3850</v>
      </c>
      <c r="I170" s="1" t="s">
        <v>4742</v>
      </c>
      <c r="J170" s="1" t="s">
        <v>5914</v>
      </c>
      <c r="K170" s="3">
        <f>+821076012433</f>
        <v>821076012433</v>
      </c>
      <c r="L170" s="3"/>
      <c r="M170" s="3"/>
      <c r="N170" s="3"/>
      <c r="O170" s="3"/>
      <c r="P170" s="1">
        <v>1.10117747E8</v>
      </c>
      <c r="Q170" s="1" t="b">
        <v>1</v>
      </c>
      <c r="R170" s="1">
        <v>886.0</v>
      </c>
      <c r="S170" s="1" t="s">
        <v>4805</v>
      </c>
      <c r="T170" s="3"/>
      <c r="U170" s="1" t="s">
        <v>4672</v>
      </c>
      <c r="V170" s="1" t="s">
        <v>4673</v>
      </c>
      <c r="W170" s="1" t="s">
        <v>5915</v>
      </c>
      <c r="X170" s="1" t="b">
        <v>0</v>
      </c>
      <c r="Y170" s="1" t="s">
        <v>4675</v>
      </c>
      <c r="Z170" s="1" t="s">
        <v>5916</v>
      </c>
      <c r="AB170" s="1" t="s">
        <v>4677</v>
      </c>
      <c r="AC170" s="1" t="s">
        <v>4678</v>
      </c>
      <c r="AD170" s="1" t="s">
        <v>4679</v>
      </c>
      <c r="AE170" s="1" t="s">
        <v>5916</v>
      </c>
      <c r="AF170" s="1" t="s">
        <v>5830</v>
      </c>
      <c r="AG170" s="1" t="s">
        <v>4682</v>
      </c>
      <c r="AH170" s="1">
        <v>133.0</v>
      </c>
      <c r="AI170" s="1" t="b">
        <v>0</v>
      </c>
      <c r="AJ170" s="1" t="b">
        <v>0</v>
      </c>
      <c r="AK170" s="1" t="s">
        <v>5917</v>
      </c>
      <c r="AL170" s="1" t="s">
        <v>4684</v>
      </c>
      <c r="AM170" s="1" t="s">
        <v>4685</v>
      </c>
      <c r="AN170" s="1" t="s">
        <v>4686</v>
      </c>
      <c r="AO170" s="1" t="s">
        <v>5918</v>
      </c>
      <c r="AP170" s="1" t="s">
        <v>4687</v>
      </c>
      <c r="AQ170" s="1" t="s">
        <v>4688</v>
      </c>
      <c r="AR170" s="1">
        <v>753.0</v>
      </c>
      <c r="AS170" s="3"/>
      <c r="AT170" s="3"/>
      <c r="AU170" s="4" t="s">
        <v>4695</v>
      </c>
      <c r="AW170" s="3"/>
      <c r="AX170" s="3"/>
      <c r="AY170" s="3"/>
      <c r="AZ170" s="3"/>
      <c r="BA170" s="3"/>
      <c r="BB170" s="3"/>
      <c r="BC170" s="3"/>
      <c r="BD170" s="3"/>
      <c r="BE170" s="1" t="b">
        <v>1</v>
      </c>
      <c r="BF170" s="3"/>
      <c r="BG170" s="3"/>
      <c r="BH170" s="3"/>
      <c r="BI170" s="3"/>
      <c r="BJ170" s="3"/>
      <c r="BK170" s="4" t="s">
        <v>4780</v>
      </c>
    </row>
    <row r="171">
      <c r="A171" s="1" t="s">
        <v>876</v>
      </c>
      <c r="B171" s="1" t="s">
        <v>875</v>
      </c>
      <c r="C171" s="1" t="s">
        <v>875</v>
      </c>
      <c r="D171" s="1" t="s">
        <v>4696</v>
      </c>
      <c r="E171" s="1" t="s">
        <v>5919</v>
      </c>
      <c r="F171" s="1" t="s">
        <v>5920</v>
      </c>
      <c r="G171" s="3"/>
      <c r="H171" s="3"/>
      <c r="I171" s="3"/>
      <c r="J171" s="1" t="s">
        <v>5921</v>
      </c>
      <c r="K171" s="3">
        <f>+821095404080</f>
        <v>821095404080</v>
      </c>
      <c r="L171" s="3"/>
      <c r="M171" s="3"/>
      <c r="N171" s="3"/>
      <c r="O171" s="3"/>
      <c r="P171" s="1">
        <v>1.14548724E8</v>
      </c>
      <c r="Q171" s="1" t="b">
        <v>1</v>
      </c>
      <c r="R171" s="1">
        <v>32.0</v>
      </c>
      <c r="S171" s="1" t="s">
        <v>5922</v>
      </c>
      <c r="T171" s="3"/>
      <c r="U171" s="1" t="s">
        <v>4672</v>
      </c>
      <c r="V171" s="1" t="s">
        <v>4673</v>
      </c>
      <c r="W171" s="1" t="s">
        <v>5923</v>
      </c>
      <c r="X171" s="1" t="b">
        <v>0</v>
      </c>
      <c r="Y171" s="1" t="s">
        <v>5087</v>
      </c>
      <c r="Z171" s="1" t="s">
        <v>5924</v>
      </c>
      <c r="AB171" s="1" t="s">
        <v>4677</v>
      </c>
      <c r="AC171" s="1" t="s">
        <v>4678</v>
      </c>
      <c r="AD171" s="1" t="s">
        <v>4679</v>
      </c>
      <c r="AE171" s="1" t="s">
        <v>5925</v>
      </c>
      <c r="AF171" s="1" t="s">
        <v>5830</v>
      </c>
      <c r="AG171" s="1" t="s">
        <v>4682</v>
      </c>
      <c r="AH171" s="1">
        <v>12.0</v>
      </c>
      <c r="AI171" s="1" t="b">
        <v>0</v>
      </c>
      <c r="AJ171" s="1" t="b">
        <v>0</v>
      </c>
      <c r="AK171" s="1" t="s">
        <v>5926</v>
      </c>
      <c r="AL171" s="1" t="s">
        <v>4719</v>
      </c>
      <c r="AM171" s="1" t="s">
        <v>4685</v>
      </c>
      <c r="AN171" s="1" t="s">
        <v>4720</v>
      </c>
      <c r="AO171" s="1" t="s">
        <v>5927</v>
      </c>
      <c r="AP171" s="1" t="s">
        <v>4721</v>
      </c>
      <c r="AQ171" s="1" t="s">
        <v>4722</v>
      </c>
      <c r="AR171" s="1">
        <v>20.0</v>
      </c>
      <c r="AS171" s="3"/>
      <c r="AT171" s="3"/>
      <c r="AU171" s="4" t="s">
        <v>4710</v>
      </c>
      <c r="AX171" s="3"/>
      <c r="AY171" s="3"/>
      <c r="AZ171" s="3"/>
      <c r="BA171" s="3"/>
      <c r="BB171" s="3"/>
      <c r="BC171" s="3"/>
      <c r="BD171" s="3"/>
      <c r="BE171" s="1" t="b">
        <v>1</v>
      </c>
      <c r="BF171" s="3"/>
      <c r="BG171" s="3"/>
      <c r="BH171" s="3"/>
      <c r="BI171" s="3"/>
      <c r="BJ171" s="3"/>
      <c r="BK171" s="4" t="s">
        <v>4710</v>
      </c>
      <c r="BL171" s="1" t="s">
        <v>4723</v>
      </c>
    </row>
    <row r="172">
      <c r="A172" s="1" t="s">
        <v>643</v>
      </c>
      <c r="B172" s="1" t="s">
        <v>642</v>
      </c>
      <c r="C172" s="1" t="s">
        <v>642</v>
      </c>
      <c r="D172" s="1" t="s">
        <v>4858</v>
      </c>
      <c r="E172" s="1" t="s">
        <v>5928</v>
      </c>
      <c r="F172" s="1" t="s">
        <v>5929</v>
      </c>
      <c r="G172" s="3"/>
      <c r="H172" s="3"/>
      <c r="I172" s="1" t="s">
        <v>5026</v>
      </c>
      <c r="J172" s="1" t="s">
        <v>5930</v>
      </c>
      <c r="K172" s="3">
        <f>+821035561268</f>
        <v>821035561268</v>
      </c>
      <c r="L172" s="3"/>
      <c r="M172" s="3"/>
      <c r="N172" s="3"/>
      <c r="O172" s="3"/>
      <c r="P172" s="1">
        <v>1.11385052E8</v>
      </c>
      <c r="Q172" s="1" t="b">
        <v>1</v>
      </c>
      <c r="R172" s="1">
        <v>74.0</v>
      </c>
      <c r="S172" s="1" t="s">
        <v>5429</v>
      </c>
      <c r="T172" s="3"/>
      <c r="U172" s="1" t="s">
        <v>4672</v>
      </c>
      <c r="V172" s="1" t="s">
        <v>4673</v>
      </c>
      <c r="W172" s="1" t="s">
        <v>5931</v>
      </c>
      <c r="X172" s="1" t="b">
        <v>0</v>
      </c>
      <c r="Y172" s="1" t="s">
        <v>4675</v>
      </c>
      <c r="Z172" s="1" t="s">
        <v>5932</v>
      </c>
      <c r="AB172" s="1" t="s">
        <v>4677</v>
      </c>
      <c r="AC172" s="1" t="s">
        <v>4678</v>
      </c>
      <c r="AD172" s="1" t="s">
        <v>4824</v>
      </c>
      <c r="AE172" s="1" t="s">
        <v>5933</v>
      </c>
      <c r="AF172" s="1" t="s">
        <v>4757</v>
      </c>
      <c r="AG172" s="1" t="s">
        <v>4758</v>
      </c>
      <c r="AH172" s="1">
        <v>2.0</v>
      </c>
      <c r="AI172" s="1" t="b">
        <v>0</v>
      </c>
      <c r="AJ172" s="1" t="b">
        <v>0</v>
      </c>
      <c r="AK172" s="1" t="s">
        <v>5934</v>
      </c>
      <c r="AL172" s="1" t="s">
        <v>4684</v>
      </c>
      <c r="AM172" s="1" t="s">
        <v>4685</v>
      </c>
      <c r="AN172" s="1" t="s">
        <v>4686</v>
      </c>
      <c r="AO172" s="1" t="s">
        <v>5932</v>
      </c>
      <c r="AP172" s="1" t="s">
        <v>4687</v>
      </c>
      <c r="AQ172" s="1" t="s">
        <v>4688</v>
      </c>
      <c r="AR172" s="1">
        <v>72.0</v>
      </c>
      <c r="AS172" s="3"/>
      <c r="AT172" s="3"/>
      <c r="AU172" s="4" t="s">
        <v>4880</v>
      </c>
      <c r="AW172" s="3"/>
      <c r="AX172" s="3"/>
      <c r="AY172" s="3"/>
      <c r="AZ172" s="3"/>
      <c r="BA172" s="3"/>
      <c r="BB172" s="3"/>
      <c r="BC172" s="3"/>
      <c r="BD172" s="3"/>
      <c r="BE172" s="1" t="b">
        <v>1</v>
      </c>
      <c r="BF172" s="3"/>
      <c r="BG172" s="3"/>
      <c r="BH172" s="3"/>
      <c r="BI172" s="3"/>
      <c r="BJ172" s="3"/>
      <c r="BK172" s="4" t="s">
        <v>4880</v>
      </c>
      <c r="BL172" s="1" t="s">
        <v>4723</v>
      </c>
    </row>
    <row r="173">
      <c r="A173" s="1" t="s">
        <v>615</v>
      </c>
      <c r="B173" s="1" t="s">
        <v>614</v>
      </c>
      <c r="C173" s="1" t="s">
        <v>614</v>
      </c>
      <c r="D173" s="1" t="s">
        <v>4696</v>
      </c>
      <c r="E173" s="1" t="s">
        <v>5935</v>
      </c>
      <c r="F173" s="1" t="s">
        <v>5936</v>
      </c>
      <c r="G173" s="3"/>
      <c r="H173" s="3"/>
      <c r="I173" s="3"/>
      <c r="J173" s="1" t="s">
        <v>5937</v>
      </c>
      <c r="L173" s="3"/>
      <c r="M173" s="3"/>
      <c r="N173" s="3"/>
      <c r="O173" s="3"/>
      <c r="P173" s="1">
        <v>1.15850778E8</v>
      </c>
      <c r="Q173" s="1" t="b">
        <v>1</v>
      </c>
      <c r="R173" s="1">
        <v>24.0</v>
      </c>
      <c r="S173" s="1" t="s">
        <v>5613</v>
      </c>
      <c r="T173" s="3"/>
      <c r="U173" s="1" t="s">
        <v>4672</v>
      </c>
      <c r="V173" s="1" t="s">
        <v>4673</v>
      </c>
      <c r="W173" s="1" t="s">
        <v>5938</v>
      </c>
      <c r="X173" s="1" t="b">
        <v>0</v>
      </c>
      <c r="Y173" s="1" t="s">
        <v>4675</v>
      </c>
      <c r="Z173" s="1" t="s">
        <v>5939</v>
      </c>
      <c r="AB173" s="1" t="s">
        <v>4677</v>
      </c>
      <c r="AC173" s="1" t="s">
        <v>4678</v>
      </c>
      <c r="AD173" s="1" t="s">
        <v>5940</v>
      </c>
      <c r="AE173" s="1" t="s">
        <v>5941</v>
      </c>
      <c r="AF173" s="1" t="s">
        <v>4757</v>
      </c>
      <c r="AG173" s="1" t="s">
        <v>4758</v>
      </c>
      <c r="AH173" s="1">
        <v>17.0</v>
      </c>
      <c r="AI173" s="1" t="b">
        <v>0</v>
      </c>
      <c r="AJ173" s="1" t="b">
        <v>0</v>
      </c>
      <c r="AK173" s="1" t="s">
        <v>5942</v>
      </c>
      <c r="AL173" s="1" t="s">
        <v>4719</v>
      </c>
      <c r="AM173" s="1" t="s">
        <v>4685</v>
      </c>
      <c r="AN173" s="1" t="s">
        <v>4686</v>
      </c>
      <c r="AO173" s="1" t="s">
        <v>5943</v>
      </c>
      <c r="AP173" s="1" t="s">
        <v>4687</v>
      </c>
      <c r="AQ173" s="1" t="s">
        <v>4688</v>
      </c>
      <c r="AR173" s="1">
        <v>7.0</v>
      </c>
      <c r="AS173" s="3"/>
      <c r="AT173" s="3"/>
      <c r="AU173" s="4" t="s">
        <v>4780</v>
      </c>
      <c r="AW173" s="3"/>
      <c r="AX173" s="3"/>
      <c r="AY173" s="3"/>
      <c r="AZ173" s="3"/>
      <c r="BA173" s="3"/>
      <c r="BB173" s="3"/>
      <c r="BC173" s="3"/>
      <c r="BD173" s="3"/>
      <c r="BE173" s="1" t="b">
        <v>1</v>
      </c>
      <c r="BF173" s="3"/>
      <c r="BG173" s="3"/>
      <c r="BH173" s="3"/>
      <c r="BI173" s="3"/>
      <c r="BJ173" s="3"/>
      <c r="BK173" s="4" t="s">
        <v>4695</v>
      </c>
      <c r="BL173" s="1" t="s">
        <v>4723</v>
      </c>
    </row>
    <row r="174">
      <c r="A174" s="1" t="s">
        <v>1953</v>
      </c>
      <c r="B174" s="1" t="s">
        <v>1952</v>
      </c>
      <c r="C174" s="1" t="s">
        <v>1952</v>
      </c>
      <c r="D174" s="1" t="s">
        <v>5320</v>
      </c>
      <c r="E174" s="1" t="s">
        <v>5490</v>
      </c>
      <c r="F174" s="1" t="s">
        <v>5491</v>
      </c>
      <c r="G174" s="3"/>
      <c r="H174" s="3"/>
      <c r="I174" s="1" t="s">
        <v>5944</v>
      </c>
      <c r="J174" s="1" t="s">
        <v>5945</v>
      </c>
      <c r="L174" s="3"/>
      <c r="M174" s="3"/>
      <c r="N174" s="3"/>
      <c r="O174" s="3"/>
      <c r="P174" s="1">
        <v>1.22959696E8</v>
      </c>
      <c r="Q174" s="1" t="b">
        <v>1</v>
      </c>
      <c r="R174" s="1">
        <v>60.0</v>
      </c>
      <c r="S174" s="1" t="s">
        <v>5946</v>
      </c>
      <c r="T174" s="3"/>
      <c r="U174" s="1" t="s">
        <v>4672</v>
      </c>
      <c r="V174" s="1" t="s">
        <v>4673</v>
      </c>
      <c r="W174" s="1" t="s">
        <v>5947</v>
      </c>
      <c r="X174" s="1" t="b">
        <v>0</v>
      </c>
      <c r="Y174" s="1" t="s">
        <v>4675</v>
      </c>
      <c r="Z174" s="1" t="s">
        <v>5948</v>
      </c>
      <c r="AB174" s="1" t="s">
        <v>4677</v>
      </c>
      <c r="AC174" s="1" t="s">
        <v>4678</v>
      </c>
      <c r="AD174" s="1" t="s">
        <v>4679</v>
      </c>
      <c r="AE174" s="1" t="s">
        <v>5948</v>
      </c>
      <c r="AF174" s="1" t="s">
        <v>5054</v>
      </c>
      <c r="AG174" s="1" t="s">
        <v>4682</v>
      </c>
      <c r="AH174" s="1">
        <v>58.0</v>
      </c>
      <c r="AI174" s="1" t="b">
        <v>0</v>
      </c>
      <c r="AJ174" s="1" t="b">
        <v>0</v>
      </c>
      <c r="AK174" s="1" t="s">
        <v>5948</v>
      </c>
      <c r="AL174" s="1" t="s">
        <v>4719</v>
      </c>
      <c r="AM174" s="1" t="s">
        <v>4685</v>
      </c>
      <c r="AN174" s="1" t="s">
        <v>4720</v>
      </c>
      <c r="AO174" s="1" t="s">
        <v>5949</v>
      </c>
      <c r="AP174" s="1" t="s">
        <v>4721</v>
      </c>
      <c r="AQ174" s="1" t="s">
        <v>4722</v>
      </c>
      <c r="AR174" s="1">
        <v>2.0</v>
      </c>
      <c r="AS174" s="3"/>
      <c r="AT174" s="3"/>
      <c r="AU174" s="4" t="s">
        <v>4771</v>
      </c>
      <c r="AW174" s="3"/>
      <c r="AX174" s="3"/>
      <c r="AY174" s="3"/>
      <c r="AZ174" s="3"/>
      <c r="BA174" s="3"/>
      <c r="BB174" s="3"/>
      <c r="BC174" s="3"/>
      <c r="BD174" s="3"/>
      <c r="BE174" s="1" t="b">
        <v>1</v>
      </c>
      <c r="BF174" s="3"/>
      <c r="BG174" s="3"/>
      <c r="BH174" s="3"/>
      <c r="BI174" s="3"/>
      <c r="BJ174" s="3"/>
      <c r="BK174" s="4" t="s">
        <v>4771</v>
      </c>
    </row>
    <row r="175">
      <c r="A175" s="1" t="s">
        <v>1401</v>
      </c>
      <c r="B175" s="1" t="s">
        <v>1400</v>
      </c>
      <c r="C175" s="1" t="s">
        <v>1400</v>
      </c>
      <c r="D175" s="1" t="s">
        <v>4696</v>
      </c>
      <c r="E175" s="1" t="s">
        <v>5950</v>
      </c>
      <c r="F175" s="1" t="s">
        <v>5951</v>
      </c>
      <c r="G175" s="3"/>
      <c r="H175" s="1" t="s">
        <v>4861</v>
      </c>
      <c r="I175" s="1" t="s">
        <v>4742</v>
      </c>
      <c r="J175" s="1" t="s">
        <v>5952</v>
      </c>
      <c r="K175" s="3">
        <f>+821058225809</f>
        <v>821058225809</v>
      </c>
      <c r="L175" s="3"/>
      <c r="M175" s="3"/>
      <c r="N175" s="3"/>
      <c r="O175" s="3"/>
      <c r="P175" s="1">
        <v>1.10205561E8</v>
      </c>
      <c r="Q175" s="1" t="b">
        <v>1</v>
      </c>
      <c r="R175" s="1">
        <v>225.0</v>
      </c>
      <c r="S175" s="1" t="s">
        <v>4805</v>
      </c>
      <c r="T175" s="3"/>
      <c r="U175" s="1" t="s">
        <v>4672</v>
      </c>
      <c r="V175" s="1" t="s">
        <v>4673</v>
      </c>
      <c r="W175" s="1" t="s">
        <v>5953</v>
      </c>
      <c r="X175" s="1" t="b">
        <v>0</v>
      </c>
      <c r="Y175" s="1" t="s">
        <v>4675</v>
      </c>
      <c r="Z175" s="1" t="s">
        <v>5954</v>
      </c>
      <c r="AB175" s="1" t="s">
        <v>4677</v>
      </c>
      <c r="AC175" s="1" t="s">
        <v>4678</v>
      </c>
      <c r="AD175" s="1" t="s">
        <v>4679</v>
      </c>
      <c r="AE175" s="1" t="s">
        <v>5954</v>
      </c>
      <c r="AF175" s="1" t="s">
        <v>5955</v>
      </c>
      <c r="AG175" s="1" t="s">
        <v>4682</v>
      </c>
      <c r="AH175" s="1">
        <v>18.0</v>
      </c>
      <c r="AI175" s="1" t="b">
        <v>0</v>
      </c>
      <c r="AJ175" s="1" t="b">
        <v>0</v>
      </c>
      <c r="AK175" s="1" t="s">
        <v>5956</v>
      </c>
      <c r="AL175" s="1" t="s">
        <v>4719</v>
      </c>
      <c r="AM175" s="1" t="s">
        <v>4685</v>
      </c>
      <c r="AN175" s="1" t="s">
        <v>4686</v>
      </c>
      <c r="AO175" s="1" t="s">
        <v>5957</v>
      </c>
      <c r="AP175" s="1" t="s">
        <v>4687</v>
      </c>
      <c r="AQ175" s="1" t="s">
        <v>4688</v>
      </c>
      <c r="AR175" s="1">
        <v>207.0</v>
      </c>
      <c r="AS175" s="3"/>
      <c r="AT175" s="3"/>
      <c r="AU175" s="4" t="s">
        <v>4695</v>
      </c>
      <c r="AW175" s="3"/>
      <c r="AX175" s="3"/>
      <c r="AY175" s="3"/>
      <c r="AZ175" s="3"/>
      <c r="BA175" s="3"/>
      <c r="BB175" s="3"/>
      <c r="BC175" s="3"/>
      <c r="BD175" s="3"/>
      <c r="BE175" s="1" t="b">
        <v>1</v>
      </c>
      <c r="BF175" s="3"/>
      <c r="BG175" s="3"/>
      <c r="BH175" s="3"/>
      <c r="BI175" s="3"/>
      <c r="BJ175" s="3"/>
      <c r="BK175" s="4" t="s">
        <v>4710</v>
      </c>
    </row>
    <row r="176">
      <c r="A176" s="1" t="s">
        <v>1369</v>
      </c>
      <c r="B176" s="1" t="s">
        <v>1368</v>
      </c>
      <c r="C176" s="3"/>
      <c r="D176" s="3"/>
      <c r="E176" s="3"/>
      <c r="F176" s="3"/>
      <c r="G176" s="3"/>
      <c r="H176" s="3"/>
      <c r="I176" s="3"/>
      <c r="J176" s="3"/>
      <c r="K176" s="3"/>
      <c r="L176" s="3"/>
      <c r="M176" s="3"/>
      <c r="N176" s="3"/>
      <c r="O176" s="3"/>
      <c r="P176" s="1" t="s">
        <v>5958</v>
      </c>
      <c r="Q176" s="1" t="b">
        <v>0</v>
      </c>
      <c r="R176" s="1">
        <v>2.0</v>
      </c>
      <c r="S176" s="1" t="s">
        <v>4902</v>
      </c>
      <c r="T176" s="3"/>
      <c r="U176" s="1" t="s">
        <v>4672</v>
      </c>
      <c r="V176" s="1" t="s">
        <v>4673</v>
      </c>
      <c r="W176" s="1" t="s">
        <v>5959</v>
      </c>
      <c r="X176" s="1" t="b">
        <v>0</v>
      </c>
      <c r="Y176" s="1" t="s">
        <v>4675</v>
      </c>
      <c r="Z176" s="1" t="s">
        <v>5960</v>
      </c>
      <c r="AB176" s="3"/>
      <c r="AC176" s="3"/>
      <c r="AD176" s="3"/>
      <c r="AE176" s="3"/>
      <c r="AF176" s="3"/>
      <c r="AG176" s="3"/>
      <c r="AH176" s="3"/>
      <c r="AI176" s="1" t="b">
        <v>0</v>
      </c>
      <c r="AJ176" s="1" t="b">
        <v>0</v>
      </c>
      <c r="AK176" s="1" t="s">
        <v>5960</v>
      </c>
      <c r="AL176" s="1" t="s">
        <v>4707</v>
      </c>
      <c r="AM176" s="1" t="s">
        <v>4708</v>
      </c>
      <c r="AN176" s="1" t="s">
        <v>4686</v>
      </c>
      <c r="AO176" s="1" t="s">
        <v>5960</v>
      </c>
      <c r="AP176" s="1" t="s">
        <v>4709</v>
      </c>
      <c r="AQ176" s="1" t="s">
        <v>4688</v>
      </c>
      <c r="AR176" s="1">
        <v>2.0</v>
      </c>
      <c r="AS176" s="3"/>
      <c r="AT176" s="3"/>
      <c r="AU176" s="4" t="s">
        <v>4780</v>
      </c>
      <c r="AV176" s="1" t="s">
        <v>4788</v>
      </c>
      <c r="AW176" s="1" t="s">
        <v>4789</v>
      </c>
      <c r="AX176" s="1" t="s">
        <v>4692</v>
      </c>
      <c r="AY176" s="1" t="s">
        <v>4790</v>
      </c>
      <c r="AZ176" s="1" t="s">
        <v>4791</v>
      </c>
      <c r="BA176" s="3"/>
      <c r="BB176" s="3"/>
      <c r="BC176" s="3"/>
      <c r="BD176" s="3"/>
      <c r="BE176" s="1" t="b">
        <v>1</v>
      </c>
      <c r="BF176" s="1" t="s">
        <v>4790</v>
      </c>
      <c r="BG176" s="1" t="s">
        <v>4692</v>
      </c>
      <c r="BH176" s="1" t="s">
        <v>4788</v>
      </c>
      <c r="BI176" s="1" t="s">
        <v>4789</v>
      </c>
      <c r="BJ176" s="1" t="s">
        <v>4791</v>
      </c>
      <c r="BK176" s="4" t="s">
        <v>4780</v>
      </c>
    </row>
    <row r="177">
      <c r="A177" s="1" t="s">
        <v>1140</v>
      </c>
      <c r="B177" s="1" t="s">
        <v>1139</v>
      </c>
      <c r="C177" s="1" t="s">
        <v>1139</v>
      </c>
      <c r="D177" s="1" t="s">
        <v>5961</v>
      </c>
      <c r="E177" s="1" t="s">
        <v>5962</v>
      </c>
      <c r="F177" s="1" t="s">
        <v>5963</v>
      </c>
      <c r="G177" s="3"/>
      <c r="H177" s="3"/>
      <c r="I177" s="3"/>
      <c r="J177" s="1" t="s">
        <v>5964</v>
      </c>
      <c r="K177" s="3"/>
      <c r="L177" s="3"/>
      <c r="M177" s="3"/>
      <c r="N177" s="3"/>
      <c r="O177" s="3"/>
      <c r="P177" s="1">
        <v>1.22912446E8</v>
      </c>
      <c r="Q177" s="1" t="b">
        <v>1</v>
      </c>
      <c r="R177" s="1">
        <v>32.0</v>
      </c>
      <c r="S177" s="1" t="s">
        <v>5965</v>
      </c>
      <c r="T177" s="3"/>
      <c r="U177" s="1" t="s">
        <v>4672</v>
      </c>
      <c r="V177" s="1" t="s">
        <v>4673</v>
      </c>
      <c r="W177" s="1" t="s">
        <v>5966</v>
      </c>
      <c r="X177" s="1" t="b">
        <v>0</v>
      </c>
      <c r="Y177" s="1" t="s">
        <v>4675</v>
      </c>
      <c r="Z177" s="1" t="s">
        <v>5967</v>
      </c>
      <c r="AB177" s="1" t="s">
        <v>4677</v>
      </c>
      <c r="AC177" s="1" t="s">
        <v>4678</v>
      </c>
      <c r="AD177" s="1" t="s">
        <v>4679</v>
      </c>
      <c r="AE177" s="1" t="s">
        <v>5968</v>
      </c>
      <c r="AF177" s="1" t="s">
        <v>4681</v>
      </c>
      <c r="AG177" s="1" t="s">
        <v>4682</v>
      </c>
      <c r="AH177" s="1">
        <v>7.0</v>
      </c>
      <c r="AI177" s="1" t="b">
        <v>0</v>
      </c>
      <c r="AJ177" s="1" t="b">
        <v>0</v>
      </c>
      <c r="AK177" s="1" t="s">
        <v>5969</v>
      </c>
      <c r="AL177" s="1" t="s">
        <v>4719</v>
      </c>
      <c r="AM177" s="1" t="s">
        <v>4685</v>
      </c>
      <c r="AN177" s="1" t="s">
        <v>4686</v>
      </c>
      <c r="AO177" s="1" t="s">
        <v>5967</v>
      </c>
      <c r="AP177" s="1" t="s">
        <v>4687</v>
      </c>
      <c r="AQ177" s="1" t="s">
        <v>4688</v>
      </c>
      <c r="AR177" s="1">
        <v>25.0</v>
      </c>
      <c r="AS177" s="3"/>
      <c r="AT177" s="3"/>
      <c r="AU177" s="4" t="s">
        <v>4695</v>
      </c>
      <c r="AW177" s="3"/>
      <c r="AX177" s="3"/>
      <c r="AY177" s="3"/>
      <c r="AZ177" s="3"/>
      <c r="BA177" s="3"/>
      <c r="BB177" s="3"/>
      <c r="BC177" s="3"/>
      <c r="BD177" s="3"/>
      <c r="BE177" s="1" t="b">
        <v>1</v>
      </c>
      <c r="BF177" s="3"/>
      <c r="BG177" s="3"/>
      <c r="BH177" s="3"/>
      <c r="BI177" s="3"/>
      <c r="BJ177" s="3"/>
      <c r="BK177" s="4" t="s">
        <v>4695</v>
      </c>
    </row>
    <row r="178">
      <c r="A178" s="1" t="s">
        <v>1665</v>
      </c>
      <c r="B178" s="1" t="s">
        <v>1662</v>
      </c>
      <c r="C178" s="1" t="s">
        <v>1662</v>
      </c>
      <c r="D178" s="1" t="s">
        <v>4711</v>
      </c>
      <c r="E178" s="1" t="s">
        <v>5970</v>
      </c>
      <c r="F178" s="1" t="s">
        <v>5971</v>
      </c>
      <c r="G178" s="3"/>
      <c r="H178" s="3"/>
      <c r="I178" s="1" t="s">
        <v>4742</v>
      </c>
      <c r="J178" s="1" t="s">
        <v>5972</v>
      </c>
      <c r="K178" s="3">
        <f>+821077019106</f>
        <v>821077019106</v>
      </c>
      <c r="L178" s="3"/>
      <c r="M178" s="3"/>
      <c r="N178" s="3"/>
      <c r="O178" s="3"/>
      <c r="P178" s="1">
        <v>2.085877647E9</v>
      </c>
      <c r="Q178" s="1" t="b">
        <v>1</v>
      </c>
      <c r="R178" s="1">
        <v>4.0</v>
      </c>
      <c r="S178" s="1" t="s">
        <v>4885</v>
      </c>
      <c r="T178" s="3"/>
      <c r="U178" s="1" t="s">
        <v>4672</v>
      </c>
      <c r="V178" s="1" t="s">
        <v>4673</v>
      </c>
      <c r="W178" s="1" t="s">
        <v>5973</v>
      </c>
      <c r="X178" s="1" t="b">
        <v>0</v>
      </c>
      <c r="Y178" s="1" t="s">
        <v>4675</v>
      </c>
      <c r="Z178" s="1" t="s">
        <v>5974</v>
      </c>
      <c r="AB178" s="3"/>
      <c r="AC178" s="3"/>
      <c r="AD178" s="3"/>
      <c r="AE178" s="3"/>
      <c r="AF178" s="3"/>
      <c r="AG178" s="3"/>
      <c r="AH178" s="3"/>
      <c r="AI178" s="1" t="b">
        <v>0</v>
      </c>
      <c r="AJ178" s="1" t="b">
        <v>0</v>
      </c>
      <c r="AK178" s="1" t="s">
        <v>5975</v>
      </c>
      <c r="AL178" s="1" t="s">
        <v>4719</v>
      </c>
      <c r="AM178" s="1" t="s">
        <v>4685</v>
      </c>
      <c r="AN178" s="1" t="s">
        <v>4686</v>
      </c>
      <c r="AO178" s="1" t="s">
        <v>5976</v>
      </c>
      <c r="AP178" s="1" t="s">
        <v>4687</v>
      </c>
      <c r="AQ178" s="1" t="s">
        <v>4688</v>
      </c>
      <c r="AR178" s="1">
        <v>4.0</v>
      </c>
      <c r="AS178" s="3"/>
      <c r="AT178" s="3"/>
      <c r="AU178" s="4" t="s">
        <v>4695</v>
      </c>
      <c r="AW178" s="3"/>
      <c r="AX178" s="3"/>
      <c r="AY178" s="3"/>
      <c r="AZ178" s="3"/>
      <c r="BA178" s="3"/>
      <c r="BB178" s="3"/>
      <c r="BC178" s="3"/>
      <c r="BD178" s="3"/>
      <c r="BE178" s="1" t="b">
        <v>1</v>
      </c>
      <c r="BF178" s="3"/>
      <c r="BG178" s="3"/>
      <c r="BH178" s="3"/>
      <c r="BI178" s="3"/>
      <c r="BJ178" s="3"/>
      <c r="BK178" s="4" t="s">
        <v>4695</v>
      </c>
      <c r="BL178" s="1" t="s">
        <v>4723</v>
      </c>
    </row>
    <row r="179">
      <c r="A179" s="1" t="s">
        <v>1977</v>
      </c>
      <c r="B179" s="1" t="s">
        <v>1976</v>
      </c>
      <c r="C179" s="1" t="s">
        <v>1976</v>
      </c>
      <c r="D179" s="1" t="s">
        <v>4696</v>
      </c>
      <c r="E179" s="1" t="s">
        <v>5977</v>
      </c>
      <c r="F179" s="1" t="s">
        <v>5978</v>
      </c>
      <c r="G179" s="3"/>
      <c r="H179" s="1" t="s">
        <v>3850</v>
      </c>
      <c r="I179" s="1" t="s">
        <v>5012</v>
      </c>
      <c r="J179" s="1" t="s">
        <v>5979</v>
      </c>
      <c r="K179" s="3">
        <f>+821022129807</f>
        <v>821022129807</v>
      </c>
      <c r="L179" s="3"/>
      <c r="M179" s="3"/>
      <c r="N179" s="3"/>
      <c r="O179" s="3"/>
      <c r="P179" s="1">
        <v>1.11352219E8</v>
      </c>
      <c r="Q179" s="1" t="b">
        <v>1</v>
      </c>
      <c r="R179" s="1">
        <v>37.0</v>
      </c>
      <c r="S179" s="1" t="s">
        <v>4701</v>
      </c>
      <c r="T179" s="3"/>
      <c r="U179" s="1" t="s">
        <v>4672</v>
      </c>
      <c r="V179" s="1" t="s">
        <v>4673</v>
      </c>
      <c r="W179" s="1" t="s">
        <v>5980</v>
      </c>
      <c r="X179" s="1" t="b">
        <v>0</v>
      </c>
      <c r="Y179" s="1" t="s">
        <v>4675</v>
      </c>
      <c r="Z179" s="1" t="s">
        <v>5981</v>
      </c>
      <c r="AB179" s="1" t="s">
        <v>4677</v>
      </c>
      <c r="AC179" s="1" t="s">
        <v>4678</v>
      </c>
      <c r="AD179" s="1" t="s">
        <v>4679</v>
      </c>
      <c r="AE179" s="1" t="s">
        <v>5982</v>
      </c>
      <c r="AF179" s="1" t="s">
        <v>4681</v>
      </c>
      <c r="AG179" s="1" t="s">
        <v>4682</v>
      </c>
      <c r="AH179" s="1">
        <v>14.0</v>
      </c>
      <c r="AI179" s="1" t="b">
        <v>0</v>
      </c>
      <c r="AJ179" s="1" t="b">
        <v>0</v>
      </c>
      <c r="AK179" s="1" t="s">
        <v>5983</v>
      </c>
      <c r="AL179" s="1" t="s">
        <v>4719</v>
      </c>
      <c r="AM179" s="1" t="s">
        <v>4685</v>
      </c>
      <c r="AN179" s="1" t="s">
        <v>4686</v>
      </c>
      <c r="AO179" s="1" t="s">
        <v>5981</v>
      </c>
      <c r="AP179" s="1" t="s">
        <v>4687</v>
      </c>
      <c r="AQ179" s="1" t="s">
        <v>4688</v>
      </c>
      <c r="AR179" s="1">
        <v>23.0</v>
      </c>
      <c r="AS179" s="3"/>
      <c r="AT179" s="3"/>
      <c r="AU179" s="4" t="s">
        <v>4695</v>
      </c>
      <c r="AW179" s="3"/>
      <c r="AX179" s="3"/>
      <c r="AY179" s="3"/>
      <c r="AZ179" s="3"/>
      <c r="BA179" s="3"/>
      <c r="BB179" s="3"/>
      <c r="BC179" s="3"/>
      <c r="BD179" s="3"/>
      <c r="BE179" s="1" t="b">
        <v>1</v>
      </c>
      <c r="BF179" s="3"/>
      <c r="BG179" s="3"/>
      <c r="BH179" s="3"/>
      <c r="BI179" s="3"/>
      <c r="BJ179" s="3"/>
      <c r="BK179" s="4" t="s">
        <v>4695</v>
      </c>
    </row>
    <row r="180">
      <c r="A180" s="1" t="s">
        <v>451</v>
      </c>
      <c r="B180" s="1" t="s">
        <v>450</v>
      </c>
      <c r="C180" s="1" t="s">
        <v>450</v>
      </c>
      <c r="D180" s="1" t="s">
        <v>5984</v>
      </c>
      <c r="E180" s="1" t="s">
        <v>5985</v>
      </c>
      <c r="F180" s="1" t="s">
        <v>5986</v>
      </c>
      <c r="G180" s="3"/>
      <c r="H180" s="3"/>
      <c r="I180" s="3"/>
      <c r="J180" s="1" t="s">
        <v>5987</v>
      </c>
      <c r="L180" s="3"/>
      <c r="M180" s="3"/>
      <c r="N180" s="3"/>
      <c r="O180" s="3"/>
      <c r="P180" s="1">
        <v>1.11137086E8</v>
      </c>
      <c r="Q180" s="1" t="b">
        <v>1</v>
      </c>
      <c r="R180" s="1">
        <v>10.0</v>
      </c>
      <c r="S180" s="1" t="s">
        <v>5429</v>
      </c>
      <c r="T180" s="3"/>
      <c r="U180" s="1" t="s">
        <v>4672</v>
      </c>
      <c r="V180" s="1" t="s">
        <v>4673</v>
      </c>
      <c r="W180" s="1" t="s">
        <v>5988</v>
      </c>
      <c r="X180" s="1" t="b">
        <v>0</v>
      </c>
      <c r="Y180" s="1" t="s">
        <v>4675</v>
      </c>
      <c r="Z180" s="1" t="s">
        <v>5989</v>
      </c>
      <c r="AB180" s="3"/>
      <c r="AC180" s="3"/>
      <c r="AD180" s="3"/>
      <c r="AE180" s="3"/>
      <c r="AF180" s="3"/>
      <c r="AG180" s="3"/>
      <c r="AH180" s="3"/>
      <c r="AI180" s="1" t="b">
        <v>0</v>
      </c>
      <c r="AJ180" s="1" t="b">
        <v>0</v>
      </c>
      <c r="AK180" s="1" t="s">
        <v>5990</v>
      </c>
      <c r="AL180" s="1" t="s">
        <v>4684</v>
      </c>
      <c r="AM180" s="1" t="s">
        <v>4685</v>
      </c>
      <c r="AN180" s="1" t="s">
        <v>4686</v>
      </c>
      <c r="AO180" s="1" t="s">
        <v>5989</v>
      </c>
      <c r="AP180" s="1" t="s">
        <v>4687</v>
      </c>
      <c r="AQ180" s="1" t="s">
        <v>4688</v>
      </c>
      <c r="AR180" s="1">
        <v>10.0</v>
      </c>
      <c r="AS180" s="3"/>
      <c r="AT180" s="3"/>
      <c r="AU180" s="4" t="s">
        <v>4780</v>
      </c>
      <c r="AW180" s="3"/>
      <c r="AX180" s="3"/>
      <c r="AY180" s="3"/>
      <c r="AZ180" s="3"/>
      <c r="BA180" s="3"/>
      <c r="BB180" s="3"/>
      <c r="BC180" s="3"/>
      <c r="BD180" s="3"/>
      <c r="BE180" s="1" t="b">
        <v>1</v>
      </c>
      <c r="BF180" s="3"/>
      <c r="BG180" s="3"/>
      <c r="BH180" s="3"/>
      <c r="BI180" s="3"/>
      <c r="BJ180" s="3"/>
      <c r="BK180" s="4" t="s">
        <v>4780</v>
      </c>
    </row>
    <row r="181">
      <c r="A181" s="1" t="s">
        <v>830</v>
      </c>
      <c r="B181" s="1" t="s">
        <v>828</v>
      </c>
      <c r="C181" s="1" t="s">
        <v>828</v>
      </c>
      <c r="D181" s="3"/>
      <c r="E181" s="3"/>
      <c r="F181" s="3"/>
      <c r="G181" s="3"/>
      <c r="H181" s="3"/>
      <c r="I181" s="3"/>
      <c r="J181" s="1" t="s">
        <v>5991</v>
      </c>
      <c r="K181" s="3">
        <f>+821043825877</f>
        <v>821043825877</v>
      </c>
      <c r="L181" s="3"/>
      <c r="M181" s="3"/>
      <c r="N181" s="3"/>
      <c r="O181" s="3"/>
      <c r="P181" s="1" t="s">
        <v>5992</v>
      </c>
      <c r="Q181" s="1" t="b">
        <v>0</v>
      </c>
      <c r="R181" s="1">
        <v>3.0</v>
      </c>
      <c r="S181" s="1" t="s">
        <v>5664</v>
      </c>
      <c r="T181" s="3"/>
      <c r="U181" s="1" t="s">
        <v>4672</v>
      </c>
      <c r="V181" s="1" t="s">
        <v>4673</v>
      </c>
      <c r="W181" s="1" t="s">
        <v>5993</v>
      </c>
      <c r="X181" s="1" t="b">
        <v>0</v>
      </c>
      <c r="Y181" s="1" t="s">
        <v>4675</v>
      </c>
      <c r="Z181" s="1" t="s">
        <v>5994</v>
      </c>
      <c r="AB181" s="3"/>
      <c r="AC181" s="3"/>
      <c r="AD181" s="3"/>
      <c r="AE181" s="3"/>
      <c r="AF181" s="3"/>
      <c r="AG181" s="3"/>
      <c r="AH181" s="3"/>
      <c r="AI181" s="1" t="b">
        <v>0</v>
      </c>
      <c r="AJ181" s="1" t="b">
        <v>0</v>
      </c>
      <c r="AK181" s="1" t="s">
        <v>5995</v>
      </c>
      <c r="AL181" s="1" t="s">
        <v>4719</v>
      </c>
      <c r="AM181" s="1" t="s">
        <v>4685</v>
      </c>
      <c r="AN181" s="1" t="s">
        <v>4795</v>
      </c>
      <c r="AO181" s="1" t="s">
        <v>5994</v>
      </c>
      <c r="AP181" s="1" t="s">
        <v>4796</v>
      </c>
      <c r="AQ181" s="1" t="s">
        <v>4758</v>
      </c>
      <c r="AR181" s="1">
        <v>3.0</v>
      </c>
      <c r="AS181" s="3"/>
      <c r="AT181" s="3"/>
      <c r="AU181" s="4" t="s">
        <v>4695</v>
      </c>
      <c r="AW181" s="3"/>
      <c r="AX181" s="3"/>
      <c r="AY181" s="3"/>
      <c r="AZ181" s="3"/>
      <c r="BA181" s="3"/>
      <c r="BB181" s="3"/>
      <c r="BC181" s="3"/>
      <c r="BD181" s="3"/>
      <c r="BE181" s="1" t="b">
        <v>1</v>
      </c>
      <c r="BF181" s="3"/>
      <c r="BG181" s="3"/>
      <c r="BH181" s="3"/>
      <c r="BI181" s="3"/>
      <c r="BJ181" s="3"/>
      <c r="BK181" s="4" t="s">
        <v>4695</v>
      </c>
    </row>
    <row r="182">
      <c r="A182" s="1" t="s">
        <v>1225</v>
      </c>
      <c r="B182" s="1" t="s">
        <v>1224</v>
      </c>
      <c r="C182" s="1" t="s">
        <v>1224</v>
      </c>
      <c r="D182" s="1" t="s">
        <v>4711</v>
      </c>
      <c r="E182" s="1" t="s">
        <v>5996</v>
      </c>
      <c r="F182" s="1" t="s">
        <v>5997</v>
      </c>
      <c r="G182" s="3"/>
      <c r="H182" s="3"/>
      <c r="I182" s="1" t="s">
        <v>5026</v>
      </c>
      <c r="J182" s="1" t="s">
        <v>5998</v>
      </c>
      <c r="K182" s="3">
        <f>+821089720272</f>
        <v>821089720272</v>
      </c>
      <c r="L182" s="3"/>
      <c r="M182" s="3"/>
      <c r="N182" s="3"/>
      <c r="O182" s="3"/>
      <c r="P182" s="1">
        <v>1.1218547E8</v>
      </c>
      <c r="Q182" s="1" t="b">
        <v>1</v>
      </c>
      <c r="R182" s="1">
        <v>13.0</v>
      </c>
      <c r="S182" s="1" t="s">
        <v>4752</v>
      </c>
      <c r="T182" s="3"/>
      <c r="U182" s="1" t="s">
        <v>4672</v>
      </c>
      <c r="V182" s="1" t="s">
        <v>4673</v>
      </c>
      <c r="W182" s="1" t="s">
        <v>5999</v>
      </c>
      <c r="X182" s="1" t="b">
        <v>0</v>
      </c>
      <c r="Y182" s="1" t="s">
        <v>4675</v>
      </c>
      <c r="Z182" s="1" t="s">
        <v>6000</v>
      </c>
      <c r="AB182" s="3"/>
      <c r="AC182" s="3"/>
      <c r="AD182" s="3"/>
      <c r="AE182" s="3"/>
      <c r="AF182" s="3"/>
      <c r="AG182" s="3"/>
      <c r="AH182" s="3"/>
      <c r="AI182" s="1" t="b">
        <v>0</v>
      </c>
      <c r="AJ182" s="1" t="b">
        <v>0</v>
      </c>
      <c r="AK182" s="1" t="s">
        <v>6001</v>
      </c>
      <c r="AL182" s="1" t="s">
        <v>4707</v>
      </c>
      <c r="AM182" s="1" t="s">
        <v>4708</v>
      </c>
      <c r="AN182" s="1" t="s">
        <v>4686</v>
      </c>
      <c r="AO182" s="1" t="s">
        <v>6000</v>
      </c>
      <c r="AP182" s="1" t="s">
        <v>4709</v>
      </c>
      <c r="AQ182" s="1" t="s">
        <v>4688</v>
      </c>
      <c r="AR182" s="1">
        <v>13.0</v>
      </c>
      <c r="AS182" s="3"/>
      <c r="AT182" s="3"/>
      <c r="AU182" s="4" t="s">
        <v>4881</v>
      </c>
      <c r="AV182" s="1" t="s">
        <v>4788</v>
      </c>
      <c r="AW182" s="1" t="s">
        <v>4789</v>
      </c>
      <c r="AX182" s="1" t="s">
        <v>4692</v>
      </c>
      <c r="AY182" s="1" t="s">
        <v>4790</v>
      </c>
      <c r="AZ182" s="1" t="s">
        <v>6002</v>
      </c>
      <c r="BA182" s="3"/>
      <c r="BB182" s="3"/>
      <c r="BC182" s="3"/>
      <c r="BD182" s="3"/>
      <c r="BE182" s="1" t="b">
        <v>1</v>
      </c>
      <c r="BF182" s="1" t="s">
        <v>4790</v>
      </c>
      <c r="BG182" s="1" t="s">
        <v>4692</v>
      </c>
      <c r="BH182" s="1" t="s">
        <v>4788</v>
      </c>
      <c r="BI182" s="1" t="s">
        <v>4789</v>
      </c>
      <c r="BJ182" s="1" t="s">
        <v>6002</v>
      </c>
      <c r="BK182" s="4" t="s">
        <v>4780</v>
      </c>
      <c r="BL182" s="1" t="s">
        <v>4723</v>
      </c>
    </row>
    <row r="183">
      <c r="A183" s="1" t="s">
        <v>1505</v>
      </c>
      <c r="B183" s="1" t="s">
        <v>1503</v>
      </c>
      <c r="C183" s="1" t="s">
        <v>1503</v>
      </c>
      <c r="D183" s="1" t="s">
        <v>5092</v>
      </c>
      <c r="E183" s="1" t="s">
        <v>5733</v>
      </c>
      <c r="F183" s="1" t="s">
        <v>5734</v>
      </c>
      <c r="G183" s="3"/>
      <c r="H183" s="3"/>
      <c r="I183" s="1" t="s">
        <v>5338</v>
      </c>
      <c r="J183" s="1" t="s">
        <v>6003</v>
      </c>
      <c r="L183" s="3"/>
      <c r="M183" s="3"/>
      <c r="N183" s="3"/>
      <c r="O183" s="3"/>
      <c r="P183" s="1">
        <v>1.12468596E8</v>
      </c>
      <c r="Q183" s="1" t="b">
        <v>1</v>
      </c>
      <c r="R183" s="1">
        <v>48.0</v>
      </c>
      <c r="S183" s="1" t="s">
        <v>4765</v>
      </c>
      <c r="T183" s="3"/>
      <c r="U183" s="1" t="s">
        <v>4672</v>
      </c>
      <c r="V183" s="1" t="s">
        <v>4673</v>
      </c>
      <c r="W183" s="1" t="s">
        <v>6004</v>
      </c>
      <c r="X183" s="1" t="b">
        <v>0</v>
      </c>
      <c r="Y183" s="1" t="s">
        <v>4675</v>
      </c>
      <c r="Z183" s="1" t="s">
        <v>6005</v>
      </c>
      <c r="AB183" s="1" t="s">
        <v>4677</v>
      </c>
      <c r="AC183" s="1" t="s">
        <v>4678</v>
      </c>
      <c r="AD183" s="1" t="s">
        <v>4679</v>
      </c>
      <c r="AE183" s="1" t="s">
        <v>6005</v>
      </c>
      <c r="AF183" s="1" t="s">
        <v>5955</v>
      </c>
      <c r="AG183" s="1" t="s">
        <v>4682</v>
      </c>
      <c r="AH183" s="1">
        <v>46.0</v>
      </c>
      <c r="AI183" s="1" t="b">
        <v>0</v>
      </c>
      <c r="AJ183" s="1" t="b">
        <v>0</v>
      </c>
      <c r="AK183" s="1" t="s">
        <v>6005</v>
      </c>
      <c r="AL183" s="1" t="s">
        <v>5645</v>
      </c>
      <c r="AM183" s="1" t="s">
        <v>4708</v>
      </c>
      <c r="AN183" s="1" t="s">
        <v>4686</v>
      </c>
      <c r="AO183" s="1" t="s">
        <v>6006</v>
      </c>
      <c r="AP183" s="1" t="s">
        <v>4709</v>
      </c>
      <c r="AQ183" s="1" t="s">
        <v>4688</v>
      </c>
      <c r="AR183" s="1">
        <v>2.0</v>
      </c>
      <c r="AS183" s="3"/>
      <c r="AT183" s="3"/>
      <c r="AU183" s="3"/>
      <c r="AV183" s="3"/>
      <c r="AW183" s="3"/>
      <c r="AX183" s="3"/>
      <c r="AY183" s="3"/>
      <c r="AZ183" s="3"/>
      <c r="BA183" s="3"/>
      <c r="BB183" s="3"/>
      <c r="BC183" s="3"/>
      <c r="BD183" s="3"/>
      <c r="BE183" s="1" t="b">
        <v>1</v>
      </c>
      <c r="BF183" s="3"/>
      <c r="BG183" s="3"/>
      <c r="BH183" s="3"/>
      <c r="BI183" s="3"/>
      <c r="BJ183" s="3"/>
      <c r="BK183" s="3"/>
      <c r="BL183" s="3"/>
    </row>
    <row r="184">
      <c r="A184" s="1" t="s">
        <v>356</v>
      </c>
      <c r="B184" s="1" t="s">
        <v>355</v>
      </c>
      <c r="C184" s="3"/>
      <c r="D184" s="3"/>
      <c r="E184" s="3"/>
      <c r="F184" s="3"/>
      <c r="G184" s="3"/>
      <c r="H184" s="3"/>
      <c r="I184" s="3"/>
      <c r="J184" s="3"/>
      <c r="K184" s="3"/>
      <c r="L184" s="3"/>
      <c r="M184" s="3"/>
      <c r="N184" s="3"/>
      <c r="O184" s="3"/>
      <c r="P184" s="1" t="s">
        <v>6007</v>
      </c>
      <c r="Q184" s="1" t="b">
        <v>0</v>
      </c>
      <c r="R184" s="1">
        <v>1.0</v>
      </c>
      <c r="S184" s="1" t="s">
        <v>5116</v>
      </c>
      <c r="U184" s="1" t="s">
        <v>4672</v>
      </c>
      <c r="V184" s="1" t="s">
        <v>4673</v>
      </c>
      <c r="W184" s="1" t="s">
        <v>6008</v>
      </c>
      <c r="X184" s="1" t="b">
        <v>0</v>
      </c>
      <c r="Y184" s="1" t="s">
        <v>4675</v>
      </c>
      <c r="Z184" s="1" t="s">
        <v>6008</v>
      </c>
      <c r="AB184" s="3"/>
      <c r="AC184" s="3"/>
      <c r="AD184" s="3"/>
      <c r="AE184" s="3"/>
      <c r="AF184" s="3"/>
      <c r="AG184" s="3"/>
      <c r="AH184" s="3"/>
      <c r="AI184" s="1" t="b">
        <v>0</v>
      </c>
      <c r="AJ184" s="1" t="b">
        <v>0</v>
      </c>
      <c r="AK184" s="1" t="s">
        <v>6008</v>
      </c>
      <c r="AL184" s="1" t="s">
        <v>6009</v>
      </c>
      <c r="AM184" s="1" t="s">
        <v>4685</v>
      </c>
      <c r="AN184" s="1" t="s">
        <v>4679</v>
      </c>
      <c r="AO184" s="1" t="s">
        <v>6008</v>
      </c>
      <c r="AP184" s="1" t="s">
        <v>4681</v>
      </c>
      <c r="AQ184" s="1" t="s">
        <v>4682</v>
      </c>
      <c r="AR184" s="1">
        <v>1.0</v>
      </c>
      <c r="AS184" s="3"/>
      <c r="AT184" s="3"/>
      <c r="AU184" s="4" t="s">
        <v>4695</v>
      </c>
      <c r="AW184" s="3"/>
      <c r="AX184" s="3"/>
      <c r="AY184" s="3"/>
      <c r="AZ184" s="3"/>
      <c r="BA184" s="3"/>
      <c r="BB184" s="3"/>
      <c r="BC184" s="3"/>
      <c r="BD184" s="3"/>
      <c r="BE184" s="1" t="b">
        <v>1</v>
      </c>
      <c r="BF184" s="3"/>
      <c r="BG184" s="3"/>
      <c r="BH184" s="3"/>
      <c r="BI184" s="3"/>
      <c r="BJ184" s="3"/>
      <c r="BK184" s="4" t="s">
        <v>4695</v>
      </c>
    </row>
    <row r="185">
      <c r="A185" s="1" t="s">
        <v>1735</v>
      </c>
      <c r="B185" s="1" t="s">
        <v>1734</v>
      </c>
      <c r="C185" s="1" t="s">
        <v>1734</v>
      </c>
      <c r="D185" s="1" t="s">
        <v>4711</v>
      </c>
      <c r="E185" s="1" t="s">
        <v>6010</v>
      </c>
      <c r="F185" s="1" t="s">
        <v>6011</v>
      </c>
      <c r="G185" s="3"/>
      <c r="H185" s="3"/>
      <c r="I185" s="1" t="s">
        <v>4742</v>
      </c>
      <c r="J185" s="1" t="s">
        <v>6012</v>
      </c>
      <c r="K185" s="3">
        <f>+821095542337</f>
        <v>821095542337</v>
      </c>
      <c r="L185" s="3"/>
      <c r="M185" s="1" t="s">
        <v>6013</v>
      </c>
      <c r="N185" s="3"/>
      <c r="O185" s="3"/>
      <c r="P185" s="1">
        <v>1.12251665E8</v>
      </c>
      <c r="Q185" s="1" t="b">
        <v>1</v>
      </c>
      <c r="R185" s="1">
        <v>198.0</v>
      </c>
      <c r="S185" s="1" t="s">
        <v>4701</v>
      </c>
      <c r="T185" s="3"/>
      <c r="U185" s="1" t="s">
        <v>4672</v>
      </c>
      <c r="V185" s="1" t="s">
        <v>4673</v>
      </c>
      <c r="W185" s="1" t="s">
        <v>6014</v>
      </c>
      <c r="X185" s="1" t="b">
        <v>0</v>
      </c>
      <c r="Y185" s="1" t="s">
        <v>4675</v>
      </c>
      <c r="Z185" s="1" t="s">
        <v>6015</v>
      </c>
      <c r="AB185" s="1" t="s">
        <v>4677</v>
      </c>
      <c r="AC185" s="1" t="s">
        <v>4678</v>
      </c>
      <c r="AD185" s="1" t="s">
        <v>4679</v>
      </c>
      <c r="AE185" s="1" t="s">
        <v>6016</v>
      </c>
      <c r="AF185" s="1" t="s">
        <v>6017</v>
      </c>
      <c r="AG185" s="1" t="s">
        <v>4682</v>
      </c>
      <c r="AH185" s="1">
        <v>158.0</v>
      </c>
      <c r="AI185" s="1" t="b">
        <v>0</v>
      </c>
      <c r="AJ185" s="1" t="b">
        <v>0</v>
      </c>
      <c r="AK185" s="1" t="s">
        <v>6018</v>
      </c>
      <c r="AL185" s="1" t="s">
        <v>4769</v>
      </c>
      <c r="AM185" s="1" t="s">
        <v>4708</v>
      </c>
      <c r="AN185" s="1" t="s">
        <v>4686</v>
      </c>
      <c r="AO185" s="1" t="s">
        <v>6015</v>
      </c>
      <c r="AP185" s="1" t="s">
        <v>4709</v>
      </c>
      <c r="AQ185" s="1" t="s">
        <v>4688</v>
      </c>
      <c r="AR185" s="1">
        <v>40.0</v>
      </c>
      <c r="AS185" s="3"/>
      <c r="AT185" s="3"/>
      <c r="AU185" s="4" t="s">
        <v>4934</v>
      </c>
      <c r="AV185" s="1" t="s">
        <v>6019</v>
      </c>
      <c r="AW185" s="1" t="s">
        <v>6020</v>
      </c>
      <c r="AX185" s="1" t="s">
        <v>4761</v>
      </c>
      <c r="AY185" s="1" t="s">
        <v>6021</v>
      </c>
      <c r="AZ185" s="3"/>
      <c r="BA185" s="3"/>
      <c r="BB185" s="3"/>
      <c r="BC185" s="3"/>
      <c r="BD185" s="3"/>
      <c r="BE185" s="1" t="b">
        <v>1</v>
      </c>
      <c r="BF185" s="1" t="s">
        <v>6021</v>
      </c>
      <c r="BG185" s="1" t="s">
        <v>4761</v>
      </c>
      <c r="BH185" s="1" t="s">
        <v>6019</v>
      </c>
      <c r="BI185" s="1" t="s">
        <v>6020</v>
      </c>
      <c r="BJ185" s="3"/>
      <c r="BK185" s="4" t="s">
        <v>4780</v>
      </c>
    </row>
    <row r="186">
      <c r="A186" s="1" t="s">
        <v>908</v>
      </c>
      <c r="B186" s="1" t="s">
        <v>906</v>
      </c>
      <c r="C186" s="1" t="s">
        <v>906</v>
      </c>
      <c r="D186" s="1" t="s">
        <v>4977</v>
      </c>
      <c r="E186" s="1" t="s">
        <v>6022</v>
      </c>
      <c r="F186" s="1" t="s">
        <v>6023</v>
      </c>
      <c r="G186" s="3"/>
      <c r="H186" s="3"/>
      <c r="I186" s="3"/>
      <c r="J186" s="1" t="s">
        <v>6024</v>
      </c>
      <c r="K186" s="3">
        <f>+821035700630</f>
        <v>821035700630</v>
      </c>
      <c r="L186" s="3"/>
      <c r="M186" s="3"/>
      <c r="N186" s="3"/>
      <c r="O186" s="3"/>
      <c r="P186" s="1">
        <v>2.085875264E9</v>
      </c>
      <c r="Q186" s="1" t="b">
        <v>1</v>
      </c>
      <c r="R186" s="1">
        <v>2.0</v>
      </c>
      <c r="S186" s="1" t="s">
        <v>5332</v>
      </c>
      <c r="T186" s="3"/>
      <c r="U186" s="1" t="s">
        <v>4672</v>
      </c>
      <c r="V186" s="1" t="s">
        <v>4673</v>
      </c>
      <c r="W186" s="1" t="s">
        <v>6025</v>
      </c>
      <c r="X186" s="1" t="b">
        <v>0</v>
      </c>
      <c r="Y186" s="1" t="s">
        <v>4675</v>
      </c>
      <c r="Z186" s="1" t="s">
        <v>6026</v>
      </c>
      <c r="AB186" s="3"/>
      <c r="AC186" s="3"/>
      <c r="AD186" s="3"/>
      <c r="AE186" s="3"/>
      <c r="AF186" s="3"/>
      <c r="AG186" s="3"/>
      <c r="AH186" s="3"/>
      <c r="AI186" s="1" t="b">
        <v>0</v>
      </c>
      <c r="AJ186" s="1" t="b">
        <v>0</v>
      </c>
      <c r="AK186" s="1" t="s">
        <v>6027</v>
      </c>
      <c r="AL186" s="1" t="s">
        <v>6028</v>
      </c>
      <c r="AM186" s="1" t="s">
        <v>5307</v>
      </c>
      <c r="AN186" s="1" t="s">
        <v>4686</v>
      </c>
      <c r="AO186" s="1" t="s">
        <v>6029</v>
      </c>
      <c r="AP186" s="1" t="s">
        <v>6030</v>
      </c>
      <c r="AQ186" s="1" t="s">
        <v>4688</v>
      </c>
      <c r="AR186" s="1">
        <v>2.0</v>
      </c>
      <c r="AS186" s="3"/>
      <c r="AT186" s="3"/>
      <c r="AU186" s="4" t="s">
        <v>6031</v>
      </c>
      <c r="AZ186" s="3"/>
      <c r="BA186" s="3"/>
      <c r="BB186" s="3"/>
      <c r="BC186" s="3"/>
      <c r="BD186" s="3"/>
      <c r="BE186" s="1" t="b">
        <v>1</v>
      </c>
      <c r="BF186" s="3"/>
      <c r="BG186" s="3"/>
      <c r="BH186" s="3"/>
      <c r="BI186" s="3"/>
      <c r="BJ186" s="3"/>
      <c r="BK186" s="4" t="s">
        <v>6032</v>
      </c>
      <c r="BL186" s="1" t="s">
        <v>4723</v>
      </c>
    </row>
    <row r="187">
      <c r="A187" s="1" t="s">
        <v>813</v>
      </c>
      <c r="B187" s="1" t="s">
        <v>812</v>
      </c>
      <c r="C187" s="1" t="s">
        <v>812</v>
      </c>
      <c r="D187" s="1" t="s">
        <v>4711</v>
      </c>
      <c r="E187" s="1" t="s">
        <v>6033</v>
      </c>
      <c r="F187" s="1" t="s">
        <v>6034</v>
      </c>
      <c r="G187" s="3"/>
      <c r="H187" s="3"/>
      <c r="I187" s="3"/>
      <c r="J187" s="1" t="s">
        <v>6035</v>
      </c>
      <c r="K187" s="3">
        <f>+821099469820</f>
        <v>821099469820</v>
      </c>
      <c r="L187" s="3"/>
      <c r="M187" s="3"/>
      <c r="N187" s="3"/>
      <c r="O187" s="3"/>
      <c r="P187" s="1">
        <v>1.09947696E8</v>
      </c>
      <c r="Q187" s="1" t="b">
        <v>1</v>
      </c>
      <c r="R187" s="1">
        <v>2.0</v>
      </c>
      <c r="S187" s="1" t="s">
        <v>4752</v>
      </c>
      <c r="T187" s="3"/>
      <c r="U187" s="1" t="s">
        <v>4672</v>
      </c>
      <c r="V187" s="1" t="s">
        <v>4673</v>
      </c>
      <c r="W187" s="1" t="s">
        <v>6036</v>
      </c>
      <c r="X187" s="1" t="b">
        <v>0</v>
      </c>
      <c r="Y187" s="1" t="s">
        <v>4675</v>
      </c>
      <c r="Z187" s="1" t="s">
        <v>6037</v>
      </c>
      <c r="AB187" s="3"/>
      <c r="AC187" s="3"/>
      <c r="AD187" s="3"/>
      <c r="AE187" s="3"/>
      <c r="AF187" s="3"/>
      <c r="AG187" s="3"/>
      <c r="AH187" s="3"/>
      <c r="AI187" s="1" t="b">
        <v>0</v>
      </c>
      <c r="AJ187" s="1" t="b">
        <v>0</v>
      </c>
      <c r="AK187" s="1" t="s">
        <v>6038</v>
      </c>
      <c r="AL187" s="1" t="s">
        <v>4719</v>
      </c>
      <c r="AM187" s="1" t="s">
        <v>4685</v>
      </c>
      <c r="AN187" s="1" t="s">
        <v>4720</v>
      </c>
      <c r="AO187" s="1" t="s">
        <v>6037</v>
      </c>
      <c r="AP187" s="1" t="s">
        <v>4721</v>
      </c>
      <c r="AQ187" s="1" t="s">
        <v>4722</v>
      </c>
      <c r="AR187" s="1">
        <v>2.0</v>
      </c>
      <c r="AS187" s="3"/>
      <c r="AT187" s="3"/>
      <c r="AU187" s="4" t="s">
        <v>4695</v>
      </c>
      <c r="AW187" s="3"/>
      <c r="AX187" s="3"/>
      <c r="AY187" s="3"/>
      <c r="AZ187" s="3"/>
      <c r="BA187" s="3"/>
      <c r="BB187" s="3"/>
      <c r="BC187" s="3"/>
      <c r="BD187" s="3"/>
      <c r="BE187" s="1" t="b">
        <v>1</v>
      </c>
      <c r="BF187" s="3"/>
      <c r="BG187" s="3"/>
      <c r="BH187" s="3"/>
      <c r="BI187" s="3"/>
      <c r="BJ187" s="3"/>
      <c r="BK187" s="4" t="s">
        <v>4771</v>
      </c>
    </row>
    <row r="188">
      <c r="A188" s="1" t="s">
        <v>1169</v>
      </c>
      <c r="B188" s="1" t="s">
        <v>1167</v>
      </c>
      <c r="C188" s="1" t="s">
        <v>1167</v>
      </c>
      <c r="D188" s="1" t="s">
        <v>5000</v>
      </c>
      <c r="E188" s="1" t="s">
        <v>6039</v>
      </c>
      <c r="F188" s="1" t="s">
        <v>6040</v>
      </c>
      <c r="G188" s="3"/>
      <c r="H188" s="3"/>
      <c r="I188" s="1" t="s">
        <v>6041</v>
      </c>
      <c r="J188" s="1" t="s">
        <v>6042</v>
      </c>
      <c r="L188" s="3"/>
      <c r="M188" s="3"/>
      <c r="N188" s="3"/>
      <c r="O188" s="3"/>
      <c r="P188" s="1">
        <v>1.12289016E8</v>
      </c>
      <c r="Q188" s="1" t="b">
        <v>1</v>
      </c>
      <c r="R188" s="1">
        <v>88.0</v>
      </c>
      <c r="S188" s="1" t="s">
        <v>4885</v>
      </c>
      <c r="T188" s="3"/>
      <c r="U188" s="1" t="s">
        <v>4672</v>
      </c>
      <c r="V188" s="1" t="s">
        <v>4673</v>
      </c>
      <c r="W188" s="1" t="s">
        <v>6043</v>
      </c>
      <c r="X188" s="1" t="b">
        <v>0</v>
      </c>
      <c r="Y188" s="1" t="s">
        <v>4675</v>
      </c>
      <c r="Z188" s="1" t="s">
        <v>6044</v>
      </c>
      <c r="AB188" s="3"/>
      <c r="AC188" s="3"/>
      <c r="AD188" s="3"/>
      <c r="AE188" s="3"/>
      <c r="AF188" s="3"/>
      <c r="AG188" s="3"/>
      <c r="AH188" s="3"/>
      <c r="AI188" s="1" t="b">
        <v>0</v>
      </c>
      <c r="AJ188" s="1" t="b">
        <v>0</v>
      </c>
      <c r="AK188" s="1" t="s">
        <v>6045</v>
      </c>
      <c r="AL188" s="1" t="s">
        <v>4719</v>
      </c>
      <c r="AM188" s="1" t="s">
        <v>4685</v>
      </c>
      <c r="AN188" s="1" t="s">
        <v>4686</v>
      </c>
      <c r="AO188" s="1" t="s">
        <v>6044</v>
      </c>
      <c r="AP188" s="1" t="s">
        <v>4687</v>
      </c>
      <c r="AQ188" s="1" t="s">
        <v>4688</v>
      </c>
      <c r="AR188" s="1">
        <v>88.0</v>
      </c>
      <c r="AS188" s="3"/>
      <c r="AT188" s="3"/>
      <c r="AU188" s="4" t="s">
        <v>4695</v>
      </c>
      <c r="AW188" s="3"/>
      <c r="AX188" s="3"/>
      <c r="AY188" s="3"/>
      <c r="AZ188" s="3"/>
      <c r="BA188" s="3"/>
      <c r="BB188" s="3"/>
      <c r="BC188" s="3"/>
      <c r="BD188" s="3"/>
      <c r="BE188" s="1" t="b">
        <v>1</v>
      </c>
      <c r="BF188" s="3"/>
      <c r="BG188" s="3"/>
      <c r="BH188" s="3"/>
      <c r="BI188" s="3"/>
      <c r="BJ188" s="3"/>
      <c r="BK188" s="4" t="s">
        <v>4695</v>
      </c>
      <c r="BL188" s="1" t="s">
        <v>4723</v>
      </c>
    </row>
    <row r="189">
      <c r="A189" s="1" t="s">
        <v>594</v>
      </c>
      <c r="B189" s="1" t="s">
        <v>593</v>
      </c>
      <c r="C189" s="3"/>
      <c r="D189" s="3"/>
      <c r="E189" s="3"/>
      <c r="F189" s="3"/>
      <c r="G189" s="3"/>
      <c r="H189" s="3"/>
      <c r="I189" s="3"/>
      <c r="J189" s="3"/>
      <c r="K189" s="3"/>
      <c r="L189" s="3"/>
      <c r="M189" s="3"/>
      <c r="N189" s="3"/>
      <c r="O189" s="3"/>
      <c r="P189" s="1" t="s">
        <v>6046</v>
      </c>
      <c r="Q189" s="1" t="b">
        <v>0</v>
      </c>
      <c r="R189" s="1">
        <v>2.0</v>
      </c>
      <c r="S189" s="1" t="s">
        <v>4918</v>
      </c>
      <c r="T189" s="3"/>
      <c r="U189" s="1" t="s">
        <v>4672</v>
      </c>
      <c r="V189" s="1" t="s">
        <v>4673</v>
      </c>
      <c r="W189" s="1" t="s">
        <v>6047</v>
      </c>
      <c r="X189" s="1" t="b">
        <v>0</v>
      </c>
      <c r="Y189" s="1" t="s">
        <v>4675</v>
      </c>
      <c r="Z189" s="1" t="s">
        <v>6048</v>
      </c>
      <c r="AB189" s="3"/>
      <c r="AC189" s="3"/>
      <c r="AD189" s="3"/>
      <c r="AE189" s="3"/>
      <c r="AF189" s="3"/>
      <c r="AG189" s="3"/>
      <c r="AH189" s="3"/>
      <c r="AI189" s="1" t="b">
        <v>0</v>
      </c>
      <c r="AJ189" s="1" t="b">
        <v>0</v>
      </c>
      <c r="AK189" s="1" t="s">
        <v>6049</v>
      </c>
      <c r="AL189" s="1" t="s">
        <v>6050</v>
      </c>
      <c r="AM189" s="1" t="s">
        <v>6051</v>
      </c>
      <c r="AN189" s="1" t="s">
        <v>4679</v>
      </c>
      <c r="AO189" s="1" t="s">
        <v>6048</v>
      </c>
      <c r="AP189" s="1" t="s">
        <v>4854</v>
      </c>
      <c r="AQ189" s="1" t="s">
        <v>4682</v>
      </c>
      <c r="AR189" s="1">
        <v>2.0</v>
      </c>
      <c r="AS189" s="3"/>
      <c r="AT189" s="3"/>
      <c r="AU189" s="3"/>
      <c r="AV189" s="1" t="s">
        <v>5288</v>
      </c>
      <c r="AW189" s="1" t="s">
        <v>5291</v>
      </c>
      <c r="AX189" s="1" t="s">
        <v>5271</v>
      </c>
      <c r="AY189" s="1" t="s">
        <v>5272</v>
      </c>
      <c r="AZ189" s="1" t="s">
        <v>6052</v>
      </c>
      <c r="BB189" s="3"/>
      <c r="BC189" s="3"/>
      <c r="BD189" s="3"/>
      <c r="BE189" s="1" t="b">
        <v>1</v>
      </c>
      <c r="BF189" s="1" t="s">
        <v>5272</v>
      </c>
      <c r="BG189" s="1" t="s">
        <v>5271</v>
      </c>
      <c r="BH189" s="1" t="s">
        <v>6053</v>
      </c>
      <c r="BI189" s="1" t="s">
        <v>6054</v>
      </c>
      <c r="BJ189" s="1" t="s">
        <v>6055</v>
      </c>
      <c r="BL189" s="3"/>
    </row>
    <row r="190">
      <c r="A190" s="1" t="s">
        <v>620</v>
      </c>
      <c r="B190" s="1" t="s">
        <v>619</v>
      </c>
      <c r="C190" s="3"/>
      <c r="D190" s="3"/>
      <c r="E190" s="3"/>
      <c r="F190" s="3"/>
      <c r="G190" s="3"/>
      <c r="H190" s="3"/>
      <c r="I190" s="3"/>
      <c r="J190" s="3"/>
      <c r="K190" s="3"/>
      <c r="L190" s="3"/>
      <c r="M190" s="3"/>
      <c r="N190" s="3"/>
      <c r="O190" s="3"/>
      <c r="P190" s="1" t="s">
        <v>6056</v>
      </c>
      <c r="Q190" s="1" t="b">
        <v>0</v>
      </c>
      <c r="R190" s="1">
        <v>2.0</v>
      </c>
      <c r="S190" s="1" t="s">
        <v>6057</v>
      </c>
      <c r="T190" s="3"/>
      <c r="U190" s="1" t="s">
        <v>4672</v>
      </c>
      <c r="V190" s="1" t="s">
        <v>4673</v>
      </c>
      <c r="W190" s="1" t="s">
        <v>6058</v>
      </c>
      <c r="X190" s="1" t="b">
        <v>0</v>
      </c>
      <c r="Y190" s="1" t="s">
        <v>4675</v>
      </c>
      <c r="Z190" s="1" t="s">
        <v>6059</v>
      </c>
      <c r="AB190" s="3"/>
      <c r="AC190" s="3"/>
      <c r="AD190" s="3"/>
      <c r="AE190" s="3"/>
      <c r="AF190" s="3"/>
      <c r="AG190" s="3"/>
      <c r="AH190" s="3"/>
      <c r="AI190" s="1" t="b">
        <v>0</v>
      </c>
      <c r="AJ190" s="1" t="b">
        <v>0</v>
      </c>
      <c r="AK190" s="1" t="s">
        <v>6059</v>
      </c>
      <c r="AL190" s="1" t="s">
        <v>5306</v>
      </c>
      <c r="AM190" s="1" t="s">
        <v>5307</v>
      </c>
      <c r="AN190" s="1" t="s">
        <v>4686</v>
      </c>
      <c r="AO190" s="1" t="s">
        <v>6059</v>
      </c>
      <c r="AP190" s="1" t="s">
        <v>4687</v>
      </c>
      <c r="AQ190" s="1" t="s">
        <v>4688</v>
      </c>
      <c r="AR190" s="1">
        <v>2.0</v>
      </c>
      <c r="AS190" s="3"/>
      <c r="AT190" s="3"/>
      <c r="AU190" s="3"/>
      <c r="AV190" s="3"/>
      <c r="AW190" s="3"/>
      <c r="AX190" s="3"/>
      <c r="AY190" s="3"/>
      <c r="AZ190" s="3"/>
      <c r="BA190" s="3"/>
      <c r="BB190" s="3"/>
      <c r="BC190" s="3"/>
      <c r="BD190" s="3"/>
      <c r="BE190" s="1" t="b">
        <v>1</v>
      </c>
      <c r="BF190" s="3"/>
      <c r="BG190" s="3"/>
      <c r="BH190" s="3"/>
      <c r="BI190" s="3"/>
      <c r="BJ190" s="3"/>
      <c r="BK190" s="3"/>
      <c r="BL190" s="3"/>
    </row>
    <row r="191">
      <c r="A191" s="1" t="s">
        <v>774</v>
      </c>
      <c r="B191" s="1" t="s">
        <v>773</v>
      </c>
      <c r="C191" s="1" t="s">
        <v>773</v>
      </c>
      <c r="D191" s="1" t="s">
        <v>4696</v>
      </c>
      <c r="E191" s="1" t="s">
        <v>6060</v>
      </c>
      <c r="F191" s="1" t="s">
        <v>6061</v>
      </c>
      <c r="G191" s="3"/>
      <c r="H191" s="3"/>
      <c r="I191" s="1" t="s">
        <v>6062</v>
      </c>
      <c r="J191" s="1" t="s">
        <v>6063</v>
      </c>
      <c r="K191" s="3">
        <f>+821071746386</f>
        <v>821071746386</v>
      </c>
      <c r="L191" s="3"/>
      <c r="M191" s="3"/>
      <c r="N191" s="3"/>
      <c r="O191" s="3"/>
      <c r="P191" s="1">
        <v>2.085709836E9</v>
      </c>
      <c r="Q191" s="1" t="b">
        <v>1</v>
      </c>
      <c r="R191" s="1">
        <v>304.0</v>
      </c>
      <c r="S191" s="1" t="s">
        <v>4885</v>
      </c>
      <c r="T191" s="3"/>
      <c r="U191" s="1" t="s">
        <v>4672</v>
      </c>
      <c r="V191" s="1" t="s">
        <v>4673</v>
      </c>
      <c r="W191" s="1" t="s">
        <v>6064</v>
      </c>
      <c r="X191" s="1" t="b">
        <v>0</v>
      </c>
      <c r="Y191" s="1" t="s">
        <v>4675</v>
      </c>
      <c r="Z191" s="1" t="s">
        <v>6065</v>
      </c>
      <c r="AB191" s="3"/>
      <c r="AC191" s="3"/>
      <c r="AD191" s="3"/>
      <c r="AE191" s="3"/>
      <c r="AF191" s="3"/>
      <c r="AG191" s="3"/>
      <c r="AH191" s="3"/>
      <c r="AI191" s="1" t="b">
        <v>0</v>
      </c>
      <c r="AJ191" s="1" t="b">
        <v>0</v>
      </c>
      <c r="AK191" s="1" t="s">
        <v>6066</v>
      </c>
      <c r="AL191" s="1" t="s">
        <v>4769</v>
      </c>
      <c r="AM191" s="1" t="s">
        <v>4708</v>
      </c>
      <c r="AN191" s="1" t="s">
        <v>4686</v>
      </c>
      <c r="AO191" s="1" t="s">
        <v>6065</v>
      </c>
      <c r="AP191" s="1" t="s">
        <v>4709</v>
      </c>
      <c r="AQ191" s="1" t="s">
        <v>4688</v>
      </c>
      <c r="AR191" s="1">
        <v>304.0</v>
      </c>
      <c r="AS191" s="3"/>
      <c r="AT191" s="3"/>
      <c r="AU191" s="4" t="s">
        <v>4881</v>
      </c>
      <c r="AW191" s="3"/>
      <c r="AX191" s="3"/>
      <c r="AY191" s="1" t="s">
        <v>4761</v>
      </c>
      <c r="AZ191" s="3"/>
      <c r="BA191" s="3"/>
      <c r="BB191" s="3"/>
      <c r="BC191" s="3"/>
      <c r="BD191" s="3"/>
      <c r="BE191" s="1" t="b">
        <v>1</v>
      </c>
      <c r="BF191" s="1" t="s">
        <v>4761</v>
      </c>
      <c r="BG191" s="3"/>
      <c r="BH191" s="3"/>
      <c r="BI191" s="3"/>
      <c r="BJ191" s="3"/>
      <c r="BK191" s="4" t="s">
        <v>4710</v>
      </c>
    </row>
    <row r="192">
      <c r="A192" s="1" t="s">
        <v>717</v>
      </c>
      <c r="B192" s="1" t="s">
        <v>714</v>
      </c>
      <c r="C192" s="1" t="s">
        <v>714</v>
      </c>
      <c r="D192" s="1" t="s">
        <v>4724</v>
      </c>
      <c r="E192" s="1" t="s">
        <v>6067</v>
      </c>
      <c r="F192" s="1" t="s">
        <v>6068</v>
      </c>
      <c r="G192" s="3"/>
      <c r="H192" s="3"/>
      <c r="I192" s="3"/>
      <c r="J192" s="1" t="s">
        <v>6069</v>
      </c>
      <c r="K192" s="3">
        <f>+821056076543</f>
        <v>821056076543</v>
      </c>
      <c r="L192" s="3"/>
      <c r="M192" s="3"/>
      <c r="N192" s="3"/>
      <c r="O192" s="3"/>
      <c r="P192" s="1">
        <v>1.22992698E8</v>
      </c>
      <c r="Q192" s="1" t="b">
        <v>1</v>
      </c>
      <c r="R192" s="1">
        <v>6.0</v>
      </c>
      <c r="S192" s="1" t="s">
        <v>4902</v>
      </c>
      <c r="T192" s="3"/>
      <c r="U192" s="1" t="s">
        <v>4672</v>
      </c>
      <c r="V192" s="1" t="s">
        <v>4673</v>
      </c>
      <c r="W192" s="1" t="s">
        <v>6070</v>
      </c>
      <c r="X192" s="1" t="b">
        <v>0</v>
      </c>
      <c r="Y192" s="1" t="s">
        <v>4675</v>
      </c>
      <c r="Z192" s="1" t="s">
        <v>6071</v>
      </c>
      <c r="AB192" s="3"/>
      <c r="AC192" s="3"/>
      <c r="AD192" s="3"/>
      <c r="AE192" s="3"/>
      <c r="AF192" s="3"/>
      <c r="AG192" s="3"/>
      <c r="AH192" s="3"/>
      <c r="AI192" s="1" t="b">
        <v>0</v>
      </c>
      <c r="AJ192" s="1" t="b">
        <v>0</v>
      </c>
      <c r="AK192" s="1" t="s">
        <v>6072</v>
      </c>
      <c r="AL192" s="1" t="s">
        <v>4719</v>
      </c>
      <c r="AM192" s="1" t="s">
        <v>4685</v>
      </c>
      <c r="AN192" s="1" t="s">
        <v>4686</v>
      </c>
      <c r="AO192" s="1" t="s">
        <v>6071</v>
      </c>
      <c r="AP192" s="1" t="s">
        <v>4687</v>
      </c>
      <c r="AQ192" s="1" t="s">
        <v>4688</v>
      </c>
      <c r="AR192" s="1">
        <v>6.0</v>
      </c>
      <c r="AS192" s="3"/>
      <c r="AT192" s="3"/>
      <c r="AU192" s="4" t="s">
        <v>4780</v>
      </c>
      <c r="AW192" s="3"/>
      <c r="AX192" s="3"/>
      <c r="AY192" s="3"/>
      <c r="AZ192" s="3"/>
      <c r="BA192" s="3"/>
      <c r="BB192" s="3"/>
      <c r="BC192" s="3"/>
      <c r="BD192" s="3"/>
      <c r="BE192" s="1" t="b">
        <v>1</v>
      </c>
      <c r="BF192" s="3"/>
      <c r="BG192" s="3"/>
      <c r="BH192" s="3"/>
      <c r="BI192" s="3"/>
      <c r="BJ192" s="3"/>
      <c r="BK192" s="4" t="s">
        <v>4780</v>
      </c>
    </row>
    <row r="193">
      <c r="A193" s="1" t="s">
        <v>1173</v>
      </c>
      <c r="B193" s="1" t="s">
        <v>1172</v>
      </c>
      <c r="C193" s="1" t="s">
        <v>1172</v>
      </c>
      <c r="D193" s="1" t="s">
        <v>4711</v>
      </c>
      <c r="E193" s="1" t="s">
        <v>6073</v>
      </c>
      <c r="F193" s="1" t="s">
        <v>6074</v>
      </c>
      <c r="G193" s="3"/>
      <c r="H193" s="3"/>
      <c r="I193" s="1" t="s">
        <v>4742</v>
      </c>
      <c r="J193" s="1" t="s">
        <v>6075</v>
      </c>
      <c r="K193" s="3">
        <f>+821038394712</f>
        <v>821038394712</v>
      </c>
      <c r="L193" s="3"/>
      <c r="M193" s="3"/>
      <c r="N193" s="3"/>
      <c r="O193" s="3"/>
      <c r="P193" s="1">
        <v>1.11059728E8</v>
      </c>
      <c r="Q193" s="1" t="b">
        <v>1</v>
      </c>
      <c r="R193" s="1">
        <v>352.0</v>
      </c>
      <c r="S193" s="1" t="s">
        <v>4752</v>
      </c>
      <c r="T193" s="3"/>
      <c r="U193" s="1" t="s">
        <v>4672</v>
      </c>
      <c r="V193" s="1" t="s">
        <v>4673</v>
      </c>
      <c r="W193" s="1" t="s">
        <v>6076</v>
      </c>
      <c r="X193" s="1" t="b">
        <v>0</v>
      </c>
      <c r="Y193" s="1" t="s">
        <v>4675</v>
      </c>
      <c r="Z193" s="1" t="s">
        <v>6077</v>
      </c>
      <c r="AB193" s="1" t="s">
        <v>4677</v>
      </c>
      <c r="AC193" s="1" t="s">
        <v>4678</v>
      </c>
      <c r="AD193" s="1" t="s">
        <v>4679</v>
      </c>
      <c r="AE193" s="1" t="s">
        <v>6077</v>
      </c>
      <c r="AF193" s="1" t="s">
        <v>4705</v>
      </c>
      <c r="AG193" s="1" t="s">
        <v>4682</v>
      </c>
      <c r="AH193" s="1">
        <v>30.0</v>
      </c>
      <c r="AI193" s="1" t="b">
        <v>0</v>
      </c>
      <c r="AJ193" s="1" t="b">
        <v>0</v>
      </c>
      <c r="AK193" s="1" t="s">
        <v>6078</v>
      </c>
      <c r="AL193" s="1" t="s">
        <v>4684</v>
      </c>
      <c r="AM193" s="1" t="s">
        <v>4685</v>
      </c>
      <c r="AN193" s="1" t="s">
        <v>4686</v>
      </c>
      <c r="AO193" s="1" t="s">
        <v>6079</v>
      </c>
      <c r="AP193" s="1" t="s">
        <v>4687</v>
      </c>
      <c r="AQ193" s="1" t="s">
        <v>4688</v>
      </c>
      <c r="AR193" s="1">
        <v>322.0</v>
      </c>
      <c r="AS193" s="3"/>
      <c r="AT193" s="3"/>
      <c r="AU193" s="4" t="s">
        <v>4856</v>
      </c>
      <c r="BB193" s="3"/>
      <c r="BC193" s="3"/>
      <c r="BD193" s="3"/>
      <c r="BE193" s="1" t="b">
        <v>1</v>
      </c>
      <c r="BF193" s="3"/>
      <c r="BG193" s="3"/>
      <c r="BH193" s="3"/>
      <c r="BI193" s="3"/>
      <c r="BJ193" s="3"/>
      <c r="BK193" s="3"/>
      <c r="BL193" s="3"/>
    </row>
    <row r="194">
      <c r="A194" s="1" t="s">
        <v>289</v>
      </c>
      <c r="B194" s="1" t="s">
        <v>288</v>
      </c>
      <c r="C194" s="1" t="s">
        <v>288</v>
      </c>
      <c r="D194" s="1" t="s">
        <v>4913</v>
      </c>
      <c r="E194" s="1" t="s">
        <v>6080</v>
      </c>
      <c r="F194" s="1" t="s">
        <v>6081</v>
      </c>
      <c r="G194" s="3"/>
      <c r="H194" s="3"/>
      <c r="I194" s="1" t="s">
        <v>5026</v>
      </c>
      <c r="J194" s="1" t="s">
        <v>6082</v>
      </c>
      <c r="K194" s="3">
        <f>+821049054579</f>
        <v>821049054579</v>
      </c>
      <c r="L194" s="3"/>
      <c r="M194" s="3"/>
      <c r="N194" s="3"/>
      <c r="O194" s="3"/>
      <c r="P194" s="1">
        <v>1.12278366E8</v>
      </c>
      <c r="Q194" s="1" t="b">
        <v>1</v>
      </c>
      <c r="R194" s="1">
        <v>169.0</v>
      </c>
      <c r="S194" s="1" t="s">
        <v>6083</v>
      </c>
      <c r="T194" s="3"/>
      <c r="U194" s="1" t="s">
        <v>4672</v>
      </c>
      <c r="V194" s="1" t="s">
        <v>4673</v>
      </c>
      <c r="W194" s="1" t="s">
        <v>6084</v>
      </c>
      <c r="X194" s="1" t="b">
        <v>0</v>
      </c>
      <c r="Y194" s="1" t="s">
        <v>4675</v>
      </c>
      <c r="Z194" s="1" t="s">
        <v>6085</v>
      </c>
      <c r="AB194" s="1" t="s">
        <v>4677</v>
      </c>
      <c r="AC194" s="1" t="s">
        <v>4678</v>
      </c>
      <c r="AD194" s="1" t="s">
        <v>4679</v>
      </c>
      <c r="AE194" s="1" t="s">
        <v>6086</v>
      </c>
      <c r="AF194" s="1" t="s">
        <v>4681</v>
      </c>
      <c r="AG194" s="1" t="s">
        <v>4682</v>
      </c>
      <c r="AH194" s="1">
        <v>5.0</v>
      </c>
      <c r="AI194" s="1" t="b">
        <v>0</v>
      </c>
      <c r="AJ194" s="1" t="b">
        <v>0</v>
      </c>
      <c r="AK194" s="1" t="s">
        <v>6087</v>
      </c>
      <c r="AL194" s="1" t="s">
        <v>4769</v>
      </c>
      <c r="AM194" s="1" t="s">
        <v>4708</v>
      </c>
      <c r="AN194" s="1" t="s">
        <v>4686</v>
      </c>
      <c r="AO194" s="1" t="s">
        <v>6085</v>
      </c>
      <c r="AP194" s="1" t="s">
        <v>4709</v>
      </c>
      <c r="AQ194" s="1" t="s">
        <v>4688</v>
      </c>
      <c r="AR194" s="1">
        <v>164.0</v>
      </c>
      <c r="AS194" s="3"/>
      <c r="AT194" s="3"/>
      <c r="AU194" s="4" t="s">
        <v>4695</v>
      </c>
      <c r="AV194" s="1" t="s">
        <v>6088</v>
      </c>
      <c r="AW194" s="3"/>
      <c r="AX194" s="1" t="s">
        <v>5489</v>
      </c>
      <c r="AY194" s="1" t="s">
        <v>4790</v>
      </c>
      <c r="AZ194" s="1" t="s">
        <v>4791</v>
      </c>
      <c r="BA194" s="3"/>
      <c r="BB194" s="3"/>
      <c r="BC194" s="3"/>
      <c r="BD194" s="3"/>
      <c r="BE194" s="1" t="b">
        <v>1</v>
      </c>
      <c r="BF194" s="1" t="s">
        <v>4790</v>
      </c>
      <c r="BG194" s="1" t="s">
        <v>5489</v>
      </c>
      <c r="BH194" s="1" t="s">
        <v>6088</v>
      </c>
      <c r="BI194" s="3"/>
      <c r="BJ194" s="1" t="s">
        <v>4791</v>
      </c>
      <c r="BK194" s="4" t="s">
        <v>4695</v>
      </c>
    </row>
    <row r="195">
      <c r="A195" s="1" t="s">
        <v>1289</v>
      </c>
      <c r="B195" s="1" t="s">
        <v>1288</v>
      </c>
      <c r="C195" s="1" t="s">
        <v>1288</v>
      </c>
      <c r="D195" s="1" t="s">
        <v>6089</v>
      </c>
      <c r="E195" s="1" t="s">
        <v>6090</v>
      </c>
      <c r="F195" s="1" t="s">
        <v>6091</v>
      </c>
      <c r="G195" s="3"/>
      <c r="H195" s="3"/>
      <c r="I195" s="1" t="s">
        <v>5026</v>
      </c>
      <c r="J195" s="1" t="s">
        <v>6092</v>
      </c>
      <c r="L195" s="3"/>
      <c r="M195" s="3"/>
      <c r="N195" s="3"/>
      <c r="O195" s="3"/>
      <c r="P195" s="1">
        <v>1.12281524E8</v>
      </c>
      <c r="Q195" s="1" t="b">
        <v>1</v>
      </c>
      <c r="R195" s="1">
        <v>74.0</v>
      </c>
      <c r="S195" s="1" t="s">
        <v>5429</v>
      </c>
      <c r="T195" s="3"/>
      <c r="U195" s="1" t="s">
        <v>4672</v>
      </c>
      <c r="V195" s="1" t="s">
        <v>4673</v>
      </c>
      <c r="W195" s="1" t="s">
        <v>6093</v>
      </c>
      <c r="X195" s="1" t="b">
        <v>0</v>
      </c>
      <c r="Y195" s="1" t="s">
        <v>4675</v>
      </c>
      <c r="Z195" s="1" t="s">
        <v>6094</v>
      </c>
      <c r="AB195" s="1" t="s">
        <v>4677</v>
      </c>
      <c r="AC195" s="1" t="s">
        <v>4678</v>
      </c>
      <c r="AD195" s="1" t="s">
        <v>4679</v>
      </c>
      <c r="AE195" s="1" t="s">
        <v>6095</v>
      </c>
      <c r="AF195" s="1" t="s">
        <v>6096</v>
      </c>
      <c r="AG195" s="1" t="s">
        <v>4682</v>
      </c>
      <c r="AH195" s="1">
        <v>25.0</v>
      </c>
      <c r="AI195" s="1" t="b">
        <v>0</v>
      </c>
      <c r="AJ195" s="1" t="b">
        <v>0</v>
      </c>
      <c r="AK195" s="1" t="s">
        <v>6097</v>
      </c>
      <c r="AL195" s="1" t="s">
        <v>4719</v>
      </c>
      <c r="AM195" s="1" t="s">
        <v>4685</v>
      </c>
      <c r="AN195" s="1" t="s">
        <v>4686</v>
      </c>
      <c r="AO195" s="1" t="s">
        <v>6094</v>
      </c>
      <c r="AP195" s="1" t="s">
        <v>4687</v>
      </c>
      <c r="AQ195" s="1" t="s">
        <v>4688</v>
      </c>
      <c r="AR195" s="1">
        <v>49.0</v>
      </c>
      <c r="AS195" s="3"/>
      <c r="AT195" s="3"/>
      <c r="AU195" s="4" t="s">
        <v>4695</v>
      </c>
      <c r="AW195" s="3"/>
      <c r="AX195" s="3"/>
      <c r="AY195" s="3"/>
      <c r="AZ195" s="3"/>
      <c r="BA195" s="3"/>
      <c r="BB195" s="3"/>
      <c r="BC195" s="3"/>
      <c r="BD195" s="3"/>
      <c r="BE195" s="1" t="b">
        <v>1</v>
      </c>
      <c r="BF195" s="3"/>
      <c r="BG195" s="3"/>
      <c r="BH195" s="3"/>
      <c r="BI195" s="3"/>
      <c r="BJ195" s="3"/>
      <c r="BK195" s="4" t="s">
        <v>4695</v>
      </c>
    </row>
    <row r="196">
      <c r="A196" s="1" t="s">
        <v>651</v>
      </c>
      <c r="B196" s="1" t="s">
        <v>650</v>
      </c>
      <c r="C196" s="3"/>
      <c r="D196" s="3"/>
      <c r="E196" s="3"/>
      <c r="F196" s="3"/>
      <c r="G196" s="3"/>
      <c r="H196" s="3"/>
      <c r="I196" s="3"/>
      <c r="J196" s="3"/>
      <c r="K196" s="3"/>
      <c r="L196" s="3"/>
      <c r="M196" s="3"/>
      <c r="N196" s="3"/>
      <c r="O196" s="3"/>
      <c r="P196" s="1" t="s">
        <v>6098</v>
      </c>
      <c r="Q196" s="1" t="b">
        <v>0</v>
      </c>
      <c r="R196" s="1">
        <v>1.0</v>
      </c>
      <c r="S196" s="1" t="s">
        <v>5186</v>
      </c>
      <c r="T196" s="3"/>
      <c r="U196" s="1" t="s">
        <v>4672</v>
      </c>
      <c r="V196" s="1" t="s">
        <v>4673</v>
      </c>
      <c r="W196" s="1" t="s">
        <v>6099</v>
      </c>
      <c r="X196" s="1" t="b">
        <v>0</v>
      </c>
      <c r="Y196" s="1" t="s">
        <v>4675</v>
      </c>
      <c r="Z196" s="1" t="s">
        <v>6100</v>
      </c>
      <c r="AB196" s="3"/>
      <c r="AC196" s="3"/>
      <c r="AD196" s="3"/>
      <c r="AE196" s="3"/>
      <c r="AF196" s="3"/>
      <c r="AG196" s="3"/>
      <c r="AH196" s="3"/>
      <c r="AI196" s="1" t="b">
        <v>0</v>
      </c>
      <c r="AJ196" s="1" t="b">
        <v>0</v>
      </c>
      <c r="AK196" s="1" t="s">
        <v>6099</v>
      </c>
      <c r="AL196" s="1" t="s">
        <v>6101</v>
      </c>
      <c r="AM196" s="1" t="s">
        <v>5307</v>
      </c>
      <c r="AN196" s="1" t="s">
        <v>4720</v>
      </c>
      <c r="AO196" s="1" t="s">
        <v>6100</v>
      </c>
      <c r="AP196" s="1" t="s">
        <v>4721</v>
      </c>
      <c r="AQ196" s="1" t="s">
        <v>4722</v>
      </c>
      <c r="AR196" s="1">
        <v>1.0</v>
      </c>
      <c r="AS196" s="3"/>
      <c r="AT196" s="3"/>
      <c r="AU196" s="4" t="s">
        <v>4780</v>
      </c>
      <c r="AV196" s="1" t="s">
        <v>4788</v>
      </c>
      <c r="AW196" s="1" t="s">
        <v>4789</v>
      </c>
      <c r="AX196" s="1" t="s">
        <v>4692</v>
      </c>
      <c r="AY196" s="1" t="s">
        <v>4790</v>
      </c>
      <c r="AZ196" s="1" t="s">
        <v>4791</v>
      </c>
      <c r="BA196" s="3"/>
      <c r="BB196" s="3"/>
      <c r="BC196" s="3"/>
      <c r="BD196" s="3"/>
      <c r="BE196" s="1" t="b">
        <v>1</v>
      </c>
      <c r="BF196" s="1" t="s">
        <v>4790</v>
      </c>
      <c r="BG196" s="1" t="s">
        <v>4692</v>
      </c>
      <c r="BH196" s="1" t="s">
        <v>4788</v>
      </c>
      <c r="BI196" s="1" t="s">
        <v>4789</v>
      </c>
      <c r="BJ196" s="1" t="s">
        <v>4791</v>
      </c>
      <c r="BK196" s="4" t="s">
        <v>4780</v>
      </c>
    </row>
    <row r="197">
      <c r="A197" s="1" t="s">
        <v>401</v>
      </c>
      <c r="B197" s="1" t="s">
        <v>400</v>
      </c>
      <c r="C197" s="3"/>
      <c r="D197" s="3"/>
      <c r="E197" s="3"/>
      <c r="F197" s="3"/>
      <c r="G197" s="3"/>
      <c r="H197" s="3"/>
      <c r="I197" s="3"/>
      <c r="J197" s="3"/>
      <c r="K197" s="3"/>
      <c r="L197" s="3"/>
      <c r="M197" s="3"/>
      <c r="N197" s="3"/>
      <c r="O197" s="3"/>
      <c r="P197" s="1" t="s">
        <v>6102</v>
      </c>
      <c r="Q197" s="1" t="b">
        <v>0</v>
      </c>
      <c r="R197" s="1">
        <v>3.0</v>
      </c>
      <c r="S197" s="1" t="s">
        <v>4671</v>
      </c>
      <c r="T197" s="3"/>
      <c r="U197" s="1" t="s">
        <v>4672</v>
      </c>
      <c r="V197" s="1" t="s">
        <v>4673</v>
      </c>
      <c r="W197" s="1" t="s">
        <v>6103</v>
      </c>
      <c r="X197" s="1" t="b">
        <v>0</v>
      </c>
      <c r="Y197" s="1" t="s">
        <v>4675</v>
      </c>
      <c r="Z197" s="1" t="s">
        <v>6104</v>
      </c>
      <c r="AB197" s="3"/>
      <c r="AC197" s="3"/>
      <c r="AD197" s="3"/>
      <c r="AE197" s="3"/>
      <c r="AF197" s="3"/>
      <c r="AG197" s="3"/>
      <c r="AH197" s="3"/>
      <c r="AI197" s="1" t="b">
        <v>0</v>
      </c>
      <c r="AJ197" s="1" t="b">
        <v>0</v>
      </c>
      <c r="AK197" s="1" t="s">
        <v>6104</v>
      </c>
      <c r="AL197" s="1" t="s">
        <v>6009</v>
      </c>
      <c r="AM197" s="1" t="s">
        <v>4685</v>
      </c>
      <c r="AN197" s="1" t="s">
        <v>4679</v>
      </c>
      <c r="AO197" s="1" t="s">
        <v>6104</v>
      </c>
      <c r="AP197" s="1" t="s">
        <v>4681</v>
      </c>
      <c r="AQ197" s="1" t="s">
        <v>4682</v>
      </c>
      <c r="AR197" s="1">
        <v>3.0</v>
      </c>
      <c r="AS197" s="3"/>
      <c r="AT197" s="3"/>
      <c r="AU197" s="4" t="s">
        <v>4695</v>
      </c>
      <c r="AW197" s="3"/>
      <c r="AX197" s="3"/>
      <c r="AY197" s="3"/>
      <c r="AZ197" s="3"/>
      <c r="BA197" s="3"/>
      <c r="BB197" s="3"/>
      <c r="BC197" s="3"/>
      <c r="BD197" s="3"/>
      <c r="BE197" s="1" t="b">
        <v>1</v>
      </c>
      <c r="BF197" s="3"/>
      <c r="BG197" s="3"/>
      <c r="BH197" s="3"/>
      <c r="BI197" s="3"/>
      <c r="BJ197" s="3"/>
      <c r="BK197" s="4" t="s">
        <v>4695</v>
      </c>
    </row>
    <row r="198">
      <c r="A198" s="1" t="s">
        <v>923</v>
      </c>
      <c r="B198" s="1" t="s">
        <v>921</v>
      </c>
      <c r="C198" s="1" t="s">
        <v>921</v>
      </c>
      <c r="D198" s="1" t="s">
        <v>4977</v>
      </c>
      <c r="E198" s="1" t="s">
        <v>6105</v>
      </c>
      <c r="F198" s="1" t="s">
        <v>6106</v>
      </c>
      <c r="G198" s="3"/>
      <c r="H198" s="3"/>
      <c r="I198" s="3"/>
      <c r="J198" s="1" t="s">
        <v>6107</v>
      </c>
      <c r="K198" s="3">
        <f>+821062348149</f>
        <v>821062348149</v>
      </c>
      <c r="L198" s="3"/>
      <c r="M198" s="3"/>
      <c r="N198" s="3"/>
      <c r="O198" s="3"/>
      <c r="P198" s="1">
        <v>1.15599577E8</v>
      </c>
      <c r="Q198" s="1" t="b">
        <v>1</v>
      </c>
      <c r="R198" s="1">
        <v>1.0</v>
      </c>
      <c r="S198" s="1" t="s">
        <v>4752</v>
      </c>
      <c r="T198" s="3"/>
      <c r="U198" s="1" t="s">
        <v>4672</v>
      </c>
      <c r="V198" s="1" t="s">
        <v>4673</v>
      </c>
      <c r="W198" s="1" t="s">
        <v>6108</v>
      </c>
      <c r="X198" s="1" t="b">
        <v>0</v>
      </c>
      <c r="Y198" s="1" t="s">
        <v>4675</v>
      </c>
      <c r="Z198" s="1" t="s">
        <v>6109</v>
      </c>
      <c r="AB198" s="3"/>
      <c r="AC198" s="3"/>
      <c r="AD198" s="3"/>
      <c r="AE198" s="3"/>
      <c r="AF198" s="3"/>
      <c r="AG198" s="3"/>
      <c r="AH198" s="3"/>
      <c r="AI198" s="1" t="b">
        <v>0</v>
      </c>
      <c r="AJ198" s="1" t="b">
        <v>0</v>
      </c>
      <c r="AK198" s="1" t="s">
        <v>6110</v>
      </c>
      <c r="AL198" s="1" t="s">
        <v>6111</v>
      </c>
      <c r="AM198" s="1" t="s">
        <v>4685</v>
      </c>
      <c r="AN198" s="1" t="s">
        <v>4720</v>
      </c>
      <c r="AO198" s="1" t="s">
        <v>6108</v>
      </c>
      <c r="AP198" s="1" t="s">
        <v>4721</v>
      </c>
      <c r="AQ198" s="1" t="s">
        <v>4722</v>
      </c>
      <c r="AR198" s="1">
        <v>1.0</v>
      </c>
      <c r="AS198" s="3"/>
      <c r="AT198" s="3"/>
      <c r="AU198" s="3"/>
      <c r="AV198" s="3"/>
      <c r="AW198" s="3"/>
      <c r="AX198" s="3"/>
      <c r="AY198" s="3"/>
      <c r="AZ198" s="3"/>
      <c r="BA198" s="3"/>
      <c r="BB198" s="3"/>
      <c r="BC198" s="3"/>
      <c r="BD198" s="3"/>
      <c r="BE198" s="1" t="b">
        <v>1</v>
      </c>
      <c r="BF198" s="3"/>
      <c r="BG198" s="3"/>
      <c r="BH198" s="3"/>
      <c r="BI198" s="3"/>
      <c r="BJ198" s="3"/>
      <c r="BK198" s="3"/>
      <c r="BL198" s="1" t="s">
        <v>4723</v>
      </c>
    </row>
    <row r="199">
      <c r="A199" s="1" t="s">
        <v>1397</v>
      </c>
      <c r="B199" s="1" t="s">
        <v>1394</v>
      </c>
      <c r="C199" s="1" t="s">
        <v>1394</v>
      </c>
      <c r="D199" s="1" t="s">
        <v>5000</v>
      </c>
      <c r="E199" s="1" t="s">
        <v>6112</v>
      </c>
      <c r="F199" s="1" t="s">
        <v>6113</v>
      </c>
      <c r="G199" s="3"/>
      <c r="H199" s="3"/>
      <c r="I199" s="1" t="s">
        <v>4733</v>
      </c>
      <c r="J199" s="1" t="s">
        <v>6114</v>
      </c>
      <c r="L199" s="3"/>
      <c r="M199" s="3"/>
      <c r="N199" s="3"/>
      <c r="O199" s="3"/>
      <c r="P199" s="1">
        <v>1.10992977E8</v>
      </c>
      <c r="Q199" s="1" t="b">
        <v>1</v>
      </c>
      <c r="R199" s="1">
        <v>117.0</v>
      </c>
      <c r="S199" s="1" t="s">
        <v>5827</v>
      </c>
      <c r="U199" s="1" t="s">
        <v>4672</v>
      </c>
      <c r="V199" s="1" t="s">
        <v>4673</v>
      </c>
      <c r="W199" s="1" t="s">
        <v>6115</v>
      </c>
      <c r="X199" s="1" t="b">
        <v>0</v>
      </c>
      <c r="Y199" s="1" t="s">
        <v>4675</v>
      </c>
      <c r="Z199" s="1" t="s">
        <v>6116</v>
      </c>
      <c r="AB199" s="1" t="s">
        <v>4677</v>
      </c>
      <c r="AC199" s="1" t="s">
        <v>4678</v>
      </c>
      <c r="AD199" s="1" t="s">
        <v>4679</v>
      </c>
      <c r="AE199" s="1" t="s">
        <v>6116</v>
      </c>
      <c r="AF199" s="1" t="s">
        <v>4681</v>
      </c>
      <c r="AG199" s="1" t="s">
        <v>4682</v>
      </c>
      <c r="AH199" s="1">
        <v>74.0</v>
      </c>
      <c r="AI199" s="1" t="b">
        <v>0</v>
      </c>
      <c r="AJ199" s="1" t="b">
        <v>0</v>
      </c>
      <c r="AK199" s="1" t="s">
        <v>6116</v>
      </c>
      <c r="AL199" s="1" t="s">
        <v>4842</v>
      </c>
      <c r="AM199" s="1" t="s">
        <v>4843</v>
      </c>
      <c r="AN199" s="1" t="s">
        <v>4720</v>
      </c>
      <c r="AO199" s="1" t="s">
        <v>6117</v>
      </c>
      <c r="AP199" s="1" t="s">
        <v>4721</v>
      </c>
      <c r="AQ199" s="1" t="s">
        <v>4722</v>
      </c>
      <c r="AR199" s="1">
        <v>43.0</v>
      </c>
      <c r="AS199" s="3"/>
      <c r="AT199" s="3"/>
      <c r="AU199" s="4" t="s">
        <v>4695</v>
      </c>
      <c r="AW199" s="3"/>
      <c r="AX199" s="3"/>
      <c r="AY199" s="3"/>
      <c r="AZ199" s="3"/>
      <c r="BA199" s="3"/>
      <c r="BB199" s="3"/>
      <c r="BC199" s="3"/>
      <c r="BD199" s="3"/>
      <c r="BE199" s="1" t="b">
        <v>1</v>
      </c>
      <c r="BF199" s="3"/>
      <c r="BG199" s="3"/>
      <c r="BH199" s="3"/>
      <c r="BI199" s="3"/>
      <c r="BJ199" s="3"/>
      <c r="BK199" s="4" t="s">
        <v>4695</v>
      </c>
    </row>
    <row r="200">
      <c r="A200" s="1" t="s">
        <v>688</v>
      </c>
      <c r="B200" s="1" t="s">
        <v>687</v>
      </c>
      <c r="C200" s="3"/>
      <c r="D200" s="3"/>
      <c r="E200" s="3"/>
      <c r="F200" s="3"/>
      <c r="G200" s="3"/>
      <c r="H200" s="3"/>
      <c r="I200" s="3"/>
      <c r="J200" s="3"/>
      <c r="K200" s="3"/>
      <c r="L200" s="3"/>
      <c r="M200" s="3"/>
      <c r="N200" s="3"/>
      <c r="O200" s="3"/>
      <c r="P200" s="1" t="s">
        <v>6118</v>
      </c>
      <c r="Q200" s="1" t="b">
        <v>0</v>
      </c>
      <c r="R200" s="1">
        <v>1.0</v>
      </c>
      <c r="S200" s="1" t="s">
        <v>5058</v>
      </c>
      <c r="T200" s="3"/>
      <c r="U200" s="1" t="s">
        <v>4672</v>
      </c>
      <c r="V200" s="1" t="s">
        <v>4673</v>
      </c>
      <c r="W200" s="1" t="s">
        <v>6119</v>
      </c>
      <c r="X200" s="1" t="b">
        <v>0</v>
      </c>
      <c r="Y200" s="1" t="s">
        <v>4675</v>
      </c>
      <c r="Z200" s="1" t="s">
        <v>6120</v>
      </c>
      <c r="AB200" s="3"/>
      <c r="AC200" s="3"/>
      <c r="AD200" s="3"/>
      <c r="AE200" s="3"/>
      <c r="AF200" s="3"/>
      <c r="AG200" s="3"/>
      <c r="AH200" s="3"/>
      <c r="AI200" s="1" t="b">
        <v>0</v>
      </c>
      <c r="AJ200" s="1" t="b">
        <v>0</v>
      </c>
      <c r="AK200" s="1" t="s">
        <v>6119</v>
      </c>
      <c r="AL200" s="1" t="s">
        <v>6121</v>
      </c>
      <c r="AM200" s="1" t="s">
        <v>5286</v>
      </c>
      <c r="AN200" s="1" t="s">
        <v>5467</v>
      </c>
      <c r="AO200" s="1" t="s">
        <v>6120</v>
      </c>
      <c r="AP200" s="1" t="s">
        <v>4757</v>
      </c>
      <c r="AQ200" s="1" t="s">
        <v>4758</v>
      </c>
      <c r="AR200" s="1">
        <v>1.0</v>
      </c>
      <c r="AS200" s="3"/>
      <c r="AT200" s="3"/>
      <c r="AU200" s="3"/>
      <c r="AV200" s="1" t="s">
        <v>6122</v>
      </c>
      <c r="AW200" s="1" t="s">
        <v>5328</v>
      </c>
      <c r="AX200" s="1" t="s">
        <v>5271</v>
      </c>
      <c r="AY200" s="1" t="s">
        <v>5272</v>
      </c>
      <c r="AZ200" s="3"/>
      <c r="BA200" s="3"/>
      <c r="BB200" s="3"/>
      <c r="BC200" s="3"/>
      <c r="BD200" s="3"/>
      <c r="BE200" s="1" t="b">
        <v>1</v>
      </c>
      <c r="BF200" s="1" t="s">
        <v>5272</v>
      </c>
      <c r="BG200" s="1" t="s">
        <v>5271</v>
      </c>
      <c r="BH200" s="1" t="s">
        <v>6122</v>
      </c>
      <c r="BI200" s="1" t="s">
        <v>5328</v>
      </c>
      <c r="BK200" s="3"/>
      <c r="BL200" s="3"/>
    </row>
    <row r="201">
      <c r="A201" s="1" t="s">
        <v>778</v>
      </c>
      <c r="B201" s="1" t="s">
        <v>777</v>
      </c>
      <c r="C201" s="1" t="s">
        <v>777</v>
      </c>
      <c r="D201" s="1" t="s">
        <v>4696</v>
      </c>
      <c r="E201" s="1" t="s">
        <v>6123</v>
      </c>
      <c r="F201" s="1" t="s">
        <v>6124</v>
      </c>
      <c r="G201" s="3"/>
      <c r="H201" s="3"/>
      <c r="I201" s="1" t="s">
        <v>4742</v>
      </c>
      <c r="J201" s="1" t="s">
        <v>6125</v>
      </c>
      <c r="K201" s="3">
        <f>+821098021655</f>
        <v>821098021655</v>
      </c>
      <c r="L201" s="3"/>
      <c r="M201" s="3"/>
      <c r="N201" s="3"/>
      <c r="O201" s="3"/>
      <c r="P201" s="1">
        <v>1.1235318E8</v>
      </c>
      <c r="Q201" s="1" t="b">
        <v>1</v>
      </c>
      <c r="R201" s="1">
        <v>75.0</v>
      </c>
      <c r="S201" s="1" t="s">
        <v>4744</v>
      </c>
      <c r="T201" s="3"/>
      <c r="U201" s="1" t="s">
        <v>4672</v>
      </c>
      <c r="V201" s="1" t="s">
        <v>4673</v>
      </c>
      <c r="W201" s="1" t="s">
        <v>6126</v>
      </c>
      <c r="X201" s="1" t="b">
        <v>0</v>
      </c>
      <c r="Y201" s="1" t="s">
        <v>4675</v>
      </c>
      <c r="Z201" s="1" t="s">
        <v>6127</v>
      </c>
      <c r="AB201" s="1" t="s">
        <v>4677</v>
      </c>
      <c r="AC201" s="1" t="s">
        <v>4896</v>
      </c>
      <c r="AD201" s="1" t="s">
        <v>4679</v>
      </c>
      <c r="AE201" s="1" t="s">
        <v>6128</v>
      </c>
      <c r="AF201" s="1" t="s">
        <v>5955</v>
      </c>
      <c r="AG201" s="1" t="s">
        <v>4682</v>
      </c>
      <c r="AH201" s="1">
        <v>6.0</v>
      </c>
      <c r="AI201" s="1" t="b">
        <v>0</v>
      </c>
      <c r="AJ201" s="1" t="b">
        <v>0</v>
      </c>
      <c r="AK201" s="1" t="s">
        <v>6129</v>
      </c>
      <c r="AL201" s="1" t="s">
        <v>4684</v>
      </c>
      <c r="AM201" s="1" t="s">
        <v>4685</v>
      </c>
      <c r="AN201" s="1" t="s">
        <v>4720</v>
      </c>
      <c r="AO201" s="1" t="s">
        <v>6127</v>
      </c>
      <c r="AP201" s="1" t="s">
        <v>4721</v>
      </c>
      <c r="AQ201" s="1" t="s">
        <v>4722</v>
      </c>
      <c r="AR201" s="1">
        <v>69.0</v>
      </c>
      <c r="AS201" s="3"/>
      <c r="AT201" s="3"/>
      <c r="AU201" s="4" t="s">
        <v>4695</v>
      </c>
      <c r="AW201" s="3"/>
      <c r="AX201" s="3"/>
      <c r="AY201" s="3"/>
      <c r="AZ201" s="3"/>
      <c r="BA201" s="3"/>
      <c r="BB201" s="3"/>
      <c r="BC201" s="3"/>
      <c r="BD201" s="3"/>
      <c r="BE201" s="1" t="b">
        <v>1</v>
      </c>
      <c r="BF201" s="3"/>
      <c r="BG201" s="3"/>
      <c r="BH201" s="3"/>
      <c r="BI201" s="3"/>
      <c r="BJ201" s="3"/>
      <c r="BK201" s="4" t="s">
        <v>4695</v>
      </c>
    </row>
    <row r="202">
      <c r="A202" s="1" t="s">
        <v>1072</v>
      </c>
      <c r="B202" s="1" t="s">
        <v>1071</v>
      </c>
      <c r="C202" s="1" t="s">
        <v>1071</v>
      </c>
      <c r="D202" s="1" t="s">
        <v>4922</v>
      </c>
      <c r="E202" s="1" t="s">
        <v>6130</v>
      </c>
      <c r="F202" s="1" t="s">
        <v>6131</v>
      </c>
      <c r="G202" s="3"/>
      <c r="H202" s="3"/>
      <c r="I202" s="3"/>
      <c r="J202" s="1" t="s">
        <v>6132</v>
      </c>
      <c r="K202" s="3">
        <f>+821093916328</f>
        <v>821093916328</v>
      </c>
      <c r="L202" s="3"/>
      <c r="M202" s="3"/>
      <c r="N202" s="3"/>
      <c r="O202" s="3"/>
      <c r="P202" s="1">
        <v>1.22992465E8</v>
      </c>
      <c r="Q202" s="1" t="b">
        <v>1</v>
      </c>
      <c r="R202" s="1">
        <v>16.0</v>
      </c>
      <c r="S202" s="1" t="s">
        <v>4885</v>
      </c>
      <c r="T202" s="3"/>
      <c r="U202" s="1" t="s">
        <v>4672</v>
      </c>
      <c r="V202" s="1" t="s">
        <v>4673</v>
      </c>
      <c r="W202" s="1" t="s">
        <v>6133</v>
      </c>
      <c r="X202" s="1" t="b">
        <v>0</v>
      </c>
      <c r="Y202" s="1" t="s">
        <v>4675</v>
      </c>
      <c r="Z202" s="1" t="s">
        <v>6134</v>
      </c>
      <c r="AB202" s="3"/>
      <c r="AC202" s="3"/>
      <c r="AD202" s="3"/>
      <c r="AE202" s="3"/>
      <c r="AF202" s="3"/>
      <c r="AG202" s="3"/>
      <c r="AH202" s="3"/>
      <c r="AI202" s="1" t="b">
        <v>0</v>
      </c>
      <c r="AJ202" s="1" t="b">
        <v>0</v>
      </c>
      <c r="AK202" s="1" t="s">
        <v>6135</v>
      </c>
      <c r="AL202" s="1" t="s">
        <v>4719</v>
      </c>
      <c r="AM202" s="1" t="s">
        <v>4685</v>
      </c>
      <c r="AN202" s="1" t="s">
        <v>4720</v>
      </c>
      <c r="AO202" s="1" t="s">
        <v>6134</v>
      </c>
      <c r="AP202" s="1" t="s">
        <v>4721</v>
      </c>
      <c r="AQ202" s="1" t="s">
        <v>4722</v>
      </c>
      <c r="AR202" s="1">
        <v>16.0</v>
      </c>
      <c r="AS202" s="3"/>
      <c r="AT202" s="3"/>
      <c r="AU202" s="4" t="s">
        <v>4695</v>
      </c>
      <c r="AW202" s="3"/>
      <c r="AX202" s="3"/>
      <c r="AY202" s="3"/>
      <c r="AZ202" s="3"/>
      <c r="BA202" s="3"/>
      <c r="BB202" s="3"/>
      <c r="BC202" s="3"/>
      <c r="BD202" s="3"/>
      <c r="BE202" s="1" t="b">
        <v>1</v>
      </c>
      <c r="BF202" s="3"/>
      <c r="BG202" s="3"/>
      <c r="BH202" s="3"/>
      <c r="BI202" s="3"/>
      <c r="BJ202" s="3"/>
      <c r="BK202" s="4" t="s">
        <v>4695</v>
      </c>
    </row>
    <row r="203">
      <c r="A203" s="1" t="s">
        <v>364</v>
      </c>
      <c r="B203" s="1" t="s">
        <v>363</v>
      </c>
      <c r="C203" s="3"/>
      <c r="D203" s="3"/>
      <c r="E203" s="3"/>
      <c r="F203" s="3"/>
      <c r="G203" s="3"/>
      <c r="H203" s="3"/>
      <c r="I203" s="3"/>
      <c r="J203" s="3"/>
      <c r="K203" s="3"/>
      <c r="L203" s="3"/>
      <c r="M203" s="3"/>
      <c r="N203" s="3"/>
      <c r="O203" s="3"/>
      <c r="P203" s="1" t="s">
        <v>6136</v>
      </c>
      <c r="Q203" s="1" t="b">
        <v>0</v>
      </c>
      <c r="R203" s="1">
        <v>1.0</v>
      </c>
      <c r="S203" s="1" t="s">
        <v>4885</v>
      </c>
      <c r="T203" s="3"/>
      <c r="U203" s="1" t="s">
        <v>4672</v>
      </c>
      <c r="V203" s="1" t="s">
        <v>4673</v>
      </c>
      <c r="W203" s="1" t="s">
        <v>6137</v>
      </c>
      <c r="X203" s="1" t="b">
        <v>0</v>
      </c>
      <c r="Y203" s="1" t="s">
        <v>4675</v>
      </c>
      <c r="Z203" s="1" t="s">
        <v>6137</v>
      </c>
      <c r="AB203" s="3"/>
      <c r="AC203" s="3"/>
      <c r="AD203" s="3"/>
      <c r="AE203" s="3"/>
      <c r="AF203" s="3"/>
      <c r="AG203" s="3"/>
      <c r="AH203" s="3"/>
      <c r="AI203" s="1" t="b">
        <v>0</v>
      </c>
      <c r="AJ203" s="1" t="b">
        <v>0</v>
      </c>
      <c r="AK203" s="1" t="s">
        <v>6137</v>
      </c>
      <c r="AL203" s="1" t="s">
        <v>4684</v>
      </c>
      <c r="AM203" s="1" t="s">
        <v>4685</v>
      </c>
      <c r="AN203" s="1" t="s">
        <v>4686</v>
      </c>
      <c r="AO203" s="1" t="s">
        <v>6137</v>
      </c>
      <c r="AP203" s="1" t="s">
        <v>4687</v>
      </c>
      <c r="AQ203" s="1" t="s">
        <v>4688</v>
      </c>
      <c r="AR203" s="1">
        <v>1.0</v>
      </c>
      <c r="AS203" s="3"/>
      <c r="AT203" s="3"/>
      <c r="AU203" s="4" t="s">
        <v>4695</v>
      </c>
      <c r="AW203" s="3"/>
      <c r="AX203" s="3"/>
      <c r="AY203" s="3"/>
      <c r="AZ203" s="3"/>
      <c r="BA203" s="3"/>
      <c r="BB203" s="3"/>
      <c r="BC203" s="3"/>
      <c r="BD203" s="3"/>
      <c r="BE203" s="1" t="b">
        <v>1</v>
      </c>
      <c r="BF203" s="3"/>
      <c r="BG203" s="3"/>
      <c r="BH203" s="3"/>
      <c r="BI203" s="3"/>
      <c r="BJ203" s="3"/>
      <c r="BK203" s="4" t="s">
        <v>4695</v>
      </c>
    </row>
    <row r="204">
      <c r="A204" s="1" t="s">
        <v>483</v>
      </c>
      <c r="B204" s="1" t="s">
        <v>482</v>
      </c>
      <c r="C204" s="3"/>
      <c r="D204" s="3"/>
      <c r="E204" s="3"/>
      <c r="F204" s="3"/>
      <c r="G204" s="3"/>
      <c r="H204" s="3"/>
      <c r="I204" s="3"/>
      <c r="J204" s="3"/>
      <c r="K204" s="3"/>
      <c r="L204" s="3"/>
      <c r="M204" s="3"/>
      <c r="N204" s="3"/>
      <c r="O204" s="3"/>
      <c r="P204" s="1" t="s">
        <v>6138</v>
      </c>
      <c r="Q204" s="1" t="b">
        <v>0</v>
      </c>
      <c r="R204" s="1">
        <v>7.0</v>
      </c>
      <c r="S204" s="1" t="s">
        <v>4752</v>
      </c>
      <c r="T204" s="3"/>
      <c r="U204" s="1" t="s">
        <v>4672</v>
      </c>
      <c r="V204" s="1" t="s">
        <v>4673</v>
      </c>
      <c r="W204" s="1" t="s">
        <v>6139</v>
      </c>
      <c r="X204" s="1" t="b">
        <v>0</v>
      </c>
      <c r="Y204" s="1" t="s">
        <v>4675</v>
      </c>
      <c r="Z204" s="1" t="s">
        <v>6140</v>
      </c>
      <c r="AB204" s="3"/>
      <c r="AC204" s="3"/>
      <c r="AD204" s="3"/>
      <c r="AE204" s="3"/>
      <c r="AF204" s="3"/>
      <c r="AG204" s="3"/>
      <c r="AH204" s="3"/>
      <c r="AI204" s="1" t="b">
        <v>0</v>
      </c>
      <c r="AJ204" s="1" t="b">
        <v>0</v>
      </c>
      <c r="AK204" s="1" t="s">
        <v>6140</v>
      </c>
      <c r="AL204" s="1" t="s">
        <v>5134</v>
      </c>
      <c r="AM204" s="1" t="s">
        <v>5135</v>
      </c>
      <c r="AN204" s="1" t="s">
        <v>4720</v>
      </c>
      <c r="AO204" s="1" t="s">
        <v>6140</v>
      </c>
      <c r="AP204" s="1" t="s">
        <v>4721</v>
      </c>
      <c r="AQ204" s="1" t="s">
        <v>4722</v>
      </c>
      <c r="AR204" s="1">
        <v>7.0</v>
      </c>
      <c r="AS204" s="3"/>
      <c r="AT204" s="3"/>
      <c r="AU204" s="4" t="s">
        <v>4695</v>
      </c>
      <c r="AW204" s="3"/>
      <c r="AX204" s="3"/>
      <c r="AY204" s="3"/>
      <c r="AZ204" s="3"/>
      <c r="BA204" s="3"/>
      <c r="BB204" s="3"/>
      <c r="BC204" s="3"/>
      <c r="BD204" s="3"/>
      <c r="BE204" s="1" t="b">
        <v>1</v>
      </c>
      <c r="BF204" s="3"/>
      <c r="BG204" s="3"/>
      <c r="BH204" s="3"/>
      <c r="BI204" s="3"/>
      <c r="BJ204" s="3"/>
      <c r="BK204" s="4" t="s">
        <v>4771</v>
      </c>
    </row>
    <row r="205">
      <c r="A205" s="1" t="s">
        <v>1136</v>
      </c>
      <c r="B205" s="1" t="s">
        <v>1134</v>
      </c>
      <c r="C205" s="1" t="s">
        <v>1134</v>
      </c>
      <c r="D205" s="1" t="s">
        <v>6141</v>
      </c>
      <c r="E205" s="1" t="s">
        <v>6142</v>
      </c>
      <c r="F205" s="1" t="s">
        <v>6143</v>
      </c>
      <c r="G205" s="3"/>
      <c r="H205" s="3"/>
      <c r="I205" s="3"/>
      <c r="J205" s="1" t="s">
        <v>6144</v>
      </c>
      <c r="K205" s="3"/>
      <c r="L205" s="3"/>
      <c r="M205" s="3"/>
      <c r="N205" s="3"/>
      <c r="O205" s="3"/>
      <c r="P205" s="1">
        <v>1.22949332E8</v>
      </c>
      <c r="Q205" s="1" t="b">
        <v>1</v>
      </c>
      <c r="R205" s="1">
        <v>4.0</v>
      </c>
      <c r="S205" s="1" t="s">
        <v>4885</v>
      </c>
      <c r="T205" s="3"/>
      <c r="U205" s="1" t="s">
        <v>4672</v>
      </c>
      <c r="V205" s="1" t="s">
        <v>4673</v>
      </c>
      <c r="W205" s="1" t="s">
        <v>6145</v>
      </c>
      <c r="X205" s="1" t="b">
        <v>0</v>
      </c>
      <c r="Y205" s="1" t="s">
        <v>4675</v>
      </c>
      <c r="Z205" s="1" t="s">
        <v>6146</v>
      </c>
      <c r="AB205" s="1" t="s">
        <v>4677</v>
      </c>
      <c r="AC205" s="1" t="s">
        <v>4678</v>
      </c>
      <c r="AD205" s="1" t="s">
        <v>5467</v>
      </c>
      <c r="AE205" s="1" t="s">
        <v>6147</v>
      </c>
      <c r="AF205" s="1" t="s">
        <v>4757</v>
      </c>
      <c r="AG205" s="1" t="s">
        <v>4758</v>
      </c>
      <c r="AH205" s="1">
        <v>1.0</v>
      </c>
      <c r="AI205" s="1" t="b">
        <v>0</v>
      </c>
      <c r="AJ205" s="1" t="b">
        <v>0</v>
      </c>
      <c r="AK205" s="1" t="s">
        <v>6148</v>
      </c>
      <c r="AL205" s="1" t="s">
        <v>6149</v>
      </c>
      <c r="AM205" s="1" t="s">
        <v>4685</v>
      </c>
      <c r="AN205" s="1" t="s">
        <v>6150</v>
      </c>
      <c r="AO205" s="1" t="s">
        <v>6146</v>
      </c>
      <c r="AP205" s="1" t="s">
        <v>6151</v>
      </c>
      <c r="AQ205" s="1" t="s">
        <v>6152</v>
      </c>
      <c r="AR205" s="1">
        <v>3.0</v>
      </c>
      <c r="AS205" s="3"/>
      <c r="AT205" s="3"/>
      <c r="AU205" s="4" t="s">
        <v>4780</v>
      </c>
      <c r="AW205" s="3"/>
      <c r="AX205" s="3"/>
      <c r="AY205" s="3"/>
      <c r="AZ205" s="3"/>
      <c r="BA205" s="3"/>
      <c r="BB205" s="3"/>
      <c r="BC205" s="3"/>
      <c r="BD205" s="3"/>
      <c r="BE205" s="1" t="b">
        <v>1</v>
      </c>
      <c r="BF205" s="3"/>
      <c r="BG205" s="3"/>
      <c r="BH205" s="3"/>
      <c r="BI205" s="3"/>
      <c r="BJ205" s="3"/>
      <c r="BK205" s="4" t="s">
        <v>4780</v>
      </c>
    </row>
    <row r="206">
      <c r="A206" s="1" t="s">
        <v>1649</v>
      </c>
      <c r="B206" s="1" t="s">
        <v>1508</v>
      </c>
      <c r="C206" s="1" t="s">
        <v>1508</v>
      </c>
      <c r="D206" s="1" t="s">
        <v>4817</v>
      </c>
      <c r="E206" s="1" t="s">
        <v>6153</v>
      </c>
      <c r="F206" s="1" t="s">
        <v>6154</v>
      </c>
      <c r="G206" s="3"/>
      <c r="H206" s="3"/>
      <c r="I206" s="1" t="s">
        <v>5095</v>
      </c>
      <c r="J206" s="1" t="s">
        <v>4727</v>
      </c>
      <c r="K206" s="3">
        <f>+821058510346</f>
        <v>821058510346</v>
      </c>
      <c r="L206" s="3"/>
      <c r="M206" s="3"/>
      <c r="N206" s="3"/>
      <c r="O206" s="3"/>
      <c r="P206" s="1">
        <v>1.22952409E8</v>
      </c>
      <c r="Q206" s="1" t="b">
        <v>1</v>
      </c>
      <c r="R206" s="1">
        <v>22.0</v>
      </c>
      <c r="S206" s="1" t="s">
        <v>6155</v>
      </c>
      <c r="T206" s="3"/>
      <c r="U206" s="1" t="s">
        <v>4672</v>
      </c>
      <c r="V206" s="1" t="s">
        <v>4673</v>
      </c>
      <c r="W206" s="1" t="s">
        <v>6156</v>
      </c>
      <c r="X206" s="1" t="b">
        <v>0</v>
      </c>
      <c r="Y206" s="1" t="s">
        <v>4675</v>
      </c>
      <c r="Z206" s="1" t="s">
        <v>6157</v>
      </c>
      <c r="AB206" s="3"/>
      <c r="AC206" s="3"/>
      <c r="AD206" s="3"/>
      <c r="AE206" s="3"/>
      <c r="AF206" s="3"/>
      <c r="AG206" s="3"/>
      <c r="AH206" s="3"/>
      <c r="AI206" s="1" t="b">
        <v>0</v>
      </c>
      <c r="AJ206" s="1" t="b">
        <v>0</v>
      </c>
      <c r="AK206" s="1" t="s">
        <v>6158</v>
      </c>
      <c r="AL206" s="1" t="s">
        <v>4707</v>
      </c>
      <c r="AM206" s="1" t="s">
        <v>4708</v>
      </c>
      <c r="AN206" s="1" t="s">
        <v>4686</v>
      </c>
      <c r="AO206" s="1" t="s">
        <v>6157</v>
      </c>
      <c r="AP206" s="1" t="s">
        <v>4709</v>
      </c>
      <c r="AQ206" s="1" t="s">
        <v>4688</v>
      </c>
      <c r="AR206" s="1">
        <v>22.0</v>
      </c>
      <c r="AS206" s="3"/>
      <c r="AT206" s="3"/>
      <c r="AU206" s="4" t="s">
        <v>4695</v>
      </c>
      <c r="AV206" s="1" t="s">
        <v>4788</v>
      </c>
      <c r="AW206" s="1" t="s">
        <v>4789</v>
      </c>
      <c r="AX206" s="1" t="s">
        <v>4692</v>
      </c>
      <c r="AY206" s="1" t="s">
        <v>4790</v>
      </c>
      <c r="AZ206" s="1" t="s">
        <v>4791</v>
      </c>
      <c r="BA206" s="3"/>
      <c r="BB206" s="3"/>
      <c r="BC206" s="3"/>
      <c r="BD206" s="3"/>
      <c r="BE206" s="1" t="b">
        <v>1</v>
      </c>
      <c r="BF206" s="1" t="s">
        <v>4790</v>
      </c>
      <c r="BG206" s="1" t="s">
        <v>4692</v>
      </c>
      <c r="BH206" s="1" t="s">
        <v>4788</v>
      </c>
      <c r="BI206" s="1" t="s">
        <v>4789</v>
      </c>
      <c r="BJ206" s="1" t="s">
        <v>4791</v>
      </c>
      <c r="BK206" s="4" t="s">
        <v>4780</v>
      </c>
    </row>
    <row r="207">
      <c r="A207" s="1" t="s">
        <v>1405</v>
      </c>
      <c r="B207" s="1" t="s">
        <v>1404</v>
      </c>
      <c r="C207" s="1" t="s">
        <v>1404</v>
      </c>
      <c r="D207" s="1" t="s">
        <v>5092</v>
      </c>
      <c r="E207" s="1" t="s">
        <v>6159</v>
      </c>
      <c r="F207" s="1" t="s">
        <v>6160</v>
      </c>
      <c r="G207" s="3"/>
      <c r="H207" s="3"/>
      <c r="I207" s="1" t="s">
        <v>5095</v>
      </c>
      <c r="J207" s="1" t="s">
        <v>6161</v>
      </c>
      <c r="K207" s="3">
        <f>+821074300107</f>
        <v>821074300107</v>
      </c>
      <c r="L207" s="3"/>
      <c r="M207" s="3"/>
      <c r="N207" s="3"/>
      <c r="O207" s="3"/>
      <c r="P207" s="1">
        <v>1.15591832E8</v>
      </c>
      <c r="Q207" s="1" t="b">
        <v>1</v>
      </c>
      <c r="R207" s="1">
        <v>28.0</v>
      </c>
      <c r="S207" s="1" t="s">
        <v>5540</v>
      </c>
      <c r="T207" s="3"/>
      <c r="U207" s="1" t="s">
        <v>4672</v>
      </c>
      <c r="V207" s="1" t="s">
        <v>4673</v>
      </c>
      <c r="W207" s="1" t="s">
        <v>6162</v>
      </c>
      <c r="X207" s="1" t="b">
        <v>0</v>
      </c>
      <c r="Y207" s="1" t="s">
        <v>4675</v>
      </c>
      <c r="Z207" s="1" t="s">
        <v>6163</v>
      </c>
      <c r="AB207" s="3"/>
      <c r="AC207" s="3"/>
      <c r="AD207" s="3"/>
      <c r="AE207" s="3"/>
      <c r="AF207" s="3"/>
      <c r="AG207" s="3"/>
      <c r="AH207" s="3"/>
      <c r="AI207" s="1" t="b">
        <v>0</v>
      </c>
      <c r="AJ207" s="1" t="b">
        <v>0</v>
      </c>
      <c r="AK207" s="1" t="s">
        <v>6164</v>
      </c>
      <c r="AL207" s="1" t="s">
        <v>4719</v>
      </c>
      <c r="AM207" s="1" t="s">
        <v>4685</v>
      </c>
      <c r="AN207" s="1" t="s">
        <v>4686</v>
      </c>
      <c r="AO207" s="1" t="s">
        <v>6163</v>
      </c>
      <c r="AP207" s="1" t="s">
        <v>4687</v>
      </c>
      <c r="AQ207" s="1" t="s">
        <v>4688</v>
      </c>
      <c r="AR207" s="1">
        <v>28.0</v>
      </c>
      <c r="AS207" s="3"/>
      <c r="AT207" s="3"/>
      <c r="AU207" s="4" t="s">
        <v>6165</v>
      </c>
      <c r="AY207" s="4" t="s">
        <v>6166</v>
      </c>
      <c r="AZ207" s="3"/>
      <c r="BA207" s="3"/>
      <c r="BB207" s="3"/>
      <c r="BC207" s="3"/>
      <c r="BD207" s="3"/>
      <c r="BE207" s="1" t="b">
        <v>1</v>
      </c>
      <c r="BF207" s="4" t="s">
        <v>6166</v>
      </c>
      <c r="BG207" s="3"/>
      <c r="BH207" s="3"/>
      <c r="BI207" s="3"/>
      <c r="BJ207" s="3"/>
      <c r="BK207" s="4" t="s">
        <v>6167</v>
      </c>
    </row>
    <row r="208">
      <c r="A208" s="1" t="s">
        <v>1957</v>
      </c>
      <c r="B208" s="1" t="s">
        <v>1956</v>
      </c>
      <c r="C208" s="3"/>
      <c r="D208" s="3"/>
      <c r="E208" s="3"/>
      <c r="F208" s="3"/>
      <c r="G208" s="3"/>
      <c r="H208" s="3"/>
      <c r="I208" s="1" t="s">
        <v>4669</v>
      </c>
      <c r="J208" s="3"/>
      <c r="K208" s="3"/>
      <c r="L208" s="3"/>
      <c r="M208" s="3"/>
      <c r="N208" s="3"/>
      <c r="O208" s="3"/>
      <c r="P208" s="1" t="s">
        <v>6168</v>
      </c>
      <c r="Q208" s="1" t="b">
        <v>0</v>
      </c>
      <c r="R208" s="1">
        <v>2.0</v>
      </c>
      <c r="S208" s="1" t="s">
        <v>5493</v>
      </c>
      <c r="T208" s="3"/>
      <c r="U208" s="1" t="s">
        <v>4672</v>
      </c>
      <c r="V208" s="1" t="s">
        <v>4673</v>
      </c>
      <c r="W208" s="1" t="s">
        <v>6169</v>
      </c>
      <c r="X208" s="1" t="b">
        <v>0</v>
      </c>
      <c r="Y208" s="1" t="s">
        <v>4675</v>
      </c>
      <c r="Z208" s="1" t="s">
        <v>6170</v>
      </c>
      <c r="AB208" s="3"/>
      <c r="AC208" s="3"/>
      <c r="AD208" s="3"/>
      <c r="AE208" s="3"/>
      <c r="AF208" s="3"/>
      <c r="AG208" s="3"/>
      <c r="AH208" s="3"/>
      <c r="AI208" s="1" t="b">
        <v>0</v>
      </c>
      <c r="AJ208" s="1" t="b">
        <v>0</v>
      </c>
      <c r="AK208" s="1" t="s">
        <v>6170</v>
      </c>
      <c r="AL208" s="1" t="s">
        <v>5134</v>
      </c>
      <c r="AM208" s="1" t="s">
        <v>5135</v>
      </c>
      <c r="AN208" s="1" t="s">
        <v>4720</v>
      </c>
      <c r="AO208" s="1" t="s">
        <v>6170</v>
      </c>
      <c r="AP208" s="1" t="s">
        <v>4721</v>
      </c>
      <c r="AQ208" s="1" t="s">
        <v>4722</v>
      </c>
      <c r="AR208" s="1">
        <v>2.0</v>
      </c>
      <c r="AS208" s="3"/>
      <c r="AT208" s="3"/>
      <c r="AU208" s="4" t="s">
        <v>4780</v>
      </c>
      <c r="AW208" s="3"/>
      <c r="AX208" s="3"/>
      <c r="AY208" s="3"/>
      <c r="AZ208" s="3"/>
      <c r="BA208" s="3"/>
      <c r="BB208" s="3"/>
      <c r="BC208" s="3"/>
      <c r="BD208" s="3"/>
      <c r="BE208" s="1" t="b">
        <v>1</v>
      </c>
      <c r="BF208" s="3"/>
      <c r="BG208" s="3"/>
      <c r="BH208" s="3"/>
      <c r="BI208" s="3"/>
      <c r="BJ208" s="3"/>
      <c r="BK208" s="4" t="s">
        <v>4780</v>
      </c>
    </row>
    <row r="209">
      <c r="A209" s="1" t="s">
        <v>1209</v>
      </c>
      <c r="B209" s="1" t="s">
        <v>1208</v>
      </c>
      <c r="C209" s="3"/>
      <c r="D209" s="3"/>
      <c r="E209" s="3"/>
      <c r="F209" s="3"/>
      <c r="G209" s="3"/>
      <c r="H209" s="3"/>
      <c r="I209" s="3"/>
      <c r="J209" s="3"/>
      <c r="K209" s="3"/>
      <c r="L209" s="3"/>
      <c r="M209" s="3"/>
      <c r="N209" s="3"/>
      <c r="O209" s="3"/>
      <c r="P209" s="1" t="s">
        <v>6171</v>
      </c>
      <c r="Q209" s="1" t="b">
        <v>0</v>
      </c>
      <c r="R209" s="1">
        <v>2.0</v>
      </c>
      <c r="S209" s="1" t="s">
        <v>4752</v>
      </c>
      <c r="T209" s="3"/>
      <c r="U209" s="1" t="s">
        <v>4672</v>
      </c>
      <c r="V209" s="1" t="s">
        <v>4673</v>
      </c>
      <c r="W209" s="1" t="s">
        <v>6172</v>
      </c>
      <c r="X209" s="1" t="b">
        <v>0</v>
      </c>
      <c r="Y209" s="1" t="s">
        <v>4675</v>
      </c>
      <c r="Z209" s="1" t="s">
        <v>6173</v>
      </c>
      <c r="AB209" s="3"/>
      <c r="AC209" s="3"/>
      <c r="AD209" s="3"/>
      <c r="AE209" s="3"/>
      <c r="AF209" s="3"/>
      <c r="AG209" s="3"/>
      <c r="AH209" s="3"/>
      <c r="AI209" s="1" t="b">
        <v>0</v>
      </c>
      <c r="AJ209" s="1" t="b">
        <v>0</v>
      </c>
      <c r="AK209" s="1" t="s">
        <v>6174</v>
      </c>
      <c r="AL209" s="1" t="s">
        <v>5306</v>
      </c>
      <c r="AM209" s="1" t="s">
        <v>5307</v>
      </c>
      <c r="AN209" s="1" t="s">
        <v>4720</v>
      </c>
      <c r="AO209" s="1" t="s">
        <v>6173</v>
      </c>
      <c r="AP209" s="1" t="s">
        <v>4721</v>
      </c>
      <c r="AQ209" s="1" t="s">
        <v>4722</v>
      </c>
      <c r="AR209" s="1">
        <v>2.0</v>
      </c>
      <c r="AS209" s="3"/>
      <c r="AT209" s="3"/>
      <c r="AU209" s="3"/>
      <c r="AV209" s="3"/>
      <c r="AW209" s="3"/>
      <c r="AX209" s="3"/>
      <c r="AY209" s="3"/>
      <c r="AZ209" s="3"/>
      <c r="BA209" s="3"/>
      <c r="BB209" s="3"/>
      <c r="BC209" s="3"/>
      <c r="BD209" s="3"/>
      <c r="BE209" s="1" t="b">
        <v>1</v>
      </c>
      <c r="BF209" s="3"/>
      <c r="BG209" s="3"/>
      <c r="BH209" s="3"/>
      <c r="BI209" s="3"/>
      <c r="BJ209" s="3"/>
      <c r="BK209" s="3"/>
      <c r="BL209" s="3"/>
    </row>
    <row r="210">
      <c r="A210" s="1" t="s">
        <v>272</v>
      </c>
      <c r="B210" s="1" t="s">
        <v>270</v>
      </c>
      <c r="C210" s="1" t="s">
        <v>270</v>
      </c>
      <c r="D210" s="1" t="s">
        <v>5684</v>
      </c>
      <c r="E210" s="1" t="s">
        <v>6175</v>
      </c>
      <c r="F210" s="1" t="s">
        <v>6176</v>
      </c>
      <c r="G210" s="3"/>
      <c r="H210" s="3"/>
      <c r="I210" s="1" t="s">
        <v>4669</v>
      </c>
      <c r="J210" s="1" t="s">
        <v>6177</v>
      </c>
      <c r="K210" s="3"/>
      <c r="L210" s="3"/>
      <c r="M210" s="3"/>
      <c r="N210" s="3"/>
      <c r="O210" s="3"/>
      <c r="P210" s="1">
        <v>1.12360593E8</v>
      </c>
      <c r="Q210" s="1" t="b">
        <v>1</v>
      </c>
      <c r="R210" s="1">
        <v>14.0</v>
      </c>
      <c r="S210" s="1" t="s">
        <v>5078</v>
      </c>
      <c r="U210" s="1" t="s">
        <v>4672</v>
      </c>
      <c r="V210" s="1" t="s">
        <v>4673</v>
      </c>
      <c r="W210" s="1" t="s">
        <v>6178</v>
      </c>
      <c r="X210" s="1" t="b">
        <v>0</v>
      </c>
      <c r="Y210" s="1" t="s">
        <v>4675</v>
      </c>
      <c r="Z210" s="1" t="s">
        <v>6179</v>
      </c>
      <c r="AB210" s="3"/>
      <c r="AC210" s="3"/>
      <c r="AD210" s="3"/>
      <c r="AE210" s="3"/>
      <c r="AF210" s="3"/>
      <c r="AG210" s="3"/>
      <c r="AH210" s="3"/>
      <c r="AI210" s="1" t="b">
        <v>0</v>
      </c>
      <c r="AJ210" s="1" t="b">
        <v>0</v>
      </c>
      <c r="AK210" s="1" t="s">
        <v>6179</v>
      </c>
      <c r="AL210" s="1" t="s">
        <v>4769</v>
      </c>
      <c r="AM210" s="1" t="s">
        <v>4708</v>
      </c>
      <c r="AN210" s="1" t="s">
        <v>4686</v>
      </c>
      <c r="AO210" s="1" t="s">
        <v>6179</v>
      </c>
      <c r="AP210" s="1" t="s">
        <v>4709</v>
      </c>
      <c r="AQ210" s="1" t="s">
        <v>4688</v>
      </c>
      <c r="AR210" s="1">
        <v>14.0</v>
      </c>
      <c r="AS210" s="3"/>
      <c r="AT210" s="3"/>
      <c r="AU210" s="4" t="s">
        <v>4780</v>
      </c>
      <c r="AW210" s="3"/>
      <c r="AX210" s="3"/>
      <c r="AY210" s="3"/>
      <c r="AZ210" s="3"/>
      <c r="BA210" s="3"/>
      <c r="BB210" s="3"/>
      <c r="BC210" s="3"/>
      <c r="BD210" s="3"/>
      <c r="BE210" s="1" t="b">
        <v>1</v>
      </c>
      <c r="BF210" s="3"/>
      <c r="BG210" s="3"/>
      <c r="BH210" s="3"/>
      <c r="BI210" s="3"/>
      <c r="BJ210" s="3"/>
      <c r="BK210" s="4" t="s">
        <v>4780</v>
      </c>
    </row>
    <row r="211">
      <c r="A211" s="1" t="s">
        <v>437</v>
      </c>
      <c r="B211" s="1" t="s">
        <v>436</v>
      </c>
      <c r="C211" s="3"/>
      <c r="D211" s="3"/>
      <c r="E211" s="3"/>
      <c r="F211" s="3"/>
      <c r="G211" s="3"/>
      <c r="H211" s="3"/>
      <c r="I211" s="3"/>
      <c r="J211" s="3"/>
      <c r="K211" s="3"/>
      <c r="L211" s="3"/>
      <c r="M211" s="3"/>
      <c r="N211" s="3"/>
      <c r="O211" s="3"/>
      <c r="P211" s="1" t="s">
        <v>6180</v>
      </c>
      <c r="Q211" s="1" t="b">
        <v>0</v>
      </c>
      <c r="R211" s="1">
        <v>1.0</v>
      </c>
      <c r="S211" s="1" t="s">
        <v>4752</v>
      </c>
      <c r="T211" s="3"/>
      <c r="U211" s="1" t="s">
        <v>4672</v>
      </c>
      <c r="V211" s="1" t="s">
        <v>4673</v>
      </c>
      <c r="W211" s="1" t="s">
        <v>6181</v>
      </c>
      <c r="X211" s="1" t="b">
        <v>0</v>
      </c>
      <c r="Y211" s="1" t="s">
        <v>4675</v>
      </c>
      <c r="Z211" s="1" t="s">
        <v>6182</v>
      </c>
      <c r="AB211" s="3"/>
      <c r="AC211" s="3"/>
      <c r="AD211" s="3"/>
      <c r="AE211" s="3"/>
      <c r="AF211" s="3"/>
      <c r="AG211" s="3"/>
      <c r="AH211" s="3"/>
      <c r="AI211" s="1" t="b">
        <v>0</v>
      </c>
      <c r="AJ211" s="1" t="b">
        <v>0</v>
      </c>
      <c r="AK211" s="1" t="s">
        <v>6181</v>
      </c>
      <c r="AL211" s="1" t="s">
        <v>5285</v>
      </c>
      <c r="AM211" s="1" t="s">
        <v>5286</v>
      </c>
      <c r="AN211" s="1" t="s">
        <v>5577</v>
      </c>
      <c r="AO211" s="1" t="s">
        <v>6182</v>
      </c>
      <c r="AP211" s="1" t="s">
        <v>4757</v>
      </c>
      <c r="AQ211" s="1" t="s">
        <v>4758</v>
      </c>
      <c r="AR211" s="1">
        <v>1.0</v>
      </c>
      <c r="AS211" s="3"/>
      <c r="AT211" s="3"/>
      <c r="AU211" s="4" t="s">
        <v>5287</v>
      </c>
      <c r="AV211" s="1" t="s">
        <v>6053</v>
      </c>
      <c r="AW211" s="1" t="s">
        <v>6183</v>
      </c>
      <c r="AX211" s="1" t="s">
        <v>5271</v>
      </c>
      <c r="AY211" s="1" t="s">
        <v>5272</v>
      </c>
      <c r="AZ211" s="1" t="s">
        <v>6184</v>
      </c>
      <c r="BB211" s="3"/>
      <c r="BC211" s="3"/>
      <c r="BD211" s="3"/>
      <c r="BE211" s="1" t="b">
        <v>1</v>
      </c>
      <c r="BF211" s="1" t="s">
        <v>5272</v>
      </c>
      <c r="BG211" s="1" t="s">
        <v>5271</v>
      </c>
      <c r="BH211" s="1" t="s">
        <v>6053</v>
      </c>
      <c r="BI211" s="1" t="s">
        <v>6183</v>
      </c>
      <c r="BJ211" s="1" t="s">
        <v>6184</v>
      </c>
      <c r="BK211" s="4" t="s">
        <v>5287</v>
      </c>
    </row>
    <row r="212">
      <c r="A212" s="1" t="s">
        <v>1825</v>
      </c>
      <c r="B212" s="1" t="s">
        <v>1823</v>
      </c>
      <c r="C212" s="1" t="s">
        <v>1823</v>
      </c>
      <c r="D212" s="1" t="s">
        <v>4696</v>
      </c>
      <c r="E212" s="1" t="s">
        <v>6185</v>
      </c>
      <c r="F212" s="1" t="s">
        <v>6186</v>
      </c>
      <c r="G212" s="3"/>
      <c r="H212" s="3"/>
      <c r="I212" s="1" t="s">
        <v>4872</v>
      </c>
      <c r="J212" s="1" t="s">
        <v>6187</v>
      </c>
      <c r="K212" s="3">
        <f>+821053025210</f>
        <v>821053025210</v>
      </c>
      <c r="L212" s="3"/>
      <c r="M212" s="3"/>
      <c r="N212" s="3"/>
      <c r="O212" s="3"/>
      <c r="P212" s="1">
        <v>1.10021951E8</v>
      </c>
      <c r="Q212" s="1" t="b">
        <v>1</v>
      </c>
      <c r="R212" s="1">
        <v>375.0</v>
      </c>
      <c r="S212" s="1" t="s">
        <v>4885</v>
      </c>
      <c r="T212" s="3"/>
      <c r="U212" s="1" t="s">
        <v>4672</v>
      </c>
      <c r="V212" s="1" t="s">
        <v>4673</v>
      </c>
      <c r="W212" s="1" t="s">
        <v>6188</v>
      </c>
      <c r="X212" s="1" t="b">
        <v>0</v>
      </c>
      <c r="Y212" s="1" t="s">
        <v>4675</v>
      </c>
      <c r="Z212" s="1" t="s">
        <v>6189</v>
      </c>
      <c r="AB212" s="1" t="s">
        <v>4677</v>
      </c>
      <c r="AC212" s="1" t="s">
        <v>6190</v>
      </c>
      <c r="AD212" s="1" t="s">
        <v>5141</v>
      </c>
      <c r="AE212" s="1" t="s">
        <v>6191</v>
      </c>
      <c r="AF212" s="1" t="s">
        <v>5787</v>
      </c>
      <c r="AG212" s="1" t="s">
        <v>4758</v>
      </c>
      <c r="AH212" s="1">
        <v>4.0</v>
      </c>
      <c r="AI212" s="1" t="b">
        <v>0</v>
      </c>
      <c r="AJ212" s="1" t="b">
        <v>0</v>
      </c>
      <c r="AK212" s="1" t="s">
        <v>6192</v>
      </c>
      <c r="AL212" s="1" t="s">
        <v>6193</v>
      </c>
      <c r="AM212" s="1" t="s">
        <v>4685</v>
      </c>
      <c r="AN212" s="1" t="s">
        <v>4686</v>
      </c>
      <c r="AO212" s="1" t="s">
        <v>6189</v>
      </c>
      <c r="AP212" s="1" t="s">
        <v>4687</v>
      </c>
      <c r="AQ212" s="1" t="s">
        <v>4688</v>
      </c>
      <c r="AR212" s="1">
        <v>371.0</v>
      </c>
      <c r="AS212" s="3"/>
      <c r="AT212" s="3"/>
      <c r="AU212" s="4" t="s">
        <v>4695</v>
      </c>
      <c r="AW212" s="3"/>
      <c r="AX212" s="3"/>
      <c r="AY212" s="1" t="s">
        <v>6194</v>
      </c>
      <c r="AZ212" s="3"/>
      <c r="BA212" s="3"/>
      <c r="BB212" s="3"/>
      <c r="BC212" s="3"/>
      <c r="BD212" s="3"/>
      <c r="BE212" s="1" t="b">
        <v>1</v>
      </c>
      <c r="BF212" s="3"/>
      <c r="BG212" s="3"/>
      <c r="BH212" s="3"/>
      <c r="BI212" s="3"/>
      <c r="BJ212" s="3"/>
      <c r="BK212" s="4" t="s">
        <v>4695</v>
      </c>
    </row>
    <row r="213">
      <c r="A213" s="1" t="s">
        <v>425</v>
      </c>
      <c r="B213" s="1" t="s">
        <v>424</v>
      </c>
      <c r="C213" s="1" t="s">
        <v>424</v>
      </c>
      <c r="D213" s="1" t="s">
        <v>5412</v>
      </c>
      <c r="E213" s="1" t="s">
        <v>6195</v>
      </c>
      <c r="F213" s="1" t="s">
        <v>6196</v>
      </c>
      <c r="G213" s="3"/>
      <c r="H213" s="3"/>
      <c r="I213" s="3"/>
      <c r="J213" s="1" t="s">
        <v>6197</v>
      </c>
      <c r="K213" s="3">
        <f>+821088955458</f>
        <v>821088955458</v>
      </c>
      <c r="L213" s="3"/>
      <c r="M213" s="3"/>
      <c r="N213" s="3"/>
      <c r="O213" s="3"/>
      <c r="P213" s="1">
        <v>1.22991516E8</v>
      </c>
      <c r="Q213" s="1" t="b">
        <v>1</v>
      </c>
      <c r="R213" s="1">
        <v>1.0</v>
      </c>
      <c r="S213" s="1" t="s">
        <v>5946</v>
      </c>
      <c r="T213" s="3"/>
      <c r="U213" s="1" t="s">
        <v>4672</v>
      </c>
      <c r="V213" s="1" t="s">
        <v>4673</v>
      </c>
      <c r="W213" s="1" t="s">
        <v>6198</v>
      </c>
      <c r="X213" s="1" t="b">
        <v>0</v>
      </c>
      <c r="Y213" s="1" t="s">
        <v>4675</v>
      </c>
      <c r="Z213" s="1" t="s">
        <v>6199</v>
      </c>
      <c r="AB213" s="3"/>
      <c r="AC213" s="3"/>
      <c r="AD213" s="3"/>
      <c r="AE213" s="3"/>
      <c r="AF213" s="3"/>
      <c r="AG213" s="3"/>
      <c r="AH213" s="3"/>
      <c r="AI213" s="1" t="b">
        <v>0</v>
      </c>
      <c r="AJ213" s="1" t="b">
        <v>0</v>
      </c>
      <c r="AK213" s="1" t="s">
        <v>6200</v>
      </c>
      <c r="AL213" s="1" t="s">
        <v>4719</v>
      </c>
      <c r="AM213" s="1" t="s">
        <v>4685</v>
      </c>
      <c r="AN213" s="1" t="s">
        <v>4686</v>
      </c>
      <c r="AO213" s="1" t="s">
        <v>6199</v>
      </c>
      <c r="AP213" s="1" t="s">
        <v>4687</v>
      </c>
      <c r="AQ213" s="1" t="s">
        <v>4688</v>
      </c>
      <c r="AR213" s="1">
        <v>1.0</v>
      </c>
      <c r="AS213" s="3"/>
      <c r="AT213" s="3"/>
      <c r="AU213" s="4" t="s">
        <v>4695</v>
      </c>
      <c r="AW213" s="3"/>
      <c r="AX213" s="3"/>
      <c r="AY213" s="3"/>
      <c r="AZ213" s="3"/>
      <c r="BA213" s="3"/>
      <c r="BB213" s="3"/>
      <c r="BC213" s="3"/>
      <c r="BD213" s="3"/>
      <c r="BE213" s="1" t="b">
        <v>1</v>
      </c>
      <c r="BF213" s="3"/>
      <c r="BG213" s="3"/>
      <c r="BH213" s="3"/>
      <c r="BI213" s="3"/>
      <c r="BJ213" s="3"/>
      <c r="BK213" s="4" t="s">
        <v>4695</v>
      </c>
    </row>
    <row r="214">
      <c r="A214" s="1" t="s">
        <v>1131</v>
      </c>
      <c r="B214" s="1" t="s">
        <v>1130</v>
      </c>
      <c r="C214" s="3"/>
      <c r="D214" s="3"/>
      <c r="E214" s="3"/>
      <c r="F214" s="3"/>
      <c r="G214" s="3"/>
      <c r="H214" s="3"/>
      <c r="I214" s="3"/>
      <c r="J214" s="3"/>
      <c r="K214" s="3"/>
      <c r="L214" s="3"/>
      <c r="M214" s="3"/>
      <c r="N214" s="3"/>
      <c r="O214" s="3"/>
      <c r="P214" s="1" t="s">
        <v>6201</v>
      </c>
      <c r="Q214" s="1" t="b">
        <v>0</v>
      </c>
      <c r="R214" s="1">
        <v>1.0</v>
      </c>
      <c r="S214" s="1" t="s">
        <v>4918</v>
      </c>
      <c r="T214" s="3"/>
      <c r="U214" s="1" t="s">
        <v>4672</v>
      </c>
      <c r="V214" s="1" t="s">
        <v>4673</v>
      </c>
      <c r="W214" s="1" t="s">
        <v>6202</v>
      </c>
      <c r="X214" s="1" t="b">
        <v>0</v>
      </c>
      <c r="Y214" s="1" t="s">
        <v>4675</v>
      </c>
      <c r="Z214" s="1" t="s">
        <v>6202</v>
      </c>
      <c r="AB214" s="3"/>
      <c r="AC214" s="3"/>
      <c r="AD214" s="3"/>
      <c r="AE214" s="3"/>
      <c r="AF214" s="3"/>
      <c r="AG214" s="3"/>
      <c r="AH214" s="3"/>
      <c r="AI214" s="1" t="b">
        <v>0</v>
      </c>
      <c r="AJ214" s="1" t="b">
        <v>0</v>
      </c>
      <c r="AK214" s="1" t="s">
        <v>6202</v>
      </c>
      <c r="AL214" s="1" t="s">
        <v>4719</v>
      </c>
      <c r="AM214" s="1" t="s">
        <v>4685</v>
      </c>
      <c r="AN214" s="1" t="s">
        <v>4686</v>
      </c>
      <c r="AO214" s="1" t="s">
        <v>6202</v>
      </c>
      <c r="AP214" s="1" t="s">
        <v>4687</v>
      </c>
      <c r="AQ214" s="1" t="s">
        <v>4688</v>
      </c>
      <c r="AR214" s="1">
        <v>1.0</v>
      </c>
      <c r="AS214" s="3"/>
      <c r="AT214" s="3"/>
      <c r="AU214" s="3"/>
      <c r="AV214" s="3"/>
      <c r="AW214" s="3"/>
      <c r="AX214" s="3"/>
      <c r="AY214" s="3"/>
      <c r="AZ214" s="3"/>
      <c r="BA214" s="3"/>
      <c r="BB214" s="3"/>
      <c r="BC214" s="3"/>
      <c r="BD214" s="3"/>
      <c r="BE214" s="1" t="b">
        <v>1</v>
      </c>
      <c r="BF214" s="3"/>
      <c r="BG214" s="3"/>
      <c r="BH214" s="3"/>
      <c r="BI214" s="3"/>
      <c r="BJ214" s="3"/>
      <c r="BK214" s="3"/>
      <c r="BL214" s="3"/>
    </row>
    <row r="215">
      <c r="A215" s="1" t="s">
        <v>1629</v>
      </c>
      <c r="B215" s="1" t="s">
        <v>1628</v>
      </c>
      <c r="C215" s="1" t="s">
        <v>1628</v>
      </c>
      <c r="D215" s="1" t="s">
        <v>5320</v>
      </c>
      <c r="E215" s="1" t="s">
        <v>6203</v>
      </c>
      <c r="F215" s="1" t="s">
        <v>6204</v>
      </c>
      <c r="G215" s="3"/>
      <c r="H215" s="3"/>
      <c r="I215" s="1" t="s">
        <v>5095</v>
      </c>
      <c r="J215" s="1" t="s">
        <v>6205</v>
      </c>
      <c r="L215" s="3"/>
      <c r="M215" s="3"/>
      <c r="N215" s="3"/>
      <c r="O215" s="3"/>
      <c r="P215" s="1">
        <v>1.17205559E8</v>
      </c>
      <c r="Q215" s="1" t="b">
        <v>1</v>
      </c>
      <c r="R215" s="1">
        <v>78.0</v>
      </c>
      <c r="S215" s="1" t="s">
        <v>4752</v>
      </c>
      <c r="T215" s="3"/>
      <c r="U215" s="1" t="s">
        <v>4672</v>
      </c>
      <c r="V215" s="1" t="s">
        <v>4673</v>
      </c>
      <c r="W215" s="1" t="s">
        <v>6206</v>
      </c>
      <c r="X215" s="1" t="b">
        <v>0</v>
      </c>
      <c r="Y215" s="1" t="s">
        <v>4675</v>
      </c>
      <c r="Z215" s="1" t="s">
        <v>6207</v>
      </c>
      <c r="AB215" s="1" t="s">
        <v>4677</v>
      </c>
      <c r="AC215" s="1" t="s">
        <v>4678</v>
      </c>
      <c r="AD215" s="1" t="s">
        <v>4867</v>
      </c>
      <c r="AE215" s="1" t="s">
        <v>6208</v>
      </c>
      <c r="AF215" s="1" t="s">
        <v>4757</v>
      </c>
      <c r="AG215" s="1" t="s">
        <v>4758</v>
      </c>
      <c r="AH215" s="1">
        <v>3.0</v>
      </c>
      <c r="AI215" s="1" t="b">
        <v>0</v>
      </c>
      <c r="AJ215" s="1" t="b">
        <v>0</v>
      </c>
      <c r="AK215" s="1" t="s">
        <v>6207</v>
      </c>
      <c r="AL215" s="1" t="s">
        <v>4719</v>
      </c>
      <c r="AM215" s="1" t="s">
        <v>4685</v>
      </c>
      <c r="AN215" s="1" t="s">
        <v>4686</v>
      </c>
      <c r="AO215" s="1" t="s">
        <v>6207</v>
      </c>
      <c r="AP215" s="1" t="s">
        <v>4687</v>
      </c>
      <c r="AQ215" s="1" t="s">
        <v>4688</v>
      </c>
      <c r="AR215" s="1">
        <v>75.0</v>
      </c>
      <c r="AS215" s="3"/>
      <c r="AT215" s="3"/>
      <c r="AU215" s="4" t="s">
        <v>4695</v>
      </c>
      <c r="AW215" s="3"/>
      <c r="AX215" s="3"/>
      <c r="AY215" s="3"/>
      <c r="AZ215" s="3"/>
      <c r="BA215" s="3"/>
      <c r="BB215" s="3"/>
      <c r="BC215" s="3"/>
      <c r="BD215" s="3"/>
      <c r="BE215" s="1" t="b">
        <v>1</v>
      </c>
      <c r="BF215" s="3"/>
      <c r="BG215" s="3"/>
      <c r="BH215" s="3"/>
      <c r="BI215" s="3"/>
      <c r="BJ215" s="3"/>
      <c r="BK215" s="4" t="s">
        <v>6209</v>
      </c>
    </row>
    <row r="216">
      <c r="A216" s="1" t="s">
        <v>782</v>
      </c>
      <c r="B216" s="1" t="s">
        <v>781</v>
      </c>
      <c r="C216" s="1" t="s">
        <v>781</v>
      </c>
      <c r="D216" s="1" t="s">
        <v>4696</v>
      </c>
      <c r="E216" s="1" t="s">
        <v>6210</v>
      </c>
      <c r="F216" s="1" t="s">
        <v>6211</v>
      </c>
      <c r="G216" s="3"/>
      <c r="H216" s="3"/>
      <c r="I216" s="1" t="s">
        <v>6212</v>
      </c>
      <c r="J216" s="1" t="s">
        <v>6213</v>
      </c>
      <c r="K216" s="3">
        <f>+821088417876</f>
        <v>821088417876</v>
      </c>
      <c r="L216" s="3"/>
      <c r="M216" s="3"/>
      <c r="N216" s="3"/>
      <c r="O216" s="3"/>
      <c r="P216" s="1">
        <v>1.12329138E8</v>
      </c>
      <c r="Q216" s="1" t="b">
        <v>1</v>
      </c>
      <c r="R216" s="1">
        <v>58.0</v>
      </c>
      <c r="S216" s="1" t="s">
        <v>6214</v>
      </c>
      <c r="T216" s="3"/>
      <c r="U216" s="1" t="s">
        <v>4672</v>
      </c>
      <c r="V216" s="1" t="s">
        <v>4673</v>
      </c>
      <c r="W216" s="1" t="s">
        <v>6215</v>
      </c>
      <c r="X216" s="1" t="b">
        <v>0</v>
      </c>
      <c r="Y216" s="1" t="s">
        <v>4675</v>
      </c>
      <c r="Z216" s="1" t="s">
        <v>6216</v>
      </c>
      <c r="AB216" s="1" t="s">
        <v>4677</v>
      </c>
      <c r="AC216" s="1" t="s">
        <v>4678</v>
      </c>
      <c r="AD216" s="1" t="s">
        <v>4824</v>
      </c>
      <c r="AE216" s="1" t="s">
        <v>6216</v>
      </c>
      <c r="AF216" s="1" t="s">
        <v>4757</v>
      </c>
      <c r="AG216" s="1" t="s">
        <v>4758</v>
      </c>
      <c r="AH216" s="1">
        <v>18.0</v>
      </c>
      <c r="AI216" s="1" t="b">
        <v>0</v>
      </c>
      <c r="AJ216" s="1" t="b">
        <v>0</v>
      </c>
      <c r="AK216" s="1" t="s">
        <v>6217</v>
      </c>
      <c r="AL216" s="1" t="s">
        <v>4719</v>
      </c>
      <c r="AM216" s="1" t="s">
        <v>4685</v>
      </c>
      <c r="AN216" s="1" t="s">
        <v>4686</v>
      </c>
      <c r="AO216" s="1" t="s">
        <v>6218</v>
      </c>
      <c r="AP216" s="1" t="s">
        <v>4687</v>
      </c>
      <c r="AQ216" s="1" t="s">
        <v>4688</v>
      </c>
      <c r="AR216" s="1">
        <v>40.0</v>
      </c>
      <c r="AS216" s="3"/>
      <c r="AT216" s="3"/>
      <c r="AU216" s="4" t="s">
        <v>4695</v>
      </c>
      <c r="AW216" s="3"/>
      <c r="AX216" s="3"/>
      <c r="AY216" s="1" t="s">
        <v>4761</v>
      </c>
      <c r="AZ216" s="3"/>
      <c r="BA216" s="3"/>
      <c r="BB216" s="3"/>
      <c r="BC216" s="3"/>
      <c r="BD216" s="3"/>
      <c r="BE216" s="1" t="b">
        <v>1</v>
      </c>
      <c r="BF216" s="1" t="s">
        <v>4761</v>
      </c>
      <c r="BG216" s="3"/>
      <c r="BH216" s="3"/>
      <c r="BI216" s="3"/>
      <c r="BJ216" s="3"/>
      <c r="BK216" s="4" t="s">
        <v>4695</v>
      </c>
      <c r="BL216" s="1" t="s">
        <v>4723</v>
      </c>
    </row>
    <row r="217">
      <c r="A217" s="1" t="s">
        <v>1191</v>
      </c>
      <c r="B217" s="1" t="s">
        <v>1190</v>
      </c>
      <c r="C217" s="1" t="s">
        <v>1190</v>
      </c>
      <c r="D217" s="1" t="s">
        <v>4858</v>
      </c>
      <c r="E217" s="1" t="s">
        <v>6219</v>
      </c>
      <c r="F217" s="1" t="s">
        <v>6220</v>
      </c>
      <c r="G217" s="3"/>
      <c r="H217" s="3"/>
      <c r="I217" s="1" t="s">
        <v>4742</v>
      </c>
      <c r="J217" s="1" t="s">
        <v>6221</v>
      </c>
      <c r="K217" s="3">
        <f>+821032182958</f>
        <v>821032182958</v>
      </c>
      <c r="L217" s="3"/>
      <c r="M217" s="3"/>
      <c r="N217" s="3"/>
      <c r="O217" s="3"/>
      <c r="P217" s="1">
        <v>1.08834932E8</v>
      </c>
      <c r="Q217" s="1" t="b">
        <v>1</v>
      </c>
      <c r="R217" s="1">
        <v>329.0</v>
      </c>
      <c r="S217" s="1" t="s">
        <v>6222</v>
      </c>
      <c r="T217" s="3"/>
      <c r="U217" s="1" t="s">
        <v>4672</v>
      </c>
      <c r="V217" s="1" t="s">
        <v>4673</v>
      </c>
      <c r="W217" s="1" t="s">
        <v>6223</v>
      </c>
      <c r="X217" s="1" t="b">
        <v>0</v>
      </c>
      <c r="Y217" s="1" t="s">
        <v>4675</v>
      </c>
      <c r="Z217" s="1" t="s">
        <v>6224</v>
      </c>
      <c r="AB217" s="1" t="s">
        <v>4677</v>
      </c>
      <c r="AC217" s="1" t="s">
        <v>4678</v>
      </c>
      <c r="AD217" s="1" t="s">
        <v>6225</v>
      </c>
      <c r="AE217" s="1" t="s">
        <v>6226</v>
      </c>
      <c r="AF217" s="1" t="s">
        <v>4757</v>
      </c>
      <c r="AG217" s="1" t="s">
        <v>4758</v>
      </c>
      <c r="AH217" s="1">
        <v>19.0</v>
      </c>
      <c r="AI217" s="1" t="b">
        <v>0</v>
      </c>
      <c r="AJ217" s="1" t="b">
        <v>0</v>
      </c>
      <c r="AK217" s="1" t="s">
        <v>6227</v>
      </c>
      <c r="AL217" s="1" t="s">
        <v>5306</v>
      </c>
      <c r="AM217" s="1" t="s">
        <v>5307</v>
      </c>
      <c r="AN217" s="1" t="s">
        <v>4686</v>
      </c>
      <c r="AO217" s="1" t="s">
        <v>6224</v>
      </c>
      <c r="AP217" s="1" t="s">
        <v>4687</v>
      </c>
      <c r="AQ217" s="1" t="s">
        <v>4688</v>
      </c>
      <c r="AR217" s="1">
        <v>310.0</v>
      </c>
      <c r="AS217" s="3"/>
      <c r="AT217" s="3"/>
      <c r="AU217" s="4" t="s">
        <v>6228</v>
      </c>
      <c r="BA217" s="3"/>
      <c r="BB217" s="3"/>
      <c r="BC217" s="3"/>
      <c r="BD217" s="3"/>
      <c r="BE217" s="1" t="b">
        <v>1</v>
      </c>
      <c r="BF217" s="3"/>
      <c r="BG217" s="3"/>
      <c r="BH217" s="3"/>
      <c r="BI217" s="3"/>
      <c r="BJ217" s="3"/>
      <c r="BK217" s="4" t="s">
        <v>4710</v>
      </c>
    </row>
    <row r="218">
      <c r="A218" s="1" t="s">
        <v>1102</v>
      </c>
      <c r="B218" s="1" t="s">
        <v>1101</v>
      </c>
      <c r="C218" s="1" t="s">
        <v>1101</v>
      </c>
      <c r="D218" s="1" t="s">
        <v>4772</v>
      </c>
      <c r="E218" s="1" t="s">
        <v>6229</v>
      </c>
      <c r="F218" s="1" t="s">
        <v>6230</v>
      </c>
      <c r="G218" s="3"/>
      <c r="H218" s="3"/>
      <c r="I218" s="3"/>
      <c r="J218" s="1" t="s">
        <v>6231</v>
      </c>
      <c r="L218" s="3"/>
      <c r="M218" s="3"/>
      <c r="N218" s="3"/>
      <c r="O218" s="3"/>
      <c r="P218" s="1">
        <v>2.08616557E9</v>
      </c>
      <c r="Q218" s="1" t="b">
        <v>1</v>
      </c>
      <c r="R218" s="1">
        <v>177.0</v>
      </c>
      <c r="S218" s="1" t="s">
        <v>4752</v>
      </c>
      <c r="T218" s="3"/>
      <c r="U218" s="1" t="s">
        <v>4672</v>
      </c>
      <c r="V218" s="1" t="s">
        <v>4673</v>
      </c>
      <c r="W218" s="1" t="s">
        <v>6232</v>
      </c>
      <c r="X218" s="1" t="b">
        <v>0</v>
      </c>
      <c r="Y218" s="1" t="s">
        <v>4675</v>
      </c>
      <c r="Z218" s="1" t="s">
        <v>6233</v>
      </c>
      <c r="AB218" s="1" t="s">
        <v>4677</v>
      </c>
      <c r="AC218" s="1" t="s">
        <v>4678</v>
      </c>
      <c r="AD218" s="1" t="s">
        <v>5467</v>
      </c>
      <c r="AE218" s="1" t="s">
        <v>6234</v>
      </c>
      <c r="AF218" s="1" t="s">
        <v>4757</v>
      </c>
      <c r="AG218" s="1" t="s">
        <v>4758</v>
      </c>
      <c r="AH218" s="1">
        <v>157.0</v>
      </c>
      <c r="AI218" s="1" t="b">
        <v>0</v>
      </c>
      <c r="AJ218" s="1" t="b">
        <v>0</v>
      </c>
      <c r="AK218" s="1" t="s">
        <v>6235</v>
      </c>
      <c r="AL218" s="1" t="s">
        <v>4769</v>
      </c>
      <c r="AM218" s="1" t="s">
        <v>4708</v>
      </c>
      <c r="AN218" s="1" t="s">
        <v>4686</v>
      </c>
      <c r="AO218" s="1" t="s">
        <v>6233</v>
      </c>
      <c r="AP218" s="1" t="s">
        <v>4709</v>
      </c>
      <c r="AQ218" s="1" t="s">
        <v>4688</v>
      </c>
      <c r="AR218" s="1">
        <v>20.0</v>
      </c>
      <c r="AS218" s="3"/>
      <c r="AT218" s="3"/>
      <c r="AU218" s="4" t="s">
        <v>4771</v>
      </c>
      <c r="AW218" s="3"/>
      <c r="AX218" s="3"/>
      <c r="AY218" s="3"/>
      <c r="AZ218" s="3"/>
      <c r="BA218" s="3"/>
      <c r="BB218" s="3"/>
      <c r="BC218" s="3"/>
      <c r="BD218" s="3"/>
      <c r="BE218" s="1" t="b">
        <v>1</v>
      </c>
      <c r="BF218" s="3"/>
      <c r="BG218" s="3"/>
      <c r="BH218" s="3"/>
      <c r="BI218" s="3"/>
      <c r="BJ218" s="3"/>
      <c r="BK218" s="4" t="s">
        <v>4771</v>
      </c>
    </row>
    <row r="219">
      <c r="A219" s="1" t="s">
        <v>1560</v>
      </c>
      <c r="B219" s="1" t="s">
        <v>1559</v>
      </c>
      <c r="C219" s="1" t="s">
        <v>1559</v>
      </c>
      <c r="D219" s="1" t="s">
        <v>4696</v>
      </c>
      <c r="E219" s="1" t="s">
        <v>4667</v>
      </c>
      <c r="F219" s="1" t="s">
        <v>4668</v>
      </c>
      <c r="G219" s="3"/>
      <c r="H219" s="3"/>
      <c r="I219" s="1" t="s">
        <v>4742</v>
      </c>
      <c r="J219" s="1" t="s">
        <v>6236</v>
      </c>
      <c r="K219" s="3">
        <f>+821095118259</f>
        <v>821095118259</v>
      </c>
      <c r="L219" s="3"/>
      <c r="M219" s="3"/>
      <c r="N219" s="3"/>
      <c r="O219" s="3"/>
      <c r="P219" s="1">
        <v>1.12186362E8</v>
      </c>
      <c r="Q219" s="1" t="b">
        <v>1</v>
      </c>
      <c r="R219" s="1">
        <v>579.0</v>
      </c>
      <c r="S219" s="1" t="s">
        <v>4671</v>
      </c>
      <c r="T219" s="3"/>
      <c r="U219" s="1" t="s">
        <v>4672</v>
      </c>
      <c r="V219" s="1" t="s">
        <v>4673</v>
      </c>
      <c r="W219" s="1" t="s">
        <v>6237</v>
      </c>
      <c r="X219" s="1" t="b">
        <v>0</v>
      </c>
      <c r="Y219" s="1" t="s">
        <v>4675</v>
      </c>
      <c r="Z219" s="1" t="s">
        <v>6238</v>
      </c>
      <c r="AB219" s="1" t="s">
        <v>4677</v>
      </c>
      <c r="AC219" s="1" t="s">
        <v>4678</v>
      </c>
      <c r="AD219" s="1" t="s">
        <v>5194</v>
      </c>
      <c r="AE219" s="1" t="s">
        <v>6239</v>
      </c>
      <c r="AF219" s="1" t="s">
        <v>4757</v>
      </c>
      <c r="AG219" s="1" t="s">
        <v>4758</v>
      </c>
      <c r="AH219" s="1">
        <v>26.0</v>
      </c>
      <c r="AI219" s="1" t="b">
        <v>0</v>
      </c>
      <c r="AJ219" s="1" t="b">
        <v>0</v>
      </c>
      <c r="AK219" s="1" t="s">
        <v>6240</v>
      </c>
      <c r="AL219" s="1" t="s">
        <v>4684</v>
      </c>
      <c r="AM219" s="1" t="s">
        <v>4685</v>
      </c>
      <c r="AN219" s="1" t="s">
        <v>4686</v>
      </c>
      <c r="AO219" s="1" t="s">
        <v>6238</v>
      </c>
      <c r="AP219" s="1" t="s">
        <v>4687</v>
      </c>
      <c r="AQ219" s="1" t="s">
        <v>4688</v>
      </c>
      <c r="AR219" s="1">
        <v>553.0</v>
      </c>
      <c r="AS219" s="3"/>
      <c r="AT219" s="3"/>
      <c r="AU219" s="4" t="s">
        <v>6241</v>
      </c>
      <c r="BC219" s="3"/>
      <c r="BD219" s="3"/>
      <c r="BE219" s="1" t="b">
        <v>1</v>
      </c>
      <c r="BF219" s="3"/>
      <c r="BG219" s="3"/>
      <c r="BH219" s="3"/>
      <c r="BI219" s="3"/>
      <c r="BJ219" s="3"/>
      <c r="BK219" s="4" t="s">
        <v>4771</v>
      </c>
    </row>
    <row r="220">
      <c r="A220" s="1" t="s">
        <v>951</v>
      </c>
      <c r="B220" s="1" t="s">
        <v>950</v>
      </c>
      <c r="C220" s="1" t="s">
        <v>950</v>
      </c>
      <c r="D220" s="1" t="s">
        <v>4724</v>
      </c>
      <c r="E220" s="3"/>
      <c r="F220" s="3"/>
      <c r="G220" s="3"/>
      <c r="H220" s="3"/>
      <c r="I220" s="3"/>
      <c r="J220" s="1" t="s">
        <v>6242</v>
      </c>
      <c r="K220" s="3">
        <f>+821031990341</f>
        <v>821031990341</v>
      </c>
      <c r="L220" s="3"/>
      <c r="M220" s="3"/>
      <c r="N220" s="3"/>
      <c r="O220" s="3"/>
      <c r="P220" s="1">
        <v>1.08765908E8</v>
      </c>
      <c r="Q220" s="1" t="b">
        <v>1</v>
      </c>
      <c r="R220" s="1">
        <v>2.0</v>
      </c>
      <c r="S220" s="1" t="s">
        <v>4752</v>
      </c>
      <c r="T220" s="3"/>
      <c r="U220" s="1" t="s">
        <v>4672</v>
      </c>
      <c r="V220" s="1" t="s">
        <v>4673</v>
      </c>
      <c r="W220" s="1" t="s">
        <v>6243</v>
      </c>
      <c r="X220" s="1" t="b">
        <v>0</v>
      </c>
      <c r="Y220" s="1" t="s">
        <v>4675</v>
      </c>
      <c r="Z220" s="1" t="s">
        <v>6244</v>
      </c>
      <c r="AB220" s="3"/>
      <c r="AC220" s="3"/>
      <c r="AD220" s="3"/>
      <c r="AE220" s="3"/>
      <c r="AF220" s="3"/>
      <c r="AG220" s="3"/>
      <c r="AH220" s="3"/>
      <c r="AI220" s="1" t="b">
        <v>0</v>
      </c>
      <c r="AJ220" s="1" t="b">
        <v>0</v>
      </c>
      <c r="AK220" s="1" t="s">
        <v>6245</v>
      </c>
      <c r="AL220" s="1" t="s">
        <v>4719</v>
      </c>
      <c r="AM220" s="1" t="s">
        <v>4685</v>
      </c>
      <c r="AN220" s="1" t="s">
        <v>4686</v>
      </c>
      <c r="AO220" s="1" t="s">
        <v>6244</v>
      </c>
      <c r="AP220" s="1" t="s">
        <v>4687</v>
      </c>
      <c r="AQ220" s="1" t="s">
        <v>4688</v>
      </c>
      <c r="AR220" s="1">
        <v>2.0</v>
      </c>
      <c r="AS220" s="3"/>
      <c r="AT220" s="3"/>
      <c r="AU220" s="4" t="s">
        <v>4695</v>
      </c>
      <c r="AW220" s="3"/>
      <c r="AX220" s="3"/>
      <c r="AY220" s="3"/>
      <c r="AZ220" s="3"/>
      <c r="BA220" s="3"/>
      <c r="BB220" s="3"/>
      <c r="BC220" s="3"/>
      <c r="BD220" s="3"/>
      <c r="BE220" s="1" t="b">
        <v>1</v>
      </c>
      <c r="BF220" s="3"/>
      <c r="BG220" s="3"/>
      <c r="BH220" s="3"/>
      <c r="BI220" s="3"/>
      <c r="BJ220" s="3"/>
      <c r="BK220" s="4" t="s">
        <v>4695</v>
      </c>
    </row>
    <row r="221">
      <c r="A221" s="1" t="s">
        <v>696</v>
      </c>
      <c r="B221" s="1" t="s">
        <v>695</v>
      </c>
      <c r="C221" s="1" t="s">
        <v>695</v>
      </c>
      <c r="D221" s="1" t="s">
        <v>4858</v>
      </c>
      <c r="E221" s="1" t="s">
        <v>6246</v>
      </c>
      <c r="F221" s="1" t="s">
        <v>6247</v>
      </c>
      <c r="G221" s="3"/>
      <c r="H221" s="3"/>
      <c r="I221" s="1" t="s">
        <v>5026</v>
      </c>
      <c r="J221" s="1" t="s">
        <v>6248</v>
      </c>
      <c r="K221" s="3">
        <f>+821048253830</f>
        <v>821048253830</v>
      </c>
      <c r="L221" s="3"/>
      <c r="M221" s="3"/>
      <c r="N221" s="3"/>
      <c r="O221" s="3"/>
      <c r="P221" s="1">
        <v>1.11098708E8</v>
      </c>
      <c r="Q221" s="1" t="b">
        <v>1</v>
      </c>
      <c r="R221" s="1">
        <v>24.0</v>
      </c>
      <c r="S221" s="1" t="s">
        <v>5922</v>
      </c>
      <c r="T221" s="3"/>
      <c r="U221" s="1" t="s">
        <v>4672</v>
      </c>
      <c r="V221" s="1" t="s">
        <v>4673</v>
      </c>
      <c r="W221" s="1" t="s">
        <v>6249</v>
      </c>
      <c r="X221" s="1" t="b">
        <v>0</v>
      </c>
      <c r="Y221" s="1" t="s">
        <v>4675</v>
      </c>
      <c r="Z221" s="1" t="s">
        <v>6250</v>
      </c>
      <c r="AB221" s="3"/>
      <c r="AC221" s="3"/>
      <c r="AD221" s="3"/>
      <c r="AE221" s="3"/>
      <c r="AF221" s="3"/>
      <c r="AG221" s="3"/>
      <c r="AH221" s="3"/>
      <c r="AI221" s="1" t="b">
        <v>0</v>
      </c>
      <c r="AJ221" s="1" t="b">
        <v>0</v>
      </c>
      <c r="AK221" s="1" t="s">
        <v>6251</v>
      </c>
      <c r="AL221" s="1" t="s">
        <v>4719</v>
      </c>
      <c r="AM221" s="1" t="s">
        <v>4685</v>
      </c>
      <c r="AN221" s="1" t="s">
        <v>4720</v>
      </c>
      <c r="AO221" s="1" t="s">
        <v>6250</v>
      </c>
      <c r="AP221" s="1" t="s">
        <v>4721</v>
      </c>
      <c r="AQ221" s="1" t="s">
        <v>4722</v>
      </c>
      <c r="AR221" s="1">
        <v>24.0</v>
      </c>
      <c r="AS221" s="3"/>
      <c r="AT221" s="3"/>
      <c r="AU221" s="4" t="s">
        <v>4695</v>
      </c>
      <c r="AW221" s="3"/>
      <c r="AX221" s="3"/>
      <c r="AY221" s="3"/>
      <c r="AZ221" s="3"/>
      <c r="BA221" s="3"/>
      <c r="BB221" s="3"/>
      <c r="BC221" s="3"/>
      <c r="BD221" s="3"/>
      <c r="BE221" s="1" t="b">
        <v>1</v>
      </c>
      <c r="BF221" s="3"/>
      <c r="BG221" s="3"/>
      <c r="BH221" s="3"/>
      <c r="BI221" s="3"/>
      <c r="BJ221" s="3"/>
      <c r="BK221" s="4" t="s">
        <v>4695</v>
      </c>
      <c r="BL221" s="1" t="s">
        <v>4723</v>
      </c>
    </row>
    <row r="222">
      <c r="A222" s="1" t="s">
        <v>760</v>
      </c>
      <c r="B222" s="1" t="s">
        <v>759</v>
      </c>
      <c r="C222" s="3"/>
      <c r="D222" s="3"/>
      <c r="E222" s="3"/>
      <c r="F222" s="3"/>
      <c r="G222" s="3"/>
      <c r="H222" s="3"/>
      <c r="I222" s="3"/>
      <c r="J222" s="3"/>
      <c r="K222" s="3"/>
      <c r="L222" s="3"/>
      <c r="M222" s="3"/>
      <c r="N222" s="3"/>
      <c r="O222" s="3"/>
      <c r="P222" s="1" t="s">
        <v>6252</v>
      </c>
      <c r="Q222" s="1" t="b">
        <v>0</v>
      </c>
      <c r="R222" s="1">
        <v>29.0</v>
      </c>
      <c r="S222" s="1" t="s">
        <v>4800</v>
      </c>
      <c r="T222" s="3"/>
      <c r="U222" s="1" t="s">
        <v>4672</v>
      </c>
      <c r="V222" s="1" t="s">
        <v>4673</v>
      </c>
      <c r="W222" s="1" t="s">
        <v>6253</v>
      </c>
      <c r="X222" s="1" t="b">
        <v>0</v>
      </c>
      <c r="Y222" s="1" t="s">
        <v>4675</v>
      </c>
      <c r="Z222" s="1" t="s">
        <v>6254</v>
      </c>
      <c r="AB222" s="3"/>
      <c r="AC222" s="3"/>
      <c r="AD222" s="3"/>
      <c r="AE222" s="3"/>
      <c r="AF222" s="3"/>
      <c r="AG222" s="3"/>
      <c r="AH222" s="3"/>
      <c r="AI222" s="1" t="b">
        <v>0</v>
      </c>
      <c r="AJ222" s="1" t="b">
        <v>0</v>
      </c>
      <c r="AK222" s="1" t="s">
        <v>6255</v>
      </c>
      <c r="AL222" s="1" t="s">
        <v>4719</v>
      </c>
      <c r="AM222" s="1" t="s">
        <v>4685</v>
      </c>
      <c r="AN222" s="1" t="s">
        <v>4686</v>
      </c>
      <c r="AO222" s="1" t="s">
        <v>6254</v>
      </c>
      <c r="AP222" s="1" t="s">
        <v>4687</v>
      </c>
      <c r="AQ222" s="1" t="s">
        <v>4688</v>
      </c>
      <c r="AR222" s="1">
        <v>29.0</v>
      </c>
      <c r="AS222" s="3"/>
      <c r="AT222" s="3"/>
      <c r="AU222" s="4" t="s">
        <v>4695</v>
      </c>
      <c r="AW222" s="3"/>
      <c r="AX222" s="3"/>
      <c r="AY222" s="3"/>
      <c r="AZ222" s="3"/>
      <c r="BA222" s="3"/>
      <c r="BB222" s="3"/>
      <c r="BC222" s="3"/>
      <c r="BD222" s="3"/>
      <c r="BE222" s="1" t="b">
        <v>1</v>
      </c>
      <c r="BF222" s="3"/>
      <c r="BG222" s="3"/>
      <c r="BH222" s="3"/>
      <c r="BI222" s="3"/>
      <c r="BJ222" s="3"/>
      <c r="BK222" s="4" t="s">
        <v>4695</v>
      </c>
    </row>
    <row r="223">
      <c r="A223" s="1" t="s">
        <v>561</v>
      </c>
      <c r="B223" s="1" t="s">
        <v>560</v>
      </c>
      <c r="C223" s="1" t="s">
        <v>560</v>
      </c>
      <c r="D223" s="1" t="s">
        <v>4711</v>
      </c>
      <c r="E223" s="1" t="s">
        <v>6256</v>
      </c>
      <c r="F223" s="1" t="s">
        <v>6257</v>
      </c>
      <c r="G223" s="3"/>
      <c r="H223" s="3"/>
      <c r="I223" s="1" t="s">
        <v>4742</v>
      </c>
      <c r="J223" s="1" t="s">
        <v>6258</v>
      </c>
      <c r="K223" s="3">
        <f>+821072444090</f>
        <v>821072444090</v>
      </c>
      <c r="L223" s="3"/>
      <c r="M223" s="3"/>
      <c r="N223" s="3"/>
      <c r="O223" s="3"/>
      <c r="P223" s="1">
        <v>1.11035578E8</v>
      </c>
      <c r="Q223" s="1" t="b">
        <v>1</v>
      </c>
      <c r="R223" s="1">
        <v>745.0</v>
      </c>
      <c r="S223" s="1" t="s">
        <v>4918</v>
      </c>
      <c r="T223" s="3"/>
      <c r="U223" s="1" t="s">
        <v>4672</v>
      </c>
      <c r="V223" s="1" t="s">
        <v>4673</v>
      </c>
      <c r="W223" s="1" t="s">
        <v>6259</v>
      </c>
      <c r="X223" s="1" t="b">
        <v>0</v>
      </c>
      <c r="Y223" s="1" t="s">
        <v>4675</v>
      </c>
      <c r="Z223" s="1" t="s">
        <v>6260</v>
      </c>
      <c r="AB223" s="1" t="s">
        <v>4677</v>
      </c>
      <c r="AC223" s="1" t="s">
        <v>4678</v>
      </c>
      <c r="AD223" s="1" t="s">
        <v>5194</v>
      </c>
      <c r="AE223" s="1" t="s">
        <v>6260</v>
      </c>
      <c r="AF223" s="1" t="s">
        <v>4757</v>
      </c>
      <c r="AG223" s="1" t="s">
        <v>4758</v>
      </c>
      <c r="AH223" s="1">
        <v>90.0</v>
      </c>
      <c r="AI223" s="1" t="b">
        <v>0</v>
      </c>
      <c r="AJ223" s="1" t="b">
        <v>0</v>
      </c>
      <c r="AK223" s="1" t="s">
        <v>6261</v>
      </c>
      <c r="AL223" s="1" t="s">
        <v>4707</v>
      </c>
      <c r="AM223" s="1" t="s">
        <v>4708</v>
      </c>
      <c r="AN223" s="1" t="s">
        <v>4686</v>
      </c>
      <c r="AO223" s="1" t="s">
        <v>6262</v>
      </c>
      <c r="AP223" s="1" t="s">
        <v>4709</v>
      </c>
      <c r="AQ223" s="1" t="s">
        <v>4688</v>
      </c>
      <c r="AR223" s="1">
        <v>655.0</v>
      </c>
      <c r="AS223" s="3"/>
      <c r="AT223" s="3"/>
      <c r="AU223" s="4" t="s">
        <v>6263</v>
      </c>
      <c r="AW223" s="3"/>
      <c r="AX223" s="3"/>
      <c r="AY223" s="3"/>
      <c r="AZ223" s="3"/>
      <c r="BA223" s="3"/>
      <c r="BB223" s="3"/>
      <c r="BC223" s="3"/>
      <c r="BD223" s="3"/>
      <c r="BE223" s="1" t="b">
        <v>1</v>
      </c>
      <c r="BF223" s="3"/>
      <c r="BG223" s="3"/>
      <c r="BH223" s="3"/>
      <c r="BI223" s="3"/>
      <c r="BJ223" s="3"/>
      <c r="BK223" s="4" t="s">
        <v>4780</v>
      </c>
    </row>
    <row r="224">
      <c r="A224" s="1" t="s">
        <v>809</v>
      </c>
      <c r="B224" s="1" t="s">
        <v>808</v>
      </c>
      <c r="C224" s="1" t="s">
        <v>808</v>
      </c>
      <c r="D224" s="1" t="s">
        <v>4696</v>
      </c>
      <c r="E224" s="1" t="s">
        <v>6264</v>
      </c>
      <c r="F224" s="1" t="s">
        <v>6265</v>
      </c>
      <c r="G224" s="3"/>
      <c r="H224" s="3"/>
      <c r="I224" s="3"/>
      <c r="J224" s="1" t="s">
        <v>6266</v>
      </c>
      <c r="L224" s="3"/>
      <c r="M224" s="3"/>
      <c r="N224" s="3"/>
      <c r="O224" s="3"/>
      <c r="P224" s="1">
        <v>1.22992497E8</v>
      </c>
      <c r="Q224" s="1" t="b">
        <v>1</v>
      </c>
      <c r="R224" s="1">
        <v>23.0</v>
      </c>
      <c r="S224" s="1" t="s">
        <v>4805</v>
      </c>
      <c r="T224" s="3"/>
      <c r="U224" s="1" t="s">
        <v>4672</v>
      </c>
      <c r="V224" s="1" t="s">
        <v>4673</v>
      </c>
      <c r="W224" s="1" t="s">
        <v>6267</v>
      </c>
      <c r="X224" s="1" t="b">
        <v>0</v>
      </c>
      <c r="Y224" s="1" t="s">
        <v>4675</v>
      </c>
      <c r="Z224" s="1" t="s">
        <v>6268</v>
      </c>
      <c r="AB224" s="3"/>
      <c r="AC224" s="3"/>
      <c r="AD224" s="3"/>
      <c r="AE224" s="3"/>
      <c r="AF224" s="3"/>
      <c r="AG224" s="3"/>
      <c r="AH224" s="3"/>
      <c r="AI224" s="1" t="b">
        <v>0</v>
      </c>
      <c r="AJ224" s="1" t="b">
        <v>0</v>
      </c>
      <c r="AK224" s="1" t="s">
        <v>6269</v>
      </c>
      <c r="AL224" s="1" t="s">
        <v>4684</v>
      </c>
      <c r="AM224" s="1" t="s">
        <v>4685</v>
      </c>
      <c r="AN224" s="1" t="s">
        <v>4686</v>
      </c>
      <c r="AO224" s="1" t="s">
        <v>6268</v>
      </c>
      <c r="AP224" s="1" t="s">
        <v>4687</v>
      </c>
      <c r="AQ224" s="1" t="s">
        <v>4688</v>
      </c>
      <c r="AR224" s="1">
        <v>23.0</v>
      </c>
      <c r="AS224" s="3"/>
      <c r="AT224" s="3"/>
      <c r="AU224" s="4" t="s">
        <v>5009</v>
      </c>
      <c r="AV224" s="3"/>
      <c r="AW224" s="3"/>
      <c r="AX224" s="3"/>
      <c r="AY224" s="3"/>
      <c r="AZ224" s="3"/>
      <c r="BA224" s="3"/>
      <c r="BB224" s="3"/>
      <c r="BC224" s="3"/>
      <c r="BD224" s="3"/>
      <c r="BE224" s="1" t="b">
        <v>1</v>
      </c>
      <c r="BF224" s="3"/>
      <c r="BG224" s="3"/>
      <c r="BH224" s="3"/>
      <c r="BI224" s="3"/>
      <c r="BJ224" s="3"/>
      <c r="BK224" s="4" t="s">
        <v>5009</v>
      </c>
      <c r="BL224" s="3"/>
    </row>
    <row r="225">
      <c r="A225" s="1" t="s">
        <v>2035</v>
      </c>
      <c r="B225" s="1" t="s">
        <v>2034</v>
      </c>
      <c r="C225" s="1" t="s">
        <v>2034</v>
      </c>
      <c r="D225" s="1" t="s">
        <v>4711</v>
      </c>
      <c r="E225" s="1" t="s">
        <v>6270</v>
      </c>
      <c r="F225" s="1" t="s">
        <v>6271</v>
      </c>
      <c r="G225" s="3"/>
      <c r="H225" s="3"/>
      <c r="I225" s="1" t="s">
        <v>4742</v>
      </c>
      <c r="J225" s="1" t="s">
        <v>6272</v>
      </c>
      <c r="K225" s="3">
        <f>+821021996386</f>
        <v>821021996386</v>
      </c>
      <c r="L225" s="3"/>
      <c r="M225" s="3"/>
      <c r="N225" s="3"/>
      <c r="O225" s="3"/>
      <c r="P225" s="1">
        <v>2.085881668E9</v>
      </c>
      <c r="Q225" s="1" t="b">
        <v>1</v>
      </c>
      <c r="R225" s="1">
        <v>676.0</v>
      </c>
      <c r="S225" s="1" t="s">
        <v>4752</v>
      </c>
      <c r="T225" s="3"/>
      <c r="U225" s="1" t="s">
        <v>4672</v>
      </c>
      <c r="V225" s="1" t="s">
        <v>4673</v>
      </c>
      <c r="W225" s="1" t="s">
        <v>6273</v>
      </c>
      <c r="X225" s="1" t="b">
        <v>0</v>
      </c>
      <c r="Y225" s="1" t="s">
        <v>4675</v>
      </c>
      <c r="Z225" s="1" t="s">
        <v>6274</v>
      </c>
      <c r="AB225" s="3"/>
      <c r="AC225" s="3"/>
      <c r="AD225" s="3"/>
      <c r="AE225" s="3"/>
      <c r="AF225" s="3"/>
      <c r="AG225" s="3"/>
      <c r="AH225" s="3"/>
      <c r="AI225" s="1" t="b">
        <v>0</v>
      </c>
      <c r="AJ225" s="1" t="b">
        <v>0</v>
      </c>
      <c r="AK225" s="1" t="s">
        <v>6275</v>
      </c>
      <c r="AL225" s="1" t="s">
        <v>4719</v>
      </c>
      <c r="AM225" s="1" t="s">
        <v>4685</v>
      </c>
      <c r="AN225" s="1" t="s">
        <v>4686</v>
      </c>
      <c r="AO225" s="1" t="s">
        <v>6274</v>
      </c>
      <c r="AP225" s="1" t="s">
        <v>4687</v>
      </c>
      <c r="AQ225" s="1" t="s">
        <v>4688</v>
      </c>
      <c r="AR225" s="1">
        <v>676.0</v>
      </c>
      <c r="AS225" s="3"/>
      <c r="AT225" s="3"/>
      <c r="AU225" s="4" t="s">
        <v>4695</v>
      </c>
      <c r="AW225" s="3"/>
      <c r="AX225" s="3"/>
      <c r="AY225" s="3"/>
      <c r="AZ225" s="3"/>
      <c r="BA225" s="3"/>
      <c r="BB225" s="3"/>
      <c r="BC225" s="3"/>
      <c r="BD225" s="3"/>
      <c r="BE225" s="1" t="b">
        <v>1</v>
      </c>
      <c r="BF225" s="3"/>
      <c r="BG225" s="3"/>
      <c r="BH225" s="3"/>
      <c r="BI225" s="3"/>
      <c r="BJ225" s="3"/>
      <c r="BK225" s="4" t="s">
        <v>4695</v>
      </c>
    </row>
    <row r="226">
      <c r="A226" s="1" t="s">
        <v>1724</v>
      </c>
      <c r="B226" s="1" t="s">
        <v>1722</v>
      </c>
      <c r="C226" s="1" t="s">
        <v>1722</v>
      </c>
      <c r="D226" s="1" t="s">
        <v>6276</v>
      </c>
      <c r="E226" s="1" t="s">
        <v>6277</v>
      </c>
      <c r="F226" s="1" t="s">
        <v>6278</v>
      </c>
      <c r="G226" s="3"/>
      <c r="H226" s="3"/>
      <c r="I226" s="1" t="s">
        <v>5026</v>
      </c>
      <c r="J226" s="1" t="s">
        <v>6279</v>
      </c>
      <c r="L226" s="3"/>
      <c r="M226" s="3"/>
      <c r="N226" s="3"/>
      <c r="O226" s="3"/>
      <c r="P226" s="1">
        <v>1.22959772E8</v>
      </c>
      <c r="Q226" s="1" t="b">
        <v>1</v>
      </c>
      <c r="R226" s="1">
        <v>61.0</v>
      </c>
      <c r="S226" s="1" t="s">
        <v>6280</v>
      </c>
      <c r="T226" s="3"/>
      <c r="U226" s="1" t="s">
        <v>4672</v>
      </c>
      <c r="V226" s="1" t="s">
        <v>4673</v>
      </c>
      <c r="W226" s="1" t="s">
        <v>6281</v>
      </c>
      <c r="X226" s="1" t="b">
        <v>0</v>
      </c>
      <c r="Y226" s="1" t="s">
        <v>4675</v>
      </c>
      <c r="Z226" s="1" t="s">
        <v>6282</v>
      </c>
      <c r="AB226" s="1" t="s">
        <v>4677</v>
      </c>
      <c r="AC226" s="1" t="s">
        <v>4678</v>
      </c>
      <c r="AD226" s="1" t="s">
        <v>6283</v>
      </c>
      <c r="AE226" s="1" t="s">
        <v>6282</v>
      </c>
      <c r="AF226" s="1" t="s">
        <v>5352</v>
      </c>
      <c r="AG226" s="1" t="s">
        <v>4758</v>
      </c>
      <c r="AH226" s="1">
        <v>50.0</v>
      </c>
      <c r="AI226" s="1" t="b">
        <v>0</v>
      </c>
      <c r="AJ226" s="1" t="b">
        <v>0</v>
      </c>
      <c r="AK226" s="1" t="s">
        <v>6284</v>
      </c>
      <c r="AL226" s="1" t="s">
        <v>4707</v>
      </c>
      <c r="AM226" s="1" t="s">
        <v>4708</v>
      </c>
      <c r="AN226" s="1" t="s">
        <v>4686</v>
      </c>
      <c r="AO226" s="1" t="s">
        <v>6285</v>
      </c>
      <c r="AP226" s="1" t="s">
        <v>4709</v>
      </c>
      <c r="AQ226" s="1" t="s">
        <v>4688</v>
      </c>
      <c r="AR226" s="1">
        <v>11.0</v>
      </c>
      <c r="AS226" s="3"/>
      <c r="AT226" s="3"/>
      <c r="AU226" s="4" t="s">
        <v>4780</v>
      </c>
      <c r="AW226" s="3"/>
      <c r="AX226" s="3"/>
      <c r="AY226" s="3"/>
      <c r="AZ226" s="3"/>
      <c r="BA226" s="3"/>
      <c r="BB226" s="3"/>
      <c r="BC226" s="3"/>
      <c r="BD226" s="3"/>
      <c r="BE226" s="1" t="b">
        <v>1</v>
      </c>
      <c r="BF226" s="3"/>
      <c r="BG226" s="3"/>
      <c r="BH226" s="3"/>
      <c r="BI226" s="3"/>
      <c r="BJ226" s="3"/>
      <c r="BK226" s="4" t="s">
        <v>4780</v>
      </c>
    </row>
    <row r="227">
      <c r="A227" s="1" t="s">
        <v>1611</v>
      </c>
      <c r="B227" s="1" t="s">
        <v>1610</v>
      </c>
      <c r="C227" s="1" t="s">
        <v>1610</v>
      </c>
      <c r="D227" s="1" t="s">
        <v>4696</v>
      </c>
      <c r="E227" s="1" t="s">
        <v>6286</v>
      </c>
      <c r="F227" s="1" t="s">
        <v>6287</v>
      </c>
      <c r="G227" s="3"/>
      <c r="H227" s="3"/>
      <c r="I227" s="1" t="s">
        <v>4742</v>
      </c>
      <c r="J227" s="1" t="s">
        <v>6288</v>
      </c>
      <c r="K227" s="3">
        <f>+821093461309</f>
        <v>821093461309</v>
      </c>
      <c r="L227" s="3"/>
      <c r="M227" s="3"/>
      <c r="N227" s="3"/>
      <c r="O227" s="3"/>
      <c r="P227" s="1">
        <v>1.15625684E8</v>
      </c>
      <c r="Q227" s="1" t="b">
        <v>1</v>
      </c>
      <c r="R227" s="1">
        <v>77.0</v>
      </c>
      <c r="S227" s="1" t="s">
        <v>4752</v>
      </c>
      <c r="T227" s="3"/>
      <c r="U227" s="1" t="s">
        <v>4672</v>
      </c>
      <c r="V227" s="1" t="s">
        <v>4673</v>
      </c>
      <c r="W227" s="1" t="s">
        <v>6289</v>
      </c>
      <c r="X227" s="1" t="b">
        <v>0</v>
      </c>
      <c r="Y227" s="1" t="s">
        <v>4675</v>
      </c>
      <c r="Z227" s="1" t="s">
        <v>6290</v>
      </c>
      <c r="AB227" s="3"/>
      <c r="AC227" s="3"/>
      <c r="AD227" s="3"/>
      <c r="AE227" s="3"/>
      <c r="AF227" s="3"/>
      <c r="AG227" s="3"/>
      <c r="AH227" s="3"/>
      <c r="AI227" s="1" t="b">
        <v>0</v>
      </c>
      <c r="AJ227" s="1" t="b">
        <v>0</v>
      </c>
      <c r="AK227" s="1" t="s">
        <v>6291</v>
      </c>
      <c r="AL227" s="1" t="s">
        <v>4684</v>
      </c>
      <c r="AM227" s="1" t="s">
        <v>4685</v>
      </c>
      <c r="AN227" s="1" t="s">
        <v>4686</v>
      </c>
      <c r="AO227" s="1" t="s">
        <v>6290</v>
      </c>
      <c r="AP227" s="1" t="s">
        <v>4687</v>
      </c>
      <c r="AQ227" s="1" t="s">
        <v>4688</v>
      </c>
      <c r="AR227" s="1">
        <v>77.0</v>
      </c>
      <c r="AS227" s="3"/>
      <c r="AT227" s="3"/>
      <c r="AU227" s="4" t="s">
        <v>4695</v>
      </c>
      <c r="AW227" s="3"/>
      <c r="AX227" s="3"/>
      <c r="AY227" s="3"/>
      <c r="AZ227" s="3"/>
      <c r="BA227" s="3"/>
      <c r="BB227" s="3"/>
      <c r="BC227" s="3"/>
      <c r="BD227" s="3"/>
      <c r="BE227" s="1" t="b">
        <v>1</v>
      </c>
      <c r="BF227" s="3"/>
      <c r="BG227" s="3"/>
      <c r="BH227" s="3"/>
      <c r="BI227" s="3"/>
      <c r="BJ227" s="3"/>
      <c r="BK227" s="4" t="s">
        <v>4695</v>
      </c>
    </row>
    <row r="228">
      <c r="A228" s="1" t="s">
        <v>1577</v>
      </c>
      <c r="B228" s="1" t="s">
        <v>1575</v>
      </c>
      <c r="C228" s="1" t="s">
        <v>1575</v>
      </c>
      <c r="D228" s="1" t="s">
        <v>6292</v>
      </c>
      <c r="E228" s="1" t="s">
        <v>6293</v>
      </c>
      <c r="F228" s="1" t="s">
        <v>6294</v>
      </c>
      <c r="G228" s="3"/>
      <c r="H228" s="3"/>
      <c r="I228" s="3"/>
      <c r="J228" s="1" t="s">
        <v>6295</v>
      </c>
      <c r="K228" s="3"/>
      <c r="L228" s="3"/>
      <c r="M228" s="3"/>
      <c r="N228" s="3"/>
      <c r="O228" s="3"/>
      <c r="P228" s="1">
        <v>1.2291215E8</v>
      </c>
      <c r="Q228" s="1" t="b">
        <v>1</v>
      </c>
      <c r="R228" s="1">
        <v>3.0</v>
      </c>
      <c r="S228" s="1" t="s">
        <v>4805</v>
      </c>
      <c r="T228" s="3"/>
      <c r="U228" s="1" t="s">
        <v>4672</v>
      </c>
      <c r="V228" s="1" t="s">
        <v>4673</v>
      </c>
      <c r="W228" s="1" t="s">
        <v>6296</v>
      </c>
      <c r="X228" s="1" t="b">
        <v>0</v>
      </c>
      <c r="Y228" s="1" t="s">
        <v>4675</v>
      </c>
      <c r="Z228" s="1" t="s">
        <v>6297</v>
      </c>
      <c r="AB228" s="3"/>
      <c r="AC228" s="3"/>
      <c r="AD228" s="3"/>
      <c r="AE228" s="3"/>
      <c r="AF228" s="3"/>
      <c r="AG228" s="3"/>
      <c r="AH228" s="3"/>
      <c r="AI228" s="1" t="b">
        <v>0</v>
      </c>
      <c r="AJ228" s="1" t="b">
        <v>0</v>
      </c>
      <c r="AK228" s="1" t="s">
        <v>6298</v>
      </c>
      <c r="AL228" s="1" t="s">
        <v>4707</v>
      </c>
      <c r="AM228" s="1" t="s">
        <v>4708</v>
      </c>
      <c r="AN228" s="1" t="s">
        <v>4686</v>
      </c>
      <c r="AO228" s="1" t="s">
        <v>6299</v>
      </c>
      <c r="AP228" s="1" t="s">
        <v>4709</v>
      </c>
      <c r="AQ228" s="1" t="s">
        <v>4688</v>
      </c>
      <c r="AR228" s="1">
        <v>3.0</v>
      </c>
      <c r="AS228" s="3"/>
      <c r="AT228" s="3"/>
      <c r="AU228" s="3"/>
      <c r="AV228" s="3"/>
      <c r="AW228" s="3"/>
      <c r="AX228" s="3"/>
      <c r="AY228" s="3"/>
      <c r="AZ228" s="3"/>
      <c r="BA228" s="3"/>
      <c r="BB228" s="3"/>
      <c r="BC228" s="3"/>
      <c r="BD228" s="3"/>
      <c r="BE228" s="1" t="b">
        <v>1</v>
      </c>
      <c r="BF228" s="3"/>
      <c r="BG228" s="3"/>
      <c r="BH228" s="3"/>
      <c r="BI228" s="3"/>
      <c r="BJ228" s="3"/>
      <c r="BK228" s="3"/>
      <c r="BL228" s="3"/>
    </row>
    <row r="229">
      <c r="A229" s="1" t="s">
        <v>1793</v>
      </c>
      <c r="B229" s="1" t="s">
        <v>1792</v>
      </c>
      <c r="C229" s="1" t="s">
        <v>1792</v>
      </c>
      <c r="D229" s="1" t="s">
        <v>5000</v>
      </c>
      <c r="E229" s="1" t="s">
        <v>6300</v>
      </c>
      <c r="F229" s="1" t="s">
        <v>6301</v>
      </c>
      <c r="G229" s="3"/>
      <c r="H229" s="3"/>
      <c r="I229" s="1" t="s">
        <v>4742</v>
      </c>
      <c r="J229" s="1" t="s">
        <v>6302</v>
      </c>
      <c r="K229" s="3">
        <f>+821089055085</f>
        <v>821089055085</v>
      </c>
      <c r="L229" s="3"/>
      <c r="M229" s="3"/>
      <c r="N229" s="3"/>
      <c r="O229" s="3"/>
      <c r="P229" s="1">
        <v>1.11352437E8</v>
      </c>
      <c r="Q229" s="1" t="b">
        <v>1</v>
      </c>
      <c r="R229" s="1">
        <v>436.0</v>
      </c>
      <c r="S229" s="1" t="s">
        <v>4701</v>
      </c>
      <c r="T229" s="3"/>
      <c r="U229" s="1" t="s">
        <v>4672</v>
      </c>
      <c r="V229" s="1" t="s">
        <v>4673</v>
      </c>
      <c r="W229" s="1" t="s">
        <v>6303</v>
      </c>
      <c r="X229" s="1" t="b">
        <v>0</v>
      </c>
      <c r="Y229" s="1" t="s">
        <v>4675</v>
      </c>
      <c r="Z229" s="1" t="s">
        <v>6304</v>
      </c>
      <c r="AB229" s="1" t="s">
        <v>4677</v>
      </c>
      <c r="AC229" s="1" t="s">
        <v>4678</v>
      </c>
      <c r="AD229" s="1" t="s">
        <v>4679</v>
      </c>
      <c r="AE229" s="1" t="s">
        <v>6305</v>
      </c>
      <c r="AF229" s="1" t="s">
        <v>4681</v>
      </c>
      <c r="AG229" s="1" t="s">
        <v>4682</v>
      </c>
      <c r="AH229" s="1">
        <v>36.0</v>
      </c>
      <c r="AI229" s="1" t="b">
        <v>0</v>
      </c>
      <c r="AJ229" s="1" t="b">
        <v>0</v>
      </c>
      <c r="AK229" s="1" t="s">
        <v>6306</v>
      </c>
      <c r="AL229" s="1" t="s">
        <v>4684</v>
      </c>
      <c r="AM229" s="1" t="s">
        <v>4685</v>
      </c>
      <c r="AN229" s="1" t="s">
        <v>4686</v>
      </c>
      <c r="AO229" s="1" t="s">
        <v>6304</v>
      </c>
      <c r="AP229" s="1" t="s">
        <v>4687</v>
      </c>
      <c r="AQ229" s="1" t="s">
        <v>4688</v>
      </c>
      <c r="AR229" s="1">
        <v>400.0</v>
      </c>
      <c r="AS229" s="3"/>
      <c r="AT229" s="3"/>
      <c r="AU229" s="4" t="s">
        <v>6307</v>
      </c>
      <c r="BE229" s="1" t="b">
        <v>1</v>
      </c>
      <c r="BF229" s="3"/>
      <c r="BG229" s="3"/>
      <c r="BH229" s="3"/>
      <c r="BI229" s="3"/>
      <c r="BJ229" s="3"/>
      <c r="BK229" s="4" t="s">
        <v>4881</v>
      </c>
    </row>
    <row r="230">
      <c r="A230" s="1" t="s">
        <v>894</v>
      </c>
      <c r="B230" s="1" t="s">
        <v>893</v>
      </c>
      <c r="C230" s="1" t="s">
        <v>893</v>
      </c>
      <c r="D230" s="1" t="s">
        <v>4913</v>
      </c>
      <c r="E230" s="1" t="s">
        <v>6308</v>
      </c>
      <c r="F230" s="1" t="s">
        <v>6309</v>
      </c>
      <c r="G230" s="3"/>
      <c r="H230" s="3"/>
      <c r="I230" s="1" t="s">
        <v>4994</v>
      </c>
      <c r="J230" s="1" t="s">
        <v>6310</v>
      </c>
      <c r="L230" s="3"/>
      <c r="M230" s="3"/>
      <c r="N230" s="3"/>
      <c r="O230" s="3"/>
      <c r="P230" s="1">
        <v>1.10119792E8</v>
      </c>
      <c r="Q230" s="1" t="b">
        <v>1</v>
      </c>
      <c r="R230" s="1">
        <v>632.0</v>
      </c>
      <c r="S230" s="1" t="s">
        <v>5281</v>
      </c>
      <c r="T230" s="3"/>
      <c r="U230" s="1" t="s">
        <v>4672</v>
      </c>
      <c r="V230" s="1" t="s">
        <v>4673</v>
      </c>
      <c r="W230" s="1" t="s">
        <v>6311</v>
      </c>
      <c r="X230" s="1" t="b">
        <v>0</v>
      </c>
      <c r="Y230" s="1" t="s">
        <v>4675</v>
      </c>
      <c r="Z230" s="1" t="s">
        <v>6312</v>
      </c>
      <c r="AB230" s="1" t="s">
        <v>4677</v>
      </c>
      <c r="AC230" s="1" t="s">
        <v>4678</v>
      </c>
      <c r="AD230" s="1" t="s">
        <v>4679</v>
      </c>
      <c r="AE230" s="1" t="s">
        <v>6313</v>
      </c>
      <c r="AF230" s="1" t="s">
        <v>5955</v>
      </c>
      <c r="AG230" s="1" t="s">
        <v>4682</v>
      </c>
      <c r="AH230" s="1">
        <v>6.0</v>
      </c>
      <c r="AI230" s="1" t="b">
        <v>0</v>
      </c>
      <c r="AJ230" s="1" t="b">
        <v>0</v>
      </c>
      <c r="AK230" s="1" t="s">
        <v>6314</v>
      </c>
      <c r="AL230" s="1" t="s">
        <v>4684</v>
      </c>
      <c r="AM230" s="1" t="s">
        <v>4685</v>
      </c>
      <c r="AN230" s="1" t="s">
        <v>4686</v>
      </c>
      <c r="AO230" s="1" t="s">
        <v>6312</v>
      </c>
      <c r="AP230" s="1" t="s">
        <v>4687</v>
      </c>
      <c r="AQ230" s="1" t="s">
        <v>4688</v>
      </c>
      <c r="AR230" s="1">
        <v>626.0</v>
      </c>
      <c r="AS230" s="3"/>
      <c r="AT230" s="3"/>
      <c r="AU230" s="4" t="s">
        <v>4695</v>
      </c>
      <c r="AW230" s="3"/>
      <c r="AX230" s="3"/>
      <c r="AY230" s="3"/>
      <c r="AZ230" s="3"/>
      <c r="BA230" s="3"/>
      <c r="BB230" s="3"/>
      <c r="BC230" s="3"/>
      <c r="BD230" s="3"/>
      <c r="BE230" s="1" t="b">
        <v>1</v>
      </c>
      <c r="BF230" s="3"/>
      <c r="BG230" s="3"/>
      <c r="BH230" s="3"/>
      <c r="BI230" s="3"/>
      <c r="BJ230" s="3"/>
      <c r="BK230" s="4" t="s">
        <v>5039</v>
      </c>
    </row>
    <row r="231">
      <c r="A231" s="1" t="s">
        <v>380</v>
      </c>
      <c r="B231" s="1" t="s">
        <v>379</v>
      </c>
      <c r="C231" s="3"/>
      <c r="D231" s="3"/>
      <c r="E231" s="3"/>
      <c r="F231" s="3"/>
      <c r="G231" s="3"/>
      <c r="H231" s="3"/>
      <c r="I231" s="3"/>
      <c r="J231" s="3"/>
      <c r="K231" s="3"/>
      <c r="L231" s="3"/>
      <c r="M231" s="3"/>
      <c r="N231" s="3"/>
      <c r="O231" s="3"/>
      <c r="P231" s="1" t="s">
        <v>6315</v>
      </c>
      <c r="Q231" s="1" t="b">
        <v>0</v>
      </c>
      <c r="R231" s="1">
        <v>1.0</v>
      </c>
      <c r="S231" s="1" t="s">
        <v>6316</v>
      </c>
      <c r="T231" s="3"/>
      <c r="U231" s="1" t="s">
        <v>4672</v>
      </c>
      <c r="V231" s="1" t="s">
        <v>4673</v>
      </c>
      <c r="W231" s="1" t="s">
        <v>6317</v>
      </c>
      <c r="X231" s="1" t="b">
        <v>0</v>
      </c>
      <c r="Y231" s="1" t="s">
        <v>4675</v>
      </c>
      <c r="Z231" s="1" t="s">
        <v>6318</v>
      </c>
      <c r="AB231" s="3"/>
      <c r="AC231" s="3"/>
      <c r="AD231" s="3"/>
      <c r="AE231" s="3"/>
      <c r="AF231" s="3"/>
      <c r="AG231" s="3"/>
      <c r="AH231" s="3"/>
      <c r="AI231" s="1" t="b">
        <v>0</v>
      </c>
      <c r="AJ231" s="1" t="b">
        <v>0</v>
      </c>
      <c r="AK231" s="1" t="s">
        <v>6317</v>
      </c>
      <c r="AL231" s="1" t="s">
        <v>6319</v>
      </c>
      <c r="AM231" s="1" t="s">
        <v>6051</v>
      </c>
      <c r="AN231" s="1" t="s">
        <v>4679</v>
      </c>
      <c r="AO231" s="1" t="s">
        <v>6318</v>
      </c>
      <c r="AP231" s="1" t="s">
        <v>6320</v>
      </c>
      <c r="AQ231" s="1" t="s">
        <v>4682</v>
      </c>
      <c r="AR231" s="1">
        <v>1.0</v>
      </c>
      <c r="AS231" s="3"/>
      <c r="AT231" s="3"/>
      <c r="AU231" s="3"/>
      <c r="AV231" s="1" t="s">
        <v>6053</v>
      </c>
      <c r="AW231" s="1" t="s">
        <v>6054</v>
      </c>
      <c r="AX231" s="1" t="s">
        <v>5271</v>
      </c>
      <c r="AY231" s="1" t="s">
        <v>5272</v>
      </c>
      <c r="AZ231" s="1" t="s">
        <v>6184</v>
      </c>
      <c r="BB231" s="3"/>
      <c r="BC231" s="3"/>
      <c r="BD231" s="3"/>
      <c r="BE231" s="1" t="b">
        <v>1</v>
      </c>
      <c r="BF231" s="1" t="s">
        <v>5272</v>
      </c>
      <c r="BG231" s="1" t="s">
        <v>5271</v>
      </c>
      <c r="BH231" s="1" t="s">
        <v>6053</v>
      </c>
      <c r="BI231" s="1" t="s">
        <v>6054</v>
      </c>
      <c r="BJ231" s="1" t="s">
        <v>6184</v>
      </c>
      <c r="BL231" s="3"/>
    </row>
    <row r="232">
      <c r="A232" s="1" t="s">
        <v>1863</v>
      </c>
      <c r="B232" s="1" t="s">
        <v>1862</v>
      </c>
      <c r="C232" s="1" t="s">
        <v>1862</v>
      </c>
      <c r="D232" s="1" t="s">
        <v>5092</v>
      </c>
      <c r="E232" s="1" t="s">
        <v>6321</v>
      </c>
      <c r="F232" s="1" t="s">
        <v>6322</v>
      </c>
      <c r="G232" s="3"/>
      <c r="H232" s="3"/>
      <c r="I232" s="1" t="s">
        <v>5338</v>
      </c>
      <c r="J232" s="1" t="s">
        <v>6323</v>
      </c>
      <c r="L232" s="3"/>
      <c r="M232" s="3"/>
      <c r="N232" s="3"/>
      <c r="O232" s="3"/>
      <c r="P232" s="1">
        <v>1.10996144E8</v>
      </c>
      <c r="Q232" s="1" t="b">
        <v>1</v>
      </c>
      <c r="R232" s="1">
        <v>6.0</v>
      </c>
      <c r="S232" s="1" t="s">
        <v>4885</v>
      </c>
      <c r="T232" s="3"/>
      <c r="U232" s="1" t="s">
        <v>4672</v>
      </c>
      <c r="V232" s="1" t="s">
        <v>4673</v>
      </c>
      <c r="W232" s="1" t="s">
        <v>6324</v>
      </c>
      <c r="X232" s="1" t="b">
        <v>0</v>
      </c>
      <c r="Y232" s="1" t="s">
        <v>4675</v>
      </c>
      <c r="Z232" s="1" t="s">
        <v>6325</v>
      </c>
      <c r="AB232" s="1" t="s">
        <v>4677</v>
      </c>
      <c r="AC232" s="1" t="s">
        <v>4896</v>
      </c>
      <c r="AD232" s="1" t="s">
        <v>4888</v>
      </c>
      <c r="AE232" s="1" t="s">
        <v>6325</v>
      </c>
      <c r="AF232" s="1" t="s">
        <v>4757</v>
      </c>
      <c r="AG232" s="1" t="s">
        <v>4758</v>
      </c>
      <c r="AH232" s="1">
        <v>6.0</v>
      </c>
      <c r="AI232" s="1" t="b">
        <v>0</v>
      </c>
      <c r="AJ232" s="1" t="b">
        <v>0</v>
      </c>
      <c r="AK232" s="1" t="s">
        <v>6326</v>
      </c>
      <c r="AM232" s="3"/>
      <c r="AN232" s="3"/>
      <c r="AO232" s="3"/>
      <c r="AP232" s="3"/>
      <c r="AQ232" s="3"/>
      <c r="AR232" s="3"/>
      <c r="AS232" s="3"/>
      <c r="AT232" s="3"/>
      <c r="AU232" s="3"/>
      <c r="AV232" s="3"/>
      <c r="AW232" s="3"/>
      <c r="AX232" s="3"/>
      <c r="AY232" s="3"/>
      <c r="AZ232" s="3"/>
      <c r="BA232" s="3"/>
      <c r="BB232" s="3"/>
      <c r="BC232" s="3"/>
      <c r="BD232" s="3"/>
      <c r="BE232" s="1" t="b">
        <v>1</v>
      </c>
      <c r="BF232" s="3"/>
      <c r="BG232" s="3"/>
      <c r="BH232" s="3"/>
      <c r="BI232" s="3"/>
      <c r="BJ232" s="3"/>
      <c r="BK232" s="3"/>
      <c r="BL232" s="3"/>
    </row>
    <row r="233">
      <c r="A233" s="1" t="s">
        <v>571</v>
      </c>
      <c r="B233" s="1" t="s">
        <v>569</v>
      </c>
      <c r="C233" s="1" t="s">
        <v>569</v>
      </c>
      <c r="D233" s="1" t="s">
        <v>4711</v>
      </c>
      <c r="E233" s="1" t="s">
        <v>6327</v>
      </c>
      <c r="F233" s="1" t="s">
        <v>6328</v>
      </c>
      <c r="G233" s="3"/>
      <c r="H233" s="3"/>
      <c r="I233" s="1" t="s">
        <v>4742</v>
      </c>
      <c r="J233" s="1" t="s">
        <v>6329</v>
      </c>
      <c r="K233" s="3">
        <f>+821024591125</f>
        <v>821024591125</v>
      </c>
      <c r="L233" s="3"/>
      <c r="M233" s="3"/>
      <c r="N233" s="3"/>
      <c r="O233" s="3"/>
      <c r="P233" s="1">
        <v>1.08867641E8</v>
      </c>
      <c r="Q233" s="1" t="b">
        <v>1</v>
      </c>
      <c r="R233" s="1">
        <v>26.0</v>
      </c>
      <c r="S233" s="1" t="s">
        <v>5613</v>
      </c>
      <c r="T233" s="3"/>
      <c r="U233" s="1" t="s">
        <v>4672</v>
      </c>
      <c r="V233" s="1" t="s">
        <v>4673</v>
      </c>
      <c r="W233" s="1" t="s">
        <v>6330</v>
      </c>
      <c r="X233" s="1" t="b">
        <v>0</v>
      </c>
      <c r="Y233" s="1" t="s">
        <v>4675</v>
      </c>
      <c r="Z233" s="1" t="s">
        <v>6331</v>
      </c>
      <c r="AB233" s="3"/>
      <c r="AC233" s="3"/>
      <c r="AD233" s="3"/>
      <c r="AE233" s="3"/>
      <c r="AF233" s="3"/>
      <c r="AG233" s="3"/>
      <c r="AH233" s="3"/>
      <c r="AI233" s="1" t="b">
        <v>0</v>
      </c>
      <c r="AJ233" s="1" t="b">
        <v>0</v>
      </c>
      <c r="AK233" s="1" t="s">
        <v>6332</v>
      </c>
      <c r="AL233" s="1" t="s">
        <v>4707</v>
      </c>
      <c r="AM233" s="1" t="s">
        <v>4708</v>
      </c>
      <c r="AN233" s="1" t="s">
        <v>4686</v>
      </c>
      <c r="AO233" s="1" t="s">
        <v>6331</v>
      </c>
      <c r="AP233" s="1" t="s">
        <v>4709</v>
      </c>
      <c r="AQ233" s="1" t="s">
        <v>4688</v>
      </c>
      <c r="AR233" s="1">
        <v>26.0</v>
      </c>
      <c r="AS233" s="3"/>
      <c r="AT233" s="3"/>
      <c r="AU233" s="4" t="s">
        <v>4780</v>
      </c>
      <c r="AV233" s="1" t="s">
        <v>4788</v>
      </c>
      <c r="AW233" s="1" t="s">
        <v>4789</v>
      </c>
      <c r="AX233" s="1" t="s">
        <v>4692</v>
      </c>
      <c r="AY233" s="1" t="s">
        <v>4790</v>
      </c>
      <c r="AZ233" s="1" t="s">
        <v>4791</v>
      </c>
      <c r="BA233" s="3"/>
      <c r="BB233" s="3"/>
      <c r="BC233" s="3"/>
      <c r="BD233" s="3"/>
      <c r="BE233" s="1" t="b">
        <v>1</v>
      </c>
      <c r="BF233" s="1" t="s">
        <v>4790</v>
      </c>
      <c r="BG233" s="1" t="s">
        <v>4692</v>
      </c>
      <c r="BH233" s="1" t="s">
        <v>4788</v>
      </c>
      <c r="BI233" s="1" t="s">
        <v>4789</v>
      </c>
      <c r="BJ233" s="1" t="s">
        <v>4791</v>
      </c>
      <c r="BK233" s="4" t="s">
        <v>4771</v>
      </c>
      <c r="BL233" s="1" t="s">
        <v>4723</v>
      </c>
    </row>
    <row r="234">
      <c r="A234" s="1" t="s">
        <v>602</v>
      </c>
      <c r="B234" s="1" t="s">
        <v>601</v>
      </c>
      <c r="C234" s="1" t="s">
        <v>601</v>
      </c>
      <c r="D234" s="1" t="s">
        <v>4913</v>
      </c>
      <c r="E234" s="1" t="s">
        <v>6333</v>
      </c>
      <c r="F234" s="1" t="s">
        <v>6334</v>
      </c>
      <c r="G234" s="3"/>
      <c r="H234" s="3"/>
      <c r="I234" s="1" t="s">
        <v>4742</v>
      </c>
      <c r="J234" s="1" t="s">
        <v>6335</v>
      </c>
      <c r="L234" s="3"/>
      <c r="M234" s="3"/>
      <c r="N234" s="3"/>
      <c r="O234" s="3"/>
      <c r="P234" s="1">
        <v>2.085819561E9</v>
      </c>
      <c r="Q234" s="1" t="b">
        <v>1</v>
      </c>
      <c r="R234" s="1">
        <v>41.0</v>
      </c>
      <c r="S234" s="1" t="s">
        <v>4752</v>
      </c>
      <c r="T234" s="3"/>
      <c r="U234" s="1" t="s">
        <v>4672</v>
      </c>
      <c r="V234" s="1" t="s">
        <v>4673</v>
      </c>
      <c r="W234" s="1" t="s">
        <v>6336</v>
      </c>
      <c r="X234" s="1" t="b">
        <v>0</v>
      </c>
      <c r="Y234" s="1" t="s">
        <v>4675</v>
      </c>
      <c r="Z234" s="1" t="s">
        <v>6337</v>
      </c>
      <c r="AB234" s="3"/>
      <c r="AC234" s="3"/>
      <c r="AD234" s="3"/>
      <c r="AE234" s="3"/>
      <c r="AF234" s="3"/>
      <c r="AG234" s="3"/>
      <c r="AH234" s="3"/>
      <c r="AI234" s="1" t="b">
        <v>0</v>
      </c>
      <c r="AJ234" s="1" t="b">
        <v>0</v>
      </c>
      <c r="AK234" s="1" t="s">
        <v>6337</v>
      </c>
      <c r="AL234" s="1" t="s">
        <v>4707</v>
      </c>
      <c r="AM234" s="1" t="s">
        <v>4708</v>
      </c>
      <c r="AN234" s="1" t="s">
        <v>4686</v>
      </c>
      <c r="AO234" s="1" t="s">
        <v>6337</v>
      </c>
      <c r="AP234" s="1" t="s">
        <v>4709</v>
      </c>
      <c r="AQ234" s="1" t="s">
        <v>4688</v>
      </c>
      <c r="AR234" s="1">
        <v>41.0</v>
      </c>
      <c r="AS234" s="3"/>
      <c r="AT234" s="3"/>
      <c r="AU234" s="4" t="s">
        <v>6338</v>
      </c>
      <c r="BE234" s="1" t="b">
        <v>1</v>
      </c>
      <c r="BF234" s="3"/>
      <c r="BG234" s="3"/>
      <c r="BH234" s="3"/>
      <c r="BI234" s="3"/>
      <c r="BJ234" s="3"/>
      <c r="BK234" s="4" t="s">
        <v>4881</v>
      </c>
      <c r="BL234" s="1" t="s">
        <v>4723</v>
      </c>
    </row>
    <row r="235">
      <c r="A235" s="1" t="s">
        <v>331</v>
      </c>
      <c r="B235" s="1" t="s">
        <v>329</v>
      </c>
      <c r="C235" s="1" t="s">
        <v>329</v>
      </c>
      <c r="D235" s="1" t="s">
        <v>4711</v>
      </c>
      <c r="E235" s="1" t="s">
        <v>6339</v>
      </c>
      <c r="F235" s="1" t="s">
        <v>6340</v>
      </c>
      <c r="G235" s="3"/>
      <c r="H235" s="1" t="s">
        <v>3850</v>
      </c>
      <c r="I235" s="1" t="s">
        <v>4742</v>
      </c>
      <c r="J235" s="1" t="s">
        <v>6341</v>
      </c>
      <c r="K235" s="3">
        <f>+821094323576</f>
        <v>821094323576</v>
      </c>
      <c r="L235" s="3"/>
      <c r="M235" s="3"/>
      <c r="N235" s="3"/>
      <c r="O235" s="3"/>
      <c r="P235" s="1">
        <v>1.1562885E8</v>
      </c>
      <c r="Q235" s="1" t="b">
        <v>1</v>
      </c>
      <c r="R235" s="1">
        <v>260.0</v>
      </c>
      <c r="S235" s="1" t="s">
        <v>6316</v>
      </c>
      <c r="T235" s="3"/>
      <c r="U235" s="1" t="s">
        <v>4672</v>
      </c>
      <c r="V235" s="1" t="s">
        <v>4673</v>
      </c>
      <c r="W235" s="1" t="s">
        <v>6342</v>
      </c>
      <c r="X235" s="1" t="b">
        <v>0</v>
      </c>
      <c r="Y235" s="1" t="s">
        <v>4675</v>
      </c>
      <c r="Z235" s="1" t="s">
        <v>6343</v>
      </c>
      <c r="AB235" s="1" t="s">
        <v>4677</v>
      </c>
      <c r="AC235" s="1" t="s">
        <v>4678</v>
      </c>
      <c r="AD235" s="1" t="s">
        <v>4679</v>
      </c>
      <c r="AE235" s="1" t="s">
        <v>6344</v>
      </c>
      <c r="AF235" s="1" t="s">
        <v>4854</v>
      </c>
      <c r="AG235" s="1" t="s">
        <v>4682</v>
      </c>
      <c r="AH235" s="1">
        <v>149.0</v>
      </c>
      <c r="AI235" s="1" t="b">
        <v>0</v>
      </c>
      <c r="AJ235" s="1" t="b">
        <v>0</v>
      </c>
      <c r="AK235" s="1" t="s">
        <v>6345</v>
      </c>
      <c r="AL235" s="1" t="s">
        <v>4719</v>
      </c>
      <c r="AM235" s="1" t="s">
        <v>4685</v>
      </c>
      <c r="AN235" s="1" t="s">
        <v>4686</v>
      </c>
      <c r="AO235" s="1" t="s">
        <v>6343</v>
      </c>
      <c r="AP235" s="1" t="s">
        <v>4687</v>
      </c>
      <c r="AQ235" s="1" t="s">
        <v>4688</v>
      </c>
      <c r="AR235" s="1">
        <v>111.0</v>
      </c>
      <c r="AS235" s="3"/>
      <c r="AT235" s="3"/>
      <c r="AU235" s="4" t="s">
        <v>4695</v>
      </c>
      <c r="AW235" s="3"/>
      <c r="AX235" s="3"/>
      <c r="AY235" s="3"/>
      <c r="AZ235" s="3"/>
      <c r="BA235" s="3"/>
      <c r="BB235" s="3"/>
      <c r="BC235" s="3"/>
      <c r="BD235" s="3"/>
      <c r="BE235" s="1" t="b">
        <v>1</v>
      </c>
      <c r="BF235" s="3"/>
      <c r="BG235" s="3"/>
      <c r="BH235" s="3"/>
      <c r="BI235" s="3"/>
      <c r="BJ235" s="3"/>
      <c r="BK235" s="4" t="s">
        <v>4695</v>
      </c>
    </row>
    <row r="236">
      <c r="A236" s="1" t="s">
        <v>1379</v>
      </c>
      <c r="B236" s="1" t="s">
        <v>1378</v>
      </c>
      <c r="C236" s="3"/>
      <c r="D236" s="3"/>
      <c r="E236" s="3"/>
      <c r="F236" s="3"/>
      <c r="G236" s="3"/>
      <c r="H236" s="3"/>
      <c r="I236" s="3"/>
      <c r="J236" s="3"/>
      <c r="K236" s="3"/>
      <c r="L236" s="3"/>
      <c r="M236" s="3"/>
      <c r="N236" s="3"/>
      <c r="O236" s="3"/>
      <c r="P236" s="1" t="s">
        <v>6346</v>
      </c>
      <c r="Q236" s="1" t="b">
        <v>0</v>
      </c>
      <c r="R236" s="1">
        <v>1.0</v>
      </c>
      <c r="S236" s="1" t="s">
        <v>4715</v>
      </c>
      <c r="T236" s="3"/>
      <c r="U236" s="1" t="s">
        <v>4672</v>
      </c>
      <c r="V236" s="1" t="s">
        <v>4673</v>
      </c>
      <c r="W236" s="1" t="s">
        <v>6347</v>
      </c>
      <c r="X236" s="1" t="b">
        <v>0</v>
      </c>
      <c r="Y236" s="1" t="s">
        <v>4675</v>
      </c>
      <c r="Z236" s="1" t="s">
        <v>6347</v>
      </c>
      <c r="AB236" s="3"/>
      <c r="AC236" s="3"/>
      <c r="AD236" s="3"/>
      <c r="AE236" s="3"/>
      <c r="AF236" s="3"/>
      <c r="AG236" s="3"/>
      <c r="AH236" s="3"/>
      <c r="AI236" s="1" t="b">
        <v>0</v>
      </c>
      <c r="AJ236" s="1" t="b">
        <v>0</v>
      </c>
      <c r="AK236" s="1" t="s">
        <v>6347</v>
      </c>
      <c r="AL236" s="1" t="s">
        <v>6348</v>
      </c>
      <c r="AM236" s="1" t="s">
        <v>6051</v>
      </c>
      <c r="AN236" s="1" t="s">
        <v>4679</v>
      </c>
      <c r="AO236" s="1" t="s">
        <v>6347</v>
      </c>
      <c r="AP236" s="1" t="s">
        <v>6320</v>
      </c>
      <c r="AQ236" s="1" t="s">
        <v>4682</v>
      </c>
      <c r="AR236" s="1">
        <v>1.0</v>
      </c>
      <c r="AS236" s="3"/>
      <c r="AT236" s="3"/>
      <c r="AU236" s="4" t="s">
        <v>6349</v>
      </c>
      <c r="AW236" s="1" t="s">
        <v>4816</v>
      </c>
      <c r="AX236" s="1" t="s">
        <v>4815</v>
      </c>
      <c r="AY236" s="1" t="s">
        <v>4813</v>
      </c>
      <c r="AZ236" s="3"/>
      <c r="BA236" s="3"/>
      <c r="BB236" s="3"/>
      <c r="BC236" s="3"/>
      <c r="BD236" s="3"/>
      <c r="BE236" s="1" t="b">
        <v>1</v>
      </c>
      <c r="BF236" s="1" t="s">
        <v>4813</v>
      </c>
      <c r="BG236" s="1" t="s">
        <v>4815</v>
      </c>
      <c r="BH236" s="3"/>
      <c r="BI236" s="1" t="s">
        <v>4816</v>
      </c>
      <c r="BJ236" s="3"/>
      <c r="BK236" s="4" t="s">
        <v>6349</v>
      </c>
    </row>
    <row r="237">
      <c r="A237" s="1" t="s">
        <v>1012</v>
      </c>
      <c r="B237" s="1" t="s">
        <v>1010</v>
      </c>
      <c r="C237" s="1" t="s">
        <v>1010</v>
      </c>
      <c r="D237" s="1" t="s">
        <v>4772</v>
      </c>
      <c r="E237" s="1" t="s">
        <v>6350</v>
      </c>
      <c r="F237" s="1" t="s">
        <v>6351</v>
      </c>
      <c r="G237" s="3"/>
      <c r="H237" s="3"/>
      <c r="I237" s="1" t="s">
        <v>4742</v>
      </c>
      <c r="J237" s="1" t="s">
        <v>6352</v>
      </c>
      <c r="L237" s="3"/>
      <c r="M237" s="3"/>
      <c r="N237" s="3"/>
      <c r="O237" s="3"/>
      <c r="P237" s="1">
        <v>1.12109332E8</v>
      </c>
      <c r="Q237" s="1" t="b">
        <v>1</v>
      </c>
      <c r="R237" s="1">
        <v>599.0</v>
      </c>
      <c r="S237" s="1" t="s">
        <v>6353</v>
      </c>
      <c r="T237" s="3"/>
      <c r="U237" s="1" t="s">
        <v>4672</v>
      </c>
      <c r="V237" s="1" t="s">
        <v>4673</v>
      </c>
      <c r="W237" s="1" t="s">
        <v>6354</v>
      </c>
      <c r="X237" s="1" t="b">
        <v>0</v>
      </c>
      <c r="Y237" s="1" t="s">
        <v>4675</v>
      </c>
      <c r="Z237" s="1" t="s">
        <v>6355</v>
      </c>
      <c r="AB237" s="3"/>
      <c r="AC237" s="3"/>
      <c r="AD237" s="3"/>
      <c r="AE237" s="3"/>
      <c r="AF237" s="3"/>
      <c r="AG237" s="3"/>
      <c r="AH237" s="3"/>
      <c r="AI237" s="1" t="b">
        <v>0</v>
      </c>
      <c r="AJ237" s="1" t="b">
        <v>0</v>
      </c>
      <c r="AK237" s="1" t="s">
        <v>6356</v>
      </c>
      <c r="AL237" s="1" t="s">
        <v>4684</v>
      </c>
      <c r="AM237" s="1" t="s">
        <v>4685</v>
      </c>
      <c r="AN237" s="1" t="s">
        <v>4686</v>
      </c>
      <c r="AO237" s="1" t="s">
        <v>6355</v>
      </c>
      <c r="AP237" s="1" t="s">
        <v>4687</v>
      </c>
      <c r="AQ237" s="1" t="s">
        <v>4688</v>
      </c>
      <c r="AR237" s="1">
        <v>599.0</v>
      </c>
      <c r="AS237" s="3"/>
      <c r="AT237" s="3"/>
      <c r="AU237" s="4" t="s">
        <v>4780</v>
      </c>
      <c r="AV237" s="1" t="s">
        <v>4788</v>
      </c>
      <c r="AW237" s="1" t="s">
        <v>4789</v>
      </c>
      <c r="AX237" s="1" t="s">
        <v>4692</v>
      </c>
      <c r="AY237" s="1" t="s">
        <v>4790</v>
      </c>
      <c r="AZ237" s="1" t="s">
        <v>4791</v>
      </c>
      <c r="BA237" s="3"/>
      <c r="BB237" s="3"/>
      <c r="BC237" s="3"/>
      <c r="BD237" s="3"/>
      <c r="BE237" s="1" t="b">
        <v>1</v>
      </c>
      <c r="BF237" s="1" t="s">
        <v>4790</v>
      </c>
      <c r="BG237" s="1" t="s">
        <v>4692</v>
      </c>
      <c r="BH237" s="1" t="s">
        <v>4788</v>
      </c>
      <c r="BI237" s="1" t="s">
        <v>4789</v>
      </c>
      <c r="BJ237" s="1" t="s">
        <v>4791</v>
      </c>
      <c r="BK237" s="4" t="s">
        <v>4695</v>
      </c>
    </row>
    <row r="238">
      <c r="A238" s="1" t="s">
        <v>635</v>
      </c>
      <c r="B238" s="1" t="s">
        <v>634</v>
      </c>
      <c r="C238" s="1" t="s">
        <v>634</v>
      </c>
      <c r="D238" s="1" t="s">
        <v>4922</v>
      </c>
      <c r="E238" s="1" t="s">
        <v>6357</v>
      </c>
      <c r="F238" s="1" t="s">
        <v>6358</v>
      </c>
      <c r="G238" s="3"/>
      <c r="H238" s="3"/>
      <c r="I238" s="3"/>
      <c r="J238" s="1" t="s">
        <v>6359</v>
      </c>
      <c r="K238" s="3">
        <f>+821063982335</f>
        <v>821063982335</v>
      </c>
      <c r="L238" s="3"/>
      <c r="M238" s="3"/>
      <c r="N238" s="3"/>
      <c r="O238" s="3"/>
      <c r="P238" s="1">
        <v>1.22945811E8</v>
      </c>
      <c r="Q238" s="1" t="b">
        <v>1</v>
      </c>
      <c r="R238" s="1">
        <v>44.0</v>
      </c>
      <c r="S238" s="1" t="s">
        <v>4942</v>
      </c>
      <c r="U238" s="1" t="s">
        <v>4672</v>
      </c>
      <c r="V238" s="1" t="s">
        <v>4673</v>
      </c>
      <c r="W238" s="1" t="s">
        <v>6360</v>
      </c>
      <c r="X238" s="1" t="b">
        <v>0</v>
      </c>
      <c r="Y238" s="1" t="s">
        <v>4675</v>
      </c>
      <c r="Z238" s="1" t="s">
        <v>6361</v>
      </c>
      <c r="AB238" s="3"/>
      <c r="AC238" s="3"/>
      <c r="AD238" s="3"/>
      <c r="AE238" s="3"/>
      <c r="AF238" s="3"/>
      <c r="AG238" s="3"/>
      <c r="AH238" s="3"/>
      <c r="AI238" s="1" t="b">
        <v>0</v>
      </c>
      <c r="AJ238" s="1" t="b">
        <v>0</v>
      </c>
      <c r="AK238" s="1" t="s">
        <v>6362</v>
      </c>
      <c r="AL238" s="1" t="s">
        <v>4719</v>
      </c>
      <c r="AM238" s="1" t="s">
        <v>4685</v>
      </c>
      <c r="AN238" s="1" t="s">
        <v>4686</v>
      </c>
      <c r="AO238" s="1" t="s">
        <v>6361</v>
      </c>
      <c r="AP238" s="1" t="s">
        <v>4687</v>
      </c>
      <c r="AQ238" s="1" t="s">
        <v>4688</v>
      </c>
      <c r="AR238" s="1">
        <v>44.0</v>
      </c>
      <c r="AS238" s="3"/>
      <c r="AT238" s="3"/>
      <c r="AU238" s="4" t="s">
        <v>4695</v>
      </c>
      <c r="AW238" s="3"/>
      <c r="AX238" s="3"/>
      <c r="AY238" s="1" t="s">
        <v>4761</v>
      </c>
      <c r="AZ238" s="3"/>
      <c r="BA238" s="3"/>
      <c r="BB238" s="3"/>
      <c r="BC238" s="3"/>
      <c r="BD238" s="3"/>
      <c r="BE238" s="1" t="b">
        <v>1</v>
      </c>
      <c r="BF238" s="1" t="s">
        <v>4761</v>
      </c>
      <c r="BG238" s="3"/>
      <c r="BH238" s="3"/>
      <c r="BI238" s="3"/>
      <c r="BJ238" s="3"/>
      <c r="BK238" s="4" t="s">
        <v>4771</v>
      </c>
    </row>
    <row r="239">
      <c r="A239" s="1" t="s">
        <v>1636</v>
      </c>
      <c r="B239" s="1" t="s">
        <v>1633</v>
      </c>
      <c r="C239" s="1" t="s">
        <v>1633</v>
      </c>
      <c r="D239" s="3"/>
      <c r="E239" s="3"/>
      <c r="F239" s="3"/>
      <c r="G239" s="3"/>
      <c r="H239" s="3"/>
      <c r="I239" s="1" t="s">
        <v>4669</v>
      </c>
      <c r="J239" s="1" t="s">
        <v>6363</v>
      </c>
      <c r="K239" s="3">
        <f>+821071700132</f>
        <v>821071700132</v>
      </c>
      <c r="L239" s="3"/>
      <c r="M239" s="3"/>
      <c r="N239" s="3"/>
      <c r="O239" s="3"/>
      <c r="P239" s="1" t="s">
        <v>6364</v>
      </c>
      <c r="Q239" s="1" t="b">
        <v>0</v>
      </c>
      <c r="R239" s="1">
        <v>6.0</v>
      </c>
      <c r="S239" s="1" t="s">
        <v>5340</v>
      </c>
      <c r="T239" s="3"/>
      <c r="U239" s="1" t="s">
        <v>4672</v>
      </c>
      <c r="V239" s="1" t="s">
        <v>4673</v>
      </c>
      <c r="W239" s="1" t="s">
        <v>6365</v>
      </c>
      <c r="X239" s="1" t="b">
        <v>0</v>
      </c>
      <c r="Y239" s="1" t="s">
        <v>4675</v>
      </c>
      <c r="Z239" s="1" t="s">
        <v>6366</v>
      </c>
      <c r="AB239" s="3"/>
      <c r="AC239" s="3"/>
      <c r="AD239" s="3"/>
      <c r="AE239" s="3"/>
      <c r="AF239" s="3"/>
      <c r="AG239" s="3"/>
      <c r="AH239" s="3"/>
      <c r="AI239" s="1" t="b">
        <v>0</v>
      </c>
      <c r="AJ239" s="1" t="b">
        <v>0</v>
      </c>
      <c r="AK239" s="1" t="s">
        <v>6367</v>
      </c>
      <c r="AL239" s="1" t="s">
        <v>4719</v>
      </c>
      <c r="AM239" s="1" t="s">
        <v>4685</v>
      </c>
      <c r="AN239" s="1" t="s">
        <v>4720</v>
      </c>
      <c r="AO239" s="1" t="s">
        <v>6366</v>
      </c>
      <c r="AP239" s="1" t="s">
        <v>4721</v>
      </c>
      <c r="AQ239" s="1" t="s">
        <v>4722</v>
      </c>
      <c r="AR239" s="1">
        <v>6.0</v>
      </c>
      <c r="AS239" s="3"/>
      <c r="AT239" s="3"/>
      <c r="AU239" s="4" t="s">
        <v>4695</v>
      </c>
      <c r="AV239" s="1">
        <v>1.0</v>
      </c>
      <c r="AW239" s="1" t="s">
        <v>6368</v>
      </c>
      <c r="AX239" s="1" t="s">
        <v>6369</v>
      </c>
      <c r="AY239" s="1" t="s">
        <v>6370</v>
      </c>
      <c r="AZ239" s="3"/>
      <c r="BA239" s="3"/>
      <c r="BB239" s="3"/>
      <c r="BC239" s="3"/>
      <c r="BD239" s="3"/>
      <c r="BE239" s="1" t="b">
        <v>1</v>
      </c>
      <c r="BF239" s="1" t="s">
        <v>6370</v>
      </c>
      <c r="BG239" s="1" t="s">
        <v>6369</v>
      </c>
      <c r="BH239" s="1">
        <v>1.0</v>
      </c>
      <c r="BI239" s="1" t="s">
        <v>6368</v>
      </c>
      <c r="BJ239" s="3"/>
      <c r="BK239" s="4" t="s">
        <v>4695</v>
      </c>
    </row>
    <row r="240">
      <c r="A240" s="1" t="s">
        <v>523</v>
      </c>
      <c r="B240" s="1" t="s">
        <v>521</v>
      </c>
      <c r="C240" s="1" t="s">
        <v>521</v>
      </c>
      <c r="D240" s="1" t="s">
        <v>5000</v>
      </c>
      <c r="E240" s="1" t="s">
        <v>6371</v>
      </c>
      <c r="F240" s="1" t="s">
        <v>6372</v>
      </c>
      <c r="G240" s="3"/>
      <c r="H240" s="3"/>
      <c r="I240" s="1" t="s">
        <v>4669</v>
      </c>
      <c r="J240" s="1" t="s">
        <v>6373</v>
      </c>
      <c r="K240" s="3">
        <f>+821050464216</f>
        <v>821050464216</v>
      </c>
      <c r="L240" s="3"/>
      <c r="M240" s="3"/>
      <c r="N240" s="3"/>
      <c r="O240" s="3"/>
      <c r="P240" s="1">
        <v>1.12456819E8</v>
      </c>
      <c r="Q240" s="1" t="b">
        <v>1</v>
      </c>
      <c r="R240" s="1">
        <v>68.0</v>
      </c>
      <c r="S240" s="1" t="s">
        <v>6374</v>
      </c>
      <c r="T240" s="3"/>
      <c r="U240" s="1" t="s">
        <v>4672</v>
      </c>
      <c r="V240" s="1" t="s">
        <v>4673</v>
      </c>
      <c r="W240" s="1" t="s">
        <v>6375</v>
      </c>
      <c r="X240" s="1" t="b">
        <v>0</v>
      </c>
      <c r="Y240" s="1" t="s">
        <v>4675</v>
      </c>
      <c r="Z240" s="1" t="s">
        <v>6376</v>
      </c>
      <c r="AB240" s="3"/>
      <c r="AC240" s="3"/>
      <c r="AD240" s="3"/>
      <c r="AE240" s="3"/>
      <c r="AF240" s="3"/>
      <c r="AG240" s="3"/>
      <c r="AH240" s="3"/>
      <c r="AI240" s="1" t="b">
        <v>0</v>
      </c>
      <c r="AJ240" s="1" t="b">
        <v>0</v>
      </c>
      <c r="AK240" s="1" t="s">
        <v>6377</v>
      </c>
      <c r="AL240" s="1" t="s">
        <v>5486</v>
      </c>
      <c r="AM240" s="1" t="s">
        <v>4685</v>
      </c>
      <c r="AN240" s="1" t="s">
        <v>4720</v>
      </c>
      <c r="AO240" s="1" t="s">
        <v>6376</v>
      </c>
      <c r="AP240" s="1" t="s">
        <v>4721</v>
      </c>
      <c r="AQ240" s="1" t="s">
        <v>4722</v>
      </c>
      <c r="AR240" s="1">
        <v>68.0</v>
      </c>
      <c r="AS240" s="3"/>
      <c r="AT240" s="3"/>
      <c r="AU240" s="4" t="s">
        <v>4695</v>
      </c>
      <c r="AV240" s="1" t="s">
        <v>6378</v>
      </c>
      <c r="AW240" s="1" t="s">
        <v>6379</v>
      </c>
      <c r="AX240" s="1" t="s">
        <v>4936</v>
      </c>
      <c r="AY240" s="1" t="s">
        <v>4761</v>
      </c>
      <c r="AZ240" s="3"/>
      <c r="BA240" s="3"/>
      <c r="BB240" s="3"/>
      <c r="BC240" s="3"/>
      <c r="BD240" s="3"/>
      <c r="BE240" s="1" t="b">
        <v>1</v>
      </c>
      <c r="BF240" s="1" t="s">
        <v>4761</v>
      </c>
      <c r="BG240" s="1" t="s">
        <v>4936</v>
      </c>
      <c r="BH240" s="1" t="s">
        <v>6378</v>
      </c>
      <c r="BI240" s="1" t="s">
        <v>6379</v>
      </c>
      <c r="BJ240" s="3"/>
      <c r="BK240" s="4" t="s">
        <v>4695</v>
      </c>
    </row>
    <row r="241">
      <c r="A241" s="1" t="s">
        <v>200</v>
      </c>
      <c r="B241" s="1" t="s">
        <v>199</v>
      </c>
      <c r="C241" s="1" t="s">
        <v>199</v>
      </c>
      <c r="D241" s="1" t="s">
        <v>4696</v>
      </c>
      <c r="E241" s="1" t="s">
        <v>6380</v>
      </c>
      <c r="F241" s="1" t="s">
        <v>6381</v>
      </c>
      <c r="G241" s="3"/>
      <c r="H241" s="1" t="s">
        <v>3850</v>
      </c>
      <c r="I241" s="1" t="s">
        <v>4742</v>
      </c>
      <c r="J241" s="1" t="s">
        <v>6382</v>
      </c>
      <c r="K241" s="3">
        <f>+821087690827</f>
        <v>821087690827</v>
      </c>
      <c r="L241" s="3"/>
      <c r="M241" s="3"/>
      <c r="N241" s="3"/>
      <c r="O241" s="3"/>
      <c r="P241" s="1">
        <v>1.17305783E8</v>
      </c>
      <c r="Q241" s="1" t="b">
        <v>1</v>
      </c>
      <c r="R241" s="1">
        <v>288.0</v>
      </c>
      <c r="S241" s="1" t="s">
        <v>4752</v>
      </c>
      <c r="T241" s="3"/>
      <c r="U241" s="1" t="s">
        <v>4672</v>
      </c>
      <c r="V241" s="1" t="s">
        <v>4673</v>
      </c>
      <c r="W241" s="1" t="s">
        <v>6383</v>
      </c>
      <c r="X241" s="1" t="b">
        <v>0</v>
      </c>
      <c r="Y241" s="1" t="s">
        <v>4675</v>
      </c>
      <c r="Z241" s="1" t="s">
        <v>6384</v>
      </c>
      <c r="AB241" s="1" t="s">
        <v>4677</v>
      </c>
      <c r="AC241" s="1" t="s">
        <v>5052</v>
      </c>
      <c r="AD241" s="1" t="s">
        <v>4679</v>
      </c>
      <c r="AE241" s="1" t="s">
        <v>6385</v>
      </c>
      <c r="AF241" s="1" t="s">
        <v>4840</v>
      </c>
      <c r="AG241" s="1" t="s">
        <v>4682</v>
      </c>
      <c r="AH241" s="1">
        <v>6.0</v>
      </c>
      <c r="AI241" s="1" t="b">
        <v>0</v>
      </c>
      <c r="AJ241" s="1" t="b">
        <v>0</v>
      </c>
      <c r="AK241" s="1" t="s">
        <v>6386</v>
      </c>
      <c r="AL241" s="1" t="s">
        <v>4719</v>
      </c>
      <c r="AM241" s="1" t="s">
        <v>4685</v>
      </c>
      <c r="AN241" s="1" t="s">
        <v>4686</v>
      </c>
      <c r="AO241" s="1" t="s">
        <v>6384</v>
      </c>
      <c r="AP241" s="1" t="s">
        <v>4687</v>
      </c>
      <c r="AQ241" s="1" t="s">
        <v>4688</v>
      </c>
      <c r="AR241" s="1">
        <v>282.0</v>
      </c>
      <c r="AS241" s="3"/>
      <c r="AT241" s="3"/>
      <c r="AU241" s="4" t="s">
        <v>4695</v>
      </c>
      <c r="AW241" s="3"/>
      <c r="AX241" s="3"/>
      <c r="AY241" s="3"/>
      <c r="AZ241" s="3"/>
      <c r="BA241" s="3"/>
      <c r="BB241" s="3"/>
      <c r="BC241" s="3"/>
      <c r="BD241" s="3"/>
      <c r="BE241" s="1" t="b">
        <v>1</v>
      </c>
      <c r="BF241" s="3"/>
      <c r="BG241" s="3"/>
      <c r="BH241" s="3"/>
      <c r="BI241" s="3"/>
      <c r="BJ241" s="3"/>
      <c r="BK241" s="4" t="s">
        <v>4881</v>
      </c>
    </row>
    <row r="242">
      <c r="A242" s="1" t="s">
        <v>1707</v>
      </c>
      <c r="B242" s="1" t="s">
        <v>1706</v>
      </c>
      <c r="C242" s="3"/>
      <c r="D242" s="3"/>
      <c r="E242" s="3"/>
      <c r="F242" s="3"/>
      <c r="G242" s="3"/>
      <c r="H242" s="3"/>
      <c r="I242" s="1" t="s">
        <v>4669</v>
      </c>
      <c r="J242" s="3"/>
      <c r="K242" s="3"/>
      <c r="L242" s="3"/>
      <c r="M242" s="3"/>
      <c r="N242" s="3"/>
      <c r="O242" s="3"/>
      <c r="P242" s="1" t="s">
        <v>6387</v>
      </c>
      <c r="Q242" s="1" t="b">
        <v>0</v>
      </c>
      <c r="R242" s="1">
        <v>1.0</v>
      </c>
      <c r="S242" s="1" t="s">
        <v>6388</v>
      </c>
      <c r="U242" s="1" t="s">
        <v>4672</v>
      </c>
      <c r="V242" s="1" t="s">
        <v>4673</v>
      </c>
      <c r="W242" s="1" t="s">
        <v>6389</v>
      </c>
      <c r="X242" s="1" t="b">
        <v>0</v>
      </c>
      <c r="Y242" s="1" t="s">
        <v>4675</v>
      </c>
      <c r="Z242" s="1" t="s">
        <v>6389</v>
      </c>
      <c r="AB242" s="3"/>
      <c r="AC242" s="3"/>
      <c r="AD242" s="3"/>
      <c r="AE242" s="3"/>
      <c r="AF242" s="3"/>
      <c r="AG242" s="3"/>
      <c r="AH242" s="3"/>
      <c r="AI242" s="1" t="b">
        <v>0</v>
      </c>
      <c r="AJ242" s="1" t="b">
        <v>0</v>
      </c>
      <c r="AK242" s="1" t="s">
        <v>6390</v>
      </c>
      <c r="AL242" s="1" t="s">
        <v>4707</v>
      </c>
      <c r="AM242" s="1" t="s">
        <v>4708</v>
      </c>
      <c r="AN242" s="1" t="s">
        <v>4686</v>
      </c>
      <c r="AO242" s="1" t="s">
        <v>6389</v>
      </c>
      <c r="AP242" s="1" t="s">
        <v>4709</v>
      </c>
      <c r="AQ242" s="1" t="s">
        <v>4688</v>
      </c>
      <c r="AR242" s="1">
        <v>1.0</v>
      </c>
      <c r="AS242" s="3"/>
      <c r="AT242" s="3"/>
      <c r="AU242" s="3"/>
      <c r="AV242" s="3"/>
      <c r="AW242" s="3"/>
      <c r="AX242" s="3"/>
      <c r="AY242" s="3"/>
      <c r="AZ242" s="3"/>
      <c r="BA242" s="3"/>
      <c r="BB242" s="3"/>
      <c r="BC242" s="3"/>
      <c r="BD242" s="3"/>
      <c r="BE242" s="1" t="b">
        <v>1</v>
      </c>
      <c r="BF242" s="3"/>
      <c r="BG242" s="3"/>
      <c r="BH242" s="3"/>
      <c r="BI242" s="3"/>
      <c r="BJ242" s="3"/>
      <c r="BK242" s="3"/>
      <c r="BL242" s="3"/>
    </row>
    <row r="243">
      <c r="A243" s="1" t="s">
        <v>988</v>
      </c>
      <c r="B243" s="1" t="s">
        <v>987</v>
      </c>
      <c r="C243" s="1" t="s">
        <v>987</v>
      </c>
      <c r="D243" s="1" t="s">
        <v>4696</v>
      </c>
      <c r="E243" s="1" t="s">
        <v>6391</v>
      </c>
      <c r="F243" s="1" t="s">
        <v>6392</v>
      </c>
      <c r="G243" s="3"/>
      <c r="H243" s="3"/>
      <c r="I243" s="1" t="s">
        <v>5026</v>
      </c>
      <c r="J243" s="1" t="s">
        <v>6393</v>
      </c>
      <c r="K243" s="3">
        <f>+821099059444</f>
        <v>821099059444</v>
      </c>
      <c r="L243" s="3"/>
      <c r="M243" s="3"/>
      <c r="N243" s="3"/>
      <c r="O243" s="3"/>
      <c r="P243" s="1">
        <v>1.16087062E8</v>
      </c>
      <c r="Q243" s="1" t="b">
        <v>1</v>
      </c>
      <c r="R243" s="1">
        <v>77.0</v>
      </c>
      <c r="S243" s="1" t="s">
        <v>4752</v>
      </c>
      <c r="T243" s="3"/>
      <c r="U243" s="1" t="s">
        <v>4672</v>
      </c>
      <c r="V243" s="1" t="s">
        <v>4673</v>
      </c>
      <c r="W243" s="1" t="s">
        <v>6394</v>
      </c>
      <c r="X243" s="1" t="b">
        <v>0</v>
      </c>
      <c r="Y243" s="1" t="s">
        <v>4675</v>
      </c>
      <c r="Z243" s="1" t="s">
        <v>6395</v>
      </c>
      <c r="AB243" s="3"/>
      <c r="AC243" s="3"/>
      <c r="AD243" s="3"/>
      <c r="AE243" s="3"/>
      <c r="AF243" s="3"/>
      <c r="AG243" s="3"/>
      <c r="AH243" s="3"/>
      <c r="AI243" s="1" t="b">
        <v>0</v>
      </c>
      <c r="AJ243" s="1" t="b">
        <v>0</v>
      </c>
      <c r="AK243" s="1" t="s">
        <v>6396</v>
      </c>
      <c r="AL243" s="1" t="s">
        <v>6111</v>
      </c>
      <c r="AM243" s="1" t="s">
        <v>4685</v>
      </c>
      <c r="AN243" s="1" t="s">
        <v>4686</v>
      </c>
      <c r="AO243" s="1" t="s">
        <v>6395</v>
      </c>
      <c r="AP243" s="1" t="s">
        <v>4687</v>
      </c>
      <c r="AQ243" s="1" t="s">
        <v>4688</v>
      </c>
      <c r="AR243" s="1">
        <v>77.0</v>
      </c>
      <c r="AS243" s="3"/>
      <c r="AT243" s="3"/>
      <c r="AU243" s="4" t="s">
        <v>4856</v>
      </c>
      <c r="BB243" s="3"/>
      <c r="BC243" s="3"/>
      <c r="BD243" s="3"/>
      <c r="BE243" s="1" t="b">
        <v>1</v>
      </c>
      <c r="BF243" s="3"/>
      <c r="BG243" s="3"/>
      <c r="BH243" s="3"/>
      <c r="BI243" s="3"/>
      <c r="BJ243" s="3"/>
      <c r="BK243" s="4" t="s">
        <v>4695</v>
      </c>
    </row>
    <row r="244">
      <c r="A244" s="1" t="s">
        <v>933</v>
      </c>
      <c r="B244" s="1" t="s">
        <v>931</v>
      </c>
      <c r="C244" s="1" t="s">
        <v>931</v>
      </c>
      <c r="D244" s="1" t="s">
        <v>4711</v>
      </c>
      <c r="E244" s="1" t="s">
        <v>6397</v>
      </c>
      <c r="F244" s="1" t="s">
        <v>6398</v>
      </c>
      <c r="G244" s="3"/>
      <c r="H244" s="3"/>
      <c r="I244" s="1" t="s">
        <v>5026</v>
      </c>
      <c r="J244" s="1" t="s">
        <v>6399</v>
      </c>
      <c r="K244" s="3">
        <f>+821059172134</f>
        <v>821059172134</v>
      </c>
      <c r="L244" s="3"/>
      <c r="M244" s="3"/>
      <c r="N244" s="3"/>
      <c r="O244" s="3"/>
      <c r="P244" s="1">
        <v>1.08726907E8</v>
      </c>
      <c r="Q244" s="1" t="b">
        <v>1</v>
      </c>
      <c r="R244" s="1">
        <v>5.0</v>
      </c>
      <c r="S244" s="1" t="s">
        <v>4744</v>
      </c>
      <c r="T244" s="3"/>
      <c r="U244" s="1" t="s">
        <v>4672</v>
      </c>
      <c r="V244" s="1" t="s">
        <v>4673</v>
      </c>
      <c r="W244" s="1" t="s">
        <v>6400</v>
      </c>
      <c r="X244" s="1" t="b">
        <v>0</v>
      </c>
      <c r="Y244" s="1" t="s">
        <v>4675</v>
      </c>
      <c r="Z244" s="1" t="s">
        <v>6401</v>
      </c>
      <c r="AB244" s="3"/>
      <c r="AC244" s="3"/>
      <c r="AD244" s="3"/>
      <c r="AE244" s="3"/>
      <c r="AF244" s="3"/>
      <c r="AG244" s="3"/>
      <c r="AH244" s="3"/>
      <c r="AI244" s="1" t="b">
        <v>0</v>
      </c>
      <c r="AJ244" s="1" t="b">
        <v>0</v>
      </c>
      <c r="AK244" s="1" t="s">
        <v>6402</v>
      </c>
      <c r="AL244" s="1" t="s">
        <v>5486</v>
      </c>
      <c r="AM244" s="1" t="s">
        <v>4685</v>
      </c>
      <c r="AN244" s="1" t="s">
        <v>4720</v>
      </c>
      <c r="AO244" s="1" t="s">
        <v>6403</v>
      </c>
      <c r="AP244" s="1" t="s">
        <v>4721</v>
      </c>
      <c r="AQ244" s="1" t="s">
        <v>4722</v>
      </c>
      <c r="AR244" s="1">
        <v>5.0</v>
      </c>
      <c r="AS244" s="3"/>
      <c r="AT244" s="3"/>
      <c r="AU244" s="4" t="s">
        <v>4695</v>
      </c>
      <c r="AW244" s="3"/>
      <c r="AX244" s="3"/>
      <c r="AY244" s="3"/>
      <c r="AZ244" s="3"/>
      <c r="BA244" s="3"/>
      <c r="BB244" s="3"/>
      <c r="BC244" s="3"/>
      <c r="BD244" s="3"/>
      <c r="BE244" s="1" t="b">
        <v>1</v>
      </c>
      <c r="BF244" s="3"/>
      <c r="BG244" s="3"/>
      <c r="BH244" s="3"/>
      <c r="BI244" s="3"/>
      <c r="BJ244" s="3"/>
      <c r="BK244" s="4" t="s">
        <v>4695</v>
      </c>
      <c r="BL244" s="1" t="s">
        <v>4723</v>
      </c>
    </row>
    <row r="245">
      <c r="A245" s="1" t="s">
        <v>1441</v>
      </c>
      <c r="B245" s="1" t="s">
        <v>1440</v>
      </c>
      <c r="C245" s="3"/>
      <c r="D245" s="3"/>
      <c r="E245" s="3"/>
      <c r="F245" s="3"/>
      <c r="G245" s="3"/>
      <c r="H245" s="3"/>
      <c r="I245" s="1" t="s">
        <v>4669</v>
      </c>
      <c r="J245" s="3"/>
      <c r="K245" s="3"/>
      <c r="L245" s="3"/>
      <c r="M245" s="3"/>
      <c r="N245" s="3"/>
      <c r="O245" s="3"/>
      <c r="P245" s="1" t="s">
        <v>6404</v>
      </c>
      <c r="Q245" s="1" t="b">
        <v>0</v>
      </c>
      <c r="R245" s="1">
        <v>2.0</v>
      </c>
      <c r="S245" s="1" t="s">
        <v>6405</v>
      </c>
      <c r="T245" s="3"/>
      <c r="U245" s="1" t="s">
        <v>4672</v>
      </c>
      <c r="V245" s="1" t="s">
        <v>4673</v>
      </c>
      <c r="W245" s="1" t="s">
        <v>6406</v>
      </c>
      <c r="X245" s="1" t="b">
        <v>0</v>
      </c>
      <c r="Y245" s="1" t="s">
        <v>4675</v>
      </c>
      <c r="Z245" s="1" t="s">
        <v>6407</v>
      </c>
      <c r="AB245" s="3"/>
      <c r="AC245" s="3"/>
      <c r="AD245" s="3"/>
      <c r="AE245" s="3"/>
      <c r="AF245" s="3"/>
      <c r="AG245" s="3"/>
      <c r="AH245" s="3"/>
      <c r="AI245" s="1" t="b">
        <v>0</v>
      </c>
      <c r="AJ245" s="1" t="b">
        <v>0</v>
      </c>
      <c r="AK245" s="1" t="s">
        <v>6408</v>
      </c>
      <c r="AL245" s="1" t="s">
        <v>4719</v>
      </c>
      <c r="AM245" s="1" t="s">
        <v>4685</v>
      </c>
      <c r="AN245" s="1" t="s">
        <v>4686</v>
      </c>
      <c r="AO245" s="1" t="s">
        <v>6407</v>
      </c>
      <c r="AP245" s="1" t="s">
        <v>4687</v>
      </c>
      <c r="AQ245" s="1" t="s">
        <v>4688</v>
      </c>
      <c r="AR245" s="1">
        <v>2.0</v>
      </c>
      <c r="AS245" s="3"/>
      <c r="AT245" s="3"/>
      <c r="AU245" s="4" t="s">
        <v>4780</v>
      </c>
      <c r="AW245" s="3"/>
      <c r="AX245" s="3"/>
      <c r="AY245" s="3"/>
      <c r="AZ245" s="3"/>
      <c r="BA245" s="3"/>
      <c r="BB245" s="3"/>
      <c r="BC245" s="3"/>
      <c r="BD245" s="3"/>
      <c r="BE245" s="1" t="b">
        <v>1</v>
      </c>
      <c r="BF245" s="3"/>
      <c r="BG245" s="3"/>
      <c r="BH245" s="3"/>
      <c r="BI245" s="3"/>
      <c r="BJ245" s="3"/>
      <c r="BK245" s="4" t="s">
        <v>4780</v>
      </c>
    </row>
    <row r="246">
      <c r="A246" s="1" t="s">
        <v>293</v>
      </c>
      <c r="B246" s="1" t="s">
        <v>292</v>
      </c>
      <c r="C246" s="1" t="s">
        <v>292</v>
      </c>
      <c r="D246" s="1" t="s">
        <v>4922</v>
      </c>
      <c r="E246" s="1" t="s">
        <v>6409</v>
      </c>
      <c r="F246" s="1" t="s">
        <v>6410</v>
      </c>
      <c r="G246" s="3"/>
      <c r="H246" s="3"/>
      <c r="I246" s="1" t="s">
        <v>5338</v>
      </c>
      <c r="J246" s="1" t="s">
        <v>6411</v>
      </c>
      <c r="K246" s="3">
        <f>+821048810255</f>
        <v>821048810255</v>
      </c>
      <c r="L246" s="3"/>
      <c r="M246" s="3"/>
      <c r="N246" s="3"/>
      <c r="O246" s="3"/>
      <c r="P246" s="1">
        <v>1.22923992E8</v>
      </c>
      <c r="Q246" s="1" t="b">
        <v>1</v>
      </c>
      <c r="R246" s="1">
        <v>33.0</v>
      </c>
      <c r="S246" s="1" t="s">
        <v>5761</v>
      </c>
      <c r="T246" s="3"/>
      <c r="U246" s="1" t="s">
        <v>4672</v>
      </c>
      <c r="V246" s="1" t="s">
        <v>4673</v>
      </c>
      <c r="W246" s="1" t="s">
        <v>6412</v>
      </c>
      <c r="X246" s="1" t="b">
        <v>0</v>
      </c>
      <c r="Y246" s="1" t="s">
        <v>4675</v>
      </c>
      <c r="Z246" s="1" t="s">
        <v>6413</v>
      </c>
      <c r="AB246" s="3"/>
      <c r="AC246" s="3"/>
      <c r="AD246" s="3"/>
      <c r="AE246" s="3"/>
      <c r="AF246" s="3"/>
      <c r="AG246" s="3"/>
      <c r="AH246" s="3"/>
      <c r="AI246" s="1" t="b">
        <v>0</v>
      </c>
      <c r="AJ246" s="1" t="b">
        <v>0</v>
      </c>
      <c r="AK246" s="1" t="s">
        <v>6414</v>
      </c>
      <c r="AL246" s="1" t="s">
        <v>4684</v>
      </c>
      <c r="AM246" s="1" t="s">
        <v>4685</v>
      </c>
      <c r="AN246" s="1" t="s">
        <v>4686</v>
      </c>
      <c r="AO246" s="1" t="s">
        <v>6413</v>
      </c>
      <c r="AP246" s="1" t="s">
        <v>4687</v>
      </c>
      <c r="AQ246" s="1" t="s">
        <v>4688</v>
      </c>
      <c r="AR246" s="1">
        <v>33.0</v>
      </c>
      <c r="AS246" s="3"/>
      <c r="AT246" s="3"/>
      <c r="AU246" s="4" t="s">
        <v>4771</v>
      </c>
      <c r="AW246" s="3"/>
      <c r="AX246" s="3"/>
      <c r="AY246" s="3"/>
      <c r="AZ246" s="3"/>
      <c r="BA246" s="3"/>
      <c r="BB246" s="3"/>
      <c r="BC246" s="3"/>
      <c r="BD246" s="3"/>
      <c r="BE246" s="1" t="b">
        <v>1</v>
      </c>
      <c r="BF246" s="3"/>
      <c r="BG246" s="3"/>
      <c r="BH246" s="3"/>
      <c r="BI246" s="3"/>
      <c r="BJ246" s="3"/>
      <c r="BK246" s="4" t="s">
        <v>4780</v>
      </c>
    </row>
    <row r="247">
      <c r="A247" s="1" t="s">
        <v>1584</v>
      </c>
      <c r="B247" s="1" t="s">
        <v>1583</v>
      </c>
      <c r="C247" s="1" t="s">
        <v>1583</v>
      </c>
      <c r="D247" s="1" t="s">
        <v>4696</v>
      </c>
      <c r="E247" s="1" t="s">
        <v>6415</v>
      </c>
      <c r="F247" s="1" t="s">
        <v>6416</v>
      </c>
      <c r="G247" s="3"/>
      <c r="H247" s="3"/>
      <c r="I247" s="1" t="s">
        <v>5548</v>
      </c>
      <c r="J247" s="1" t="s">
        <v>6417</v>
      </c>
      <c r="K247" s="3">
        <f>+821032239426</f>
        <v>821032239426</v>
      </c>
      <c r="L247" s="3"/>
      <c r="M247" s="3"/>
      <c r="N247" s="3"/>
      <c r="O247" s="3"/>
      <c r="P247" s="1">
        <v>1.12573151E8</v>
      </c>
      <c r="Q247" s="1" t="b">
        <v>1</v>
      </c>
      <c r="R247" s="1">
        <v>14.0</v>
      </c>
      <c r="S247" s="1" t="s">
        <v>4863</v>
      </c>
      <c r="T247" s="3"/>
      <c r="U247" s="1" t="s">
        <v>4672</v>
      </c>
      <c r="V247" s="1" t="s">
        <v>4673</v>
      </c>
      <c r="W247" s="1" t="s">
        <v>6418</v>
      </c>
      <c r="X247" s="1" t="b">
        <v>0</v>
      </c>
      <c r="Y247" s="1" t="s">
        <v>4675</v>
      </c>
      <c r="Z247" s="1" t="s">
        <v>6419</v>
      </c>
      <c r="AB247" s="3"/>
      <c r="AC247" s="3"/>
      <c r="AD247" s="3"/>
      <c r="AE247" s="3"/>
      <c r="AF247" s="3"/>
      <c r="AG247" s="3"/>
      <c r="AH247" s="3"/>
      <c r="AI247" s="1" t="b">
        <v>0</v>
      </c>
      <c r="AJ247" s="1" t="b">
        <v>0</v>
      </c>
      <c r="AK247" s="1" t="s">
        <v>6420</v>
      </c>
      <c r="AL247" s="1" t="s">
        <v>4719</v>
      </c>
      <c r="AM247" s="1" t="s">
        <v>4685</v>
      </c>
      <c r="AN247" s="1" t="s">
        <v>4686</v>
      </c>
      <c r="AO247" s="1" t="s">
        <v>6419</v>
      </c>
      <c r="AP247" s="1" t="s">
        <v>4687</v>
      </c>
      <c r="AQ247" s="1" t="s">
        <v>4688</v>
      </c>
      <c r="AR247" s="1">
        <v>14.0</v>
      </c>
      <c r="AS247" s="3"/>
      <c r="AT247" s="3"/>
      <c r="AU247" s="3"/>
      <c r="AV247" s="3"/>
      <c r="AW247" s="3"/>
      <c r="AX247" s="3"/>
      <c r="AY247" s="3"/>
      <c r="AZ247" s="3"/>
      <c r="BA247" s="3"/>
      <c r="BB247" s="3"/>
      <c r="BC247" s="3"/>
      <c r="BD247" s="3"/>
      <c r="BE247" s="1" t="b">
        <v>1</v>
      </c>
      <c r="BF247" s="3"/>
      <c r="BG247" s="3"/>
      <c r="BH247" s="3"/>
      <c r="BI247" s="3"/>
      <c r="BJ247" s="3"/>
      <c r="BK247" s="3"/>
      <c r="BL247" s="3"/>
    </row>
    <row r="248">
      <c r="A248" s="1" t="s">
        <v>665</v>
      </c>
      <c r="B248" s="1" t="s">
        <v>664</v>
      </c>
      <c r="C248" s="1" t="s">
        <v>664</v>
      </c>
      <c r="D248" s="1" t="s">
        <v>4711</v>
      </c>
      <c r="E248" s="1" t="s">
        <v>6421</v>
      </c>
      <c r="F248" s="1" t="s">
        <v>6422</v>
      </c>
      <c r="G248" s="3"/>
      <c r="H248" s="3"/>
      <c r="I248" s="3"/>
      <c r="J248" s="1" t="s">
        <v>6423</v>
      </c>
      <c r="K248" s="3">
        <f>+821071009264</f>
        <v>821071009264</v>
      </c>
      <c r="L248" s="3"/>
      <c r="M248" s="3"/>
      <c r="N248" s="3"/>
      <c r="O248" s="3"/>
      <c r="P248" s="1">
        <v>1.08761842E8</v>
      </c>
      <c r="Q248" s="1" t="b">
        <v>1</v>
      </c>
      <c r="R248" s="1">
        <v>1.0</v>
      </c>
      <c r="S248" s="1" t="s">
        <v>4744</v>
      </c>
      <c r="T248" s="3"/>
      <c r="U248" s="1" t="s">
        <v>4672</v>
      </c>
      <c r="V248" s="1" t="s">
        <v>4673</v>
      </c>
      <c r="W248" s="1" t="s">
        <v>6424</v>
      </c>
      <c r="X248" s="1" t="b">
        <v>0</v>
      </c>
      <c r="Y248" s="1" t="s">
        <v>4675</v>
      </c>
      <c r="Z248" s="1" t="s">
        <v>6425</v>
      </c>
      <c r="AB248" s="3"/>
      <c r="AC248" s="3"/>
      <c r="AD248" s="3"/>
      <c r="AE248" s="3"/>
      <c r="AF248" s="3"/>
      <c r="AG248" s="3"/>
      <c r="AH248" s="3"/>
      <c r="AI248" s="1" t="b">
        <v>0</v>
      </c>
      <c r="AJ248" s="1" t="b">
        <v>0</v>
      </c>
      <c r="AK248" s="1" t="s">
        <v>6426</v>
      </c>
      <c r="AL248" s="1" t="s">
        <v>4707</v>
      </c>
      <c r="AM248" s="1" t="s">
        <v>4708</v>
      </c>
      <c r="AN248" s="1" t="s">
        <v>4686</v>
      </c>
      <c r="AO248" s="1" t="s">
        <v>6424</v>
      </c>
      <c r="AP248" s="1" t="s">
        <v>4709</v>
      </c>
      <c r="AQ248" s="1" t="s">
        <v>4688</v>
      </c>
      <c r="AR248" s="1">
        <v>1.0</v>
      </c>
      <c r="AS248" s="3"/>
      <c r="AT248" s="3"/>
      <c r="AU248" s="3"/>
      <c r="AV248" s="3"/>
      <c r="AW248" s="3"/>
      <c r="AX248" s="3"/>
      <c r="AY248" s="3"/>
      <c r="AZ248" s="3"/>
      <c r="BA248" s="3"/>
      <c r="BB248" s="3"/>
      <c r="BC248" s="3"/>
      <c r="BD248" s="3"/>
      <c r="BE248" s="1" t="b">
        <v>1</v>
      </c>
      <c r="BF248" s="3"/>
      <c r="BG248" s="3"/>
      <c r="BH248" s="3"/>
      <c r="BI248" s="3"/>
      <c r="BJ248" s="3"/>
      <c r="BK248" s="3"/>
      <c r="BL248" s="3"/>
    </row>
    <row r="249">
      <c r="A249" s="1" t="s">
        <v>1669</v>
      </c>
      <c r="B249" s="1" t="s">
        <v>1668</v>
      </c>
      <c r="C249" s="1" t="s">
        <v>1668</v>
      </c>
      <c r="D249" s="1" t="s">
        <v>4922</v>
      </c>
      <c r="E249" s="1" t="s">
        <v>6293</v>
      </c>
      <c r="F249" s="1" t="s">
        <v>6294</v>
      </c>
      <c r="G249" s="3"/>
      <c r="H249" s="3"/>
      <c r="I249" s="1" t="s">
        <v>5026</v>
      </c>
      <c r="J249" s="1" t="s">
        <v>6427</v>
      </c>
      <c r="K249" s="3">
        <f>+821049350730</f>
        <v>821049350730</v>
      </c>
      <c r="L249" s="3"/>
      <c r="M249" s="3"/>
      <c r="N249" s="3"/>
      <c r="O249" s="3"/>
      <c r="P249" s="1">
        <v>1.22917529E8</v>
      </c>
      <c r="Q249" s="1" t="b">
        <v>1</v>
      </c>
      <c r="R249" s="1">
        <v>24.0</v>
      </c>
      <c r="S249" s="1" t="s">
        <v>4805</v>
      </c>
      <c r="T249" s="3"/>
      <c r="U249" s="1" t="s">
        <v>4672</v>
      </c>
      <c r="V249" s="1" t="s">
        <v>4673</v>
      </c>
      <c r="W249" s="1" t="s">
        <v>6428</v>
      </c>
      <c r="X249" s="1" t="b">
        <v>0</v>
      </c>
      <c r="Y249" s="1" t="s">
        <v>4675</v>
      </c>
      <c r="Z249" s="1" t="s">
        <v>6429</v>
      </c>
      <c r="AB249" s="3"/>
      <c r="AC249" s="3"/>
      <c r="AD249" s="3"/>
      <c r="AE249" s="3"/>
      <c r="AF249" s="3"/>
      <c r="AG249" s="3"/>
      <c r="AH249" s="3"/>
      <c r="AI249" s="1" t="b">
        <v>0</v>
      </c>
      <c r="AJ249" s="1" t="b">
        <v>0</v>
      </c>
      <c r="AK249" s="1" t="s">
        <v>6430</v>
      </c>
      <c r="AL249" s="1" t="s">
        <v>4719</v>
      </c>
      <c r="AM249" s="1" t="s">
        <v>4685</v>
      </c>
      <c r="AN249" s="1" t="s">
        <v>4686</v>
      </c>
      <c r="AO249" s="1" t="s">
        <v>6429</v>
      </c>
      <c r="AP249" s="1" t="s">
        <v>4687</v>
      </c>
      <c r="AQ249" s="1" t="s">
        <v>4688</v>
      </c>
      <c r="AR249" s="1">
        <v>24.0</v>
      </c>
      <c r="AS249" s="3"/>
      <c r="AT249" s="3"/>
      <c r="AU249" s="4" t="s">
        <v>6431</v>
      </c>
      <c r="AV249" s="1" t="s">
        <v>4690</v>
      </c>
      <c r="AW249" s="1" t="s">
        <v>4691</v>
      </c>
      <c r="AX249" s="1" t="s">
        <v>4692</v>
      </c>
      <c r="AY249" s="1" t="s">
        <v>4693</v>
      </c>
      <c r="AZ249" s="1" t="s">
        <v>4694</v>
      </c>
      <c r="BA249" s="3"/>
      <c r="BB249" s="3"/>
      <c r="BC249" s="3"/>
      <c r="BD249" s="3"/>
      <c r="BE249" s="1" t="b">
        <v>1</v>
      </c>
      <c r="BF249" s="1" t="s">
        <v>4790</v>
      </c>
      <c r="BG249" s="1" t="s">
        <v>4692</v>
      </c>
      <c r="BH249" s="1" t="s">
        <v>4788</v>
      </c>
      <c r="BI249" s="1" t="s">
        <v>4789</v>
      </c>
      <c r="BJ249" s="1" t="s">
        <v>4791</v>
      </c>
      <c r="BK249" s="4" t="s">
        <v>4881</v>
      </c>
    </row>
    <row r="250">
      <c r="A250" s="1" t="s">
        <v>1538</v>
      </c>
      <c r="B250" s="1" t="s">
        <v>1536</v>
      </c>
      <c r="C250" s="1" t="s">
        <v>1536</v>
      </c>
      <c r="D250" s="1" t="s">
        <v>4696</v>
      </c>
      <c r="E250" s="1" t="s">
        <v>6432</v>
      </c>
      <c r="F250" s="1" t="s">
        <v>6433</v>
      </c>
      <c r="G250" s="3"/>
      <c r="H250" s="3"/>
      <c r="I250" s="1" t="s">
        <v>4742</v>
      </c>
      <c r="J250" s="1" t="s">
        <v>6434</v>
      </c>
      <c r="K250" s="3">
        <f>+821090420581</f>
        <v>821090420581</v>
      </c>
      <c r="L250" s="3"/>
      <c r="M250" s="3"/>
      <c r="N250" s="3"/>
      <c r="O250" s="3"/>
      <c r="P250" s="1">
        <v>1.1217797E8</v>
      </c>
      <c r="Q250" s="1" t="b">
        <v>1</v>
      </c>
      <c r="R250" s="1">
        <v>200.0</v>
      </c>
      <c r="S250" s="1" t="s">
        <v>4805</v>
      </c>
      <c r="T250" s="3"/>
      <c r="U250" s="1" t="s">
        <v>4672</v>
      </c>
      <c r="V250" s="1" t="s">
        <v>4673</v>
      </c>
      <c r="W250" s="1" t="s">
        <v>6435</v>
      </c>
      <c r="X250" s="1" t="b">
        <v>0</v>
      </c>
      <c r="Y250" s="1" t="s">
        <v>4675</v>
      </c>
      <c r="Z250" s="1" t="s">
        <v>6436</v>
      </c>
      <c r="AB250" s="3"/>
      <c r="AC250" s="3"/>
      <c r="AD250" s="3"/>
      <c r="AE250" s="3"/>
      <c r="AF250" s="3"/>
      <c r="AG250" s="3"/>
      <c r="AH250" s="3"/>
      <c r="AI250" s="1" t="b">
        <v>0</v>
      </c>
      <c r="AJ250" s="1" t="b">
        <v>0</v>
      </c>
      <c r="AK250" s="1" t="s">
        <v>6437</v>
      </c>
      <c r="AL250" s="1" t="s">
        <v>4719</v>
      </c>
      <c r="AM250" s="1" t="s">
        <v>4685</v>
      </c>
      <c r="AN250" s="1" t="s">
        <v>4686</v>
      </c>
      <c r="AO250" s="1" t="s">
        <v>6436</v>
      </c>
      <c r="AP250" s="1" t="s">
        <v>4687</v>
      </c>
      <c r="AQ250" s="1" t="s">
        <v>4688</v>
      </c>
      <c r="AR250" s="1">
        <v>200.0</v>
      </c>
      <c r="AS250" s="3"/>
      <c r="AT250" s="3"/>
      <c r="AU250" s="4" t="s">
        <v>5009</v>
      </c>
      <c r="AV250" s="3"/>
      <c r="AW250" s="3"/>
      <c r="AX250" s="3"/>
      <c r="AY250" s="3"/>
      <c r="AZ250" s="3"/>
      <c r="BA250" s="3"/>
      <c r="BB250" s="3"/>
      <c r="BC250" s="3"/>
      <c r="BD250" s="3"/>
      <c r="BE250" s="1" t="b">
        <v>1</v>
      </c>
      <c r="BF250" s="3"/>
      <c r="BG250" s="3"/>
      <c r="BH250" s="3"/>
      <c r="BI250" s="3"/>
      <c r="BJ250" s="3"/>
      <c r="BK250" s="4" t="s">
        <v>4710</v>
      </c>
    </row>
    <row r="251">
      <c r="A251" s="1" t="s">
        <v>700</v>
      </c>
      <c r="B251" s="1" t="s">
        <v>699</v>
      </c>
      <c r="C251" s="3"/>
      <c r="D251" s="3"/>
      <c r="E251" s="3"/>
      <c r="F251" s="3"/>
      <c r="G251" s="3"/>
      <c r="H251" s="3"/>
      <c r="I251" s="3"/>
      <c r="J251" s="3"/>
      <c r="K251" s="3"/>
      <c r="L251" s="3"/>
      <c r="M251" s="3"/>
      <c r="N251" s="3"/>
      <c r="O251" s="3"/>
      <c r="P251" s="1" t="s">
        <v>6438</v>
      </c>
      <c r="Q251" s="1" t="b">
        <v>0</v>
      </c>
      <c r="R251" s="1">
        <v>1.0</v>
      </c>
      <c r="S251" s="1" t="s">
        <v>6439</v>
      </c>
      <c r="U251" s="1" t="s">
        <v>4672</v>
      </c>
      <c r="V251" s="1" t="s">
        <v>4673</v>
      </c>
      <c r="W251" s="1" t="s">
        <v>6440</v>
      </c>
      <c r="X251" s="1" t="b">
        <v>0</v>
      </c>
      <c r="Y251" s="1" t="s">
        <v>4675</v>
      </c>
      <c r="Z251" s="1" t="s">
        <v>6441</v>
      </c>
      <c r="AB251" s="3"/>
      <c r="AC251" s="3"/>
      <c r="AD251" s="3"/>
      <c r="AE251" s="3"/>
      <c r="AF251" s="3"/>
      <c r="AG251" s="3"/>
      <c r="AH251" s="3"/>
      <c r="AI251" s="1" t="b">
        <v>0</v>
      </c>
      <c r="AJ251" s="1" t="b">
        <v>0</v>
      </c>
      <c r="AK251" s="1" t="s">
        <v>6440</v>
      </c>
      <c r="AL251" s="1" t="s">
        <v>6121</v>
      </c>
      <c r="AM251" s="1" t="s">
        <v>5286</v>
      </c>
      <c r="AN251" s="1" t="s">
        <v>6442</v>
      </c>
      <c r="AO251" s="1" t="s">
        <v>6441</v>
      </c>
      <c r="AP251" s="1" t="s">
        <v>6443</v>
      </c>
      <c r="AQ251" s="1" t="s">
        <v>4758</v>
      </c>
      <c r="AR251" s="1">
        <v>1.0</v>
      </c>
      <c r="AS251" s="3"/>
      <c r="AT251" s="3"/>
      <c r="AU251" s="4" t="s">
        <v>4970</v>
      </c>
      <c r="AW251" s="3"/>
      <c r="AX251" s="3"/>
      <c r="AY251" s="3"/>
      <c r="AZ251" s="3"/>
      <c r="BA251" s="3"/>
      <c r="BB251" s="3"/>
      <c r="BC251" s="3"/>
      <c r="BD251" s="3"/>
      <c r="BE251" s="1" t="b">
        <v>1</v>
      </c>
      <c r="BF251" s="3"/>
      <c r="BG251" s="3"/>
      <c r="BH251" s="3"/>
      <c r="BI251" s="3"/>
      <c r="BJ251" s="3"/>
      <c r="BK251" s="4" t="s">
        <v>4970</v>
      </c>
    </row>
    <row r="252">
      <c r="A252" s="1" t="s">
        <v>174</v>
      </c>
      <c r="B252" s="1" t="s">
        <v>171</v>
      </c>
      <c r="C252" s="1" t="s">
        <v>171</v>
      </c>
      <c r="D252" s="3"/>
      <c r="E252" s="1" t="s">
        <v>171</v>
      </c>
      <c r="F252" s="1">
        <v>8.388103911E9</v>
      </c>
      <c r="G252" s="3"/>
      <c r="H252" s="3"/>
      <c r="I252" s="3"/>
      <c r="J252" s="1" t="s">
        <v>6444</v>
      </c>
      <c r="K252" s="3">
        <f>+821047474857</f>
        <v>821047474857</v>
      </c>
      <c r="L252" s="3"/>
      <c r="M252" s="3"/>
      <c r="N252" s="3"/>
      <c r="O252" s="3"/>
      <c r="P252" s="1" t="s">
        <v>6445</v>
      </c>
      <c r="Q252" s="1" t="b">
        <v>0</v>
      </c>
      <c r="R252" s="1">
        <v>1.0</v>
      </c>
      <c r="S252" s="1" t="s">
        <v>5043</v>
      </c>
      <c r="T252" s="3"/>
      <c r="U252" s="1" t="s">
        <v>4672</v>
      </c>
      <c r="V252" s="1" t="s">
        <v>4673</v>
      </c>
      <c r="W252" s="1" t="s">
        <v>6446</v>
      </c>
      <c r="X252" s="1" t="b">
        <v>0</v>
      </c>
      <c r="Y252" s="1" t="s">
        <v>4675</v>
      </c>
      <c r="Z252" s="1" t="s">
        <v>6446</v>
      </c>
      <c r="AB252" s="3"/>
      <c r="AC252" s="3"/>
      <c r="AD252" s="3"/>
      <c r="AE252" s="3"/>
      <c r="AF252" s="3"/>
      <c r="AG252" s="3"/>
      <c r="AH252" s="3"/>
      <c r="AI252" s="1" t="b">
        <v>0</v>
      </c>
      <c r="AJ252" s="1" t="b">
        <v>0</v>
      </c>
      <c r="AK252" s="1" t="s">
        <v>6447</v>
      </c>
      <c r="AL252" s="1" t="s">
        <v>5134</v>
      </c>
      <c r="AM252" s="1" t="s">
        <v>5135</v>
      </c>
      <c r="AN252" s="1" t="s">
        <v>4679</v>
      </c>
      <c r="AO252" s="1" t="s">
        <v>6446</v>
      </c>
      <c r="AP252" s="1" t="s">
        <v>5054</v>
      </c>
      <c r="AQ252" s="1" t="s">
        <v>4682</v>
      </c>
      <c r="AR252" s="1">
        <v>1.0</v>
      </c>
      <c r="AS252" s="3"/>
      <c r="AT252" s="3"/>
      <c r="AU252" s="3"/>
      <c r="AV252" s="3"/>
      <c r="AW252" s="3"/>
      <c r="AX252" s="3"/>
      <c r="AY252" s="3"/>
      <c r="AZ252" s="3"/>
      <c r="BA252" s="3"/>
      <c r="BB252" s="3"/>
      <c r="BC252" s="3"/>
      <c r="BD252" s="3"/>
      <c r="BE252" s="1" t="b">
        <v>1</v>
      </c>
      <c r="BF252" s="3"/>
      <c r="BG252" s="3"/>
      <c r="BH252" s="3"/>
      <c r="BI252" s="3"/>
      <c r="BJ252" s="3"/>
      <c r="BK252" s="3"/>
      <c r="BL252" s="3"/>
    </row>
    <row r="253">
      <c r="A253" s="1" t="s">
        <v>659</v>
      </c>
      <c r="B253" s="1" t="s">
        <v>657</v>
      </c>
      <c r="C253" s="1" t="s">
        <v>657</v>
      </c>
      <c r="D253" s="1" t="s">
        <v>4711</v>
      </c>
      <c r="E253" s="1" t="s">
        <v>6448</v>
      </c>
      <c r="F253" s="1" t="s">
        <v>6449</v>
      </c>
      <c r="G253" s="3"/>
      <c r="H253" s="3"/>
      <c r="I253" s="1" t="s">
        <v>4742</v>
      </c>
      <c r="J253" s="1" t="s">
        <v>6450</v>
      </c>
      <c r="K253" s="3">
        <f>+821020519004</f>
        <v>821020519004</v>
      </c>
      <c r="L253" s="3"/>
      <c r="M253" s="3"/>
      <c r="N253" s="3"/>
      <c r="O253" s="3"/>
      <c r="P253" s="1">
        <v>1.10060765E8</v>
      </c>
      <c r="Q253" s="1" t="b">
        <v>1</v>
      </c>
      <c r="R253" s="1">
        <v>760.0</v>
      </c>
      <c r="S253" s="1" t="s">
        <v>6451</v>
      </c>
      <c r="T253" s="3"/>
      <c r="U253" s="1" t="s">
        <v>4672</v>
      </c>
      <c r="V253" s="1" t="s">
        <v>4673</v>
      </c>
      <c r="W253" s="1" t="s">
        <v>6452</v>
      </c>
      <c r="X253" s="1" t="b">
        <v>0</v>
      </c>
      <c r="Y253" s="1" t="s">
        <v>4675</v>
      </c>
      <c r="Z253" s="1" t="s">
        <v>6453</v>
      </c>
      <c r="AB253" s="1" t="s">
        <v>4677</v>
      </c>
      <c r="AC253" s="1" t="s">
        <v>4678</v>
      </c>
      <c r="AD253" s="1" t="s">
        <v>4679</v>
      </c>
      <c r="AE253" s="1" t="s">
        <v>6454</v>
      </c>
      <c r="AF253" s="1" t="s">
        <v>4681</v>
      </c>
      <c r="AG253" s="1" t="s">
        <v>4682</v>
      </c>
      <c r="AH253" s="1">
        <v>39.0</v>
      </c>
      <c r="AI253" s="1" t="b">
        <v>0</v>
      </c>
      <c r="AJ253" s="1" t="b">
        <v>0</v>
      </c>
      <c r="AK253" s="1" t="s">
        <v>6455</v>
      </c>
      <c r="AL253" s="1" t="s">
        <v>4684</v>
      </c>
      <c r="AM253" s="1" t="s">
        <v>4685</v>
      </c>
      <c r="AN253" s="1" t="s">
        <v>4686</v>
      </c>
      <c r="AO253" s="1" t="s">
        <v>6453</v>
      </c>
      <c r="AP253" s="1" t="s">
        <v>4687</v>
      </c>
      <c r="AQ253" s="1" t="s">
        <v>4688</v>
      </c>
      <c r="AR253" s="1">
        <v>721.0</v>
      </c>
      <c r="AS253" s="3"/>
      <c r="AT253" s="3"/>
      <c r="AU253" s="4" t="s">
        <v>4881</v>
      </c>
      <c r="AW253" s="3"/>
      <c r="AX253" s="3"/>
      <c r="AY253" s="3"/>
      <c r="AZ253" s="3"/>
      <c r="BA253" s="3"/>
      <c r="BB253" s="3"/>
      <c r="BC253" s="3"/>
      <c r="BD253" s="3"/>
      <c r="BE253" s="1" t="b">
        <v>1</v>
      </c>
      <c r="BF253" s="3"/>
      <c r="BG253" s="3"/>
      <c r="BH253" s="3"/>
      <c r="BI253" s="3"/>
      <c r="BJ253" s="3"/>
      <c r="BK253" s="4" t="s">
        <v>4881</v>
      </c>
    </row>
    <row r="254">
      <c r="A254" s="1" t="s">
        <v>1452</v>
      </c>
      <c r="B254" s="1" t="s">
        <v>1451</v>
      </c>
      <c r="C254" s="1" t="s">
        <v>1451</v>
      </c>
      <c r="D254" s="1" t="s">
        <v>4696</v>
      </c>
      <c r="E254" s="1" t="s">
        <v>6456</v>
      </c>
      <c r="F254" s="1" t="s">
        <v>6457</v>
      </c>
      <c r="G254" s="3"/>
      <c r="H254" s="3"/>
      <c r="I254" s="1" t="s">
        <v>4733</v>
      </c>
      <c r="J254" s="1" t="s">
        <v>6458</v>
      </c>
      <c r="K254" s="3">
        <f>+821054028672</f>
        <v>821054028672</v>
      </c>
      <c r="L254" s="3"/>
      <c r="M254" s="3"/>
      <c r="N254" s="3"/>
      <c r="O254" s="3"/>
      <c r="P254" s="1">
        <v>1.12562198E8</v>
      </c>
      <c r="Q254" s="1" t="b">
        <v>1</v>
      </c>
      <c r="R254" s="1">
        <v>71.0</v>
      </c>
      <c r="S254" s="1" t="s">
        <v>4752</v>
      </c>
      <c r="T254" s="3"/>
      <c r="U254" s="1" t="s">
        <v>4672</v>
      </c>
      <c r="V254" s="1" t="s">
        <v>4673</v>
      </c>
      <c r="W254" s="1" t="s">
        <v>6459</v>
      </c>
      <c r="X254" s="1" t="b">
        <v>0</v>
      </c>
      <c r="Y254" s="1" t="s">
        <v>4675</v>
      </c>
      <c r="Z254" s="1" t="s">
        <v>6460</v>
      </c>
      <c r="AB254" s="3"/>
      <c r="AC254" s="3"/>
      <c r="AD254" s="3"/>
      <c r="AE254" s="3"/>
      <c r="AF254" s="3"/>
      <c r="AG254" s="3"/>
      <c r="AH254" s="3"/>
      <c r="AI254" s="1" t="b">
        <v>0</v>
      </c>
      <c r="AJ254" s="1" t="b">
        <v>0</v>
      </c>
      <c r="AK254" s="1" t="s">
        <v>6461</v>
      </c>
      <c r="AL254" s="1" t="s">
        <v>4684</v>
      </c>
      <c r="AM254" s="1" t="s">
        <v>4685</v>
      </c>
      <c r="AN254" s="1" t="s">
        <v>4686</v>
      </c>
      <c r="AO254" s="1" t="s">
        <v>6460</v>
      </c>
      <c r="AP254" s="1" t="s">
        <v>4687</v>
      </c>
      <c r="AQ254" s="1" t="s">
        <v>4688</v>
      </c>
      <c r="AR254" s="1">
        <v>71.0</v>
      </c>
      <c r="AS254" s="3"/>
      <c r="AT254" s="3"/>
      <c r="AU254" s="4" t="s">
        <v>4780</v>
      </c>
      <c r="AW254" s="3"/>
      <c r="AX254" s="3"/>
      <c r="AY254" s="3"/>
      <c r="AZ254" s="3"/>
      <c r="BA254" s="3"/>
      <c r="BB254" s="3"/>
      <c r="BC254" s="3"/>
      <c r="BD254" s="3"/>
      <c r="BE254" s="1" t="b">
        <v>1</v>
      </c>
      <c r="BF254" s="3"/>
      <c r="BG254" s="3"/>
      <c r="BH254" s="3"/>
      <c r="BI254" s="3"/>
      <c r="BJ254" s="3"/>
      <c r="BK254" s="4" t="s">
        <v>4695</v>
      </c>
    </row>
    <row r="255">
      <c r="A255" s="1" t="s">
        <v>259</v>
      </c>
      <c r="B255" s="1" t="s">
        <v>256</v>
      </c>
      <c r="C255" s="1" t="s">
        <v>256</v>
      </c>
      <c r="D255" s="1" t="s">
        <v>4696</v>
      </c>
      <c r="E255" s="1" t="s">
        <v>6462</v>
      </c>
      <c r="F255" s="1" t="s">
        <v>6463</v>
      </c>
      <c r="G255" s="3"/>
      <c r="H255" s="3"/>
      <c r="I255" s="1" t="s">
        <v>4742</v>
      </c>
      <c r="J255" s="1" t="s">
        <v>6464</v>
      </c>
      <c r="K255" s="3">
        <f>+821068265959</f>
        <v>821068265959</v>
      </c>
      <c r="L255" s="3"/>
      <c r="M255" s="3"/>
      <c r="N255" s="3"/>
      <c r="O255" s="3"/>
      <c r="P255" s="1">
        <v>1.09915254E8</v>
      </c>
      <c r="Q255" s="1" t="b">
        <v>1</v>
      </c>
      <c r="R255" s="1">
        <v>185.0</v>
      </c>
      <c r="S255" s="1" t="s">
        <v>4752</v>
      </c>
      <c r="T255" s="3"/>
      <c r="U255" s="1" t="s">
        <v>4672</v>
      </c>
      <c r="V255" s="1" t="s">
        <v>4673</v>
      </c>
      <c r="W255" s="1" t="s">
        <v>6465</v>
      </c>
      <c r="X255" s="1" t="b">
        <v>0</v>
      </c>
      <c r="Y255" s="1" t="s">
        <v>4675</v>
      </c>
      <c r="Z255" s="1" t="s">
        <v>6466</v>
      </c>
      <c r="AB255" s="3"/>
      <c r="AC255" s="3"/>
      <c r="AD255" s="3"/>
      <c r="AE255" s="3"/>
      <c r="AF255" s="3"/>
      <c r="AG255" s="3"/>
      <c r="AH255" s="3"/>
      <c r="AI255" s="1" t="b">
        <v>0</v>
      </c>
      <c r="AJ255" s="1" t="b">
        <v>0</v>
      </c>
      <c r="AK255" s="1" t="s">
        <v>6467</v>
      </c>
      <c r="AL255" s="1" t="s">
        <v>4719</v>
      </c>
      <c r="AM255" s="1" t="s">
        <v>4685</v>
      </c>
      <c r="AN255" s="1" t="s">
        <v>4720</v>
      </c>
      <c r="AO255" s="1" t="s">
        <v>6466</v>
      </c>
      <c r="AP255" s="1" t="s">
        <v>4721</v>
      </c>
      <c r="AQ255" s="1" t="s">
        <v>4722</v>
      </c>
      <c r="AR255" s="1">
        <v>185.0</v>
      </c>
      <c r="AS255" s="3"/>
      <c r="AT255" s="3"/>
      <c r="AU255" s="4" t="s">
        <v>4695</v>
      </c>
      <c r="AW255" s="3"/>
      <c r="AX255" s="3"/>
      <c r="AY255" s="3"/>
      <c r="AZ255" s="3"/>
      <c r="BA255" s="3"/>
      <c r="BB255" s="3"/>
      <c r="BC255" s="3"/>
      <c r="BD255" s="3"/>
      <c r="BE255" s="1" t="b">
        <v>1</v>
      </c>
      <c r="BF255" s="3"/>
      <c r="BG255" s="3"/>
      <c r="BH255" s="3"/>
      <c r="BI255" s="3"/>
      <c r="BJ255" s="3"/>
      <c r="BK255" s="4" t="s">
        <v>4695</v>
      </c>
    </row>
    <row r="256">
      <c r="A256" s="1" t="s">
        <v>736</v>
      </c>
      <c r="B256" s="1" t="s">
        <v>735</v>
      </c>
      <c r="C256" s="1" t="s">
        <v>735</v>
      </c>
      <c r="D256" s="1" t="s">
        <v>4772</v>
      </c>
      <c r="E256" s="1" t="s">
        <v>6468</v>
      </c>
      <c r="F256" s="1" t="s">
        <v>6469</v>
      </c>
      <c r="G256" s="3"/>
      <c r="H256" s="3"/>
      <c r="I256" s="1" t="s">
        <v>4742</v>
      </c>
      <c r="J256" s="1" t="s">
        <v>6470</v>
      </c>
      <c r="K256" s="3">
        <f>+821028953966</f>
        <v>821028953966</v>
      </c>
      <c r="L256" s="3"/>
      <c r="M256" s="3"/>
      <c r="N256" s="3"/>
      <c r="O256" s="3"/>
      <c r="P256" s="1">
        <v>1.11351294E8</v>
      </c>
      <c r="Q256" s="1" t="b">
        <v>1</v>
      </c>
      <c r="R256" s="1">
        <v>578.0</v>
      </c>
      <c r="S256" s="1" t="s">
        <v>5429</v>
      </c>
      <c r="T256" s="3"/>
      <c r="U256" s="1" t="s">
        <v>4672</v>
      </c>
      <c r="V256" s="1" t="s">
        <v>4673</v>
      </c>
      <c r="W256" s="1" t="s">
        <v>6471</v>
      </c>
      <c r="X256" s="1" t="b">
        <v>0</v>
      </c>
      <c r="Y256" s="1" t="s">
        <v>4675</v>
      </c>
      <c r="Z256" s="1" t="s">
        <v>6472</v>
      </c>
      <c r="AB256" s="1" t="s">
        <v>4677</v>
      </c>
      <c r="AC256" s="1" t="s">
        <v>4678</v>
      </c>
      <c r="AD256" s="1" t="s">
        <v>4679</v>
      </c>
      <c r="AE256" s="1" t="s">
        <v>6473</v>
      </c>
      <c r="AF256" s="1" t="s">
        <v>5571</v>
      </c>
      <c r="AG256" s="1" t="s">
        <v>4682</v>
      </c>
      <c r="AH256" s="1">
        <v>81.0</v>
      </c>
      <c r="AI256" s="1" t="b">
        <v>0</v>
      </c>
      <c r="AJ256" s="1" t="b">
        <v>0</v>
      </c>
      <c r="AK256" s="1" t="s">
        <v>6474</v>
      </c>
      <c r="AL256" s="1" t="s">
        <v>4684</v>
      </c>
      <c r="AM256" s="1" t="s">
        <v>4685</v>
      </c>
      <c r="AN256" s="1" t="s">
        <v>4686</v>
      </c>
      <c r="AO256" s="1" t="s">
        <v>6472</v>
      </c>
      <c r="AP256" s="1" t="s">
        <v>4687</v>
      </c>
      <c r="AQ256" s="1" t="s">
        <v>4688</v>
      </c>
      <c r="AR256" s="1">
        <v>497.0</v>
      </c>
      <c r="AS256" s="3"/>
      <c r="AT256" s="3"/>
      <c r="AU256" s="4" t="s">
        <v>4695</v>
      </c>
      <c r="AW256" s="3"/>
      <c r="AX256" s="3"/>
      <c r="AY256" s="1" t="s">
        <v>6194</v>
      </c>
      <c r="AZ256" s="3"/>
      <c r="BA256" s="3"/>
      <c r="BB256" s="3"/>
      <c r="BC256" s="3"/>
      <c r="BD256" s="3"/>
      <c r="BE256" s="1" t="b">
        <v>1</v>
      </c>
      <c r="BF256" s="1" t="s">
        <v>6194</v>
      </c>
      <c r="BG256" s="3"/>
      <c r="BH256" s="3"/>
      <c r="BI256" s="3"/>
      <c r="BJ256" s="3"/>
      <c r="BK256" s="4" t="s">
        <v>4695</v>
      </c>
    </row>
    <row r="257">
      <c r="A257" s="1" t="s">
        <v>1820</v>
      </c>
      <c r="B257" s="1" t="s">
        <v>1819</v>
      </c>
      <c r="C257" s="1" t="s">
        <v>1819</v>
      </c>
      <c r="D257" s="1" t="s">
        <v>4696</v>
      </c>
      <c r="E257" s="1" t="s">
        <v>6475</v>
      </c>
      <c r="F257" s="1" t="s">
        <v>6476</v>
      </c>
      <c r="G257" s="3"/>
      <c r="H257" s="3"/>
      <c r="I257" s="1" t="s">
        <v>6477</v>
      </c>
      <c r="J257" s="1" t="s">
        <v>6478</v>
      </c>
      <c r="K257" s="3">
        <f>+821044784726</f>
        <v>821044784726</v>
      </c>
      <c r="L257" s="3"/>
      <c r="M257" s="3"/>
      <c r="N257" s="3"/>
      <c r="O257" s="3"/>
      <c r="P257" s="1">
        <v>1.22916605E8</v>
      </c>
      <c r="Q257" s="1" t="b">
        <v>1</v>
      </c>
      <c r="R257" s="1">
        <v>65.0</v>
      </c>
      <c r="S257" s="1" t="s">
        <v>4752</v>
      </c>
      <c r="T257" s="3"/>
      <c r="U257" s="1" t="s">
        <v>4672</v>
      </c>
      <c r="V257" s="1" t="s">
        <v>4673</v>
      </c>
      <c r="W257" s="1" t="s">
        <v>6479</v>
      </c>
      <c r="X257" s="1" t="b">
        <v>0</v>
      </c>
      <c r="Y257" s="1" t="s">
        <v>4675</v>
      </c>
      <c r="Z257" s="1" t="s">
        <v>6480</v>
      </c>
      <c r="AB257" s="3"/>
      <c r="AC257" s="3"/>
      <c r="AD257" s="3"/>
      <c r="AE257" s="3"/>
      <c r="AF257" s="3"/>
      <c r="AG257" s="3"/>
      <c r="AH257" s="3"/>
      <c r="AI257" s="1" t="b">
        <v>0</v>
      </c>
      <c r="AJ257" s="1" t="b">
        <v>0</v>
      </c>
      <c r="AK257" s="1" t="s">
        <v>6481</v>
      </c>
      <c r="AL257" s="1" t="s">
        <v>4684</v>
      </c>
      <c r="AM257" s="1" t="s">
        <v>4685</v>
      </c>
      <c r="AN257" s="1" t="s">
        <v>4686</v>
      </c>
      <c r="AO257" s="1" t="s">
        <v>6480</v>
      </c>
      <c r="AP257" s="1" t="s">
        <v>4687</v>
      </c>
      <c r="AQ257" s="1" t="s">
        <v>4688</v>
      </c>
      <c r="AR257" s="1">
        <v>65.0</v>
      </c>
      <c r="AS257" s="3"/>
      <c r="AT257" s="3"/>
      <c r="AU257" s="4" t="s">
        <v>4695</v>
      </c>
      <c r="AV257" s="1" t="s">
        <v>4690</v>
      </c>
      <c r="AW257" s="1" t="s">
        <v>4691</v>
      </c>
      <c r="AX257" s="1" t="s">
        <v>4692</v>
      </c>
      <c r="AY257" s="1" t="s">
        <v>4693</v>
      </c>
      <c r="AZ257" s="1" t="s">
        <v>5257</v>
      </c>
      <c r="BA257" s="3"/>
      <c r="BB257" s="3"/>
      <c r="BC257" s="3"/>
      <c r="BD257" s="3"/>
      <c r="BE257" s="1" t="b">
        <v>1</v>
      </c>
      <c r="BF257" s="1" t="s">
        <v>4790</v>
      </c>
      <c r="BG257" s="1" t="s">
        <v>4692</v>
      </c>
      <c r="BH257" s="1" t="s">
        <v>5871</v>
      </c>
      <c r="BI257" s="1" t="s">
        <v>6482</v>
      </c>
      <c r="BJ257" s="1" t="s">
        <v>4694</v>
      </c>
      <c r="BK257" s="4" t="s">
        <v>4695</v>
      </c>
    </row>
    <row r="258">
      <c r="A258" s="1" t="s">
        <v>884</v>
      </c>
      <c r="B258" s="1" t="s">
        <v>883</v>
      </c>
      <c r="C258" s="1" t="s">
        <v>883</v>
      </c>
      <c r="D258" s="1" t="s">
        <v>4696</v>
      </c>
      <c r="E258" s="1" t="s">
        <v>5919</v>
      </c>
      <c r="F258" s="1" t="s">
        <v>5920</v>
      </c>
      <c r="G258" s="3"/>
      <c r="H258" s="3"/>
      <c r="I258" s="1" t="s">
        <v>5026</v>
      </c>
      <c r="J258" s="1" t="s">
        <v>6483</v>
      </c>
      <c r="K258" s="3">
        <f>+821091608629</f>
        <v>821091608629</v>
      </c>
      <c r="L258" s="3"/>
      <c r="M258" s="3"/>
      <c r="N258" s="3"/>
      <c r="O258" s="3"/>
      <c r="P258" s="1">
        <v>2.085782602E9</v>
      </c>
      <c r="Q258" s="1" t="b">
        <v>1</v>
      </c>
      <c r="R258" s="1">
        <v>76.0</v>
      </c>
      <c r="S258" s="1" t="s">
        <v>4805</v>
      </c>
      <c r="T258" s="3"/>
      <c r="U258" s="1" t="s">
        <v>4672</v>
      </c>
      <c r="V258" s="1" t="s">
        <v>4673</v>
      </c>
      <c r="W258" s="1" t="s">
        <v>6484</v>
      </c>
      <c r="X258" s="1" t="b">
        <v>0</v>
      </c>
      <c r="Y258" s="1" t="s">
        <v>4675</v>
      </c>
      <c r="Z258" s="1" t="s">
        <v>6485</v>
      </c>
      <c r="AB258" s="1" t="s">
        <v>4677</v>
      </c>
      <c r="AC258" s="1" t="s">
        <v>4678</v>
      </c>
      <c r="AD258" s="1" t="s">
        <v>5006</v>
      </c>
      <c r="AE258" s="1" t="s">
        <v>6485</v>
      </c>
      <c r="AF258" s="1" t="s">
        <v>4757</v>
      </c>
      <c r="AG258" s="1" t="s">
        <v>4758</v>
      </c>
      <c r="AH258" s="1">
        <v>20.0</v>
      </c>
      <c r="AI258" s="1" t="b">
        <v>0</v>
      </c>
      <c r="AJ258" s="1" t="b">
        <v>0</v>
      </c>
      <c r="AK258" s="1" t="s">
        <v>6486</v>
      </c>
      <c r="AL258" s="1" t="s">
        <v>4719</v>
      </c>
      <c r="AM258" s="1" t="s">
        <v>4685</v>
      </c>
      <c r="AN258" s="1" t="s">
        <v>4686</v>
      </c>
      <c r="AO258" s="1" t="s">
        <v>6487</v>
      </c>
      <c r="AP258" s="1" t="s">
        <v>4687</v>
      </c>
      <c r="AQ258" s="1" t="s">
        <v>4688</v>
      </c>
      <c r="AR258" s="1">
        <v>56.0</v>
      </c>
      <c r="AS258" s="3"/>
      <c r="AT258" s="3"/>
      <c r="AU258" s="4" t="s">
        <v>4710</v>
      </c>
      <c r="AX258" s="3"/>
      <c r="AY258" s="3"/>
      <c r="AZ258" s="3"/>
      <c r="BA258" s="3"/>
      <c r="BB258" s="3"/>
      <c r="BC258" s="3"/>
      <c r="BD258" s="3"/>
      <c r="BE258" s="1" t="b">
        <v>1</v>
      </c>
      <c r="BF258" s="3"/>
      <c r="BG258" s="3"/>
      <c r="BH258" s="3"/>
      <c r="BI258" s="3"/>
      <c r="BJ258" s="3"/>
      <c r="BK258" s="4" t="s">
        <v>4710</v>
      </c>
    </row>
    <row r="259">
      <c r="A259" s="1" t="s">
        <v>1884</v>
      </c>
      <c r="B259" s="1" t="s">
        <v>1883</v>
      </c>
      <c r="C259" s="1" t="s">
        <v>1883</v>
      </c>
      <c r="D259" s="1" t="s">
        <v>4922</v>
      </c>
      <c r="E259" s="1" t="s">
        <v>6488</v>
      </c>
      <c r="F259" s="1" t="s">
        <v>6489</v>
      </c>
      <c r="G259" s="3"/>
      <c r="H259" s="3"/>
      <c r="I259" s="1" t="s">
        <v>4925</v>
      </c>
      <c r="J259" s="1" t="s">
        <v>6490</v>
      </c>
      <c r="K259" s="3">
        <f>+821090849573</f>
        <v>821090849573</v>
      </c>
      <c r="L259" s="3"/>
      <c r="M259" s="3"/>
      <c r="N259" s="3"/>
      <c r="O259" s="3"/>
      <c r="P259" s="1">
        <v>1.22950431E8</v>
      </c>
      <c r="Q259" s="1" t="b">
        <v>1</v>
      </c>
      <c r="R259" s="1">
        <v>5.0</v>
      </c>
      <c r="S259" s="1" t="s">
        <v>6405</v>
      </c>
      <c r="T259" s="3"/>
      <c r="U259" s="1" t="s">
        <v>4672</v>
      </c>
      <c r="V259" s="1" t="s">
        <v>4673</v>
      </c>
      <c r="W259" s="1" t="s">
        <v>6491</v>
      </c>
      <c r="X259" s="1" t="b">
        <v>0</v>
      </c>
      <c r="Y259" s="1" t="s">
        <v>4675</v>
      </c>
      <c r="Z259" s="1" t="s">
        <v>6492</v>
      </c>
      <c r="AB259" s="3"/>
      <c r="AC259" s="3"/>
      <c r="AD259" s="3"/>
      <c r="AE259" s="3"/>
      <c r="AF259" s="3"/>
      <c r="AG259" s="3"/>
      <c r="AH259" s="3"/>
      <c r="AI259" s="1" t="b">
        <v>0</v>
      </c>
      <c r="AJ259" s="1" t="b">
        <v>0</v>
      </c>
      <c r="AK259" s="1" t="s">
        <v>6493</v>
      </c>
      <c r="AL259" s="1" t="s">
        <v>4719</v>
      </c>
      <c r="AM259" s="1" t="s">
        <v>4685</v>
      </c>
      <c r="AN259" s="1" t="s">
        <v>4686</v>
      </c>
      <c r="AO259" s="1" t="s">
        <v>6492</v>
      </c>
      <c r="AP259" s="1" t="s">
        <v>4687</v>
      </c>
      <c r="AQ259" s="1" t="s">
        <v>4688</v>
      </c>
      <c r="AR259" s="1">
        <v>5.0</v>
      </c>
      <c r="AS259" s="3"/>
      <c r="AT259" s="3"/>
      <c r="AU259" s="4" t="s">
        <v>4771</v>
      </c>
      <c r="AV259" s="1" t="s">
        <v>5269</v>
      </c>
      <c r="AW259" s="1" t="s">
        <v>5270</v>
      </c>
      <c r="AX259" s="1" t="s">
        <v>5271</v>
      </c>
      <c r="AY259" s="1" t="s">
        <v>5272</v>
      </c>
      <c r="AZ259" s="3"/>
      <c r="BA259" s="3"/>
      <c r="BB259" s="3"/>
      <c r="BC259" s="3"/>
      <c r="BD259" s="3"/>
      <c r="BE259" s="1" t="b">
        <v>1</v>
      </c>
      <c r="BF259" s="1" t="s">
        <v>5272</v>
      </c>
      <c r="BG259" s="1" t="s">
        <v>5271</v>
      </c>
      <c r="BH259" s="1" t="s">
        <v>5269</v>
      </c>
      <c r="BI259" s="1" t="s">
        <v>5270</v>
      </c>
      <c r="BK259" s="4" t="s">
        <v>4771</v>
      </c>
    </row>
    <row r="260">
      <c r="A260" s="1" t="s">
        <v>801</v>
      </c>
      <c r="B260" s="1" t="s">
        <v>800</v>
      </c>
      <c r="C260" s="1" t="s">
        <v>800</v>
      </c>
      <c r="D260" s="1" t="s">
        <v>4711</v>
      </c>
      <c r="E260" s="1" t="s">
        <v>5093</v>
      </c>
      <c r="F260" s="1" t="s">
        <v>5094</v>
      </c>
      <c r="G260" s="3"/>
      <c r="H260" s="3"/>
      <c r="I260" s="1" t="s">
        <v>6494</v>
      </c>
      <c r="J260" s="1" t="s">
        <v>6495</v>
      </c>
      <c r="K260" s="3">
        <f>+821092573322</f>
        <v>821092573322</v>
      </c>
      <c r="L260" s="3"/>
      <c r="M260" s="3"/>
      <c r="N260" s="3"/>
      <c r="O260" s="3"/>
      <c r="P260" s="1">
        <v>1.12417617E8</v>
      </c>
      <c r="Q260" s="1" t="b">
        <v>1</v>
      </c>
      <c r="R260" s="1">
        <v>60.0</v>
      </c>
      <c r="S260" s="1" t="s">
        <v>4752</v>
      </c>
      <c r="T260" s="3"/>
      <c r="U260" s="1" t="s">
        <v>4672</v>
      </c>
      <c r="V260" s="1" t="s">
        <v>4673</v>
      </c>
      <c r="W260" s="1" t="s">
        <v>6496</v>
      </c>
      <c r="X260" s="1" t="b">
        <v>0</v>
      </c>
      <c r="Y260" s="1" t="s">
        <v>4675</v>
      </c>
      <c r="Z260" s="1" t="s">
        <v>6497</v>
      </c>
      <c r="AB260" s="3"/>
      <c r="AC260" s="3"/>
      <c r="AD260" s="3"/>
      <c r="AE260" s="3"/>
      <c r="AF260" s="3"/>
      <c r="AG260" s="3"/>
      <c r="AH260" s="3"/>
      <c r="AI260" s="1" t="b">
        <v>0</v>
      </c>
      <c r="AJ260" s="1" t="b">
        <v>0</v>
      </c>
      <c r="AK260" s="1" t="s">
        <v>6498</v>
      </c>
      <c r="AL260" s="1" t="s">
        <v>4707</v>
      </c>
      <c r="AM260" s="1" t="s">
        <v>4708</v>
      </c>
      <c r="AN260" s="1" t="s">
        <v>4686</v>
      </c>
      <c r="AO260" s="1" t="s">
        <v>6497</v>
      </c>
      <c r="AP260" s="1" t="s">
        <v>4709</v>
      </c>
      <c r="AQ260" s="1" t="s">
        <v>4688</v>
      </c>
      <c r="AR260" s="1">
        <v>60.0</v>
      </c>
      <c r="AS260" s="3"/>
      <c r="AT260" s="3"/>
      <c r="AU260" s="4" t="s">
        <v>4780</v>
      </c>
      <c r="AV260" s="1" t="s">
        <v>4788</v>
      </c>
      <c r="AW260" s="1" t="s">
        <v>4789</v>
      </c>
      <c r="AX260" s="1" t="s">
        <v>4692</v>
      </c>
      <c r="AY260" s="1" t="s">
        <v>4790</v>
      </c>
      <c r="AZ260" s="1" t="s">
        <v>4791</v>
      </c>
      <c r="BA260" s="3"/>
      <c r="BB260" s="3"/>
      <c r="BC260" s="3"/>
      <c r="BD260" s="3"/>
      <c r="BE260" s="1" t="b">
        <v>1</v>
      </c>
      <c r="BF260" s="1" t="s">
        <v>4790</v>
      </c>
      <c r="BG260" s="1" t="s">
        <v>4692</v>
      </c>
      <c r="BH260" s="1" t="s">
        <v>4788</v>
      </c>
      <c r="BI260" s="1" t="s">
        <v>4789</v>
      </c>
      <c r="BJ260" s="1" t="s">
        <v>4791</v>
      </c>
      <c r="BK260" s="4" t="s">
        <v>4771</v>
      </c>
    </row>
    <row r="261">
      <c r="A261" s="1" t="s">
        <v>1653</v>
      </c>
      <c r="B261" s="1" t="s">
        <v>1652</v>
      </c>
      <c r="C261" s="1" t="s">
        <v>1652</v>
      </c>
      <c r="D261" s="1" t="s">
        <v>4711</v>
      </c>
      <c r="E261" s="1" t="s">
        <v>1652</v>
      </c>
      <c r="F261" s="1" t="s">
        <v>6499</v>
      </c>
      <c r="G261" s="3"/>
      <c r="H261" s="3"/>
      <c r="I261" s="1" t="s">
        <v>4742</v>
      </c>
      <c r="J261" s="1" t="s">
        <v>6500</v>
      </c>
      <c r="K261" s="3">
        <f>+821057000133</f>
        <v>821057000133</v>
      </c>
      <c r="L261" s="3"/>
      <c r="M261" s="3"/>
      <c r="N261" s="3"/>
      <c r="O261" s="3"/>
      <c r="P261" s="1">
        <v>1.10999348E8</v>
      </c>
      <c r="Q261" s="1" t="b">
        <v>1</v>
      </c>
      <c r="R261" s="1">
        <v>129.0</v>
      </c>
      <c r="S261" s="1" t="s">
        <v>4752</v>
      </c>
      <c r="T261" s="3"/>
      <c r="U261" s="1" t="s">
        <v>4672</v>
      </c>
      <c r="V261" s="1" t="s">
        <v>4673</v>
      </c>
      <c r="W261" s="1" t="s">
        <v>6501</v>
      </c>
      <c r="X261" s="1" t="b">
        <v>0</v>
      </c>
      <c r="Y261" s="1" t="s">
        <v>4675</v>
      </c>
      <c r="Z261" s="1" t="s">
        <v>6502</v>
      </c>
      <c r="AB261" s="3"/>
      <c r="AC261" s="3"/>
      <c r="AD261" s="3"/>
      <c r="AE261" s="3"/>
      <c r="AF261" s="3"/>
      <c r="AG261" s="3"/>
      <c r="AH261" s="3"/>
      <c r="AI261" s="1" t="b">
        <v>0</v>
      </c>
      <c r="AJ261" s="1" t="b">
        <v>0</v>
      </c>
      <c r="AK261" s="1" t="s">
        <v>6503</v>
      </c>
      <c r="AL261" s="1" t="s">
        <v>4719</v>
      </c>
      <c r="AM261" s="1" t="s">
        <v>4685</v>
      </c>
      <c r="AN261" s="1" t="s">
        <v>4686</v>
      </c>
      <c r="AO261" s="1" t="s">
        <v>6502</v>
      </c>
      <c r="AP261" s="1" t="s">
        <v>4687</v>
      </c>
      <c r="AQ261" s="1" t="s">
        <v>4688</v>
      </c>
      <c r="AR261" s="1">
        <v>129.0</v>
      </c>
      <c r="AS261" s="3"/>
      <c r="AT261" s="3"/>
      <c r="AU261" s="4" t="s">
        <v>4695</v>
      </c>
      <c r="AW261" s="3"/>
      <c r="AX261" s="3"/>
      <c r="AY261" s="3"/>
      <c r="AZ261" s="3"/>
      <c r="BA261" s="3"/>
      <c r="BB261" s="3"/>
      <c r="BC261" s="3"/>
      <c r="BD261" s="3"/>
      <c r="BE261" s="1" t="b">
        <v>1</v>
      </c>
      <c r="BF261" s="3"/>
      <c r="BG261" s="3"/>
      <c r="BH261" s="3"/>
      <c r="BI261" s="3"/>
      <c r="BJ261" s="3"/>
      <c r="BK261" s="4" t="s">
        <v>4695</v>
      </c>
    </row>
    <row r="262">
      <c r="A262" s="1" t="s">
        <v>1164</v>
      </c>
      <c r="B262" s="1" t="s">
        <v>1163</v>
      </c>
      <c r="C262" s="1" t="s">
        <v>1163</v>
      </c>
      <c r="D262" s="1" t="s">
        <v>4922</v>
      </c>
      <c r="E262" s="1" t="s">
        <v>6504</v>
      </c>
      <c r="F262" s="1" t="s">
        <v>6505</v>
      </c>
      <c r="G262" s="3"/>
      <c r="H262" s="3"/>
      <c r="I262" s="1" t="s">
        <v>5026</v>
      </c>
      <c r="J262" s="1" t="s">
        <v>6506</v>
      </c>
      <c r="L262" s="3"/>
      <c r="M262" s="3"/>
      <c r="N262" s="3"/>
      <c r="O262" s="3"/>
      <c r="P262" s="1">
        <v>1.22954558E8</v>
      </c>
      <c r="Q262" s="1" t="b">
        <v>1</v>
      </c>
      <c r="R262" s="1">
        <v>23.0</v>
      </c>
      <c r="S262" s="1" t="s">
        <v>4885</v>
      </c>
      <c r="T262" s="3"/>
      <c r="U262" s="1" t="s">
        <v>4672</v>
      </c>
      <c r="V262" s="1" t="s">
        <v>4673</v>
      </c>
      <c r="W262" s="1" t="s">
        <v>6507</v>
      </c>
      <c r="X262" s="1" t="b">
        <v>0</v>
      </c>
      <c r="Y262" s="1" t="s">
        <v>4675</v>
      </c>
      <c r="Z262" s="1" t="s">
        <v>6508</v>
      </c>
      <c r="AB262" s="1" t="s">
        <v>4677</v>
      </c>
      <c r="AC262" s="1" t="s">
        <v>4678</v>
      </c>
      <c r="AD262" s="1" t="s">
        <v>4679</v>
      </c>
      <c r="AE262" s="1" t="s">
        <v>6509</v>
      </c>
      <c r="AF262" s="1" t="s">
        <v>4681</v>
      </c>
      <c r="AG262" s="1" t="s">
        <v>4682</v>
      </c>
      <c r="AH262" s="1">
        <v>7.0</v>
      </c>
      <c r="AI262" s="1" t="b">
        <v>0</v>
      </c>
      <c r="AJ262" s="1" t="b">
        <v>0</v>
      </c>
      <c r="AK262" s="1" t="s">
        <v>6510</v>
      </c>
      <c r="AL262" s="1" t="s">
        <v>4719</v>
      </c>
      <c r="AM262" s="1" t="s">
        <v>4685</v>
      </c>
      <c r="AN262" s="1" t="s">
        <v>4686</v>
      </c>
      <c r="AO262" s="1" t="s">
        <v>6511</v>
      </c>
      <c r="AP262" s="1" t="s">
        <v>4687</v>
      </c>
      <c r="AQ262" s="1" t="s">
        <v>4688</v>
      </c>
      <c r="AR262" s="1">
        <v>16.0</v>
      </c>
      <c r="AS262" s="3"/>
      <c r="AT262" s="3"/>
      <c r="AU262" s="4" t="s">
        <v>4695</v>
      </c>
      <c r="AW262" s="3"/>
      <c r="AX262" s="3"/>
      <c r="AY262" s="3"/>
      <c r="AZ262" s="3"/>
      <c r="BA262" s="3"/>
      <c r="BB262" s="3"/>
      <c r="BC262" s="3"/>
      <c r="BD262" s="3"/>
      <c r="BE262" s="1" t="b">
        <v>1</v>
      </c>
      <c r="BF262" s="3"/>
      <c r="BG262" s="3"/>
      <c r="BH262" s="3"/>
      <c r="BI262" s="3"/>
      <c r="BJ262" s="3"/>
      <c r="BK262" s="4" t="s">
        <v>4881</v>
      </c>
    </row>
    <row r="263">
      <c r="A263" s="1" t="s">
        <v>475</v>
      </c>
      <c r="B263" s="1" t="s">
        <v>474</v>
      </c>
      <c r="C263" s="1" t="s">
        <v>474</v>
      </c>
      <c r="D263" s="1" t="s">
        <v>5000</v>
      </c>
      <c r="E263" s="1" t="s">
        <v>6512</v>
      </c>
      <c r="F263" s="1" t="s">
        <v>6513</v>
      </c>
      <c r="G263" s="3"/>
      <c r="H263" s="3"/>
      <c r="I263" s="1" t="s">
        <v>5611</v>
      </c>
      <c r="J263" s="1" t="s">
        <v>6514</v>
      </c>
      <c r="L263" s="3"/>
      <c r="M263" s="3"/>
      <c r="N263" s="3"/>
      <c r="O263" s="3"/>
      <c r="P263" s="1">
        <v>1.12278104E8</v>
      </c>
      <c r="Q263" s="1" t="b">
        <v>1</v>
      </c>
      <c r="R263" s="1">
        <v>260.0</v>
      </c>
      <c r="S263" s="1" t="s">
        <v>4885</v>
      </c>
      <c r="T263" s="3"/>
      <c r="U263" s="1" t="s">
        <v>4672</v>
      </c>
      <c r="V263" s="1" t="s">
        <v>4673</v>
      </c>
      <c r="W263" s="1" t="s">
        <v>6515</v>
      </c>
      <c r="X263" s="1" t="b">
        <v>0</v>
      </c>
      <c r="Y263" s="1" t="s">
        <v>4675</v>
      </c>
      <c r="Z263" s="1" t="s">
        <v>6516</v>
      </c>
      <c r="AB263" s="1" t="s">
        <v>4677</v>
      </c>
      <c r="AC263" s="1" t="s">
        <v>4678</v>
      </c>
      <c r="AD263" s="1" t="s">
        <v>5496</v>
      </c>
      <c r="AE263" s="1" t="s">
        <v>6517</v>
      </c>
      <c r="AF263" s="1" t="s">
        <v>4757</v>
      </c>
      <c r="AG263" s="1" t="s">
        <v>4758</v>
      </c>
      <c r="AH263" s="1">
        <v>41.0</v>
      </c>
      <c r="AI263" s="1" t="b">
        <v>0</v>
      </c>
      <c r="AJ263" s="1" t="b">
        <v>0</v>
      </c>
      <c r="AK263" s="1" t="s">
        <v>6518</v>
      </c>
      <c r="AL263" s="1" t="s">
        <v>4719</v>
      </c>
      <c r="AM263" s="1" t="s">
        <v>4685</v>
      </c>
      <c r="AN263" s="1" t="s">
        <v>4686</v>
      </c>
      <c r="AO263" s="1" t="s">
        <v>6516</v>
      </c>
      <c r="AP263" s="1" t="s">
        <v>4687</v>
      </c>
      <c r="AQ263" s="1" t="s">
        <v>4688</v>
      </c>
      <c r="AR263" s="1">
        <v>219.0</v>
      </c>
      <c r="AS263" s="3"/>
      <c r="AT263" s="3"/>
      <c r="AU263" s="4" t="s">
        <v>4695</v>
      </c>
      <c r="AW263" s="3"/>
      <c r="AX263" s="3"/>
      <c r="AY263" s="3"/>
      <c r="AZ263" s="3"/>
      <c r="BA263" s="3"/>
      <c r="BB263" s="3"/>
      <c r="BC263" s="3"/>
      <c r="BD263" s="3"/>
      <c r="BE263" s="1" t="b">
        <v>1</v>
      </c>
      <c r="BF263" s="3"/>
      <c r="BG263" s="3"/>
      <c r="BH263" s="3"/>
      <c r="BI263" s="3"/>
      <c r="BJ263" s="3"/>
      <c r="BK263" s="4" t="s">
        <v>4695</v>
      </c>
    </row>
    <row r="264">
      <c r="A264" s="1" t="s">
        <v>1037</v>
      </c>
      <c r="B264" s="1" t="s">
        <v>1036</v>
      </c>
      <c r="C264" s="1" t="s">
        <v>1036</v>
      </c>
      <c r="D264" s="1" t="s">
        <v>4711</v>
      </c>
      <c r="E264" s="1" t="s">
        <v>6519</v>
      </c>
      <c r="F264" s="1" t="s">
        <v>6520</v>
      </c>
      <c r="G264" s="3"/>
      <c r="H264" s="3"/>
      <c r="I264" s="1" t="s">
        <v>5026</v>
      </c>
      <c r="J264" s="1" t="s">
        <v>6521</v>
      </c>
      <c r="K264" s="3">
        <f>+821038516534</f>
        <v>821038516534</v>
      </c>
      <c r="L264" s="3"/>
      <c r="M264" s="3"/>
      <c r="N264" s="3"/>
      <c r="O264" s="3"/>
      <c r="P264" s="1">
        <v>1.09911797E8</v>
      </c>
      <c r="Q264" s="1" t="b">
        <v>1</v>
      </c>
      <c r="R264" s="1">
        <v>90.0</v>
      </c>
      <c r="S264" s="1" t="s">
        <v>4752</v>
      </c>
      <c r="T264" s="3"/>
      <c r="U264" s="1" t="s">
        <v>4672</v>
      </c>
      <c r="V264" s="1" t="s">
        <v>4673</v>
      </c>
      <c r="W264" s="1" t="s">
        <v>6522</v>
      </c>
      <c r="X264" s="1" t="b">
        <v>0</v>
      </c>
      <c r="Y264" s="1" t="s">
        <v>4675</v>
      </c>
      <c r="Z264" s="1" t="s">
        <v>6523</v>
      </c>
      <c r="AB264" s="3"/>
      <c r="AC264" s="3"/>
      <c r="AD264" s="3"/>
      <c r="AE264" s="3"/>
      <c r="AF264" s="3"/>
      <c r="AG264" s="3"/>
      <c r="AH264" s="3"/>
      <c r="AI264" s="1" t="b">
        <v>0</v>
      </c>
      <c r="AJ264" s="1" t="b">
        <v>0</v>
      </c>
      <c r="AK264" s="1" t="s">
        <v>6524</v>
      </c>
      <c r="AL264" s="1" t="s">
        <v>4719</v>
      </c>
      <c r="AM264" s="1" t="s">
        <v>4685</v>
      </c>
      <c r="AN264" s="1" t="s">
        <v>4686</v>
      </c>
      <c r="AO264" s="1" t="s">
        <v>6523</v>
      </c>
      <c r="AP264" s="1" t="s">
        <v>4687</v>
      </c>
      <c r="AQ264" s="1" t="s">
        <v>4688</v>
      </c>
      <c r="AR264" s="1">
        <v>90.0</v>
      </c>
      <c r="AS264" s="3"/>
      <c r="AT264" s="3"/>
      <c r="AU264" s="4" t="s">
        <v>6525</v>
      </c>
      <c r="AW264" s="3"/>
      <c r="AX264" s="3"/>
      <c r="AY264" s="3"/>
      <c r="AZ264" s="3"/>
      <c r="BA264" s="3"/>
      <c r="BB264" s="3"/>
      <c r="BC264" s="3"/>
      <c r="BD264" s="3"/>
      <c r="BE264" s="1" t="b">
        <v>1</v>
      </c>
      <c r="BF264" s="3"/>
      <c r="BG264" s="3"/>
      <c r="BH264" s="3"/>
      <c r="BI264" s="3"/>
      <c r="BJ264" s="3"/>
      <c r="BK264" s="4" t="s">
        <v>6525</v>
      </c>
    </row>
    <row r="265">
      <c r="A265" s="1" t="s">
        <v>216</v>
      </c>
      <c r="B265" s="1" t="s">
        <v>215</v>
      </c>
      <c r="C265" s="1" t="s">
        <v>215</v>
      </c>
      <c r="D265" s="1" t="s">
        <v>4922</v>
      </c>
      <c r="E265" s="1" t="s">
        <v>6526</v>
      </c>
      <c r="F265" s="1" t="s">
        <v>6527</v>
      </c>
      <c r="G265" s="3"/>
      <c r="H265" s="3"/>
      <c r="I265" s="1" t="s">
        <v>4669</v>
      </c>
      <c r="J265" s="1" t="s">
        <v>6528</v>
      </c>
      <c r="K265" s="3">
        <f>+821053008520</f>
        <v>821053008520</v>
      </c>
      <c r="L265" s="3"/>
      <c r="M265" s="3"/>
      <c r="N265" s="3"/>
      <c r="O265" s="3"/>
      <c r="P265" s="1">
        <v>1.22924029E8</v>
      </c>
      <c r="Q265" s="1" t="b">
        <v>1</v>
      </c>
      <c r="R265" s="1">
        <v>8.0</v>
      </c>
      <c r="S265" s="1" t="s">
        <v>4942</v>
      </c>
      <c r="U265" s="1" t="s">
        <v>4672</v>
      </c>
      <c r="V265" s="1" t="s">
        <v>4673</v>
      </c>
      <c r="W265" s="1" t="s">
        <v>6529</v>
      </c>
      <c r="X265" s="1" t="b">
        <v>0</v>
      </c>
      <c r="Y265" s="1" t="s">
        <v>4675</v>
      </c>
      <c r="Z265" s="1" t="s">
        <v>6530</v>
      </c>
      <c r="AB265" s="3"/>
      <c r="AC265" s="3"/>
      <c r="AD265" s="3"/>
      <c r="AE265" s="3"/>
      <c r="AF265" s="3"/>
      <c r="AG265" s="3"/>
      <c r="AH265" s="3"/>
      <c r="AI265" s="1" t="b">
        <v>0</v>
      </c>
      <c r="AJ265" s="1" t="b">
        <v>0</v>
      </c>
      <c r="AK265" s="1" t="s">
        <v>6531</v>
      </c>
      <c r="AL265" s="1" t="s">
        <v>4719</v>
      </c>
      <c r="AM265" s="1" t="s">
        <v>4685</v>
      </c>
      <c r="AN265" s="1" t="s">
        <v>4720</v>
      </c>
      <c r="AO265" s="1" t="s">
        <v>6530</v>
      </c>
      <c r="AP265" s="1" t="s">
        <v>4721</v>
      </c>
      <c r="AQ265" s="1" t="s">
        <v>4722</v>
      </c>
      <c r="AR265" s="1">
        <v>8.0</v>
      </c>
      <c r="AS265" s="3"/>
      <c r="AT265" s="3"/>
      <c r="AU265" s="4" t="s">
        <v>4695</v>
      </c>
      <c r="AW265" s="3"/>
      <c r="AX265" s="3"/>
      <c r="AY265" s="3"/>
      <c r="AZ265" s="3"/>
      <c r="BA265" s="3"/>
      <c r="BB265" s="3"/>
      <c r="BC265" s="3"/>
      <c r="BD265" s="3"/>
      <c r="BE265" s="1" t="b">
        <v>1</v>
      </c>
      <c r="BF265" s="3"/>
      <c r="BG265" s="3"/>
      <c r="BH265" s="3"/>
      <c r="BI265" s="3"/>
      <c r="BJ265" s="3"/>
      <c r="BK265" s="4" t="s">
        <v>4695</v>
      </c>
    </row>
    <row r="266">
      <c r="A266" s="1" t="s">
        <v>1880</v>
      </c>
      <c r="B266" s="1" t="s">
        <v>1879</v>
      </c>
      <c r="C266" s="1" t="s">
        <v>1879</v>
      </c>
      <c r="D266" s="3"/>
      <c r="E266" s="3"/>
      <c r="F266" s="3"/>
      <c r="G266" s="3"/>
      <c r="H266" s="3"/>
      <c r="I266" s="1" t="s">
        <v>4669</v>
      </c>
      <c r="J266" s="1" t="s">
        <v>6532</v>
      </c>
      <c r="K266" s="3">
        <f>+821050287449</f>
        <v>821050287449</v>
      </c>
      <c r="L266" s="3"/>
      <c r="M266" s="3"/>
      <c r="N266" s="3"/>
      <c r="O266" s="3"/>
      <c r="P266" s="1" t="s">
        <v>6533</v>
      </c>
      <c r="Q266" s="1" t="b">
        <v>0</v>
      </c>
      <c r="R266" s="1">
        <v>1.0</v>
      </c>
      <c r="S266" s="1" t="s">
        <v>6534</v>
      </c>
      <c r="T266" s="3"/>
      <c r="U266" s="1" t="s">
        <v>4672</v>
      </c>
      <c r="V266" s="1" t="s">
        <v>4673</v>
      </c>
      <c r="W266" s="1" t="s">
        <v>6535</v>
      </c>
      <c r="X266" s="1" t="b">
        <v>0</v>
      </c>
      <c r="Y266" s="1" t="s">
        <v>5087</v>
      </c>
      <c r="Z266" s="1" t="s">
        <v>6536</v>
      </c>
      <c r="AB266" s="3"/>
      <c r="AC266" s="3"/>
      <c r="AD266" s="3"/>
      <c r="AE266" s="3"/>
      <c r="AF266" s="3"/>
      <c r="AG266" s="3"/>
      <c r="AH266" s="3"/>
      <c r="AI266" s="1" t="b">
        <v>0</v>
      </c>
      <c r="AJ266" s="1" t="b">
        <v>0</v>
      </c>
      <c r="AK266" s="1" t="s">
        <v>6537</v>
      </c>
      <c r="AL266" s="1" t="s">
        <v>4707</v>
      </c>
      <c r="AM266" s="1" t="s">
        <v>4708</v>
      </c>
      <c r="AN266" s="1" t="s">
        <v>4686</v>
      </c>
      <c r="AO266" s="1" t="s">
        <v>6536</v>
      </c>
      <c r="AP266" s="1" t="s">
        <v>4709</v>
      </c>
      <c r="AQ266" s="1" t="s">
        <v>4688</v>
      </c>
      <c r="AR266" s="1">
        <v>1.0</v>
      </c>
      <c r="AS266" s="3"/>
      <c r="AT266" s="3"/>
      <c r="AU266" s="4" t="s">
        <v>4780</v>
      </c>
      <c r="AV266" s="1" t="s">
        <v>5871</v>
      </c>
      <c r="AW266" s="1" t="s">
        <v>6538</v>
      </c>
      <c r="AX266" s="1" t="s">
        <v>4692</v>
      </c>
      <c r="AY266" s="1" t="s">
        <v>4790</v>
      </c>
      <c r="AZ266" s="3"/>
      <c r="BA266" s="3"/>
      <c r="BB266" s="3"/>
      <c r="BC266" s="3"/>
      <c r="BD266" s="3"/>
      <c r="BE266" s="1" t="b">
        <v>1</v>
      </c>
      <c r="BF266" s="1" t="s">
        <v>4790</v>
      </c>
      <c r="BG266" s="1" t="s">
        <v>4692</v>
      </c>
      <c r="BH266" s="1" t="s">
        <v>5871</v>
      </c>
      <c r="BI266" s="1" t="s">
        <v>6538</v>
      </c>
      <c r="BJ266" s="3"/>
      <c r="BK266" s="4" t="s">
        <v>4780</v>
      </c>
    </row>
    <row r="267">
      <c r="A267" s="1" t="s">
        <v>1472</v>
      </c>
      <c r="B267" s="1" t="s">
        <v>1471</v>
      </c>
      <c r="C267" s="1" t="s">
        <v>1471</v>
      </c>
      <c r="D267" s="1" t="s">
        <v>4922</v>
      </c>
      <c r="E267" s="1" t="s">
        <v>6539</v>
      </c>
      <c r="F267" s="1" t="s">
        <v>6540</v>
      </c>
      <c r="G267" s="3"/>
      <c r="H267" s="3"/>
      <c r="I267" s="1" t="s">
        <v>6477</v>
      </c>
      <c r="J267" s="1" t="s">
        <v>6541</v>
      </c>
      <c r="K267" s="3">
        <f>+821092781726</f>
        <v>821092781726</v>
      </c>
      <c r="L267" s="3"/>
      <c r="M267" s="3"/>
      <c r="N267" s="3"/>
      <c r="O267" s="3"/>
      <c r="P267" s="1">
        <v>1.1256856E8</v>
      </c>
      <c r="Q267" s="1" t="b">
        <v>1</v>
      </c>
      <c r="R267" s="1">
        <v>112.0</v>
      </c>
      <c r="S267" s="1" t="s">
        <v>4701</v>
      </c>
      <c r="T267" s="3"/>
      <c r="U267" s="1" t="s">
        <v>4672</v>
      </c>
      <c r="V267" s="1" t="s">
        <v>4673</v>
      </c>
      <c r="W267" s="1" t="s">
        <v>6542</v>
      </c>
      <c r="X267" s="1" t="b">
        <v>0</v>
      </c>
      <c r="Y267" s="1" t="s">
        <v>4675</v>
      </c>
      <c r="Z267" s="1" t="s">
        <v>6543</v>
      </c>
      <c r="AB267" s="1" t="s">
        <v>4677</v>
      </c>
      <c r="AC267" s="1" t="s">
        <v>4678</v>
      </c>
      <c r="AD267" s="1" t="s">
        <v>4679</v>
      </c>
      <c r="AE267" s="1" t="s">
        <v>6543</v>
      </c>
      <c r="AF267" s="1" t="s">
        <v>5955</v>
      </c>
      <c r="AG267" s="1" t="s">
        <v>4682</v>
      </c>
      <c r="AH267" s="1">
        <v>47.0</v>
      </c>
      <c r="AI267" s="1" t="b">
        <v>0</v>
      </c>
      <c r="AJ267" s="1" t="b">
        <v>0</v>
      </c>
      <c r="AK267" s="1" t="s">
        <v>6544</v>
      </c>
      <c r="AL267" s="1" t="s">
        <v>4719</v>
      </c>
      <c r="AM267" s="1" t="s">
        <v>4685</v>
      </c>
      <c r="AN267" s="1" t="s">
        <v>4686</v>
      </c>
      <c r="AO267" s="1" t="s">
        <v>6545</v>
      </c>
      <c r="AP267" s="1" t="s">
        <v>4687</v>
      </c>
      <c r="AQ267" s="1" t="s">
        <v>4688</v>
      </c>
      <c r="AR267" s="1">
        <v>65.0</v>
      </c>
      <c r="AS267" s="3"/>
      <c r="AT267" s="3"/>
      <c r="AU267" s="4" t="s">
        <v>4695</v>
      </c>
      <c r="AW267" s="3"/>
      <c r="AX267" s="3"/>
      <c r="AY267" s="3"/>
      <c r="AZ267" s="3"/>
      <c r="BA267" s="3"/>
      <c r="BB267" s="3"/>
      <c r="BC267" s="3"/>
      <c r="BD267" s="3"/>
      <c r="BE267" s="1" t="b">
        <v>1</v>
      </c>
      <c r="BF267" s="3"/>
      <c r="BG267" s="3"/>
      <c r="BH267" s="3"/>
      <c r="BI267" s="3"/>
      <c r="BJ267" s="3"/>
      <c r="BK267" s="4" t="s">
        <v>4695</v>
      </c>
    </row>
    <row r="268">
      <c r="A268" s="1" t="s">
        <v>611</v>
      </c>
      <c r="B268" s="1" t="s">
        <v>610</v>
      </c>
      <c r="C268" s="1" t="s">
        <v>610</v>
      </c>
      <c r="D268" s="1" t="s">
        <v>4772</v>
      </c>
      <c r="E268" s="1" t="s">
        <v>6546</v>
      </c>
      <c r="F268" s="1" t="s">
        <v>6547</v>
      </c>
      <c r="G268" s="3"/>
      <c r="H268" s="3"/>
      <c r="I268" s="1" t="s">
        <v>6548</v>
      </c>
      <c r="J268" s="1" t="s">
        <v>6549</v>
      </c>
      <c r="L268" s="3"/>
      <c r="M268" s="3"/>
      <c r="N268" s="3"/>
      <c r="O268" s="3"/>
      <c r="P268" s="1">
        <v>1.12315384E8</v>
      </c>
      <c r="Q268" s="1" t="b">
        <v>1</v>
      </c>
      <c r="R268" s="1">
        <v>113.0</v>
      </c>
      <c r="S268" s="1" t="s">
        <v>5124</v>
      </c>
      <c r="U268" s="1" t="s">
        <v>4672</v>
      </c>
      <c r="V268" s="1" t="s">
        <v>4673</v>
      </c>
      <c r="W268" s="1" t="s">
        <v>6550</v>
      </c>
      <c r="X268" s="1" t="b">
        <v>0</v>
      </c>
      <c r="Y268" s="1" t="s">
        <v>4675</v>
      </c>
      <c r="Z268" s="1" t="s">
        <v>6551</v>
      </c>
      <c r="AB268" s="3"/>
      <c r="AC268" s="3"/>
      <c r="AD268" s="3"/>
      <c r="AE268" s="3"/>
      <c r="AF268" s="3"/>
      <c r="AG268" s="3"/>
      <c r="AH268" s="3"/>
      <c r="AI268" s="1" t="b">
        <v>0</v>
      </c>
      <c r="AJ268" s="1" t="b">
        <v>0</v>
      </c>
      <c r="AK268" s="1" t="s">
        <v>6552</v>
      </c>
      <c r="AL268" s="1" t="s">
        <v>4684</v>
      </c>
      <c r="AM268" s="1" t="s">
        <v>4685</v>
      </c>
      <c r="AN268" s="1" t="s">
        <v>4686</v>
      </c>
      <c r="AO268" s="1" t="s">
        <v>6551</v>
      </c>
      <c r="AP268" s="1" t="s">
        <v>4687</v>
      </c>
      <c r="AQ268" s="1" t="s">
        <v>4688</v>
      </c>
      <c r="AR268" s="1">
        <v>113.0</v>
      </c>
      <c r="AS268" s="3"/>
      <c r="AT268" s="3"/>
      <c r="AU268" s="4" t="s">
        <v>5009</v>
      </c>
      <c r="AV268" s="3"/>
      <c r="AW268" s="3"/>
      <c r="AX268" s="3"/>
      <c r="AY268" s="3"/>
      <c r="AZ268" s="3"/>
      <c r="BA268" s="3"/>
      <c r="BB268" s="3"/>
      <c r="BC268" s="3"/>
      <c r="BD268" s="3"/>
      <c r="BE268" s="1" t="b">
        <v>1</v>
      </c>
      <c r="BF268" s="3"/>
      <c r="BG268" s="3"/>
      <c r="BH268" s="3"/>
      <c r="BI268" s="3"/>
      <c r="BJ268" s="3"/>
      <c r="BK268" s="4" t="s">
        <v>4695</v>
      </c>
    </row>
    <row r="269">
      <c r="A269" s="1" t="s">
        <v>1752</v>
      </c>
      <c r="B269" s="1" t="s">
        <v>1749</v>
      </c>
      <c r="C269" s="1" t="s">
        <v>1749</v>
      </c>
      <c r="D269" s="1" t="s">
        <v>4696</v>
      </c>
      <c r="E269" s="1" t="s">
        <v>6553</v>
      </c>
      <c r="F269" s="1" t="s">
        <v>6554</v>
      </c>
      <c r="G269" s="3"/>
      <c r="H269" s="1" t="s">
        <v>4861</v>
      </c>
      <c r="I269" s="1" t="s">
        <v>6555</v>
      </c>
      <c r="J269" s="1" t="s">
        <v>6556</v>
      </c>
      <c r="K269" s="3">
        <f>+821037824452</f>
        <v>821037824452</v>
      </c>
      <c r="L269" s="3"/>
      <c r="M269" s="3"/>
      <c r="N269" s="3"/>
      <c r="O269" s="3"/>
      <c r="P269" s="1">
        <v>2.085877634E9</v>
      </c>
      <c r="Q269" s="1" t="b">
        <v>1</v>
      </c>
      <c r="R269" s="1">
        <v>93.0</v>
      </c>
      <c r="S269" s="1" t="s">
        <v>4671</v>
      </c>
      <c r="T269" s="3"/>
      <c r="U269" s="1" t="s">
        <v>4672</v>
      </c>
      <c r="V269" s="1" t="s">
        <v>4673</v>
      </c>
      <c r="W269" s="1" t="s">
        <v>6557</v>
      </c>
      <c r="X269" s="1" t="b">
        <v>0</v>
      </c>
      <c r="Y269" s="1" t="s">
        <v>4675</v>
      </c>
      <c r="Z269" s="1" t="s">
        <v>6558</v>
      </c>
      <c r="AB269" s="1" t="s">
        <v>4677</v>
      </c>
      <c r="AC269" s="1" t="s">
        <v>4678</v>
      </c>
      <c r="AD269" s="1" t="s">
        <v>5141</v>
      </c>
      <c r="AE269" s="1" t="s">
        <v>6559</v>
      </c>
      <c r="AF269" s="1" t="s">
        <v>4757</v>
      </c>
      <c r="AG269" s="1" t="s">
        <v>4758</v>
      </c>
      <c r="AH269" s="1">
        <v>10.0</v>
      </c>
      <c r="AI269" s="1" t="b">
        <v>0</v>
      </c>
      <c r="AJ269" s="1" t="b">
        <v>0</v>
      </c>
      <c r="AK269" s="1" t="s">
        <v>6560</v>
      </c>
      <c r="AL269" s="1" t="s">
        <v>5486</v>
      </c>
      <c r="AM269" s="1" t="s">
        <v>4685</v>
      </c>
      <c r="AN269" s="1" t="s">
        <v>4686</v>
      </c>
      <c r="AO269" s="1" t="s">
        <v>6558</v>
      </c>
      <c r="AP269" s="1" t="s">
        <v>4687</v>
      </c>
      <c r="AQ269" s="1" t="s">
        <v>4688</v>
      </c>
      <c r="AR269" s="1">
        <v>83.0</v>
      </c>
      <c r="AS269" s="3"/>
      <c r="AT269" s="3"/>
      <c r="AU269" s="4" t="s">
        <v>4695</v>
      </c>
      <c r="AW269" s="3"/>
      <c r="AX269" s="3"/>
      <c r="AY269" s="3"/>
      <c r="AZ269" s="3"/>
      <c r="BA269" s="3"/>
      <c r="BB269" s="3"/>
      <c r="BC269" s="3"/>
      <c r="BD269" s="3"/>
      <c r="BE269" s="1" t="b">
        <v>1</v>
      </c>
      <c r="BF269" s="3"/>
      <c r="BG269" s="3"/>
      <c r="BH269" s="3"/>
      <c r="BI269" s="3"/>
      <c r="BJ269" s="3"/>
      <c r="BK269" s="4" t="s">
        <v>4710</v>
      </c>
      <c r="BL269" s="1" t="s">
        <v>4723</v>
      </c>
    </row>
    <row r="270">
      <c r="A270" s="1" t="s">
        <v>838</v>
      </c>
      <c r="B270" s="1" t="s">
        <v>837</v>
      </c>
      <c r="C270" s="3"/>
      <c r="D270" s="3"/>
      <c r="E270" s="3"/>
      <c r="F270" s="3"/>
      <c r="G270" s="3"/>
      <c r="H270" s="3"/>
      <c r="I270" s="3"/>
      <c r="J270" s="3"/>
      <c r="K270" s="3"/>
      <c r="L270" s="3"/>
      <c r="M270" s="3"/>
      <c r="N270" s="3"/>
      <c r="O270" s="3"/>
      <c r="P270" s="1" t="s">
        <v>6561</v>
      </c>
      <c r="Q270" s="1" t="b">
        <v>0</v>
      </c>
      <c r="R270" s="1">
        <v>1.0</v>
      </c>
      <c r="S270" s="1" t="s">
        <v>6562</v>
      </c>
      <c r="U270" s="1" t="s">
        <v>4672</v>
      </c>
      <c r="V270" s="1" t="s">
        <v>4673</v>
      </c>
      <c r="W270" s="1" t="s">
        <v>6563</v>
      </c>
      <c r="X270" s="1" t="b">
        <v>0</v>
      </c>
      <c r="Y270" s="1" t="s">
        <v>4675</v>
      </c>
      <c r="Z270" s="1" t="s">
        <v>6564</v>
      </c>
      <c r="AB270" s="3"/>
      <c r="AC270" s="3"/>
      <c r="AD270" s="3"/>
      <c r="AE270" s="3"/>
      <c r="AF270" s="3"/>
      <c r="AG270" s="3"/>
      <c r="AH270" s="3"/>
      <c r="AI270" s="1" t="b">
        <v>0</v>
      </c>
      <c r="AJ270" s="1" t="b">
        <v>0</v>
      </c>
      <c r="AK270" s="1" t="s">
        <v>6563</v>
      </c>
      <c r="AL270" s="1" t="s">
        <v>5570</v>
      </c>
      <c r="AM270" s="1" t="s">
        <v>4685</v>
      </c>
      <c r="AN270" s="1" t="s">
        <v>4679</v>
      </c>
      <c r="AO270" s="1" t="s">
        <v>6564</v>
      </c>
      <c r="AP270" s="1" t="s">
        <v>5955</v>
      </c>
      <c r="AQ270" s="1" t="s">
        <v>4682</v>
      </c>
      <c r="AR270" s="1">
        <v>1.0</v>
      </c>
      <c r="AS270" s="3"/>
      <c r="AT270" s="3"/>
      <c r="AU270" s="4" t="s">
        <v>4695</v>
      </c>
      <c r="AW270" s="3"/>
      <c r="AX270" s="3"/>
      <c r="AY270" s="3"/>
      <c r="AZ270" s="3"/>
      <c r="BA270" s="3"/>
      <c r="BB270" s="3"/>
      <c r="BC270" s="3"/>
      <c r="BD270" s="3"/>
      <c r="BE270" s="1" t="b">
        <v>1</v>
      </c>
      <c r="BF270" s="3"/>
      <c r="BG270" s="3"/>
      <c r="BH270" s="3"/>
      <c r="BI270" s="3"/>
      <c r="BJ270" s="3"/>
      <c r="BK270" s="4" t="s">
        <v>4695</v>
      </c>
    </row>
    <row r="271">
      <c r="A271" s="1" t="s">
        <v>1986</v>
      </c>
      <c r="B271" s="1" t="s">
        <v>1985</v>
      </c>
      <c r="C271" s="1" t="s">
        <v>1985</v>
      </c>
      <c r="D271" s="1" t="s">
        <v>5597</v>
      </c>
      <c r="E271" s="1" t="s">
        <v>5598</v>
      </c>
      <c r="F271" s="1" t="s">
        <v>5599</v>
      </c>
      <c r="G271" s="3"/>
      <c r="H271" s="3"/>
      <c r="I271" s="1" t="s">
        <v>5095</v>
      </c>
      <c r="J271" s="1" t="s">
        <v>6565</v>
      </c>
      <c r="K271" s="3"/>
      <c r="L271" s="3"/>
      <c r="M271" s="3"/>
      <c r="N271" s="3"/>
      <c r="O271" s="3"/>
      <c r="P271" s="1">
        <v>1.12455665E8</v>
      </c>
      <c r="Q271" s="1" t="b">
        <v>1</v>
      </c>
      <c r="R271" s="1">
        <v>9.0</v>
      </c>
      <c r="S271" s="1" t="s">
        <v>5429</v>
      </c>
      <c r="T271" s="3"/>
      <c r="U271" s="1" t="s">
        <v>4672</v>
      </c>
      <c r="V271" s="1" t="s">
        <v>4673</v>
      </c>
      <c r="W271" s="1" t="s">
        <v>6566</v>
      </c>
      <c r="X271" s="1" t="b">
        <v>0</v>
      </c>
      <c r="Y271" s="1" t="s">
        <v>4675</v>
      </c>
      <c r="Z271" s="1" t="s">
        <v>6567</v>
      </c>
      <c r="AB271" s="3"/>
      <c r="AC271" s="3"/>
      <c r="AD271" s="3"/>
      <c r="AE271" s="3"/>
      <c r="AF271" s="3"/>
      <c r="AG271" s="3"/>
      <c r="AH271" s="3"/>
      <c r="AI271" s="1" t="b">
        <v>0</v>
      </c>
      <c r="AJ271" s="1" t="b">
        <v>0</v>
      </c>
      <c r="AK271" s="1" t="s">
        <v>6568</v>
      </c>
      <c r="AL271" s="1" t="s">
        <v>4719</v>
      </c>
      <c r="AM271" s="1" t="s">
        <v>4685</v>
      </c>
      <c r="AN271" s="1" t="s">
        <v>4720</v>
      </c>
      <c r="AO271" s="1" t="s">
        <v>6567</v>
      </c>
      <c r="AP271" s="1" t="s">
        <v>4721</v>
      </c>
      <c r="AQ271" s="1" t="s">
        <v>4722</v>
      </c>
      <c r="AR271" s="1">
        <v>9.0</v>
      </c>
      <c r="AS271" s="3"/>
      <c r="AT271" s="3"/>
      <c r="AU271" s="4" t="s">
        <v>4695</v>
      </c>
      <c r="AW271" s="3"/>
      <c r="AX271" s="3"/>
      <c r="AY271" s="3"/>
      <c r="AZ271" s="3"/>
      <c r="BA271" s="3"/>
      <c r="BB271" s="3"/>
      <c r="BC271" s="3"/>
      <c r="BD271" s="3"/>
      <c r="BE271" s="1" t="b">
        <v>1</v>
      </c>
      <c r="BF271" s="3"/>
      <c r="BG271" s="3"/>
      <c r="BH271" s="3"/>
      <c r="BI271" s="3"/>
      <c r="BJ271" s="3"/>
      <c r="BK271" s="4" t="s">
        <v>4695</v>
      </c>
    </row>
    <row r="272">
      <c r="A272" s="1" t="s">
        <v>2010</v>
      </c>
      <c r="B272" s="1" t="s">
        <v>2009</v>
      </c>
      <c r="C272" s="1" t="s">
        <v>2009</v>
      </c>
      <c r="D272" s="1" t="s">
        <v>4858</v>
      </c>
      <c r="E272" s="1" t="s">
        <v>6569</v>
      </c>
      <c r="F272" s="1" t="s">
        <v>6570</v>
      </c>
      <c r="G272" s="3"/>
      <c r="H272" s="1" t="s">
        <v>4861</v>
      </c>
      <c r="I272" s="1" t="s">
        <v>4916</v>
      </c>
      <c r="J272" s="1" t="s">
        <v>6571</v>
      </c>
      <c r="K272" s="3">
        <f>+821032023819</f>
        <v>821032023819</v>
      </c>
      <c r="L272" s="3"/>
      <c r="M272" s="3"/>
      <c r="N272" s="3"/>
      <c r="O272" s="3"/>
      <c r="P272" s="1">
        <v>2.085778122E9</v>
      </c>
      <c r="Q272" s="1" t="b">
        <v>1</v>
      </c>
      <c r="R272" s="1">
        <v>522.0</v>
      </c>
      <c r="S272" s="1" t="s">
        <v>4918</v>
      </c>
      <c r="T272" s="3"/>
      <c r="U272" s="1" t="s">
        <v>4672</v>
      </c>
      <c r="V272" s="1" t="s">
        <v>4673</v>
      </c>
      <c r="W272" s="1" t="s">
        <v>6572</v>
      </c>
      <c r="X272" s="1" t="b">
        <v>0</v>
      </c>
      <c r="Y272" s="1" t="s">
        <v>4675</v>
      </c>
      <c r="Z272" s="1" t="s">
        <v>6573</v>
      </c>
      <c r="AB272" s="3"/>
      <c r="AC272" s="3"/>
      <c r="AD272" s="3"/>
      <c r="AE272" s="3"/>
      <c r="AF272" s="3"/>
      <c r="AG272" s="3"/>
      <c r="AH272" s="3"/>
      <c r="AI272" s="1" t="b">
        <v>0</v>
      </c>
      <c r="AJ272" s="1" t="b">
        <v>0</v>
      </c>
      <c r="AK272" s="1" t="s">
        <v>6574</v>
      </c>
      <c r="AL272" s="1" t="s">
        <v>4707</v>
      </c>
      <c r="AM272" s="1" t="s">
        <v>4708</v>
      </c>
      <c r="AN272" s="1" t="s">
        <v>4686</v>
      </c>
      <c r="AO272" s="1" t="s">
        <v>6573</v>
      </c>
      <c r="AP272" s="1" t="s">
        <v>4709</v>
      </c>
      <c r="AQ272" s="1" t="s">
        <v>4688</v>
      </c>
      <c r="AR272" s="1">
        <v>522.0</v>
      </c>
      <c r="AS272" s="3"/>
      <c r="AT272" s="3"/>
      <c r="AU272" s="4" t="s">
        <v>6575</v>
      </c>
      <c r="BE272" s="1" t="b">
        <v>1</v>
      </c>
      <c r="BF272" s="3"/>
      <c r="BG272" s="3"/>
      <c r="BH272" s="3"/>
      <c r="BI272" s="3"/>
      <c r="BJ272" s="3"/>
      <c r="BK272" s="4" t="s">
        <v>4881</v>
      </c>
    </row>
    <row r="273">
      <c r="A273" s="1" t="s">
        <v>240</v>
      </c>
      <c r="B273" s="1" t="s">
        <v>239</v>
      </c>
      <c r="C273" s="3"/>
      <c r="D273" s="3"/>
      <c r="E273" s="3"/>
      <c r="F273" s="3"/>
      <c r="G273" s="3"/>
      <c r="H273" s="3"/>
      <c r="I273" s="3"/>
      <c r="J273" s="3"/>
      <c r="K273" s="3"/>
      <c r="L273" s="3"/>
      <c r="M273" s="3"/>
      <c r="N273" s="3"/>
      <c r="O273" s="3"/>
      <c r="P273" s="1" t="s">
        <v>6576</v>
      </c>
      <c r="Q273" s="1" t="b">
        <v>0</v>
      </c>
      <c r="R273" s="1">
        <v>1.0</v>
      </c>
      <c r="S273" s="1" t="s">
        <v>4701</v>
      </c>
      <c r="T273" s="3"/>
      <c r="U273" s="1" t="s">
        <v>4672</v>
      </c>
      <c r="V273" s="1" t="s">
        <v>4673</v>
      </c>
      <c r="W273" s="1" t="s">
        <v>6577</v>
      </c>
      <c r="X273" s="1" t="b">
        <v>0</v>
      </c>
      <c r="Y273" s="1" t="s">
        <v>4675</v>
      </c>
      <c r="Z273" s="1" t="s">
        <v>6577</v>
      </c>
      <c r="AB273" s="3"/>
      <c r="AC273" s="3"/>
      <c r="AD273" s="3"/>
      <c r="AE273" s="3"/>
      <c r="AF273" s="3"/>
      <c r="AG273" s="3"/>
      <c r="AH273" s="3"/>
      <c r="AI273" s="1" t="b">
        <v>0</v>
      </c>
      <c r="AJ273" s="1" t="b">
        <v>0</v>
      </c>
      <c r="AK273" s="1" t="s">
        <v>6577</v>
      </c>
      <c r="AL273" s="1" t="s">
        <v>6121</v>
      </c>
      <c r="AM273" s="1" t="s">
        <v>5286</v>
      </c>
      <c r="AN273" s="1" t="s">
        <v>5194</v>
      </c>
      <c r="AO273" s="1" t="s">
        <v>6577</v>
      </c>
      <c r="AP273" s="1" t="s">
        <v>4757</v>
      </c>
      <c r="AQ273" s="1" t="s">
        <v>4758</v>
      </c>
      <c r="AR273" s="1">
        <v>1.0</v>
      </c>
      <c r="AS273" s="3"/>
      <c r="AT273" s="3"/>
      <c r="AU273" s="4" t="s">
        <v>4970</v>
      </c>
      <c r="AV273" s="1" t="s">
        <v>4788</v>
      </c>
      <c r="AW273" s="1" t="s">
        <v>4971</v>
      </c>
      <c r="AX273" s="1" t="s">
        <v>4692</v>
      </c>
      <c r="AY273" s="1" t="s">
        <v>4790</v>
      </c>
      <c r="AZ273" s="1" t="s">
        <v>4791</v>
      </c>
      <c r="BA273" s="3"/>
      <c r="BB273" s="3"/>
      <c r="BC273" s="3"/>
      <c r="BD273" s="3"/>
      <c r="BE273" s="1" t="b">
        <v>1</v>
      </c>
      <c r="BF273" s="1" t="s">
        <v>4790</v>
      </c>
      <c r="BG273" s="1" t="s">
        <v>4692</v>
      </c>
      <c r="BH273" s="1" t="s">
        <v>4788</v>
      </c>
      <c r="BI273" s="1" t="s">
        <v>4971</v>
      </c>
      <c r="BJ273" s="1" t="s">
        <v>4791</v>
      </c>
      <c r="BK273" s="4" t="s">
        <v>4970</v>
      </c>
    </row>
    <row r="274">
      <c r="A274" s="1" t="s">
        <v>1205</v>
      </c>
      <c r="B274" s="1" t="s">
        <v>1204</v>
      </c>
      <c r="C274" s="1" t="s">
        <v>1204</v>
      </c>
      <c r="D274" s="1" t="s">
        <v>4711</v>
      </c>
      <c r="E274" s="1" t="s">
        <v>6578</v>
      </c>
      <c r="F274" s="1" t="s">
        <v>6579</v>
      </c>
      <c r="G274" s="3"/>
      <c r="H274" s="3"/>
      <c r="I274" s="1" t="s">
        <v>4669</v>
      </c>
      <c r="J274" s="1" t="s">
        <v>6580</v>
      </c>
      <c r="L274" s="3"/>
      <c r="M274" s="3"/>
      <c r="N274" s="3"/>
      <c r="O274" s="3"/>
      <c r="P274" s="1">
        <v>1.12250804E8</v>
      </c>
      <c r="Q274" s="1" t="b">
        <v>1</v>
      </c>
      <c r="R274" s="1">
        <v>278.0</v>
      </c>
      <c r="S274" s="1" t="s">
        <v>4885</v>
      </c>
      <c r="T274" s="3"/>
      <c r="U274" s="1" t="s">
        <v>4672</v>
      </c>
      <c r="V274" s="1" t="s">
        <v>4673</v>
      </c>
      <c r="W274" s="1" t="s">
        <v>6581</v>
      </c>
      <c r="X274" s="1" t="b">
        <v>0</v>
      </c>
      <c r="Y274" s="1" t="s">
        <v>4675</v>
      </c>
      <c r="Z274" s="1" t="s">
        <v>6582</v>
      </c>
      <c r="AB274" s="1" t="s">
        <v>4677</v>
      </c>
      <c r="AC274" s="1" t="s">
        <v>4678</v>
      </c>
      <c r="AD274" s="1" t="s">
        <v>4679</v>
      </c>
      <c r="AE274" s="1" t="s">
        <v>6583</v>
      </c>
      <c r="AF274" s="1" t="s">
        <v>4681</v>
      </c>
      <c r="AG274" s="1" t="s">
        <v>4682</v>
      </c>
      <c r="AH274" s="1">
        <v>38.0</v>
      </c>
      <c r="AI274" s="1" t="b">
        <v>0</v>
      </c>
      <c r="AJ274" s="1" t="b">
        <v>0</v>
      </c>
      <c r="AK274" s="1" t="s">
        <v>6584</v>
      </c>
      <c r="AL274" s="1" t="s">
        <v>4684</v>
      </c>
      <c r="AM274" s="1" t="s">
        <v>4685</v>
      </c>
      <c r="AN274" s="1" t="s">
        <v>4686</v>
      </c>
      <c r="AO274" s="1" t="s">
        <v>6582</v>
      </c>
      <c r="AP274" s="1" t="s">
        <v>4687</v>
      </c>
      <c r="AQ274" s="1" t="s">
        <v>4688</v>
      </c>
      <c r="AR274" s="1">
        <v>240.0</v>
      </c>
      <c r="AS274" s="3"/>
      <c r="AT274" s="3"/>
      <c r="AU274" s="4" t="s">
        <v>5009</v>
      </c>
      <c r="AV274" s="3"/>
      <c r="AW274" s="3"/>
      <c r="AX274" s="3"/>
      <c r="AY274" s="3"/>
      <c r="AZ274" s="3"/>
      <c r="BA274" s="3"/>
      <c r="BB274" s="3"/>
      <c r="BC274" s="3"/>
      <c r="BD274" s="3"/>
      <c r="BE274" s="1" t="b">
        <v>1</v>
      </c>
      <c r="BF274" s="3"/>
      <c r="BG274" s="3"/>
      <c r="BH274" s="3"/>
      <c r="BI274" s="3"/>
      <c r="BJ274" s="3"/>
      <c r="BK274" s="4" t="s">
        <v>4771</v>
      </c>
    </row>
    <row r="275">
      <c r="A275" s="1" t="s">
        <v>789</v>
      </c>
      <c r="B275" s="1" t="s">
        <v>788</v>
      </c>
      <c r="C275" s="1" t="s">
        <v>788</v>
      </c>
      <c r="D275" s="1" t="s">
        <v>6585</v>
      </c>
      <c r="E275" s="1" t="s">
        <v>6586</v>
      </c>
      <c r="F275" s="1" t="s">
        <v>6587</v>
      </c>
      <c r="G275" s="3"/>
      <c r="H275" s="3"/>
      <c r="I275" s="1" t="s">
        <v>5095</v>
      </c>
      <c r="J275" s="1" t="s">
        <v>6588</v>
      </c>
      <c r="L275" s="3"/>
      <c r="M275" s="3"/>
      <c r="N275" s="3"/>
      <c r="O275" s="3"/>
      <c r="P275" s="1">
        <v>1.08869815E8</v>
      </c>
      <c r="Q275" s="1" t="b">
        <v>1</v>
      </c>
      <c r="R275" s="1">
        <v>62.0</v>
      </c>
      <c r="S275" s="1" t="s">
        <v>4805</v>
      </c>
      <c r="T275" s="3"/>
      <c r="U275" s="1" t="s">
        <v>4672</v>
      </c>
      <c r="V275" s="1" t="s">
        <v>4673</v>
      </c>
      <c r="W275" s="1" t="s">
        <v>6589</v>
      </c>
      <c r="X275" s="1" t="b">
        <v>0</v>
      </c>
      <c r="Y275" s="1" t="s">
        <v>4675</v>
      </c>
      <c r="Z275" s="1" t="s">
        <v>6590</v>
      </c>
      <c r="AB275" s="1" t="s">
        <v>4677</v>
      </c>
      <c r="AC275" s="1" t="s">
        <v>4678</v>
      </c>
      <c r="AD275" s="1" t="s">
        <v>4679</v>
      </c>
      <c r="AE275" s="1" t="s">
        <v>6590</v>
      </c>
      <c r="AF275" s="1" t="s">
        <v>6591</v>
      </c>
      <c r="AG275" s="1" t="s">
        <v>4682</v>
      </c>
      <c r="AH275" s="1">
        <v>40.0</v>
      </c>
      <c r="AI275" s="1" t="b">
        <v>0</v>
      </c>
      <c r="AJ275" s="1" t="b">
        <v>0</v>
      </c>
      <c r="AK275" s="1" t="s">
        <v>6592</v>
      </c>
      <c r="AL275" s="1" t="s">
        <v>4719</v>
      </c>
      <c r="AM275" s="1" t="s">
        <v>4685</v>
      </c>
      <c r="AN275" s="1" t="s">
        <v>4686</v>
      </c>
      <c r="AO275" s="1" t="s">
        <v>6593</v>
      </c>
      <c r="AP275" s="1" t="s">
        <v>4687</v>
      </c>
      <c r="AQ275" s="1" t="s">
        <v>4688</v>
      </c>
      <c r="AR275" s="1">
        <v>22.0</v>
      </c>
      <c r="AS275" s="3"/>
      <c r="AT275" s="3"/>
      <c r="AU275" s="4" t="s">
        <v>4695</v>
      </c>
      <c r="AW275" s="3"/>
      <c r="AX275" s="3"/>
      <c r="AY275" s="3"/>
      <c r="AZ275" s="3"/>
      <c r="BA275" s="3"/>
      <c r="BB275" s="3"/>
      <c r="BC275" s="3"/>
      <c r="BD275" s="3"/>
      <c r="BE275" s="1" t="b">
        <v>1</v>
      </c>
      <c r="BF275" s="3"/>
      <c r="BG275" s="3"/>
      <c r="BH275" s="3"/>
      <c r="BI275" s="3"/>
      <c r="BJ275" s="3"/>
      <c r="BK275" s="4" t="s">
        <v>4695</v>
      </c>
      <c r="BL275" s="1" t="s">
        <v>4723</v>
      </c>
    </row>
    <row r="276">
      <c r="A276" s="1" t="s">
        <v>768</v>
      </c>
      <c r="B276" s="1" t="s">
        <v>767</v>
      </c>
      <c r="C276" s="1" t="s">
        <v>767</v>
      </c>
      <c r="D276" s="1" t="s">
        <v>4696</v>
      </c>
      <c r="E276" s="1" t="s">
        <v>6594</v>
      </c>
      <c r="F276" s="1" t="s">
        <v>6595</v>
      </c>
      <c r="G276" s="3"/>
      <c r="H276" s="3"/>
      <c r="I276" s="1" t="s">
        <v>4742</v>
      </c>
      <c r="J276" s="1" t="s">
        <v>6596</v>
      </c>
      <c r="K276" s="3">
        <f>+821045670321</f>
        <v>821045670321</v>
      </c>
      <c r="L276" s="3"/>
      <c r="M276" s="3"/>
      <c r="N276" s="3"/>
      <c r="O276" s="3"/>
      <c r="P276" s="1">
        <v>1.11198999E8</v>
      </c>
      <c r="Q276" s="1" t="b">
        <v>1</v>
      </c>
      <c r="R276" s="1">
        <v>124.0</v>
      </c>
      <c r="S276" s="1" t="s">
        <v>5281</v>
      </c>
      <c r="T276" s="3"/>
      <c r="U276" s="1" t="s">
        <v>4672</v>
      </c>
      <c r="V276" s="1" t="s">
        <v>4673</v>
      </c>
      <c r="W276" s="1" t="s">
        <v>6597</v>
      </c>
      <c r="X276" s="1" t="b">
        <v>0</v>
      </c>
      <c r="Y276" s="1" t="s">
        <v>4675</v>
      </c>
      <c r="Z276" s="1" t="s">
        <v>6598</v>
      </c>
      <c r="AB276" s="1" t="s">
        <v>4677</v>
      </c>
      <c r="AC276" s="1" t="s">
        <v>4678</v>
      </c>
      <c r="AD276" s="1" t="s">
        <v>4679</v>
      </c>
      <c r="AE276" s="1" t="s">
        <v>6598</v>
      </c>
      <c r="AF276" s="1" t="s">
        <v>5830</v>
      </c>
      <c r="AG276" s="1" t="s">
        <v>4682</v>
      </c>
      <c r="AH276" s="1">
        <v>28.0</v>
      </c>
      <c r="AI276" s="1" t="b">
        <v>0</v>
      </c>
      <c r="AJ276" s="1" t="b">
        <v>0</v>
      </c>
      <c r="AK276" s="1" t="s">
        <v>6599</v>
      </c>
      <c r="AL276" s="1" t="s">
        <v>4719</v>
      </c>
      <c r="AM276" s="1" t="s">
        <v>4685</v>
      </c>
      <c r="AN276" s="1" t="s">
        <v>4686</v>
      </c>
      <c r="AO276" s="1" t="s">
        <v>6600</v>
      </c>
      <c r="AP276" s="1" t="s">
        <v>4687</v>
      </c>
      <c r="AQ276" s="1" t="s">
        <v>4688</v>
      </c>
      <c r="AR276" s="1">
        <v>96.0</v>
      </c>
      <c r="AS276" s="3"/>
      <c r="AT276" s="3"/>
      <c r="AU276" s="4" t="s">
        <v>5699</v>
      </c>
      <c r="AW276" s="3"/>
      <c r="AX276" s="3"/>
      <c r="AY276" s="3"/>
      <c r="AZ276" s="3"/>
      <c r="BA276" s="3"/>
      <c r="BB276" s="3"/>
      <c r="BC276" s="3"/>
      <c r="BD276" s="3"/>
      <c r="BE276" s="1" t="b">
        <v>1</v>
      </c>
      <c r="BF276" s="3"/>
      <c r="BG276" s="3"/>
      <c r="BH276" s="3"/>
      <c r="BI276" s="3"/>
      <c r="BJ276" s="3"/>
      <c r="BK276" s="4" t="s">
        <v>4710</v>
      </c>
    </row>
    <row r="277">
      <c r="A277" s="1" t="s">
        <v>834</v>
      </c>
      <c r="B277" s="1" t="s">
        <v>833</v>
      </c>
      <c r="C277" s="1" t="s">
        <v>833</v>
      </c>
      <c r="D277" s="1" t="s">
        <v>5412</v>
      </c>
      <c r="E277" s="1" t="s">
        <v>6601</v>
      </c>
      <c r="F277" s="1" t="s">
        <v>6602</v>
      </c>
      <c r="G277" s="3"/>
      <c r="H277" s="3"/>
      <c r="I277" s="3"/>
      <c r="J277" s="1" t="s">
        <v>6603</v>
      </c>
      <c r="K277" s="3">
        <f>+821032128288</f>
        <v>821032128288</v>
      </c>
      <c r="L277" s="3"/>
      <c r="M277" s="3"/>
      <c r="N277" s="3"/>
      <c r="O277" s="3"/>
      <c r="P277" s="1">
        <v>1.22993661E8</v>
      </c>
      <c r="Q277" s="1" t="b">
        <v>1</v>
      </c>
      <c r="R277" s="1">
        <v>4.0</v>
      </c>
      <c r="S277" s="1" t="s">
        <v>4671</v>
      </c>
      <c r="T277" s="3"/>
      <c r="U277" s="1" t="s">
        <v>4672</v>
      </c>
      <c r="V277" s="1" t="s">
        <v>4673</v>
      </c>
      <c r="W277" s="1" t="s">
        <v>6604</v>
      </c>
      <c r="X277" s="1" t="b">
        <v>0</v>
      </c>
      <c r="Y277" s="1" t="s">
        <v>4675</v>
      </c>
      <c r="Z277" s="1" t="s">
        <v>6605</v>
      </c>
      <c r="AB277" s="3"/>
      <c r="AC277" s="3"/>
      <c r="AD277" s="3"/>
      <c r="AE277" s="3"/>
      <c r="AF277" s="3"/>
      <c r="AG277" s="3"/>
      <c r="AH277" s="3"/>
      <c r="AI277" s="1" t="b">
        <v>0</v>
      </c>
      <c r="AJ277" s="1" t="b">
        <v>0</v>
      </c>
      <c r="AK277" s="1" t="s">
        <v>6606</v>
      </c>
      <c r="AL277" s="1" t="s">
        <v>4707</v>
      </c>
      <c r="AM277" s="1" t="s">
        <v>4708</v>
      </c>
      <c r="AN277" s="1" t="s">
        <v>4686</v>
      </c>
      <c r="AO277" s="1" t="s">
        <v>6605</v>
      </c>
      <c r="AP277" s="1" t="s">
        <v>4709</v>
      </c>
      <c r="AQ277" s="1" t="s">
        <v>4688</v>
      </c>
      <c r="AR277" s="1">
        <v>4.0</v>
      </c>
      <c r="AS277" s="3"/>
      <c r="AT277" s="3"/>
      <c r="AU277" s="4" t="s">
        <v>4780</v>
      </c>
      <c r="AW277" s="3"/>
      <c r="AX277" s="3"/>
      <c r="AY277" s="1" t="s">
        <v>4761</v>
      </c>
      <c r="AZ277" s="3"/>
      <c r="BA277" s="3"/>
      <c r="BB277" s="3"/>
      <c r="BC277" s="3"/>
      <c r="BD277" s="3"/>
      <c r="BE277" s="1" t="b">
        <v>1</v>
      </c>
      <c r="BF277" s="1" t="s">
        <v>4761</v>
      </c>
      <c r="BG277" s="3"/>
      <c r="BH277" s="3"/>
      <c r="BI277" s="3"/>
      <c r="BJ277" s="3"/>
      <c r="BK277" s="4" t="s">
        <v>4780</v>
      </c>
    </row>
    <row r="278">
      <c r="A278" s="1" t="s">
        <v>1146</v>
      </c>
      <c r="B278" s="1" t="s">
        <v>1145</v>
      </c>
      <c r="C278" s="1" t="s">
        <v>1145</v>
      </c>
      <c r="D278" s="1" t="s">
        <v>4696</v>
      </c>
      <c r="E278" s="1" t="s">
        <v>6607</v>
      </c>
      <c r="F278" s="1" t="s">
        <v>6608</v>
      </c>
      <c r="G278" s="3"/>
      <c r="H278" s="3"/>
      <c r="I278" s="1" t="s">
        <v>4742</v>
      </c>
      <c r="J278" s="1" t="s">
        <v>6609</v>
      </c>
      <c r="K278" s="3">
        <f>+821020592361</f>
        <v>821020592361</v>
      </c>
      <c r="L278" s="3"/>
      <c r="M278" s="3"/>
      <c r="N278" s="3"/>
      <c r="O278" s="3"/>
      <c r="P278" s="1">
        <v>2.085888297E9</v>
      </c>
      <c r="Q278" s="1" t="b">
        <v>1</v>
      </c>
      <c r="R278" s="1">
        <v>405.0</v>
      </c>
      <c r="S278" s="1" t="s">
        <v>4805</v>
      </c>
      <c r="T278" s="3"/>
      <c r="U278" s="1" t="s">
        <v>4672</v>
      </c>
      <c r="V278" s="1" t="s">
        <v>4673</v>
      </c>
      <c r="W278" s="1" t="s">
        <v>6610</v>
      </c>
      <c r="X278" s="1" t="b">
        <v>0</v>
      </c>
      <c r="Y278" s="1" t="s">
        <v>4675</v>
      </c>
      <c r="Z278" s="1" t="s">
        <v>6611</v>
      </c>
      <c r="AB278" s="1" t="s">
        <v>4677</v>
      </c>
      <c r="AC278" s="1" t="s">
        <v>4678</v>
      </c>
      <c r="AD278" s="1" t="s">
        <v>4679</v>
      </c>
      <c r="AE278" s="1" t="s">
        <v>6612</v>
      </c>
      <c r="AF278" s="1" t="s">
        <v>4681</v>
      </c>
      <c r="AG278" s="1" t="s">
        <v>4682</v>
      </c>
      <c r="AH278" s="1">
        <v>28.0</v>
      </c>
      <c r="AI278" s="1" t="b">
        <v>0</v>
      </c>
      <c r="AJ278" s="1" t="b">
        <v>0</v>
      </c>
      <c r="AK278" s="1" t="s">
        <v>6613</v>
      </c>
      <c r="AL278" s="1" t="s">
        <v>4719</v>
      </c>
      <c r="AM278" s="1" t="s">
        <v>4685</v>
      </c>
      <c r="AN278" s="1" t="s">
        <v>4686</v>
      </c>
      <c r="AO278" s="1" t="s">
        <v>6611</v>
      </c>
      <c r="AP278" s="1" t="s">
        <v>4687</v>
      </c>
      <c r="AQ278" s="1" t="s">
        <v>4688</v>
      </c>
      <c r="AR278" s="1">
        <v>377.0</v>
      </c>
      <c r="AS278" s="3"/>
      <c r="AT278" s="3"/>
      <c r="AU278" s="4" t="s">
        <v>4695</v>
      </c>
      <c r="AW278" s="3"/>
      <c r="AX278" s="3"/>
      <c r="AY278" s="3"/>
      <c r="AZ278" s="3"/>
      <c r="BA278" s="3"/>
      <c r="BB278" s="3"/>
      <c r="BC278" s="3"/>
      <c r="BD278" s="3"/>
      <c r="BE278" s="1" t="b">
        <v>1</v>
      </c>
      <c r="BF278" s="3"/>
      <c r="BG278" s="3"/>
      <c r="BH278" s="3"/>
      <c r="BI278" s="3"/>
      <c r="BJ278" s="3"/>
      <c r="BK278" s="4" t="s">
        <v>4695</v>
      </c>
    </row>
    <row r="279">
      <c r="A279" s="1" t="s">
        <v>856</v>
      </c>
      <c r="B279" s="1" t="s">
        <v>855</v>
      </c>
      <c r="C279" s="3"/>
      <c r="D279" s="3"/>
      <c r="E279" s="3"/>
      <c r="F279" s="3"/>
      <c r="G279" s="3"/>
      <c r="H279" s="3"/>
      <c r="I279" s="3"/>
      <c r="J279" s="3"/>
      <c r="K279" s="3"/>
      <c r="L279" s="3"/>
      <c r="M279" s="3"/>
      <c r="N279" s="3"/>
      <c r="O279" s="3"/>
      <c r="P279" s="1" t="s">
        <v>6614</v>
      </c>
      <c r="Q279" s="1" t="b">
        <v>0</v>
      </c>
      <c r="R279" s="1">
        <v>1.0</v>
      </c>
      <c r="S279" s="1" t="s">
        <v>6615</v>
      </c>
      <c r="T279" s="3"/>
      <c r="U279" s="1" t="s">
        <v>4672</v>
      </c>
      <c r="V279" s="1" t="s">
        <v>4673</v>
      </c>
      <c r="W279" s="1" t="s">
        <v>6616</v>
      </c>
      <c r="X279" s="1" t="b">
        <v>0</v>
      </c>
      <c r="Y279" s="1" t="s">
        <v>4675</v>
      </c>
      <c r="Z279" s="1" t="s">
        <v>6617</v>
      </c>
      <c r="AB279" s="3"/>
      <c r="AC279" s="3"/>
      <c r="AD279" s="3"/>
      <c r="AE279" s="3"/>
      <c r="AF279" s="3"/>
      <c r="AG279" s="3"/>
      <c r="AH279" s="3"/>
      <c r="AI279" s="1" t="b">
        <v>0</v>
      </c>
      <c r="AJ279" s="1" t="b">
        <v>0</v>
      </c>
      <c r="AK279" s="1" t="s">
        <v>6616</v>
      </c>
      <c r="AL279" s="1" t="s">
        <v>5486</v>
      </c>
      <c r="AM279" s="1" t="s">
        <v>4685</v>
      </c>
      <c r="AN279" s="1" t="s">
        <v>4720</v>
      </c>
      <c r="AO279" s="1" t="s">
        <v>6617</v>
      </c>
      <c r="AP279" s="1" t="s">
        <v>4721</v>
      </c>
      <c r="AQ279" s="1" t="s">
        <v>4722</v>
      </c>
      <c r="AR279" s="1">
        <v>1.0</v>
      </c>
      <c r="AS279" s="3"/>
      <c r="AT279" s="3"/>
      <c r="AU279" s="4" t="s">
        <v>4934</v>
      </c>
      <c r="AW279" s="3"/>
      <c r="AX279" s="3"/>
      <c r="AY279" s="3"/>
      <c r="AZ279" s="3"/>
      <c r="BA279" s="3"/>
      <c r="BB279" s="3"/>
      <c r="BC279" s="3"/>
      <c r="BD279" s="3"/>
      <c r="BE279" s="1" t="b">
        <v>1</v>
      </c>
      <c r="BF279" s="3"/>
      <c r="BG279" s="3"/>
      <c r="BH279" s="3"/>
      <c r="BI279" s="3"/>
      <c r="BJ279" s="3"/>
      <c r="BK279" s="4" t="s">
        <v>4934</v>
      </c>
    </row>
    <row r="280">
      <c r="A280" s="1" t="s">
        <v>947</v>
      </c>
      <c r="B280" s="1" t="s">
        <v>946</v>
      </c>
      <c r="C280" s="1" t="s">
        <v>946</v>
      </c>
      <c r="D280" s="1" t="s">
        <v>4772</v>
      </c>
      <c r="E280" s="1" t="s">
        <v>6618</v>
      </c>
      <c r="F280" s="1" t="s">
        <v>6619</v>
      </c>
      <c r="G280" s="3"/>
      <c r="H280" s="3"/>
      <c r="I280" s="3"/>
      <c r="J280" s="1" t="s">
        <v>6620</v>
      </c>
      <c r="L280" s="3"/>
      <c r="M280" s="3"/>
      <c r="N280" s="3"/>
      <c r="O280" s="3"/>
      <c r="P280" s="1">
        <v>1.16713302E8</v>
      </c>
      <c r="Q280" s="1" t="b">
        <v>1</v>
      </c>
      <c r="R280" s="1">
        <v>6.0</v>
      </c>
      <c r="S280" s="1" t="s">
        <v>6621</v>
      </c>
      <c r="T280" s="3"/>
      <c r="U280" s="1" t="s">
        <v>4672</v>
      </c>
      <c r="V280" s="1" t="s">
        <v>4673</v>
      </c>
      <c r="W280" s="1" t="s">
        <v>6622</v>
      </c>
      <c r="X280" s="1" t="b">
        <v>0</v>
      </c>
      <c r="Y280" s="1" t="s">
        <v>4675</v>
      </c>
      <c r="Z280" s="1" t="s">
        <v>6623</v>
      </c>
      <c r="AB280" s="3"/>
      <c r="AC280" s="3"/>
      <c r="AD280" s="3"/>
      <c r="AE280" s="3"/>
      <c r="AF280" s="3"/>
      <c r="AG280" s="3"/>
      <c r="AH280" s="3"/>
      <c r="AI280" s="1" t="b">
        <v>0</v>
      </c>
      <c r="AJ280" s="1" t="b">
        <v>0</v>
      </c>
      <c r="AK280" s="1" t="s">
        <v>6623</v>
      </c>
      <c r="AL280" s="1" t="s">
        <v>5306</v>
      </c>
      <c r="AM280" s="1" t="s">
        <v>5307</v>
      </c>
      <c r="AN280" s="1" t="s">
        <v>4686</v>
      </c>
      <c r="AO280" s="1" t="s">
        <v>6623</v>
      </c>
      <c r="AP280" s="1" t="s">
        <v>4687</v>
      </c>
      <c r="AQ280" s="1" t="s">
        <v>4688</v>
      </c>
      <c r="AR280" s="1">
        <v>6.0</v>
      </c>
      <c r="AS280" s="3"/>
      <c r="AT280" s="3"/>
      <c r="AU280" s="4" t="s">
        <v>4695</v>
      </c>
      <c r="AW280" s="3"/>
      <c r="AX280" s="3"/>
      <c r="AY280" s="3"/>
      <c r="AZ280" s="3"/>
      <c r="BA280" s="3"/>
      <c r="BB280" s="3"/>
      <c r="BC280" s="3"/>
      <c r="BD280" s="3"/>
      <c r="BE280" s="1" t="b">
        <v>1</v>
      </c>
      <c r="BF280" s="3"/>
      <c r="BG280" s="3"/>
      <c r="BH280" s="3"/>
      <c r="BI280" s="3"/>
      <c r="BJ280" s="3"/>
      <c r="BK280" s="4" t="s">
        <v>4695</v>
      </c>
      <c r="BL280" s="1" t="s">
        <v>4723</v>
      </c>
    </row>
    <row r="281">
      <c r="A281" s="1" t="s">
        <v>1742</v>
      </c>
      <c r="B281" s="1" t="s">
        <v>1741</v>
      </c>
      <c r="C281" s="1" t="s">
        <v>1741</v>
      </c>
      <c r="D281" s="1" t="s">
        <v>4711</v>
      </c>
      <c r="E281" s="1" t="s">
        <v>6624</v>
      </c>
      <c r="F281" s="1" t="s">
        <v>6625</v>
      </c>
      <c r="G281" s="3"/>
      <c r="H281" s="3"/>
      <c r="I281" s="1" t="s">
        <v>4742</v>
      </c>
      <c r="J281" s="1" t="s">
        <v>6626</v>
      </c>
      <c r="L281" s="3"/>
      <c r="M281" s="3"/>
      <c r="N281" s="3"/>
      <c r="O281" s="3"/>
      <c r="P281" s="1">
        <v>1.10050003E8</v>
      </c>
      <c r="Q281" s="1" t="b">
        <v>1</v>
      </c>
      <c r="R281" s="1">
        <v>38.0</v>
      </c>
      <c r="S281" s="1" t="s">
        <v>5664</v>
      </c>
      <c r="T281" s="3"/>
      <c r="U281" s="1" t="s">
        <v>4672</v>
      </c>
      <c r="V281" s="1" t="s">
        <v>4673</v>
      </c>
      <c r="W281" s="1" t="s">
        <v>6627</v>
      </c>
      <c r="X281" s="1" t="b">
        <v>0</v>
      </c>
      <c r="Y281" s="1" t="s">
        <v>4675</v>
      </c>
      <c r="Z281" s="1" t="s">
        <v>6628</v>
      </c>
      <c r="AB281" s="1" t="s">
        <v>4677</v>
      </c>
      <c r="AC281" s="1" t="s">
        <v>4678</v>
      </c>
      <c r="AD281" s="1" t="s">
        <v>4679</v>
      </c>
      <c r="AE281" s="1" t="s">
        <v>6629</v>
      </c>
      <c r="AF281" s="1" t="s">
        <v>4681</v>
      </c>
      <c r="AG281" s="1" t="s">
        <v>4682</v>
      </c>
      <c r="AH281" s="1">
        <v>15.0</v>
      </c>
      <c r="AI281" s="1" t="b">
        <v>0</v>
      </c>
      <c r="AJ281" s="1" t="b">
        <v>0</v>
      </c>
      <c r="AK281" s="1" t="s">
        <v>6628</v>
      </c>
      <c r="AL281" s="1" t="s">
        <v>4719</v>
      </c>
      <c r="AM281" s="1" t="s">
        <v>4685</v>
      </c>
      <c r="AN281" s="1" t="s">
        <v>4686</v>
      </c>
      <c r="AO281" s="1" t="s">
        <v>6628</v>
      </c>
      <c r="AP281" s="1" t="s">
        <v>4687</v>
      </c>
      <c r="AQ281" s="1" t="s">
        <v>4688</v>
      </c>
      <c r="AR281" s="1">
        <v>23.0</v>
      </c>
      <c r="AS281" s="3"/>
      <c r="AT281" s="3"/>
      <c r="AU281" s="4" t="s">
        <v>6630</v>
      </c>
      <c r="AW281" s="3"/>
      <c r="AX281" s="3"/>
      <c r="AY281" s="3"/>
      <c r="AZ281" s="3"/>
      <c r="BA281" s="3"/>
      <c r="BB281" s="3"/>
      <c r="BC281" s="3"/>
      <c r="BD281" s="3"/>
      <c r="BE281" s="1" t="b">
        <v>1</v>
      </c>
      <c r="BF281" s="3"/>
      <c r="BG281" s="3"/>
      <c r="BH281" s="3"/>
      <c r="BI281" s="3"/>
      <c r="BJ281" s="3"/>
      <c r="BK281" s="4" t="s">
        <v>4695</v>
      </c>
      <c r="BL281" s="1" t="s">
        <v>4723</v>
      </c>
    </row>
    <row r="282">
      <c r="A282" s="1" t="s">
        <v>184</v>
      </c>
      <c r="B282" s="1" t="s">
        <v>183</v>
      </c>
      <c r="C282" s="1" t="s">
        <v>183</v>
      </c>
      <c r="D282" s="1" t="s">
        <v>4922</v>
      </c>
      <c r="E282" s="1" t="s">
        <v>6631</v>
      </c>
      <c r="F282" s="1" t="s">
        <v>6632</v>
      </c>
      <c r="G282" s="3"/>
      <c r="H282" s="3"/>
      <c r="I282" s="3"/>
      <c r="J282" s="1" t="s">
        <v>6633</v>
      </c>
      <c r="K282" s="3">
        <f>+821038269910</f>
        <v>821038269910</v>
      </c>
      <c r="L282" s="3"/>
      <c r="M282" s="3"/>
      <c r="N282" s="3"/>
      <c r="O282" s="3"/>
      <c r="P282" s="1">
        <v>1.22949111E8</v>
      </c>
      <c r="Q282" s="1" t="b">
        <v>1</v>
      </c>
      <c r="R282" s="1">
        <v>7.0</v>
      </c>
      <c r="S282" s="1" t="s">
        <v>5186</v>
      </c>
      <c r="T282" s="3"/>
      <c r="U282" s="1" t="s">
        <v>4672</v>
      </c>
      <c r="V282" s="1" t="s">
        <v>4673</v>
      </c>
      <c r="W282" s="1" t="s">
        <v>6634</v>
      </c>
      <c r="X282" s="1" t="b">
        <v>0</v>
      </c>
      <c r="Y282" s="1" t="s">
        <v>4675</v>
      </c>
      <c r="Z282" s="1" t="s">
        <v>6635</v>
      </c>
      <c r="AB282" s="3"/>
      <c r="AC282" s="3"/>
      <c r="AD282" s="3"/>
      <c r="AE282" s="3"/>
      <c r="AF282" s="3"/>
      <c r="AG282" s="3"/>
      <c r="AH282" s="3"/>
      <c r="AI282" s="1" t="b">
        <v>0</v>
      </c>
      <c r="AJ282" s="1" t="b">
        <v>0</v>
      </c>
      <c r="AK282" s="1" t="s">
        <v>6636</v>
      </c>
      <c r="AL282" s="1" t="s">
        <v>4719</v>
      </c>
      <c r="AM282" s="1" t="s">
        <v>4685</v>
      </c>
      <c r="AN282" s="1" t="s">
        <v>4720</v>
      </c>
      <c r="AO282" s="1" t="s">
        <v>6635</v>
      </c>
      <c r="AP282" s="1" t="s">
        <v>4721</v>
      </c>
      <c r="AQ282" s="1" t="s">
        <v>4722</v>
      </c>
      <c r="AR282" s="1">
        <v>7.0</v>
      </c>
      <c r="AS282" s="3"/>
      <c r="AT282" s="3"/>
      <c r="AU282" s="4" t="s">
        <v>4695</v>
      </c>
      <c r="AW282" s="3"/>
      <c r="AX282" s="3"/>
      <c r="AY282" s="3"/>
      <c r="AZ282" s="3"/>
      <c r="BA282" s="3"/>
      <c r="BB282" s="3"/>
      <c r="BC282" s="3"/>
      <c r="BD282" s="3"/>
      <c r="BE282" s="1" t="b">
        <v>1</v>
      </c>
      <c r="BF282" s="3"/>
      <c r="BG282" s="3"/>
      <c r="BH282" s="3"/>
      <c r="BI282" s="3"/>
      <c r="BJ282" s="3"/>
      <c r="BK282" s="4" t="s">
        <v>4695</v>
      </c>
    </row>
    <row r="283">
      <c r="A283" s="1" t="s">
        <v>1254</v>
      </c>
      <c r="B283" s="1" t="s">
        <v>1252</v>
      </c>
      <c r="C283" s="1" t="s">
        <v>1252</v>
      </c>
      <c r="D283" s="1" t="s">
        <v>4711</v>
      </c>
      <c r="E283" s="1" t="s">
        <v>6637</v>
      </c>
      <c r="F283" s="1" t="s">
        <v>6638</v>
      </c>
      <c r="G283" s="3"/>
      <c r="H283" s="3"/>
      <c r="I283" s="1" t="s">
        <v>6639</v>
      </c>
      <c r="J283" s="1" t="s">
        <v>6640</v>
      </c>
      <c r="K283" s="3">
        <f>+821093167266</f>
        <v>821093167266</v>
      </c>
      <c r="L283" s="3"/>
      <c r="M283" s="3"/>
      <c r="N283" s="3"/>
      <c r="O283" s="3"/>
      <c r="P283" s="1">
        <v>1.12278268E8</v>
      </c>
      <c r="Q283" s="1" t="b">
        <v>1</v>
      </c>
      <c r="R283" s="1">
        <v>32.0</v>
      </c>
      <c r="S283" s="1" t="s">
        <v>5588</v>
      </c>
      <c r="U283" s="1" t="s">
        <v>4672</v>
      </c>
      <c r="V283" s="1" t="s">
        <v>4673</v>
      </c>
      <c r="W283" s="1" t="s">
        <v>6641</v>
      </c>
      <c r="X283" s="1" t="b">
        <v>0</v>
      </c>
      <c r="Y283" s="1" t="s">
        <v>4675</v>
      </c>
      <c r="Z283" s="1" t="s">
        <v>6642</v>
      </c>
      <c r="AB283" s="3"/>
      <c r="AC283" s="3"/>
      <c r="AD283" s="3"/>
      <c r="AE283" s="3"/>
      <c r="AF283" s="3"/>
      <c r="AG283" s="3"/>
      <c r="AH283" s="3"/>
      <c r="AI283" s="1" t="b">
        <v>0</v>
      </c>
      <c r="AJ283" s="1" t="b">
        <v>0</v>
      </c>
      <c r="AK283" s="1" t="s">
        <v>6643</v>
      </c>
      <c r="AL283" s="1" t="s">
        <v>4719</v>
      </c>
      <c r="AM283" s="1" t="s">
        <v>4685</v>
      </c>
      <c r="AN283" s="1" t="s">
        <v>4686</v>
      </c>
      <c r="AO283" s="1" t="s">
        <v>6644</v>
      </c>
      <c r="AP283" s="1" t="s">
        <v>4687</v>
      </c>
      <c r="AQ283" s="1" t="s">
        <v>4688</v>
      </c>
      <c r="AR283" s="1">
        <v>32.0</v>
      </c>
      <c r="AS283" s="3"/>
      <c r="AT283" s="3"/>
      <c r="AU283" s="4" t="s">
        <v>4695</v>
      </c>
      <c r="AV283" s="1" t="s">
        <v>4690</v>
      </c>
      <c r="AW283" s="1" t="s">
        <v>4691</v>
      </c>
      <c r="AX283" s="1" t="s">
        <v>4692</v>
      </c>
      <c r="AY283" s="1" t="s">
        <v>4761</v>
      </c>
      <c r="AZ283" s="1" t="s">
        <v>4694</v>
      </c>
      <c r="BA283" s="3"/>
      <c r="BB283" s="3"/>
      <c r="BC283" s="3"/>
      <c r="BD283" s="3"/>
      <c r="BE283" s="1" t="b">
        <v>1</v>
      </c>
      <c r="BF283" s="1" t="s">
        <v>4761</v>
      </c>
      <c r="BG283" s="1" t="s">
        <v>4692</v>
      </c>
      <c r="BH283" s="1" t="s">
        <v>4690</v>
      </c>
      <c r="BI283" s="1" t="s">
        <v>4691</v>
      </c>
      <c r="BJ283" s="1" t="s">
        <v>4694</v>
      </c>
      <c r="BK283" s="4" t="s">
        <v>4695</v>
      </c>
      <c r="BL283" s="1" t="s">
        <v>4723</v>
      </c>
    </row>
    <row r="284">
      <c r="A284" s="1" t="s">
        <v>1411</v>
      </c>
      <c r="B284" s="1" t="s">
        <v>1408</v>
      </c>
      <c r="C284" s="1" t="s">
        <v>1408</v>
      </c>
      <c r="D284" s="1" t="s">
        <v>5000</v>
      </c>
      <c r="E284" s="1" t="s">
        <v>6645</v>
      </c>
      <c r="F284" s="1" t="s">
        <v>6646</v>
      </c>
      <c r="G284" s="3"/>
      <c r="H284" s="3"/>
      <c r="I284" s="1" t="s">
        <v>4669</v>
      </c>
      <c r="J284" s="1" t="s">
        <v>6647</v>
      </c>
      <c r="K284" s="3">
        <f>+821032451572</f>
        <v>821032451572</v>
      </c>
      <c r="L284" s="3"/>
      <c r="M284" s="3"/>
      <c r="N284" s="3"/>
      <c r="O284" s="3"/>
      <c r="P284" s="1">
        <v>1.123575E8</v>
      </c>
      <c r="Q284" s="1" t="b">
        <v>1</v>
      </c>
      <c r="R284" s="1">
        <v>10.0</v>
      </c>
      <c r="S284" s="1" t="s">
        <v>4752</v>
      </c>
      <c r="T284" s="3"/>
      <c r="U284" s="1" t="s">
        <v>4672</v>
      </c>
      <c r="V284" s="1" t="s">
        <v>4673</v>
      </c>
      <c r="W284" s="1" t="s">
        <v>6648</v>
      </c>
      <c r="X284" s="1" t="b">
        <v>0</v>
      </c>
      <c r="Y284" s="1" t="s">
        <v>4675</v>
      </c>
      <c r="Z284" s="1" t="s">
        <v>6649</v>
      </c>
      <c r="AB284" s="3"/>
      <c r="AC284" s="3"/>
      <c r="AD284" s="3"/>
      <c r="AE284" s="3"/>
      <c r="AF284" s="3"/>
      <c r="AG284" s="3"/>
      <c r="AH284" s="3"/>
      <c r="AI284" s="1" t="b">
        <v>0</v>
      </c>
      <c r="AJ284" s="1" t="b">
        <v>0</v>
      </c>
      <c r="AK284" s="1" t="s">
        <v>6650</v>
      </c>
      <c r="AL284" s="1" t="s">
        <v>4719</v>
      </c>
      <c r="AM284" s="1" t="s">
        <v>4685</v>
      </c>
      <c r="AN284" s="1" t="s">
        <v>4686</v>
      </c>
      <c r="AO284" s="1" t="s">
        <v>6649</v>
      </c>
      <c r="AP284" s="1" t="s">
        <v>4687</v>
      </c>
      <c r="AQ284" s="1" t="s">
        <v>4688</v>
      </c>
      <c r="AR284" s="1">
        <v>10.0</v>
      </c>
      <c r="AS284" s="3"/>
      <c r="AT284" s="3"/>
      <c r="AU284" s="3"/>
      <c r="AV284" s="3"/>
      <c r="AW284" s="3"/>
      <c r="AX284" s="3"/>
      <c r="AY284" s="3"/>
      <c r="AZ284" s="3"/>
      <c r="BA284" s="3"/>
      <c r="BB284" s="3"/>
      <c r="BC284" s="3"/>
      <c r="BD284" s="3"/>
      <c r="BE284" s="1" t="b">
        <v>1</v>
      </c>
      <c r="BF284" s="3"/>
      <c r="BG284" s="3"/>
      <c r="BH284" s="3"/>
      <c r="BI284" s="3"/>
      <c r="BJ284" s="3"/>
      <c r="BK284" s="3"/>
      <c r="BL284" s="3"/>
    </row>
    <row r="285">
      <c r="A285" s="1" t="s">
        <v>1080</v>
      </c>
      <c r="B285" s="1" t="s">
        <v>1079</v>
      </c>
      <c r="C285" s="1" t="s">
        <v>1079</v>
      </c>
      <c r="D285" s="1" t="s">
        <v>5320</v>
      </c>
      <c r="E285" s="1" t="s">
        <v>4697</v>
      </c>
      <c r="F285" s="1" t="s">
        <v>4698</v>
      </c>
      <c r="G285" s="3"/>
      <c r="H285" s="3"/>
      <c r="I285" s="3"/>
      <c r="J285" s="1" t="s">
        <v>6651</v>
      </c>
      <c r="L285" s="3"/>
      <c r="M285" s="3"/>
      <c r="N285" s="3"/>
      <c r="O285" s="3"/>
      <c r="P285" s="1">
        <v>1.22945915E8</v>
      </c>
      <c r="Q285" s="1" t="b">
        <v>1</v>
      </c>
      <c r="R285" s="1">
        <v>9.0</v>
      </c>
      <c r="S285" s="1" t="s">
        <v>4918</v>
      </c>
      <c r="T285" s="3"/>
      <c r="U285" s="1" t="s">
        <v>4672</v>
      </c>
      <c r="V285" s="1" t="s">
        <v>4673</v>
      </c>
      <c r="W285" s="1" t="s">
        <v>6652</v>
      </c>
      <c r="X285" s="1" t="b">
        <v>0</v>
      </c>
      <c r="Y285" s="1" t="s">
        <v>4675</v>
      </c>
      <c r="Z285" s="1" t="s">
        <v>6653</v>
      </c>
      <c r="AB285" s="1" t="s">
        <v>4677</v>
      </c>
      <c r="AC285" s="1" t="s">
        <v>4678</v>
      </c>
      <c r="AD285" s="1" t="s">
        <v>4679</v>
      </c>
      <c r="AE285" s="1" t="s">
        <v>6654</v>
      </c>
      <c r="AF285" s="1" t="s">
        <v>4681</v>
      </c>
      <c r="AG285" s="1" t="s">
        <v>4682</v>
      </c>
      <c r="AH285" s="1">
        <v>4.0</v>
      </c>
      <c r="AI285" s="1" t="b">
        <v>0</v>
      </c>
      <c r="AJ285" s="1" t="b">
        <v>0</v>
      </c>
      <c r="AK285" s="1" t="s">
        <v>6655</v>
      </c>
      <c r="AL285" s="1" t="s">
        <v>4719</v>
      </c>
      <c r="AM285" s="1" t="s">
        <v>4685</v>
      </c>
      <c r="AN285" s="1" t="s">
        <v>4686</v>
      </c>
      <c r="AO285" s="1" t="s">
        <v>6653</v>
      </c>
      <c r="AP285" s="1" t="s">
        <v>4687</v>
      </c>
      <c r="AQ285" s="1" t="s">
        <v>4688</v>
      </c>
      <c r="AR285" s="1">
        <v>5.0</v>
      </c>
      <c r="AS285" s="3"/>
      <c r="AT285" s="3"/>
      <c r="AU285" s="4" t="s">
        <v>5699</v>
      </c>
      <c r="AW285" s="3"/>
      <c r="AX285" s="3"/>
      <c r="AY285" s="3"/>
      <c r="AZ285" s="3"/>
      <c r="BA285" s="3"/>
      <c r="BB285" s="3"/>
      <c r="BC285" s="3"/>
      <c r="BD285" s="3"/>
      <c r="BE285" s="1" t="b">
        <v>1</v>
      </c>
      <c r="BF285" s="3"/>
      <c r="BG285" s="3"/>
      <c r="BH285" s="3"/>
      <c r="BI285" s="3"/>
      <c r="BJ285" s="3"/>
      <c r="BK285" s="4" t="s">
        <v>4695</v>
      </c>
    </row>
    <row r="286">
      <c r="A286" s="1" t="s">
        <v>419</v>
      </c>
      <c r="B286" s="1" t="s">
        <v>418</v>
      </c>
      <c r="C286" s="3"/>
      <c r="D286" s="3"/>
      <c r="E286" s="3"/>
      <c r="F286" s="3"/>
      <c r="G286" s="3"/>
      <c r="H286" s="3"/>
      <c r="I286" s="3"/>
      <c r="J286" s="3"/>
      <c r="K286" s="3"/>
      <c r="L286" s="3"/>
      <c r="M286" s="3"/>
      <c r="N286" s="3"/>
      <c r="O286" s="3"/>
      <c r="P286" s="1" t="s">
        <v>6656</v>
      </c>
      <c r="Q286" s="1" t="b">
        <v>0</v>
      </c>
      <c r="R286" s="1">
        <v>5.0</v>
      </c>
      <c r="S286" s="1" t="s">
        <v>6155</v>
      </c>
      <c r="T286" s="3"/>
      <c r="U286" s="1" t="s">
        <v>4672</v>
      </c>
      <c r="V286" s="1" t="s">
        <v>4673</v>
      </c>
      <c r="W286" s="1" t="s">
        <v>6657</v>
      </c>
      <c r="X286" s="1" t="b">
        <v>0</v>
      </c>
      <c r="Y286" s="1" t="s">
        <v>4675</v>
      </c>
      <c r="Z286" s="1" t="s">
        <v>6658</v>
      </c>
      <c r="AB286" s="3"/>
      <c r="AC286" s="3"/>
      <c r="AD286" s="3"/>
      <c r="AE286" s="3"/>
      <c r="AF286" s="3"/>
      <c r="AG286" s="3"/>
      <c r="AH286" s="3"/>
      <c r="AI286" s="1" t="b">
        <v>0</v>
      </c>
      <c r="AJ286" s="1" t="b">
        <v>0</v>
      </c>
      <c r="AK286" s="1" t="s">
        <v>6658</v>
      </c>
      <c r="AL286" s="1" t="s">
        <v>5134</v>
      </c>
      <c r="AM286" s="1" t="s">
        <v>5135</v>
      </c>
      <c r="AN286" s="1" t="s">
        <v>4679</v>
      </c>
      <c r="AO286" s="1" t="s">
        <v>6658</v>
      </c>
      <c r="AP286" s="1" t="s">
        <v>5054</v>
      </c>
      <c r="AQ286" s="1" t="s">
        <v>4682</v>
      </c>
      <c r="AR286" s="1">
        <v>5.0</v>
      </c>
      <c r="AS286" s="3"/>
      <c r="AT286" s="3"/>
      <c r="AU286" s="4" t="s">
        <v>6659</v>
      </c>
      <c r="AV286" s="1" t="s">
        <v>4788</v>
      </c>
      <c r="AW286" s="1" t="s">
        <v>5091</v>
      </c>
      <c r="AX286" s="1" t="s">
        <v>4936</v>
      </c>
      <c r="AY286" s="1" t="s">
        <v>4761</v>
      </c>
      <c r="AZ286" s="3"/>
      <c r="BA286" s="3"/>
      <c r="BB286" s="3"/>
      <c r="BC286" s="3"/>
      <c r="BD286" s="3"/>
      <c r="BE286" s="1" t="b">
        <v>1</v>
      </c>
      <c r="BF286" s="1" t="s">
        <v>4761</v>
      </c>
      <c r="BG286" s="1" t="s">
        <v>4936</v>
      </c>
      <c r="BH286" s="1" t="s">
        <v>4788</v>
      </c>
      <c r="BI286" s="1" t="s">
        <v>5091</v>
      </c>
      <c r="BJ286" s="3"/>
      <c r="BK286" s="4" t="s">
        <v>4934</v>
      </c>
    </row>
    <row r="287">
      <c r="A287" s="1" t="s">
        <v>447</v>
      </c>
      <c r="B287" s="1" t="s">
        <v>446</v>
      </c>
      <c r="C287" s="1" t="s">
        <v>446</v>
      </c>
      <c r="D287" s="1" t="s">
        <v>5961</v>
      </c>
      <c r="E287" s="1" t="s">
        <v>5962</v>
      </c>
      <c r="F287" s="1" t="s">
        <v>5963</v>
      </c>
      <c r="G287" s="3"/>
      <c r="H287" s="3"/>
      <c r="I287" s="3"/>
      <c r="J287" s="1" t="s">
        <v>6660</v>
      </c>
      <c r="K287" s="3"/>
      <c r="L287" s="3"/>
      <c r="M287" s="3"/>
      <c r="N287" s="3"/>
      <c r="O287" s="3"/>
      <c r="P287" s="1">
        <v>1.22912413E8</v>
      </c>
      <c r="Q287" s="1" t="b">
        <v>1</v>
      </c>
      <c r="R287" s="1">
        <v>12.0</v>
      </c>
      <c r="S287" s="1" t="s">
        <v>5965</v>
      </c>
      <c r="T287" s="3"/>
      <c r="U287" s="1" t="s">
        <v>4672</v>
      </c>
      <c r="V287" s="1" t="s">
        <v>4673</v>
      </c>
      <c r="W287" s="1" t="s">
        <v>6661</v>
      </c>
      <c r="X287" s="1" t="b">
        <v>0</v>
      </c>
      <c r="Y287" s="1" t="s">
        <v>4675</v>
      </c>
      <c r="Z287" s="1" t="s">
        <v>6662</v>
      </c>
      <c r="AB287" s="1" t="s">
        <v>4677</v>
      </c>
      <c r="AC287" s="1" t="s">
        <v>4678</v>
      </c>
      <c r="AD287" s="1" t="s">
        <v>4679</v>
      </c>
      <c r="AE287" s="1" t="s">
        <v>6663</v>
      </c>
      <c r="AF287" s="1" t="s">
        <v>6664</v>
      </c>
      <c r="AG287" s="1" t="s">
        <v>4682</v>
      </c>
      <c r="AH287" s="1">
        <v>3.0</v>
      </c>
      <c r="AI287" s="1" t="b">
        <v>0</v>
      </c>
      <c r="AJ287" s="1" t="b">
        <v>0</v>
      </c>
      <c r="AK287" s="1" t="s">
        <v>6665</v>
      </c>
      <c r="AL287" s="1" t="s">
        <v>4719</v>
      </c>
      <c r="AM287" s="1" t="s">
        <v>4685</v>
      </c>
      <c r="AN287" s="1" t="s">
        <v>4686</v>
      </c>
      <c r="AO287" s="1" t="s">
        <v>6662</v>
      </c>
      <c r="AP287" s="1" t="s">
        <v>4687</v>
      </c>
      <c r="AQ287" s="1" t="s">
        <v>4688</v>
      </c>
      <c r="AR287" s="1">
        <v>9.0</v>
      </c>
      <c r="AS287" s="3"/>
      <c r="AT287" s="3"/>
      <c r="AU287" s="3"/>
      <c r="AV287" s="3"/>
      <c r="AW287" s="3"/>
      <c r="AX287" s="3"/>
      <c r="AY287" s="3"/>
      <c r="AZ287" s="3"/>
      <c r="BA287" s="3"/>
      <c r="BB287" s="3"/>
      <c r="BC287" s="3"/>
      <c r="BD287" s="3"/>
      <c r="BE287" s="1" t="b">
        <v>1</v>
      </c>
      <c r="BF287" s="3"/>
      <c r="BG287" s="3"/>
      <c r="BH287" s="3"/>
      <c r="BI287" s="3"/>
      <c r="BJ287" s="3"/>
      <c r="BK287" s="3"/>
      <c r="BL287" s="3"/>
    </row>
    <row r="288">
      <c r="A288" s="1" t="s">
        <v>943</v>
      </c>
      <c r="B288" s="1" t="s">
        <v>941</v>
      </c>
      <c r="C288" s="1" t="s">
        <v>941</v>
      </c>
      <c r="D288" s="1" t="s">
        <v>5092</v>
      </c>
      <c r="E288" s="1" t="s">
        <v>6666</v>
      </c>
      <c r="F288" s="1" t="s">
        <v>6667</v>
      </c>
      <c r="G288" s="3"/>
      <c r="H288" s="3"/>
      <c r="I288" s="3"/>
      <c r="J288" s="1" t="s">
        <v>6668</v>
      </c>
      <c r="K288" s="3"/>
      <c r="L288" s="3"/>
      <c r="M288" s="3"/>
      <c r="N288" s="3"/>
      <c r="O288" s="3"/>
      <c r="P288" s="1">
        <v>2.086131083E9</v>
      </c>
      <c r="Q288" s="1" t="b">
        <v>1</v>
      </c>
      <c r="R288" s="1">
        <v>2.0</v>
      </c>
      <c r="S288" s="1" t="s">
        <v>4805</v>
      </c>
      <c r="T288" s="3"/>
      <c r="U288" s="1" t="s">
        <v>4672</v>
      </c>
      <c r="V288" s="1" t="s">
        <v>4673</v>
      </c>
      <c r="W288" s="1" t="s">
        <v>6669</v>
      </c>
      <c r="X288" s="1" t="b">
        <v>0</v>
      </c>
      <c r="Y288" s="1" t="s">
        <v>4675</v>
      </c>
      <c r="Z288" s="1" t="s">
        <v>6670</v>
      </c>
      <c r="AB288" s="3"/>
      <c r="AC288" s="3"/>
      <c r="AD288" s="3"/>
      <c r="AE288" s="3"/>
      <c r="AF288" s="3"/>
      <c r="AG288" s="3"/>
      <c r="AH288" s="3"/>
      <c r="AI288" s="1" t="b">
        <v>0</v>
      </c>
      <c r="AJ288" s="1" t="b">
        <v>0</v>
      </c>
      <c r="AK288" s="1" t="s">
        <v>6671</v>
      </c>
      <c r="AL288" s="1" t="s">
        <v>4984</v>
      </c>
      <c r="AM288" s="1" t="s">
        <v>4685</v>
      </c>
      <c r="AN288" s="1" t="s">
        <v>4720</v>
      </c>
      <c r="AO288" s="1" t="s">
        <v>6672</v>
      </c>
      <c r="AP288" s="1" t="s">
        <v>4721</v>
      </c>
      <c r="AQ288" s="1" t="s">
        <v>4722</v>
      </c>
      <c r="AR288" s="1">
        <v>2.0</v>
      </c>
      <c r="AS288" s="3"/>
      <c r="AT288" s="3"/>
      <c r="AU288" s="4" t="s">
        <v>4695</v>
      </c>
      <c r="AW288" s="3"/>
      <c r="AX288" s="3"/>
      <c r="AY288" s="3"/>
      <c r="AZ288" s="3"/>
      <c r="BA288" s="3"/>
      <c r="BB288" s="3"/>
      <c r="BC288" s="3"/>
      <c r="BD288" s="3"/>
      <c r="BE288" s="1" t="b">
        <v>1</v>
      </c>
      <c r="BF288" s="3"/>
      <c r="BG288" s="3"/>
      <c r="BH288" s="3"/>
      <c r="BI288" s="3"/>
      <c r="BJ288" s="3"/>
      <c r="BK288" s="4" t="s">
        <v>4695</v>
      </c>
      <c r="BL288" s="1" t="s">
        <v>4723</v>
      </c>
    </row>
    <row r="289">
      <c r="A289" s="1" t="s">
        <v>134</v>
      </c>
      <c r="B289" s="1" t="s">
        <v>133</v>
      </c>
      <c r="C289" s="1" t="s">
        <v>133</v>
      </c>
      <c r="D289" s="1" t="s">
        <v>4772</v>
      </c>
      <c r="E289" s="1" t="s">
        <v>6673</v>
      </c>
      <c r="F289" s="1" t="s">
        <v>6674</v>
      </c>
      <c r="G289" s="3"/>
      <c r="H289" s="3"/>
      <c r="I289" s="1" t="s">
        <v>4742</v>
      </c>
      <c r="J289" s="1" t="s">
        <v>6675</v>
      </c>
      <c r="K289" s="3">
        <f>+821027668090</f>
        <v>821027668090</v>
      </c>
      <c r="L289" s="3"/>
      <c r="M289" s="3"/>
      <c r="N289" s="3"/>
      <c r="O289" s="3"/>
      <c r="P289" s="1">
        <v>1.12112467E8</v>
      </c>
      <c r="Q289" s="1" t="b">
        <v>1</v>
      </c>
      <c r="R289" s="1">
        <v>501.0</v>
      </c>
      <c r="S289" s="1" t="s">
        <v>6676</v>
      </c>
      <c r="T289" s="3"/>
      <c r="U289" s="1" t="s">
        <v>4672</v>
      </c>
      <c r="V289" s="1" t="s">
        <v>4673</v>
      </c>
      <c r="W289" s="1" t="s">
        <v>6677</v>
      </c>
      <c r="X289" s="1" t="b">
        <v>0</v>
      </c>
      <c r="Y289" s="1" t="s">
        <v>4675</v>
      </c>
      <c r="Z289" s="1" t="s">
        <v>6678</v>
      </c>
      <c r="AB289" s="3"/>
      <c r="AC289" s="3"/>
      <c r="AD289" s="3"/>
      <c r="AE289" s="3"/>
      <c r="AF289" s="3"/>
      <c r="AG289" s="3"/>
      <c r="AH289" s="3"/>
      <c r="AI289" s="1" t="b">
        <v>0</v>
      </c>
      <c r="AJ289" s="1" t="b">
        <v>0</v>
      </c>
      <c r="AK289" s="1" t="s">
        <v>6679</v>
      </c>
      <c r="AL289" s="1" t="s">
        <v>4769</v>
      </c>
      <c r="AM289" s="1" t="s">
        <v>4708</v>
      </c>
      <c r="AN289" s="1" t="s">
        <v>4686</v>
      </c>
      <c r="AO289" s="1" t="s">
        <v>6678</v>
      </c>
      <c r="AP289" s="1" t="s">
        <v>4709</v>
      </c>
      <c r="AQ289" s="1" t="s">
        <v>4688</v>
      </c>
      <c r="AR289" s="1">
        <v>501.0</v>
      </c>
      <c r="AS289" s="3"/>
      <c r="AT289" s="3"/>
      <c r="AU289" s="4" t="s">
        <v>5009</v>
      </c>
      <c r="AV289" s="3"/>
      <c r="AW289" s="3"/>
      <c r="AX289" s="3"/>
      <c r="AY289" s="3"/>
      <c r="AZ289" s="3"/>
      <c r="BA289" s="3"/>
      <c r="BB289" s="3"/>
      <c r="BC289" s="3"/>
      <c r="BD289" s="3"/>
      <c r="BE289" s="1" t="b">
        <v>1</v>
      </c>
      <c r="BF289" s="3"/>
      <c r="BG289" s="3"/>
      <c r="BH289" s="3"/>
      <c r="BI289" s="3"/>
      <c r="BJ289" s="3"/>
      <c r="BK289" s="4" t="s">
        <v>5009</v>
      </c>
      <c r="BL289" s="3"/>
    </row>
    <row r="290">
      <c r="A290" s="1" t="s">
        <v>1487</v>
      </c>
      <c r="B290" s="1" t="s">
        <v>1486</v>
      </c>
      <c r="C290" s="1" t="s">
        <v>1486</v>
      </c>
      <c r="D290" s="1" t="s">
        <v>4724</v>
      </c>
      <c r="E290" s="1" t="s">
        <v>6680</v>
      </c>
      <c r="F290" s="1" t="s">
        <v>6681</v>
      </c>
      <c r="G290" s="3"/>
      <c r="H290" s="3"/>
      <c r="I290" s="1" t="s">
        <v>4669</v>
      </c>
      <c r="J290" s="1" t="s">
        <v>6682</v>
      </c>
      <c r="K290" s="3">
        <f>+821096172389</f>
        <v>821096172389</v>
      </c>
      <c r="L290" s="3"/>
      <c r="M290" s="3"/>
      <c r="N290" s="3"/>
      <c r="O290" s="3"/>
      <c r="P290" s="1">
        <v>1.12559164E8</v>
      </c>
      <c r="Q290" s="1" t="b">
        <v>1</v>
      </c>
      <c r="R290" s="1">
        <v>8.0</v>
      </c>
      <c r="S290" s="1" t="s">
        <v>5965</v>
      </c>
      <c r="T290" s="3"/>
      <c r="U290" s="1" t="s">
        <v>4672</v>
      </c>
      <c r="V290" s="1" t="s">
        <v>4673</v>
      </c>
      <c r="W290" s="1" t="s">
        <v>6683</v>
      </c>
      <c r="X290" s="1" t="b">
        <v>0</v>
      </c>
      <c r="Y290" s="1" t="s">
        <v>4675</v>
      </c>
      <c r="Z290" s="1" t="s">
        <v>6684</v>
      </c>
      <c r="AB290" s="3"/>
      <c r="AC290" s="3"/>
      <c r="AD290" s="3"/>
      <c r="AE290" s="3"/>
      <c r="AF290" s="3"/>
      <c r="AG290" s="3"/>
      <c r="AH290" s="3"/>
      <c r="AI290" s="1" t="b">
        <v>0</v>
      </c>
      <c r="AJ290" s="1" t="b">
        <v>0</v>
      </c>
      <c r="AK290" s="1" t="s">
        <v>6685</v>
      </c>
      <c r="AL290" s="1" t="s">
        <v>5486</v>
      </c>
      <c r="AM290" s="1" t="s">
        <v>4685</v>
      </c>
      <c r="AN290" s="1" t="s">
        <v>4686</v>
      </c>
      <c r="AO290" s="1" t="s">
        <v>6684</v>
      </c>
      <c r="AP290" s="1" t="s">
        <v>4687</v>
      </c>
      <c r="AQ290" s="1" t="s">
        <v>4688</v>
      </c>
      <c r="AR290" s="1">
        <v>8.0</v>
      </c>
      <c r="AS290" s="3"/>
      <c r="AT290" s="3"/>
      <c r="AU290" s="4" t="s">
        <v>4695</v>
      </c>
      <c r="AV290" s="1" t="s">
        <v>4788</v>
      </c>
      <c r="AW290" s="1" t="s">
        <v>5091</v>
      </c>
      <c r="AX290" s="1" t="s">
        <v>4936</v>
      </c>
      <c r="AY290" s="1" t="s">
        <v>4761</v>
      </c>
      <c r="AZ290" s="3"/>
      <c r="BA290" s="3"/>
      <c r="BB290" s="3"/>
      <c r="BC290" s="3"/>
      <c r="BD290" s="3"/>
      <c r="BE290" s="1" t="b">
        <v>1</v>
      </c>
      <c r="BF290" s="1" t="s">
        <v>4761</v>
      </c>
      <c r="BG290" s="1" t="s">
        <v>4936</v>
      </c>
      <c r="BH290" s="1" t="s">
        <v>4788</v>
      </c>
      <c r="BI290" s="1" t="s">
        <v>5091</v>
      </c>
      <c r="BJ290" s="3"/>
      <c r="BK290" s="4" t="s">
        <v>4695</v>
      </c>
    </row>
    <row r="291">
      <c r="A291" s="1" t="s">
        <v>817</v>
      </c>
      <c r="B291" s="1" t="s">
        <v>816</v>
      </c>
      <c r="C291" s="1" t="s">
        <v>816</v>
      </c>
      <c r="D291" s="1" t="s">
        <v>4696</v>
      </c>
      <c r="E291" s="1" t="s">
        <v>6686</v>
      </c>
      <c r="F291" s="1" t="s">
        <v>6687</v>
      </c>
      <c r="G291" s="3"/>
      <c r="H291" s="1" t="s">
        <v>4861</v>
      </c>
      <c r="I291" s="1" t="s">
        <v>4733</v>
      </c>
      <c r="J291" s="1" t="s">
        <v>6688</v>
      </c>
      <c r="K291" s="3">
        <f>+821085114488</f>
        <v>821085114488</v>
      </c>
      <c r="L291" s="3"/>
      <c r="M291" s="3"/>
      <c r="N291" s="3"/>
      <c r="O291" s="3"/>
      <c r="P291" s="1">
        <v>1.17305052E8</v>
      </c>
      <c r="Q291" s="1" t="b">
        <v>1</v>
      </c>
      <c r="R291" s="1">
        <v>37.0</v>
      </c>
      <c r="S291" s="1" t="s">
        <v>6316</v>
      </c>
      <c r="T291" s="3"/>
      <c r="U291" s="1" t="s">
        <v>4672</v>
      </c>
      <c r="V291" s="1" t="s">
        <v>4673</v>
      </c>
      <c r="W291" s="1" t="s">
        <v>6689</v>
      </c>
      <c r="X291" s="1" t="b">
        <v>0</v>
      </c>
      <c r="Y291" s="1" t="s">
        <v>4675</v>
      </c>
      <c r="Z291" s="1" t="s">
        <v>6690</v>
      </c>
      <c r="AB291" s="3"/>
      <c r="AC291" s="3"/>
      <c r="AD291" s="3"/>
      <c r="AE291" s="3"/>
      <c r="AF291" s="3"/>
      <c r="AG291" s="3"/>
      <c r="AH291" s="3"/>
      <c r="AI291" s="1" t="b">
        <v>0</v>
      </c>
      <c r="AJ291" s="1" t="b">
        <v>0</v>
      </c>
      <c r="AK291" s="1" t="s">
        <v>6691</v>
      </c>
      <c r="AL291" s="1" t="s">
        <v>4719</v>
      </c>
      <c r="AM291" s="1" t="s">
        <v>4685</v>
      </c>
      <c r="AN291" s="1" t="s">
        <v>4686</v>
      </c>
      <c r="AO291" s="1" t="s">
        <v>6690</v>
      </c>
      <c r="AP291" s="1" t="s">
        <v>4687</v>
      </c>
      <c r="AQ291" s="1" t="s">
        <v>4688</v>
      </c>
      <c r="AR291" s="1">
        <v>37.0</v>
      </c>
      <c r="AS291" s="3"/>
      <c r="AT291" s="3"/>
      <c r="AU291" s="4" t="s">
        <v>4695</v>
      </c>
      <c r="AW291" s="3"/>
      <c r="AX291" s="3"/>
      <c r="AY291" s="1" t="s">
        <v>4761</v>
      </c>
      <c r="AZ291" s="3"/>
      <c r="BA291" s="3"/>
      <c r="BB291" s="3"/>
      <c r="BC291" s="3"/>
      <c r="BD291" s="3"/>
      <c r="BE291" s="1" t="b">
        <v>1</v>
      </c>
      <c r="BF291" s="3"/>
      <c r="BG291" s="3"/>
      <c r="BH291" s="3"/>
      <c r="BI291" s="3"/>
      <c r="BJ291" s="3"/>
      <c r="BK291" s="4" t="s">
        <v>5897</v>
      </c>
      <c r="BL291" s="1" t="s">
        <v>4723</v>
      </c>
    </row>
    <row r="292">
      <c r="A292" s="1" t="s">
        <v>1588</v>
      </c>
      <c r="B292" s="1" t="s">
        <v>1587</v>
      </c>
      <c r="C292" s="3"/>
      <c r="D292" s="3"/>
      <c r="E292" s="3"/>
      <c r="F292" s="3"/>
      <c r="G292" s="3"/>
      <c r="H292" s="3"/>
      <c r="I292" s="1" t="s">
        <v>4669</v>
      </c>
      <c r="J292" s="3"/>
      <c r="K292" s="3"/>
      <c r="L292" s="3"/>
      <c r="M292" s="3"/>
      <c r="N292" s="3"/>
      <c r="O292" s="3"/>
      <c r="P292" s="1" t="s">
        <v>6692</v>
      </c>
      <c r="Q292" s="1" t="b">
        <v>0</v>
      </c>
      <c r="R292" s="1">
        <v>1.0</v>
      </c>
      <c r="S292" s="1" t="s">
        <v>4805</v>
      </c>
      <c r="T292" s="3"/>
      <c r="U292" s="1" t="s">
        <v>4672</v>
      </c>
      <c r="V292" s="1" t="s">
        <v>4673</v>
      </c>
      <c r="W292" s="1" t="s">
        <v>6693</v>
      </c>
      <c r="X292" s="1" t="b">
        <v>0</v>
      </c>
      <c r="Y292" s="1" t="s">
        <v>4675</v>
      </c>
      <c r="Z292" s="1" t="s">
        <v>6694</v>
      </c>
      <c r="AB292" s="3"/>
      <c r="AC292" s="3"/>
      <c r="AD292" s="3"/>
      <c r="AE292" s="3"/>
      <c r="AF292" s="3"/>
      <c r="AG292" s="3"/>
      <c r="AH292" s="3"/>
      <c r="AI292" s="1" t="b">
        <v>0</v>
      </c>
      <c r="AJ292" s="1" t="b">
        <v>0</v>
      </c>
      <c r="AK292" s="1" t="s">
        <v>6695</v>
      </c>
      <c r="AL292" s="1" t="s">
        <v>6121</v>
      </c>
      <c r="AM292" s="1" t="s">
        <v>5286</v>
      </c>
      <c r="AN292" s="1" t="s">
        <v>6696</v>
      </c>
      <c r="AO292" s="1" t="s">
        <v>6694</v>
      </c>
      <c r="AP292" s="1" t="s">
        <v>4757</v>
      </c>
      <c r="AQ292" s="1" t="s">
        <v>4758</v>
      </c>
      <c r="AR292" s="1">
        <v>1.0</v>
      </c>
      <c r="AS292" s="3"/>
      <c r="AT292" s="3"/>
      <c r="AU292" s="4" t="s">
        <v>4970</v>
      </c>
      <c r="AV292" s="1" t="s">
        <v>4788</v>
      </c>
      <c r="AW292" s="1" t="s">
        <v>4971</v>
      </c>
      <c r="AX292" s="1" t="s">
        <v>4692</v>
      </c>
      <c r="AY292" s="1" t="s">
        <v>4790</v>
      </c>
      <c r="AZ292" s="1" t="s">
        <v>4791</v>
      </c>
      <c r="BA292" s="3"/>
      <c r="BB292" s="3"/>
      <c r="BC292" s="3"/>
      <c r="BD292" s="3"/>
      <c r="BE292" s="1" t="b">
        <v>1</v>
      </c>
      <c r="BF292" s="1" t="s">
        <v>4790</v>
      </c>
      <c r="BG292" s="1" t="s">
        <v>4692</v>
      </c>
      <c r="BH292" s="1" t="s">
        <v>4788</v>
      </c>
      <c r="BI292" s="1" t="s">
        <v>4971</v>
      </c>
      <c r="BJ292" s="1" t="s">
        <v>4791</v>
      </c>
      <c r="BK292" s="4" t="s">
        <v>4970</v>
      </c>
    </row>
    <row r="293">
      <c r="A293" s="1" t="s">
        <v>1529</v>
      </c>
      <c r="B293" s="1" t="s">
        <v>1528</v>
      </c>
      <c r="C293" s="1" t="s">
        <v>1528</v>
      </c>
      <c r="D293" s="1" t="s">
        <v>4922</v>
      </c>
      <c r="E293" s="1" t="s">
        <v>6697</v>
      </c>
      <c r="F293" s="1" t="s">
        <v>6698</v>
      </c>
      <c r="G293" s="3"/>
      <c r="H293" s="3"/>
      <c r="I293" s="1" t="s">
        <v>4872</v>
      </c>
      <c r="J293" s="1" t="s">
        <v>6699</v>
      </c>
      <c r="K293" s="3">
        <f>+821072262160</f>
        <v>821072262160</v>
      </c>
      <c r="L293" s="3"/>
      <c r="M293" s="3"/>
      <c r="N293" s="3"/>
      <c r="O293" s="3"/>
      <c r="P293" s="1">
        <v>1.12355641E8</v>
      </c>
      <c r="Q293" s="1" t="b">
        <v>1</v>
      </c>
      <c r="R293" s="1">
        <v>258.0</v>
      </c>
      <c r="S293" s="1" t="s">
        <v>6700</v>
      </c>
      <c r="T293" s="3"/>
      <c r="U293" s="1" t="s">
        <v>4672</v>
      </c>
      <c r="V293" s="1" t="s">
        <v>4673</v>
      </c>
      <c r="W293" s="1" t="s">
        <v>6701</v>
      </c>
      <c r="X293" s="1" t="b">
        <v>0</v>
      </c>
      <c r="Y293" s="1" t="s">
        <v>4675</v>
      </c>
      <c r="Z293" s="1" t="s">
        <v>6702</v>
      </c>
      <c r="AB293" s="1" t="s">
        <v>4677</v>
      </c>
      <c r="AC293" s="1" t="s">
        <v>4678</v>
      </c>
      <c r="AD293" s="1" t="s">
        <v>4679</v>
      </c>
      <c r="AE293" s="1" t="s">
        <v>6702</v>
      </c>
      <c r="AF293" s="1" t="s">
        <v>4681</v>
      </c>
      <c r="AG293" s="1" t="s">
        <v>4682</v>
      </c>
      <c r="AH293" s="1">
        <v>125.0</v>
      </c>
      <c r="AI293" s="1" t="b">
        <v>0</v>
      </c>
      <c r="AJ293" s="1" t="b">
        <v>0</v>
      </c>
      <c r="AK293" s="1" t="s">
        <v>6702</v>
      </c>
      <c r="AL293" s="1" t="s">
        <v>4684</v>
      </c>
      <c r="AM293" s="1" t="s">
        <v>4685</v>
      </c>
      <c r="AN293" s="1" t="s">
        <v>4686</v>
      </c>
      <c r="AO293" s="1" t="s">
        <v>6703</v>
      </c>
      <c r="AP293" s="1" t="s">
        <v>4687</v>
      </c>
      <c r="AQ293" s="1" t="s">
        <v>4688</v>
      </c>
      <c r="AR293" s="1">
        <v>133.0</v>
      </c>
      <c r="AS293" s="3"/>
      <c r="AT293" s="3"/>
      <c r="AU293" s="4" t="s">
        <v>5009</v>
      </c>
      <c r="AV293" s="3"/>
      <c r="AW293" s="3"/>
      <c r="AX293" s="3"/>
      <c r="AY293" s="3"/>
      <c r="AZ293" s="3"/>
      <c r="BA293" s="3"/>
      <c r="BB293" s="3"/>
      <c r="BC293" s="3"/>
      <c r="BD293" s="3"/>
      <c r="BE293" s="1" t="b">
        <v>1</v>
      </c>
      <c r="BF293" s="3"/>
      <c r="BG293" s="3"/>
      <c r="BH293" s="3"/>
      <c r="BI293" s="3"/>
      <c r="BJ293" s="3"/>
      <c r="BK293" s="4" t="s">
        <v>4771</v>
      </c>
    </row>
    <row r="294">
      <c r="A294" s="1" t="s">
        <v>188</v>
      </c>
      <c r="B294" s="1" t="s">
        <v>187</v>
      </c>
      <c r="C294" s="1" t="s">
        <v>187</v>
      </c>
      <c r="D294" s="1" t="s">
        <v>4696</v>
      </c>
      <c r="E294" s="1" t="s">
        <v>6704</v>
      </c>
      <c r="F294" s="1" t="s">
        <v>6705</v>
      </c>
      <c r="G294" s="3"/>
      <c r="H294" s="3"/>
      <c r="I294" s="3"/>
      <c r="J294" s="1" t="s">
        <v>6706</v>
      </c>
      <c r="K294" s="3">
        <f>+821089860003</f>
        <v>821089860003</v>
      </c>
      <c r="L294" s="3"/>
      <c r="M294" s="3"/>
      <c r="N294" s="3"/>
      <c r="O294" s="3"/>
      <c r="P294" s="1">
        <v>2.085875406E9</v>
      </c>
      <c r="Q294" s="1" t="b">
        <v>1</v>
      </c>
      <c r="R294" s="1">
        <v>15.0</v>
      </c>
      <c r="S294" s="1" t="s">
        <v>4918</v>
      </c>
      <c r="T294" s="3"/>
      <c r="U294" s="1" t="s">
        <v>4672</v>
      </c>
      <c r="V294" s="1" t="s">
        <v>4673</v>
      </c>
      <c r="W294" s="1" t="s">
        <v>6707</v>
      </c>
      <c r="X294" s="1" t="b">
        <v>0</v>
      </c>
      <c r="Y294" s="1" t="s">
        <v>4675</v>
      </c>
      <c r="Z294" s="1" t="s">
        <v>6708</v>
      </c>
      <c r="AB294" s="3"/>
      <c r="AC294" s="3"/>
      <c r="AD294" s="3"/>
      <c r="AE294" s="3"/>
      <c r="AF294" s="3"/>
      <c r="AG294" s="3"/>
      <c r="AH294" s="3"/>
      <c r="AI294" s="1" t="b">
        <v>0</v>
      </c>
      <c r="AJ294" s="1" t="b">
        <v>0</v>
      </c>
      <c r="AK294" s="1" t="s">
        <v>6709</v>
      </c>
      <c r="AL294" s="1" t="s">
        <v>4684</v>
      </c>
      <c r="AM294" s="1" t="s">
        <v>4685</v>
      </c>
      <c r="AN294" s="1" t="s">
        <v>4720</v>
      </c>
      <c r="AO294" s="1" t="s">
        <v>6708</v>
      </c>
      <c r="AP294" s="1" t="s">
        <v>4721</v>
      </c>
      <c r="AQ294" s="1" t="s">
        <v>4722</v>
      </c>
      <c r="AR294" s="1">
        <v>15.0</v>
      </c>
      <c r="AS294" s="3"/>
      <c r="AT294" s="3"/>
      <c r="AU294" s="4" t="s">
        <v>4771</v>
      </c>
      <c r="AW294" s="3"/>
      <c r="AX294" s="3"/>
      <c r="AY294" s="3"/>
      <c r="AZ294" s="3"/>
      <c r="BA294" s="3"/>
      <c r="BB294" s="3"/>
      <c r="BC294" s="3"/>
      <c r="BD294" s="3"/>
      <c r="BE294" s="1" t="b">
        <v>1</v>
      </c>
      <c r="BF294" s="3"/>
      <c r="BG294" s="3"/>
      <c r="BH294" s="3"/>
      <c r="BI294" s="3"/>
      <c r="BJ294" s="3"/>
      <c r="BK294" s="4" t="s">
        <v>4710</v>
      </c>
      <c r="BL294" s="1" t="s">
        <v>4723</v>
      </c>
    </row>
    <row r="295">
      <c r="A295" s="1" t="s">
        <v>1847</v>
      </c>
      <c r="B295" s="1" t="s">
        <v>1846</v>
      </c>
      <c r="C295" s="1" t="s">
        <v>1846</v>
      </c>
      <c r="D295" s="1" t="s">
        <v>4696</v>
      </c>
      <c r="E295" s="1" t="s">
        <v>6710</v>
      </c>
      <c r="F295" s="1" t="s">
        <v>6711</v>
      </c>
      <c r="G295" s="3"/>
      <c r="H295" s="3"/>
      <c r="I295" s="1" t="s">
        <v>4742</v>
      </c>
      <c r="J295" s="1" t="s">
        <v>6712</v>
      </c>
      <c r="K295" s="3">
        <f>+821088997542</f>
        <v>821088997542</v>
      </c>
      <c r="L295" s="3"/>
      <c r="M295" s="3"/>
      <c r="N295" s="3"/>
      <c r="O295" s="3"/>
      <c r="P295" s="1">
        <v>1.09806128E8</v>
      </c>
      <c r="Q295" s="1" t="b">
        <v>1</v>
      </c>
      <c r="R295" s="1">
        <v>6.0</v>
      </c>
      <c r="S295" s="1" t="s">
        <v>4918</v>
      </c>
      <c r="T295" s="3"/>
      <c r="U295" s="1" t="s">
        <v>4672</v>
      </c>
      <c r="V295" s="1" t="s">
        <v>4673</v>
      </c>
      <c r="W295" s="1" t="s">
        <v>6713</v>
      </c>
      <c r="X295" s="1" t="b">
        <v>0</v>
      </c>
      <c r="Y295" s="1" t="s">
        <v>4675</v>
      </c>
      <c r="Z295" s="1" t="s">
        <v>6714</v>
      </c>
      <c r="AB295" s="3"/>
      <c r="AC295" s="3"/>
      <c r="AD295" s="3"/>
      <c r="AE295" s="3"/>
      <c r="AF295" s="3"/>
      <c r="AG295" s="3"/>
      <c r="AH295" s="3"/>
      <c r="AI295" s="1" t="b">
        <v>0</v>
      </c>
      <c r="AJ295" s="1" t="b">
        <v>0</v>
      </c>
      <c r="AK295" s="1" t="s">
        <v>6715</v>
      </c>
      <c r="AL295" s="1" t="s">
        <v>4719</v>
      </c>
      <c r="AM295" s="1" t="s">
        <v>4685</v>
      </c>
      <c r="AN295" s="1" t="s">
        <v>4686</v>
      </c>
      <c r="AO295" s="1" t="s">
        <v>6714</v>
      </c>
      <c r="AP295" s="1" t="s">
        <v>4687</v>
      </c>
      <c r="AQ295" s="1" t="s">
        <v>4688</v>
      </c>
      <c r="AR295" s="1">
        <v>6.0</v>
      </c>
      <c r="AS295" s="3"/>
      <c r="AT295" s="3"/>
      <c r="AU295" s="3"/>
      <c r="AV295" s="3"/>
      <c r="AW295" s="3"/>
      <c r="AX295" s="3"/>
      <c r="AY295" s="3"/>
      <c r="AZ295" s="3"/>
      <c r="BA295" s="3"/>
      <c r="BB295" s="3"/>
      <c r="BC295" s="3"/>
      <c r="BD295" s="3"/>
      <c r="BE295" s="1" t="b">
        <v>1</v>
      </c>
      <c r="BF295" s="3"/>
      <c r="BG295" s="3"/>
      <c r="BH295" s="3"/>
      <c r="BI295" s="3"/>
      <c r="BJ295" s="3"/>
      <c r="BK295" s="3"/>
      <c r="BL295" s="1" t="s">
        <v>4723</v>
      </c>
    </row>
    <row r="296">
      <c r="A296" s="1" t="s">
        <v>1928</v>
      </c>
      <c r="B296" s="1" t="s">
        <v>1927</v>
      </c>
      <c r="C296" s="1" t="s">
        <v>1927</v>
      </c>
      <c r="D296" s="1" t="s">
        <v>4696</v>
      </c>
      <c r="E296" s="1" t="s">
        <v>6716</v>
      </c>
      <c r="F296" s="1" t="s">
        <v>6717</v>
      </c>
      <c r="G296" s="3"/>
      <c r="H296" s="3"/>
      <c r="I296" s="1" t="s">
        <v>4742</v>
      </c>
      <c r="J296" s="1" t="s">
        <v>6718</v>
      </c>
      <c r="K296" s="3">
        <f>+821024667406</f>
        <v>821024667406</v>
      </c>
      <c r="L296" s="3"/>
      <c r="M296" s="3"/>
      <c r="N296" s="3"/>
      <c r="O296" s="3"/>
      <c r="P296" s="1">
        <v>1.11026844E8</v>
      </c>
      <c r="Q296" s="1" t="b">
        <v>1</v>
      </c>
      <c r="R296" s="1">
        <v>378.0</v>
      </c>
      <c r="S296" s="1" t="s">
        <v>4918</v>
      </c>
      <c r="T296" s="3"/>
      <c r="U296" s="1" t="s">
        <v>4672</v>
      </c>
      <c r="V296" s="1" t="s">
        <v>4673</v>
      </c>
      <c r="W296" s="1" t="s">
        <v>6719</v>
      </c>
      <c r="X296" s="1" t="b">
        <v>0</v>
      </c>
      <c r="Y296" s="1" t="s">
        <v>4675</v>
      </c>
      <c r="Z296" s="1" t="s">
        <v>6720</v>
      </c>
      <c r="AB296" s="3"/>
      <c r="AC296" s="3"/>
      <c r="AD296" s="3"/>
      <c r="AE296" s="3"/>
      <c r="AF296" s="3"/>
      <c r="AG296" s="3"/>
      <c r="AH296" s="3"/>
      <c r="AI296" s="1" t="b">
        <v>0</v>
      </c>
      <c r="AJ296" s="1" t="b">
        <v>0</v>
      </c>
      <c r="AK296" s="1" t="s">
        <v>6721</v>
      </c>
      <c r="AL296" s="1" t="s">
        <v>4707</v>
      </c>
      <c r="AM296" s="1" t="s">
        <v>4708</v>
      </c>
      <c r="AN296" s="1" t="s">
        <v>4686</v>
      </c>
      <c r="AO296" s="1" t="s">
        <v>6720</v>
      </c>
      <c r="AP296" s="1" t="s">
        <v>4709</v>
      </c>
      <c r="AQ296" s="1" t="s">
        <v>4688</v>
      </c>
      <c r="AR296" s="1">
        <v>378.0</v>
      </c>
      <c r="AS296" s="3"/>
      <c r="AT296" s="3"/>
      <c r="AU296" s="4" t="s">
        <v>6722</v>
      </c>
      <c r="BE296" s="1" t="b">
        <v>1</v>
      </c>
      <c r="BF296" s="3"/>
      <c r="BG296" s="3"/>
      <c r="BH296" s="3"/>
      <c r="BI296" s="3"/>
      <c r="BJ296" s="3"/>
      <c r="BK296" s="4" t="s">
        <v>4780</v>
      </c>
    </row>
    <row r="297">
      <c r="A297" s="1" t="s">
        <v>348</v>
      </c>
      <c r="B297" s="1" t="s">
        <v>347</v>
      </c>
      <c r="C297" s="3"/>
      <c r="D297" s="3"/>
      <c r="E297" s="3"/>
      <c r="F297" s="3"/>
      <c r="G297" s="3"/>
      <c r="H297" s="3"/>
      <c r="I297" s="3"/>
      <c r="J297" s="3"/>
      <c r="K297" s="3"/>
      <c r="L297" s="3"/>
      <c r="M297" s="3"/>
      <c r="N297" s="3"/>
      <c r="O297" s="3"/>
      <c r="P297" s="1" t="s">
        <v>6723</v>
      </c>
      <c r="Q297" s="1" t="b">
        <v>0</v>
      </c>
      <c r="R297" s="1">
        <v>2.0</v>
      </c>
      <c r="S297" s="1" t="s">
        <v>4752</v>
      </c>
      <c r="T297" s="3"/>
      <c r="U297" s="1" t="s">
        <v>4672</v>
      </c>
      <c r="V297" s="1" t="s">
        <v>4673</v>
      </c>
      <c r="W297" s="1" t="s">
        <v>6724</v>
      </c>
      <c r="X297" s="1" t="b">
        <v>0</v>
      </c>
      <c r="Y297" s="1" t="s">
        <v>5087</v>
      </c>
      <c r="Z297" s="1" t="s">
        <v>6725</v>
      </c>
      <c r="AB297" s="3"/>
      <c r="AC297" s="3"/>
      <c r="AD297" s="3"/>
      <c r="AE297" s="3"/>
      <c r="AF297" s="3"/>
      <c r="AG297" s="3"/>
      <c r="AH297" s="3"/>
      <c r="AI297" s="1" t="b">
        <v>0</v>
      </c>
      <c r="AJ297" s="1" t="b">
        <v>0</v>
      </c>
      <c r="AK297" s="1" t="s">
        <v>6725</v>
      </c>
      <c r="AL297" s="1" t="s">
        <v>4684</v>
      </c>
      <c r="AM297" s="1" t="s">
        <v>4685</v>
      </c>
      <c r="AN297" s="1" t="s">
        <v>4795</v>
      </c>
      <c r="AO297" s="1" t="s">
        <v>6725</v>
      </c>
      <c r="AP297" s="1" t="s">
        <v>4796</v>
      </c>
      <c r="AQ297" s="1" t="s">
        <v>4758</v>
      </c>
      <c r="AR297" s="1">
        <v>2.0</v>
      </c>
      <c r="AS297" s="3"/>
      <c r="AT297" s="3"/>
      <c r="AU297" s="1" t="s">
        <v>6726</v>
      </c>
      <c r="AW297" s="3"/>
      <c r="AX297" s="3"/>
      <c r="AY297" s="3"/>
      <c r="AZ297" s="3"/>
      <c r="BA297" s="3"/>
      <c r="BB297" s="3"/>
      <c r="BC297" s="3"/>
      <c r="BD297" s="3"/>
      <c r="BE297" s="1" t="b">
        <v>1</v>
      </c>
      <c r="BF297" s="3"/>
      <c r="BG297" s="3"/>
      <c r="BH297" s="3"/>
      <c r="BI297" s="3"/>
      <c r="BJ297" s="3"/>
      <c r="BK297" s="1" t="s">
        <v>6726</v>
      </c>
    </row>
    <row r="298">
      <c r="A298" s="1" t="s">
        <v>1480</v>
      </c>
      <c r="B298" s="1" t="s">
        <v>1478</v>
      </c>
      <c r="C298" s="1" t="s">
        <v>1478</v>
      </c>
      <c r="D298" s="1" t="s">
        <v>4711</v>
      </c>
      <c r="E298" s="1" t="s">
        <v>6727</v>
      </c>
      <c r="F298" s="1" t="s">
        <v>6728</v>
      </c>
      <c r="G298" s="3"/>
      <c r="H298" s="1" t="s">
        <v>4861</v>
      </c>
      <c r="I298" s="1" t="s">
        <v>6729</v>
      </c>
      <c r="J298" s="1" t="s">
        <v>6730</v>
      </c>
      <c r="K298" s="3">
        <f>+821075513096</f>
        <v>821075513096</v>
      </c>
      <c r="L298" s="3"/>
      <c r="M298" s="3"/>
      <c r="N298" s="3"/>
      <c r="O298" s="3"/>
      <c r="P298" s="1">
        <v>1.16712371E8</v>
      </c>
      <c r="Q298" s="1" t="b">
        <v>1</v>
      </c>
      <c r="R298" s="1">
        <v>1790.0</v>
      </c>
      <c r="S298" s="1" t="s">
        <v>4752</v>
      </c>
      <c r="T298" s="3"/>
      <c r="U298" s="1" t="s">
        <v>4672</v>
      </c>
      <c r="V298" s="1" t="s">
        <v>4673</v>
      </c>
      <c r="W298" s="1" t="s">
        <v>6731</v>
      </c>
      <c r="X298" s="1" t="b">
        <v>0</v>
      </c>
      <c r="Y298" s="1" t="s">
        <v>4675</v>
      </c>
      <c r="Z298" s="1" t="s">
        <v>6732</v>
      </c>
      <c r="AB298" s="1" t="s">
        <v>4677</v>
      </c>
      <c r="AC298" s="1" t="s">
        <v>4678</v>
      </c>
      <c r="AD298" s="1" t="s">
        <v>4679</v>
      </c>
      <c r="AE298" s="1" t="s">
        <v>6733</v>
      </c>
      <c r="AF298" s="1" t="s">
        <v>4681</v>
      </c>
      <c r="AG298" s="1" t="s">
        <v>4682</v>
      </c>
      <c r="AH298" s="1">
        <v>28.0</v>
      </c>
      <c r="AI298" s="1" t="b">
        <v>0</v>
      </c>
      <c r="AJ298" s="1" t="b">
        <v>0</v>
      </c>
      <c r="AK298" s="1" t="s">
        <v>6734</v>
      </c>
      <c r="AL298" s="1" t="s">
        <v>4684</v>
      </c>
      <c r="AM298" s="1" t="s">
        <v>4685</v>
      </c>
      <c r="AN298" s="1" t="s">
        <v>4686</v>
      </c>
      <c r="AO298" s="1" t="s">
        <v>6732</v>
      </c>
      <c r="AP298" s="1" t="s">
        <v>4687</v>
      </c>
      <c r="AQ298" s="1" t="s">
        <v>4688</v>
      </c>
      <c r="AR298" s="1">
        <v>1762.0</v>
      </c>
      <c r="AS298" s="3"/>
      <c r="AT298" s="3"/>
      <c r="AU298" s="4" t="s">
        <v>4695</v>
      </c>
      <c r="AW298" s="3"/>
      <c r="AX298" s="3"/>
      <c r="AY298" s="3"/>
      <c r="AZ298" s="3"/>
      <c r="BA298" s="3"/>
      <c r="BB298" s="3"/>
      <c r="BC298" s="3"/>
      <c r="BD298" s="3"/>
      <c r="BE298" s="1" t="b">
        <v>1</v>
      </c>
      <c r="BF298" s="3"/>
      <c r="BG298" s="3"/>
      <c r="BH298" s="3"/>
      <c r="BI298" s="3"/>
      <c r="BJ298" s="3"/>
      <c r="BK298" s="4" t="s">
        <v>6263</v>
      </c>
    </row>
    <row r="299">
      <c r="A299" s="1" t="s">
        <v>455</v>
      </c>
      <c r="B299" s="1" t="s">
        <v>454</v>
      </c>
      <c r="C299" s="1" t="s">
        <v>454</v>
      </c>
      <c r="D299" s="1" t="s">
        <v>6735</v>
      </c>
      <c r="E299" s="1" t="s">
        <v>6736</v>
      </c>
      <c r="F299" s="1" t="s">
        <v>6737</v>
      </c>
      <c r="G299" s="3"/>
      <c r="H299" s="3"/>
      <c r="I299" s="3"/>
      <c r="J299" s="1" t="s">
        <v>6738</v>
      </c>
      <c r="L299" s="3"/>
      <c r="M299" s="3"/>
      <c r="N299" s="3"/>
      <c r="O299" s="3"/>
      <c r="P299" s="1">
        <v>1.11033597E8</v>
      </c>
      <c r="Q299" s="1" t="b">
        <v>1</v>
      </c>
      <c r="R299" s="1">
        <v>23.0</v>
      </c>
      <c r="S299" s="1" t="s">
        <v>5429</v>
      </c>
      <c r="T299" s="3"/>
      <c r="U299" s="1" t="s">
        <v>4672</v>
      </c>
      <c r="V299" s="1" t="s">
        <v>4673</v>
      </c>
      <c r="W299" s="1" t="s">
        <v>6739</v>
      </c>
      <c r="X299" s="1" t="b">
        <v>0</v>
      </c>
      <c r="Y299" s="1" t="s">
        <v>4675</v>
      </c>
      <c r="Z299" s="1" t="s">
        <v>6740</v>
      </c>
      <c r="AB299" s="3"/>
      <c r="AC299" s="3"/>
      <c r="AD299" s="3"/>
      <c r="AE299" s="3"/>
      <c r="AF299" s="3"/>
      <c r="AG299" s="3"/>
      <c r="AH299" s="3"/>
      <c r="AI299" s="1" t="b">
        <v>0</v>
      </c>
      <c r="AJ299" s="1" t="b">
        <v>0</v>
      </c>
      <c r="AK299" s="1" t="s">
        <v>6740</v>
      </c>
      <c r="AL299" s="1" t="s">
        <v>4684</v>
      </c>
      <c r="AM299" s="1" t="s">
        <v>4685</v>
      </c>
      <c r="AN299" s="1" t="s">
        <v>4686</v>
      </c>
      <c r="AO299" s="1" t="s">
        <v>6740</v>
      </c>
      <c r="AP299" s="1" t="s">
        <v>4687</v>
      </c>
      <c r="AQ299" s="1" t="s">
        <v>4688</v>
      </c>
      <c r="AR299" s="1">
        <v>23.0</v>
      </c>
      <c r="AS299" s="3"/>
      <c r="AT299" s="3"/>
      <c r="AU299" s="4" t="s">
        <v>6741</v>
      </c>
      <c r="BE299" s="1" t="b">
        <v>1</v>
      </c>
      <c r="BF299" s="3"/>
      <c r="BG299" s="3"/>
      <c r="BH299" s="3"/>
      <c r="BI299" s="3"/>
      <c r="BJ299" s="3"/>
      <c r="BK299" s="4" t="s">
        <v>4695</v>
      </c>
    </row>
    <row r="300">
      <c r="A300" s="1" t="s">
        <v>971</v>
      </c>
      <c r="B300" s="1" t="s">
        <v>970</v>
      </c>
      <c r="C300" s="1" t="s">
        <v>970</v>
      </c>
      <c r="D300" s="1" t="s">
        <v>5597</v>
      </c>
      <c r="E300" s="1" t="s">
        <v>5598</v>
      </c>
      <c r="F300" s="1" t="s">
        <v>5599</v>
      </c>
      <c r="G300" s="3"/>
      <c r="H300" s="3"/>
      <c r="I300" s="3"/>
      <c r="J300" s="1" t="s">
        <v>6742</v>
      </c>
      <c r="L300" s="3"/>
      <c r="M300" s="3"/>
      <c r="N300" s="3"/>
      <c r="O300" s="3"/>
      <c r="P300" s="1">
        <v>1.22949073E8</v>
      </c>
      <c r="Q300" s="1" t="b">
        <v>1</v>
      </c>
      <c r="R300" s="1">
        <v>30.0</v>
      </c>
      <c r="S300" s="1" t="s">
        <v>6743</v>
      </c>
      <c r="T300" s="3"/>
      <c r="U300" s="1" t="s">
        <v>4672</v>
      </c>
      <c r="V300" s="1" t="s">
        <v>4673</v>
      </c>
      <c r="W300" s="1" t="s">
        <v>6744</v>
      </c>
      <c r="X300" s="1" t="b">
        <v>0</v>
      </c>
      <c r="Y300" s="1" t="s">
        <v>4675</v>
      </c>
      <c r="Z300" s="1" t="s">
        <v>6745</v>
      </c>
      <c r="AB300" s="3"/>
      <c r="AC300" s="3"/>
      <c r="AD300" s="3"/>
      <c r="AE300" s="3"/>
      <c r="AF300" s="3"/>
      <c r="AG300" s="3"/>
      <c r="AH300" s="3"/>
      <c r="AI300" s="1" t="b">
        <v>0</v>
      </c>
      <c r="AJ300" s="1" t="b">
        <v>0</v>
      </c>
      <c r="AK300" s="1" t="s">
        <v>6746</v>
      </c>
      <c r="AL300" s="1" t="s">
        <v>4719</v>
      </c>
      <c r="AM300" s="1" t="s">
        <v>4685</v>
      </c>
      <c r="AN300" s="1" t="s">
        <v>4720</v>
      </c>
      <c r="AO300" s="1" t="s">
        <v>6745</v>
      </c>
      <c r="AP300" s="1" t="s">
        <v>4721</v>
      </c>
      <c r="AQ300" s="1" t="s">
        <v>4722</v>
      </c>
      <c r="AR300" s="1">
        <v>30.0</v>
      </c>
      <c r="AS300" s="3"/>
      <c r="AT300" s="3"/>
      <c r="AU300" s="3"/>
      <c r="AV300" s="3"/>
      <c r="AW300" s="3"/>
      <c r="AX300" s="3"/>
      <c r="AY300" s="3"/>
      <c r="AZ300" s="3"/>
      <c r="BA300" s="3"/>
      <c r="BB300" s="3"/>
      <c r="BC300" s="3"/>
      <c r="BD300" s="3"/>
      <c r="BE300" s="1" t="b">
        <v>1</v>
      </c>
      <c r="BF300" s="3"/>
      <c r="BG300" s="3"/>
      <c r="BH300" s="3"/>
      <c r="BI300" s="3"/>
      <c r="BJ300" s="3"/>
      <c r="BK300" s="3"/>
      <c r="BL300" s="3"/>
    </row>
    <row r="301">
      <c r="A301" s="1" t="s">
        <v>541</v>
      </c>
      <c r="B301" s="1" t="s">
        <v>540</v>
      </c>
      <c r="C301" s="1" t="s">
        <v>540</v>
      </c>
      <c r="D301" s="1" t="s">
        <v>4922</v>
      </c>
      <c r="E301" s="1" t="s">
        <v>4923</v>
      </c>
      <c r="F301" s="1" t="s">
        <v>4924</v>
      </c>
      <c r="G301" s="3"/>
      <c r="H301" s="3"/>
      <c r="I301" s="3"/>
      <c r="J301" s="1" t="s">
        <v>6747</v>
      </c>
      <c r="L301" s="3"/>
      <c r="M301" s="3"/>
      <c r="N301" s="3"/>
      <c r="O301" s="3"/>
      <c r="P301" s="1">
        <v>1.22991643E8</v>
      </c>
      <c r="Q301" s="1" t="b">
        <v>1</v>
      </c>
      <c r="R301" s="1">
        <v>2.0</v>
      </c>
      <c r="S301" s="1" t="s">
        <v>4885</v>
      </c>
      <c r="T301" s="3"/>
      <c r="U301" s="1" t="s">
        <v>4672</v>
      </c>
      <c r="V301" s="1" t="s">
        <v>4673</v>
      </c>
      <c r="W301" s="1" t="s">
        <v>6748</v>
      </c>
      <c r="X301" s="1" t="b">
        <v>0</v>
      </c>
      <c r="Y301" s="1" t="s">
        <v>4675</v>
      </c>
      <c r="Z301" s="1" t="s">
        <v>6749</v>
      </c>
      <c r="AB301" s="3"/>
      <c r="AC301" s="3"/>
      <c r="AD301" s="3"/>
      <c r="AE301" s="3"/>
      <c r="AF301" s="3"/>
      <c r="AG301" s="3"/>
      <c r="AH301" s="3"/>
      <c r="AI301" s="1" t="b">
        <v>0</v>
      </c>
      <c r="AJ301" s="1" t="b">
        <v>0</v>
      </c>
      <c r="AK301" s="1" t="s">
        <v>6750</v>
      </c>
      <c r="AL301" s="1" t="s">
        <v>4707</v>
      </c>
      <c r="AM301" s="1" t="s">
        <v>4708</v>
      </c>
      <c r="AN301" s="1" t="s">
        <v>4686</v>
      </c>
      <c r="AO301" s="1" t="s">
        <v>6749</v>
      </c>
      <c r="AP301" s="1" t="s">
        <v>4709</v>
      </c>
      <c r="AQ301" s="1" t="s">
        <v>4688</v>
      </c>
      <c r="AR301" s="1">
        <v>2.0</v>
      </c>
      <c r="AS301" s="3"/>
      <c r="AT301" s="3"/>
      <c r="AU301" s="3"/>
      <c r="AV301" s="3"/>
      <c r="AW301" s="3"/>
      <c r="AX301" s="3"/>
      <c r="AY301" s="3"/>
      <c r="AZ301" s="3"/>
      <c r="BA301" s="3"/>
      <c r="BB301" s="3"/>
      <c r="BC301" s="3"/>
      <c r="BD301" s="3"/>
      <c r="BE301" s="1" t="b">
        <v>1</v>
      </c>
      <c r="BF301" s="3"/>
      <c r="BG301" s="3"/>
      <c r="BH301" s="3"/>
      <c r="BI301" s="3"/>
      <c r="BJ301" s="3"/>
      <c r="BK301" s="3"/>
      <c r="BL301" s="3"/>
    </row>
    <row r="302">
      <c r="A302" s="1" t="s">
        <v>842</v>
      </c>
      <c r="B302" s="1" t="s">
        <v>841</v>
      </c>
      <c r="C302" s="3"/>
      <c r="D302" s="3"/>
      <c r="E302" s="3"/>
      <c r="F302" s="3"/>
      <c r="G302" s="3"/>
      <c r="H302" s="3"/>
      <c r="I302" s="3"/>
      <c r="J302" s="3"/>
      <c r="K302" s="3"/>
      <c r="L302" s="3"/>
      <c r="M302" s="3"/>
      <c r="N302" s="3"/>
      <c r="O302" s="3"/>
      <c r="P302" s="1" t="s">
        <v>6751</v>
      </c>
      <c r="Q302" s="1" t="b">
        <v>0</v>
      </c>
      <c r="R302" s="1">
        <v>1.0</v>
      </c>
      <c r="S302" s="1" t="s">
        <v>6752</v>
      </c>
      <c r="T302" s="1" t="s">
        <v>6752</v>
      </c>
      <c r="U302" s="1" t="s">
        <v>6753</v>
      </c>
      <c r="V302" s="1" t="s">
        <v>6754</v>
      </c>
      <c r="W302" s="1" t="s">
        <v>6755</v>
      </c>
      <c r="X302" s="1" t="b">
        <v>0</v>
      </c>
      <c r="Y302" s="1" t="s">
        <v>4675</v>
      </c>
      <c r="Z302" s="1" t="s">
        <v>6755</v>
      </c>
      <c r="AB302" s="3"/>
      <c r="AC302" s="3"/>
      <c r="AD302" s="3"/>
      <c r="AE302" s="3"/>
      <c r="AF302" s="3"/>
      <c r="AG302" s="3"/>
      <c r="AH302" s="3"/>
      <c r="AI302" s="1" t="b">
        <v>0</v>
      </c>
      <c r="AJ302" s="1" t="b">
        <v>0</v>
      </c>
      <c r="AK302" s="1" t="s">
        <v>6755</v>
      </c>
      <c r="AL302" s="1" t="s">
        <v>4719</v>
      </c>
      <c r="AM302" s="1" t="s">
        <v>4685</v>
      </c>
      <c r="AN302" s="1" t="s">
        <v>4686</v>
      </c>
      <c r="AO302" s="1" t="s">
        <v>6755</v>
      </c>
      <c r="AP302" s="1" t="s">
        <v>4687</v>
      </c>
      <c r="AQ302" s="1" t="s">
        <v>4688</v>
      </c>
      <c r="AR302" s="1">
        <v>1.0</v>
      </c>
      <c r="AS302" s="3"/>
      <c r="AT302" s="3"/>
      <c r="AU302" s="4" t="s">
        <v>4695</v>
      </c>
      <c r="AW302" s="3"/>
      <c r="AX302" s="3"/>
      <c r="AY302" s="3"/>
      <c r="AZ302" s="3"/>
      <c r="BA302" s="3"/>
      <c r="BB302" s="3"/>
      <c r="BC302" s="3"/>
      <c r="BD302" s="3"/>
      <c r="BE302" s="1" t="b">
        <v>1</v>
      </c>
      <c r="BF302" s="3"/>
      <c r="BG302" s="3"/>
      <c r="BH302" s="3"/>
      <c r="BI302" s="3"/>
      <c r="BJ302" s="3"/>
      <c r="BK302" s="4" t="s">
        <v>4695</v>
      </c>
    </row>
    <row r="303">
      <c r="A303" s="1" t="s">
        <v>585</v>
      </c>
      <c r="B303" s="1" t="s">
        <v>584</v>
      </c>
      <c r="C303" s="1" t="s">
        <v>584</v>
      </c>
      <c r="D303" s="1" t="s">
        <v>4724</v>
      </c>
      <c r="E303" s="1" t="s">
        <v>6756</v>
      </c>
      <c r="F303" s="1" t="s">
        <v>6757</v>
      </c>
      <c r="G303" s="3"/>
      <c r="H303" s="3"/>
      <c r="I303" s="3"/>
      <c r="J303" s="1" t="s">
        <v>6758</v>
      </c>
      <c r="K303" s="3">
        <f>+821045154889</f>
        <v>821045154889</v>
      </c>
      <c r="L303" s="3"/>
      <c r="M303" s="3"/>
      <c r="N303" s="3"/>
      <c r="O303" s="3"/>
      <c r="P303" s="1">
        <v>1.22991647E8</v>
      </c>
      <c r="Q303" s="1" t="b">
        <v>1</v>
      </c>
      <c r="R303" s="1">
        <v>3.0</v>
      </c>
      <c r="S303" s="1" t="s">
        <v>6316</v>
      </c>
      <c r="T303" s="3"/>
      <c r="U303" s="1" t="s">
        <v>4672</v>
      </c>
      <c r="V303" s="1" t="s">
        <v>4673</v>
      </c>
      <c r="W303" s="1" t="s">
        <v>6759</v>
      </c>
      <c r="X303" s="1" t="b">
        <v>0</v>
      </c>
      <c r="Y303" s="1" t="s">
        <v>4675</v>
      </c>
      <c r="Z303" s="1" t="s">
        <v>6760</v>
      </c>
      <c r="AB303" s="3"/>
      <c r="AC303" s="3"/>
      <c r="AD303" s="3"/>
      <c r="AE303" s="3"/>
      <c r="AF303" s="3"/>
      <c r="AG303" s="3"/>
      <c r="AH303" s="3"/>
      <c r="AI303" s="1" t="b">
        <v>0</v>
      </c>
      <c r="AJ303" s="1" t="b">
        <v>0</v>
      </c>
      <c r="AK303" s="1" t="s">
        <v>6761</v>
      </c>
      <c r="AL303" s="1" t="s">
        <v>5635</v>
      </c>
      <c r="AM303" s="1" t="s">
        <v>4685</v>
      </c>
      <c r="AN303" s="1" t="s">
        <v>4720</v>
      </c>
      <c r="AO303" s="1" t="s">
        <v>6760</v>
      </c>
      <c r="AP303" s="1" t="s">
        <v>4721</v>
      </c>
      <c r="AQ303" s="1" t="s">
        <v>4722</v>
      </c>
      <c r="AR303" s="1">
        <v>3.0</v>
      </c>
      <c r="AS303" s="3"/>
      <c r="AT303" s="3"/>
      <c r="AU303" s="4" t="s">
        <v>4695</v>
      </c>
      <c r="AW303" s="3"/>
      <c r="AX303" s="3"/>
      <c r="AY303" s="3"/>
      <c r="AZ303" s="3"/>
      <c r="BA303" s="3"/>
      <c r="BB303" s="3"/>
      <c r="BC303" s="3"/>
      <c r="BD303" s="3"/>
      <c r="BE303" s="1" t="b">
        <v>1</v>
      </c>
      <c r="BF303" s="3"/>
      <c r="BG303" s="3"/>
      <c r="BH303" s="3"/>
      <c r="BI303" s="3"/>
      <c r="BJ303" s="3"/>
      <c r="BK303" s="4" t="s">
        <v>4695</v>
      </c>
    </row>
    <row r="304">
      <c r="A304" s="1" t="s">
        <v>598</v>
      </c>
      <c r="B304" s="1" t="s">
        <v>597</v>
      </c>
      <c r="C304" s="1" t="s">
        <v>597</v>
      </c>
      <c r="D304" s="1" t="s">
        <v>4696</v>
      </c>
      <c r="E304" s="1" t="s">
        <v>6762</v>
      </c>
      <c r="F304" s="1" t="s">
        <v>6763</v>
      </c>
      <c r="G304" s="3"/>
      <c r="H304" s="3"/>
      <c r="I304" s="1" t="s">
        <v>6764</v>
      </c>
      <c r="J304" s="1" t="s">
        <v>6765</v>
      </c>
      <c r="L304" s="3"/>
      <c r="M304" s="3"/>
      <c r="N304" s="3"/>
      <c r="O304" s="3"/>
      <c r="P304" s="1">
        <v>1.11095543E8</v>
      </c>
      <c r="Q304" s="1" t="b">
        <v>1</v>
      </c>
      <c r="R304" s="1">
        <v>76.0</v>
      </c>
      <c r="S304" s="1" t="s">
        <v>4752</v>
      </c>
      <c r="T304" s="3"/>
      <c r="U304" s="1" t="s">
        <v>4672</v>
      </c>
      <c r="V304" s="1" t="s">
        <v>4673</v>
      </c>
      <c r="W304" s="1" t="s">
        <v>6766</v>
      </c>
      <c r="X304" s="1" t="b">
        <v>0</v>
      </c>
      <c r="Y304" s="1" t="s">
        <v>4675</v>
      </c>
      <c r="Z304" s="1" t="s">
        <v>6767</v>
      </c>
      <c r="AB304" s="3"/>
      <c r="AC304" s="3"/>
      <c r="AD304" s="3"/>
      <c r="AE304" s="3"/>
      <c r="AF304" s="3"/>
      <c r="AG304" s="3"/>
      <c r="AH304" s="3"/>
      <c r="AI304" s="1" t="b">
        <v>0</v>
      </c>
      <c r="AJ304" s="1" t="b">
        <v>0</v>
      </c>
      <c r="AK304" s="1" t="s">
        <v>6768</v>
      </c>
      <c r="AL304" s="1" t="s">
        <v>4719</v>
      </c>
      <c r="AM304" s="1" t="s">
        <v>4685</v>
      </c>
      <c r="AN304" s="1" t="s">
        <v>4686</v>
      </c>
      <c r="AO304" s="1" t="s">
        <v>6767</v>
      </c>
      <c r="AP304" s="1" t="s">
        <v>4687</v>
      </c>
      <c r="AQ304" s="1" t="s">
        <v>4688</v>
      </c>
      <c r="AR304" s="1">
        <v>76.0</v>
      </c>
      <c r="AS304" s="3"/>
      <c r="AT304" s="3"/>
      <c r="AU304" s="4" t="s">
        <v>4771</v>
      </c>
      <c r="AW304" s="3"/>
      <c r="AX304" s="3"/>
      <c r="AY304" s="3"/>
      <c r="AZ304" s="3"/>
      <c r="BA304" s="3"/>
      <c r="BB304" s="3"/>
      <c r="BC304" s="3"/>
      <c r="BD304" s="3"/>
      <c r="BE304" s="1" t="b">
        <v>1</v>
      </c>
      <c r="BF304" s="3"/>
      <c r="BG304" s="3"/>
      <c r="BH304" s="3"/>
      <c r="BI304" s="3"/>
      <c r="BJ304" s="3"/>
      <c r="BK304" s="4" t="s">
        <v>4771</v>
      </c>
    </row>
    <row r="305">
      <c r="A305" s="1" t="s">
        <v>311</v>
      </c>
      <c r="B305" s="1" t="s">
        <v>310</v>
      </c>
      <c r="C305" s="3"/>
      <c r="D305" s="3"/>
      <c r="E305" s="3"/>
      <c r="F305" s="3"/>
      <c r="G305" s="3"/>
      <c r="H305" s="3"/>
      <c r="I305" s="3"/>
      <c r="J305" s="3"/>
      <c r="K305" s="3"/>
      <c r="L305" s="3"/>
      <c r="M305" s="3"/>
      <c r="N305" s="3"/>
      <c r="O305" s="3"/>
      <c r="P305" s="1" t="s">
        <v>6769</v>
      </c>
      <c r="Q305" s="1" t="b">
        <v>0</v>
      </c>
      <c r="R305" s="1">
        <v>2.0</v>
      </c>
      <c r="S305" s="1" t="s">
        <v>6770</v>
      </c>
      <c r="U305" s="1" t="s">
        <v>4672</v>
      </c>
      <c r="V305" s="1" t="s">
        <v>4673</v>
      </c>
      <c r="W305" s="1" t="s">
        <v>6771</v>
      </c>
      <c r="X305" s="1" t="b">
        <v>0</v>
      </c>
      <c r="Y305" s="1" t="s">
        <v>4675</v>
      </c>
      <c r="Z305" s="1" t="s">
        <v>6772</v>
      </c>
      <c r="AB305" s="3"/>
      <c r="AC305" s="3"/>
      <c r="AD305" s="3"/>
      <c r="AE305" s="3"/>
      <c r="AF305" s="3"/>
      <c r="AG305" s="3"/>
      <c r="AH305" s="3"/>
      <c r="AI305" s="1" t="b">
        <v>0</v>
      </c>
      <c r="AJ305" s="1" t="b">
        <v>0</v>
      </c>
      <c r="AK305" s="1" t="s">
        <v>6773</v>
      </c>
      <c r="AL305" s="1" t="s">
        <v>4719</v>
      </c>
      <c r="AM305" s="1" t="s">
        <v>4685</v>
      </c>
      <c r="AN305" s="1" t="s">
        <v>4686</v>
      </c>
      <c r="AO305" s="1" t="s">
        <v>6772</v>
      </c>
      <c r="AP305" s="1" t="s">
        <v>4687</v>
      </c>
      <c r="AQ305" s="1" t="s">
        <v>4688</v>
      </c>
      <c r="AR305" s="1">
        <v>2.0</v>
      </c>
      <c r="AS305" s="3"/>
      <c r="AT305" s="3"/>
      <c r="AU305" s="3"/>
      <c r="AV305" s="3"/>
      <c r="AW305" s="3"/>
      <c r="AX305" s="3"/>
      <c r="AY305" s="3"/>
      <c r="AZ305" s="3"/>
      <c r="BA305" s="3"/>
      <c r="BB305" s="3"/>
      <c r="BC305" s="3"/>
      <c r="BD305" s="3"/>
      <c r="BE305" s="1" t="b">
        <v>1</v>
      </c>
      <c r="BF305" s="3"/>
      <c r="BG305" s="3"/>
      <c r="BH305" s="3"/>
      <c r="BI305" s="3"/>
      <c r="BJ305" s="3"/>
      <c r="BK305" s="3"/>
      <c r="BL305" s="3"/>
    </row>
    <row r="306">
      <c r="A306" s="1" t="s">
        <v>1797</v>
      </c>
      <c r="B306" s="1" t="s">
        <v>1796</v>
      </c>
      <c r="C306" s="1" t="s">
        <v>1796</v>
      </c>
      <c r="D306" s="1" t="s">
        <v>4711</v>
      </c>
      <c r="E306" s="1" t="s">
        <v>6774</v>
      </c>
      <c r="F306" s="1" t="s">
        <v>6775</v>
      </c>
      <c r="G306" s="3"/>
      <c r="H306" s="3"/>
      <c r="I306" s="1" t="s">
        <v>4828</v>
      </c>
      <c r="J306" s="1" t="s">
        <v>6776</v>
      </c>
      <c r="K306" s="3">
        <f>+821075525345</f>
        <v>821075525345</v>
      </c>
      <c r="L306" s="3"/>
      <c r="M306" s="3"/>
      <c r="N306" s="3"/>
      <c r="O306" s="3"/>
      <c r="P306" s="1">
        <v>1.0991192E8</v>
      </c>
      <c r="Q306" s="1" t="b">
        <v>1</v>
      </c>
      <c r="R306" s="1">
        <v>415.0</v>
      </c>
      <c r="S306" s="1" t="s">
        <v>4752</v>
      </c>
      <c r="T306" s="3"/>
      <c r="U306" s="1" t="s">
        <v>4672</v>
      </c>
      <c r="V306" s="1" t="s">
        <v>4673</v>
      </c>
      <c r="W306" s="1" t="s">
        <v>6777</v>
      </c>
      <c r="X306" s="1" t="b">
        <v>0</v>
      </c>
      <c r="Y306" s="1" t="s">
        <v>4675</v>
      </c>
      <c r="Z306" s="1" t="s">
        <v>6778</v>
      </c>
      <c r="AB306" s="1" t="s">
        <v>4677</v>
      </c>
      <c r="AC306" s="1" t="s">
        <v>5052</v>
      </c>
      <c r="AD306" s="1" t="s">
        <v>6779</v>
      </c>
      <c r="AE306" s="1" t="s">
        <v>6780</v>
      </c>
      <c r="AF306" s="1" t="s">
        <v>5352</v>
      </c>
      <c r="AG306" s="1" t="s">
        <v>4758</v>
      </c>
      <c r="AH306" s="1">
        <v>1.0</v>
      </c>
      <c r="AI306" s="1" t="b">
        <v>0</v>
      </c>
      <c r="AJ306" s="1" t="b">
        <v>0</v>
      </c>
      <c r="AK306" s="1" t="s">
        <v>6781</v>
      </c>
      <c r="AL306" s="1" t="s">
        <v>4707</v>
      </c>
      <c r="AM306" s="1" t="s">
        <v>4708</v>
      </c>
      <c r="AN306" s="1" t="s">
        <v>4686</v>
      </c>
      <c r="AO306" s="1" t="s">
        <v>6778</v>
      </c>
      <c r="AP306" s="1" t="s">
        <v>4709</v>
      </c>
      <c r="AQ306" s="1" t="s">
        <v>4688</v>
      </c>
      <c r="AR306" s="1">
        <v>414.0</v>
      </c>
      <c r="AS306" s="3"/>
      <c r="AT306" s="3"/>
      <c r="AU306" s="4" t="s">
        <v>4881</v>
      </c>
      <c r="AW306" s="3"/>
      <c r="AX306" s="3"/>
      <c r="AY306" s="3"/>
      <c r="AZ306" s="3"/>
      <c r="BA306" s="3"/>
      <c r="BB306" s="3"/>
      <c r="BC306" s="3"/>
      <c r="BD306" s="3"/>
      <c r="BE306" s="1" t="b">
        <v>1</v>
      </c>
      <c r="BF306" s="3"/>
      <c r="BG306" s="3"/>
      <c r="BH306" s="3"/>
      <c r="BI306" s="3"/>
      <c r="BJ306" s="3"/>
      <c r="BK306" s="4" t="s">
        <v>4881</v>
      </c>
    </row>
    <row r="307">
      <c r="A307" s="1" t="s">
        <v>860</v>
      </c>
      <c r="B307" s="1" t="s">
        <v>859</v>
      </c>
      <c r="C307" s="3"/>
      <c r="D307" s="3"/>
      <c r="E307" s="3"/>
      <c r="F307" s="3"/>
      <c r="G307" s="3"/>
      <c r="H307" s="3"/>
      <c r="I307" s="3"/>
      <c r="J307" s="3"/>
      <c r="K307" s="3"/>
      <c r="L307" s="3"/>
      <c r="M307" s="3"/>
      <c r="N307" s="3"/>
      <c r="O307" s="3"/>
      <c r="P307" s="1" t="s">
        <v>6782</v>
      </c>
      <c r="Q307" s="1" t="b">
        <v>0</v>
      </c>
      <c r="R307" s="1">
        <v>1.0</v>
      </c>
      <c r="S307" s="1" t="s">
        <v>4863</v>
      </c>
      <c r="T307" s="3"/>
      <c r="U307" s="1" t="s">
        <v>4672</v>
      </c>
      <c r="V307" s="1" t="s">
        <v>4673</v>
      </c>
      <c r="W307" s="1" t="s">
        <v>6783</v>
      </c>
      <c r="X307" s="1" t="b">
        <v>0</v>
      </c>
      <c r="Y307" s="1" t="s">
        <v>4675</v>
      </c>
      <c r="Z307" s="1" t="s">
        <v>6784</v>
      </c>
      <c r="AB307" s="3"/>
      <c r="AC307" s="3"/>
      <c r="AD307" s="3"/>
      <c r="AE307" s="3"/>
      <c r="AF307" s="3"/>
      <c r="AG307" s="3"/>
      <c r="AH307" s="3"/>
      <c r="AI307" s="1" t="b">
        <v>0</v>
      </c>
      <c r="AJ307" s="1" t="b">
        <v>0</v>
      </c>
      <c r="AK307" s="1" t="s">
        <v>6783</v>
      </c>
      <c r="AL307" s="1" t="s">
        <v>5134</v>
      </c>
      <c r="AM307" s="1" t="s">
        <v>5135</v>
      </c>
      <c r="AN307" s="1" t="s">
        <v>4679</v>
      </c>
      <c r="AO307" s="1" t="s">
        <v>6784</v>
      </c>
      <c r="AP307" s="1" t="s">
        <v>4681</v>
      </c>
      <c r="AQ307" s="1" t="s">
        <v>4682</v>
      </c>
      <c r="AR307" s="1">
        <v>1.0</v>
      </c>
      <c r="AS307" s="3"/>
      <c r="AT307" s="3"/>
      <c r="AU307" s="4" t="s">
        <v>4970</v>
      </c>
      <c r="AW307" s="3"/>
      <c r="AX307" s="3"/>
      <c r="AY307" s="3"/>
      <c r="AZ307" s="3"/>
      <c r="BA307" s="3"/>
      <c r="BB307" s="3"/>
      <c r="BC307" s="3"/>
      <c r="BD307" s="3"/>
      <c r="BE307" s="1" t="b">
        <v>1</v>
      </c>
      <c r="BF307" s="3"/>
      <c r="BG307" s="3"/>
      <c r="BH307" s="3"/>
      <c r="BI307" s="3"/>
      <c r="BJ307" s="3"/>
      <c r="BK307" s="4" t="s">
        <v>4970</v>
      </c>
    </row>
    <row r="308">
      <c r="A308" s="1" t="s">
        <v>1237</v>
      </c>
      <c r="B308" s="1" t="s">
        <v>1236</v>
      </c>
      <c r="C308" s="3"/>
      <c r="D308" s="3"/>
      <c r="E308" s="3"/>
      <c r="F308" s="3"/>
      <c r="G308" s="3"/>
      <c r="H308" s="3"/>
      <c r="I308" s="3"/>
      <c r="J308" s="3"/>
      <c r="K308" s="3"/>
      <c r="L308" s="3"/>
      <c r="M308" s="3"/>
      <c r="N308" s="3"/>
      <c r="O308" s="3"/>
      <c r="P308" s="1" t="s">
        <v>6785</v>
      </c>
      <c r="Q308" s="1" t="b">
        <v>0</v>
      </c>
      <c r="R308" s="1">
        <v>1.0</v>
      </c>
      <c r="S308" s="1" t="s">
        <v>6439</v>
      </c>
      <c r="U308" s="1" t="s">
        <v>4672</v>
      </c>
      <c r="V308" s="1" t="s">
        <v>4673</v>
      </c>
      <c r="W308" s="1" t="s">
        <v>6786</v>
      </c>
      <c r="X308" s="1" t="b">
        <v>0</v>
      </c>
      <c r="Y308" s="1" t="s">
        <v>4675</v>
      </c>
      <c r="Z308" s="1" t="s">
        <v>6787</v>
      </c>
      <c r="AB308" s="3"/>
      <c r="AC308" s="3"/>
      <c r="AD308" s="3"/>
      <c r="AE308" s="3"/>
      <c r="AF308" s="3"/>
      <c r="AG308" s="3"/>
      <c r="AH308" s="3"/>
      <c r="AI308" s="1" t="b">
        <v>0</v>
      </c>
      <c r="AJ308" s="1" t="b">
        <v>0</v>
      </c>
      <c r="AK308" s="1" t="s">
        <v>6786</v>
      </c>
      <c r="AL308" s="1" t="s">
        <v>5134</v>
      </c>
      <c r="AM308" s="1" t="s">
        <v>5135</v>
      </c>
      <c r="AN308" s="1" t="s">
        <v>4679</v>
      </c>
      <c r="AO308" s="1" t="s">
        <v>6787</v>
      </c>
      <c r="AP308" s="1" t="s">
        <v>4681</v>
      </c>
      <c r="AQ308" s="1" t="s">
        <v>4682</v>
      </c>
      <c r="AR308" s="1">
        <v>1.0</v>
      </c>
      <c r="AS308" s="3"/>
      <c r="AT308" s="3"/>
      <c r="AU308" s="4" t="s">
        <v>4970</v>
      </c>
      <c r="AV308" s="1" t="s">
        <v>4788</v>
      </c>
      <c r="AW308" s="1" t="s">
        <v>4971</v>
      </c>
      <c r="AX308" s="1" t="s">
        <v>4692</v>
      </c>
      <c r="AY308" s="1" t="s">
        <v>4790</v>
      </c>
      <c r="AZ308" s="1" t="s">
        <v>4791</v>
      </c>
      <c r="BA308" s="3"/>
      <c r="BB308" s="3"/>
      <c r="BC308" s="3"/>
      <c r="BD308" s="3"/>
      <c r="BE308" s="1" t="b">
        <v>1</v>
      </c>
      <c r="BF308" s="1" t="s">
        <v>4790</v>
      </c>
      <c r="BG308" s="1" t="s">
        <v>4692</v>
      </c>
      <c r="BH308" s="1" t="s">
        <v>4788</v>
      </c>
      <c r="BI308" s="1" t="s">
        <v>4971</v>
      </c>
      <c r="BJ308" s="1" t="s">
        <v>4791</v>
      </c>
      <c r="BK308" s="4" t="s">
        <v>4970</v>
      </c>
    </row>
    <row r="309">
      <c r="A309" s="1" t="s">
        <v>1746</v>
      </c>
      <c r="B309" s="1" t="s">
        <v>1745</v>
      </c>
      <c r="C309" s="1" t="s">
        <v>1745</v>
      </c>
      <c r="D309" s="1" t="s">
        <v>5092</v>
      </c>
      <c r="E309" s="1" t="s">
        <v>6788</v>
      </c>
      <c r="F309" s="1" t="s">
        <v>6789</v>
      </c>
      <c r="G309" s="3"/>
      <c r="H309" s="3"/>
      <c r="I309" s="1" t="s">
        <v>5095</v>
      </c>
      <c r="J309" s="1" t="s">
        <v>6790</v>
      </c>
      <c r="K309" s="3"/>
      <c r="L309" s="3"/>
      <c r="M309" s="3"/>
      <c r="N309" s="3"/>
      <c r="O309" s="3"/>
      <c r="P309" s="1">
        <v>1.12565787E8</v>
      </c>
      <c r="Q309" s="1" t="b">
        <v>1</v>
      </c>
      <c r="R309" s="1">
        <v>24.0</v>
      </c>
      <c r="S309" s="1" t="s">
        <v>5043</v>
      </c>
      <c r="T309" s="3"/>
      <c r="U309" s="1" t="s">
        <v>4672</v>
      </c>
      <c r="V309" s="1" t="s">
        <v>4673</v>
      </c>
      <c r="W309" s="1" t="s">
        <v>6791</v>
      </c>
      <c r="X309" s="1" t="b">
        <v>0</v>
      </c>
      <c r="Y309" s="1" t="s">
        <v>4675</v>
      </c>
      <c r="Z309" s="1" t="s">
        <v>6792</v>
      </c>
      <c r="AB309" s="1" t="s">
        <v>4677</v>
      </c>
      <c r="AC309" s="1" t="s">
        <v>4678</v>
      </c>
      <c r="AD309" s="1" t="s">
        <v>4679</v>
      </c>
      <c r="AE309" s="1" t="s">
        <v>6792</v>
      </c>
      <c r="AF309" s="1" t="s">
        <v>5955</v>
      </c>
      <c r="AG309" s="1" t="s">
        <v>4682</v>
      </c>
      <c r="AH309" s="1">
        <v>21.0</v>
      </c>
      <c r="AI309" s="1" t="b">
        <v>0</v>
      </c>
      <c r="AJ309" s="1" t="b">
        <v>0</v>
      </c>
      <c r="AK309" s="1" t="s">
        <v>6792</v>
      </c>
      <c r="AL309" s="1" t="s">
        <v>5645</v>
      </c>
      <c r="AM309" s="1" t="s">
        <v>4708</v>
      </c>
      <c r="AN309" s="1" t="s">
        <v>4686</v>
      </c>
      <c r="AO309" s="1" t="s">
        <v>6793</v>
      </c>
      <c r="AP309" s="1" t="s">
        <v>4709</v>
      </c>
      <c r="AQ309" s="1" t="s">
        <v>4688</v>
      </c>
      <c r="AR309" s="1">
        <v>3.0</v>
      </c>
      <c r="AS309" s="3"/>
      <c r="AT309" s="3"/>
      <c r="AU309" s="3"/>
      <c r="AV309" s="3"/>
      <c r="AW309" s="3"/>
      <c r="AX309" s="3"/>
      <c r="AY309" s="3"/>
      <c r="AZ309" s="3"/>
      <c r="BA309" s="3"/>
      <c r="BB309" s="3"/>
      <c r="BC309" s="3"/>
      <c r="BD309" s="3"/>
      <c r="BE309" s="1" t="b">
        <v>1</v>
      </c>
      <c r="BF309" s="3"/>
      <c r="BG309" s="3"/>
      <c r="BH309" s="3"/>
      <c r="BI309" s="3"/>
      <c r="BJ309" s="3"/>
      <c r="BK309" s="3"/>
      <c r="BL309" s="3"/>
    </row>
    <row r="310">
      <c r="A310" s="1" t="s">
        <v>1789</v>
      </c>
      <c r="B310" s="1" t="s">
        <v>1788</v>
      </c>
      <c r="C310" s="1" t="s">
        <v>1788</v>
      </c>
      <c r="D310" s="1" t="s">
        <v>5092</v>
      </c>
      <c r="E310" s="1" t="s">
        <v>6794</v>
      </c>
      <c r="F310" s="1" t="s">
        <v>6795</v>
      </c>
      <c r="G310" s="3"/>
      <c r="H310" s="3"/>
      <c r="I310" s="1" t="s">
        <v>5095</v>
      </c>
      <c r="J310" s="1" t="s">
        <v>6796</v>
      </c>
      <c r="K310" s="3"/>
      <c r="L310" s="3"/>
      <c r="M310" s="3"/>
      <c r="N310" s="3"/>
      <c r="O310" s="3"/>
      <c r="P310" s="1">
        <v>1.12320533E8</v>
      </c>
      <c r="Q310" s="1" t="b">
        <v>1</v>
      </c>
      <c r="R310" s="1">
        <v>43.0</v>
      </c>
      <c r="S310" s="1" t="s">
        <v>4715</v>
      </c>
      <c r="T310" s="3"/>
      <c r="U310" s="1" t="s">
        <v>4672</v>
      </c>
      <c r="V310" s="1" t="s">
        <v>4673</v>
      </c>
      <c r="W310" s="1" t="s">
        <v>6797</v>
      </c>
      <c r="X310" s="1" t="b">
        <v>0</v>
      </c>
      <c r="Y310" s="1" t="s">
        <v>4675</v>
      </c>
      <c r="Z310" s="1" t="s">
        <v>6798</v>
      </c>
      <c r="AB310" s="1" t="s">
        <v>4677</v>
      </c>
      <c r="AC310" s="1" t="s">
        <v>4678</v>
      </c>
      <c r="AD310" s="1" t="s">
        <v>5432</v>
      </c>
      <c r="AE310" s="1" t="s">
        <v>6798</v>
      </c>
      <c r="AF310" s="1" t="s">
        <v>4757</v>
      </c>
      <c r="AG310" s="1" t="s">
        <v>4758</v>
      </c>
      <c r="AH310" s="1">
        <v>41.0</v>
      </c>
      <c r="AI310" s="1" t="b">
        <v>0</v>
      </c>
      <c r="AJ310" s="1" t="b">
        <v>0</v>
      </c>
      <c r="AK310" s="1" t="s">
        <v>6798</v>
      </c>
      <c r="AL310" s="1" t="s">
        <v>4719</v>
      </c>
      <c r="AM310" s="1" t="s">
        <v>4685</v>
      </c>
      <c r="AN310" s="1" t="s">
        <v>4720</v>
      </c>
      <c r="AO310" s="1" t="s">
        <v>6799</v>
      </c>
      <c r="AP310" s="1" t="s">
        <v>4721</v>
      </c>
      <c r="AQ310" s="1" t="s">
        <v>4722</v>
      </c>
      <c r="AR310" s="1">
        <v>2.0</v>
      </c>
      <c r="AS310" s="3"/>
      <c r="AT310" s="3"/>
      <c r="AU310" s="4" t="s">
        <v>4695</v>
      </c>
      <c r="AW310" s="3"/>
      <c r="AX310" s="3"/>
      <c r="AY310" s="3"/>
      <c r="AZ310" s="3"/>
      <c r="BA310" s="3"/>
      <c r="BB310" s="3"/>
      <c r="BC310" s="3"/>
      <c r="BD310" s="3"/>
      <c r="BE310" s="1" t="b">
        <v>1</v>
      </c>
      <c r="BF310" s="3"/>
      <c r="BG310" s="3"/>
      <c r="BH310" s="3"/>
      <c r="BI310" s="3"/>
      <c r="BJ310" s="3"/>
      <c r="BK310" s="4" t="s">
        <v>4695</v>
      </c>
    </row>
    <row r="311">
      <c r="A311" s="1" t="s">
        <v>463</v>
      </c>
      <c r="B311" s="1" t="s">
        <v>462</v>
      </c>
      <c r="C311" s="3"/>
      <c r="D311" s="3"/>
      <c r="E311" s="3"/>
      <c r="F311" s="3"/>
      <c r="G311" s="3"/>
      <c r="H311" s="3"/>
      <c r="I311" s="3"/>
      <c r="J311" s="3"/>
      <c r="K311" s="3"/>
      <c r="L311" s="3"/>
      <c r="M311" s="3"/>
      <c r="N311" s="3"/>
      <c r="O311" s="3"/>
      <c r="P311" s="1" t="s">
        <v>6800</v>
      </c>
      <c r="Q311" s="1" t="b">
        <v>0</v>
      </c>
      <c r="R311" s="1">
        <v>35.0</v>
      </c>
      <c r="S311" s="1" t="s">
        <v>4752</v>
      </c>
      <c r="T311" s="3"/>
      <c r="U311" s="1" t="s">
        <v>4672</v>
      </c>
      <c r="V311" s="1" t="s">
        <v>4673</v>
      </c>
      <c r="W311" s="1" t="s">
        <v>6801</v>
      </c>
      <c r="X311" s="1" t="b">
        <v>0</v>
      </c>
      <c r="Y311" s="1" t="s">
        <v>4675</v>
      </c>
      <c r="Z311" s="1" t="s">
        <v>6802</v>
      </c>
      <c r="AB311" s="3"/>
      <c r="AC311" s="3"/>
      <c r="AD311" s="3"/>
      <c r="AE311" s="3"/>
      <c r="AF311" s="3"/>
      <c r="AG311" s="3"/>
      <c r="AH311" s="3"/>
      <c r="AI311" s="1" t="b">
        <v>0</v>
      </c>
      <c r="AJ311" s="1" t="b">
        <v>0</v>
      </c>
      <c r="AK311" s="1" t="s">
        <v>6803</v>
      </c>
      <c r="AL311" s="1" t="s">
        <v>4719</v>
      </c>
      <c r="AM311" s="1" t="s">
        <v>4685</v>
      </c>
      <c r="AN311" s="1" t="s">
        <v>4720</v>
      </c>
      <c r="AO311" s="1" t="s">
        <v>6802</v>
      </c>
      <c r="AP311" s="1" t="s">
        <v>4721</v>
      </c>
      <c r="AQ311" s="1" t="s">
        <v>4722</v>
      </c>
      <c r="AR311" s="1">
        <v>35.0</v>
      </c>
      <c r="AS311" s="3"/>
      <c r="AT311" s="3"/>
      <c r="AU311" s="4" t="s">
        <v>4695</v>
      </c>
      <c r="AW311" s="3"/>
      <c r="AX311" s="3"/>
      <c r="AY311" s="3"/>
      <c r="AZ311" s="3"/>
      <c r="BA311" s="3"/>
      <c r="BB311" s="3"/>
      <c r="BC311" s="3"/>
      <c r="BD311" s="3"/>
      <c r="BE311" s="1" t="b">
        <v>1</v>
      </c>
      <c r="BF311" s="3"/>
      <c r="BG311" s="3"/>
      <c r="BH311" s="3"/>
      <c r="BI311" s="3"/>
      <c r="BJ311" s="3"/>
      <c r="BK311" s="4" t="s">
        <v>5732</v>
      </c>
    </row>
    <row r="312">
      <c r="A312" s="1" t="s">
        <v>955</v>
      </c>
      <c r="B312" s="1" t="s">
        <v>954</v>
      </c>
      <c r="C312" s="1" t="s">
        <v>954</v>
      </c>
      <c r="D312" s="1" t="s">
        <v>4711</v>
      </c>
      <c r="E312" s="1" t="s">
        <v>6804</v>
      </c>
      <c r="F312" s="1" t="s">
        <v>6805</v>
      </c>
      <c r="G312" s="3"/>
      <c r="H312" s="3"/>
      <c r="I312" s="1" t="s">
        <v>4742</v>
      </c>
      <c r="J312" s="1" t="s">
        <v>6806</v>
      </c>
      <c r="K312" s="3">
        <f>+821089641014</f>
        <v>821089641014</v>
      </c>
      <c r="L312" s="3"/>
      <c r="M312" s="3"/>
      <c r="N312" s="3"/>
      <c r="O312" s="3"/>
      <c r="P312" s="1">
        <v>1.11204209E8</v>
      </c>
      <c r="Q312" s="1" t="b">
        <v>1</v>
      </c>
      <c r="R312" s="1">
        <v>117.0</v>
      </c>
      <c r="S312" s="1" t="s">
        <v>4942</v>
      </c>
      <c r="U312" s="1" t="s">
        <v>4672</v>
      </c>
      <c r="V312" s="1" t="s">
        <v>4673</v>
      </c>
      <c r="W312" s="1" t="s">
        <v>6807</v>
      </c>
      <c r="X312" s="1" t="b">
        <v>0</v>
      </c>
      <c r="Y312" s="1" t="s">
        <v>4675</v>
      </c>
      <c r="Z312" s="1" t="s">
        <v>6808</v>
      </c>
      <c r="AB312" s="3"/>
      <c r="AC312" s="3"/>
      <c r="AD312" s="3"/>
      <c r="AE312" s="3"/>
      <c r="AF312" s="3"/>
      <c r="AG312" s="3"/>
      <c r="AH312" s="3"/>
      <c r="AI312" s="1" t="b">
        <v>0</v>
      </c>
      <c r="AJ312" s="1" t="b">
        <v>0</v>
      </c>
      <c r="AK312" s="1" t="s">
        <v>6809</v>
      </c>
      <c r="AL312" s="1" t="s">
        <v>4719</v>
      </c>
      <c r="AM312" s="1" t="s">
        <v>4685</v>
      </c>
      <c r="AN312" s="1" t="s">
        <v>4686</v>
      </c>
      <c r="AO312" s="1" t="s">
        <v>6808</v>
      </c>
      <c r="AP312" s="1" t="s">
        <v>4687</v>
      </c>
      <c r="AQ312" s="1" t="s">
        <v>4688</v>
      </c>
      <c r="AR312" s="1">
        <v>117.0</v>
      </c>
      <c r="AS312" s="3"/>
      <c r="AT312" s="3"/>
      <c r="AU312" s="4" t="s">
        <v>4856</v>
      </c>
      <c r="BB312" s="3"/>
      <c r="BC312" s="3"/>
      <c r="BD312" s="3"/>
      <c r="BE312" s="1" t="b">
        <v>1</v>
      </c>
      <c r="BF312" s="3"/>
      <c r="BG312" s="3"/>
      <c r="BH312" s="3"/>
      <c r="BI312" s="3"/>
      <c r="BJ312" s="3"/>
      <c r="BK312" s="4" t="s">
        <v>5699</v>
      </c>
    </row>
    <row r="313">
      <c r="A313" s="1" t="s">
        <v>1340</v>
      </c>
      <c r="B313" s="1" t="s">
        <v>1339</v>
      </c>
      <c r="C313" s="1" t="s">
        <v>1339</v>
      </c>
      <c r="D313" s="1" t="s">
        <v>5684</v>
      </c>
      <c r="E313" s="1" t="s">
        <v>6810</v>
      </c>
      <c r="F313" s="1" t="s">
        <v>6811</v>
      </c>
      <c r="G313" s="3"/>
      <c r="H313" s="3"/>
      <c r="I313" s="1" t="s">
        <v>5095</v>
      </c>
      <c r="J313" s="1" t="s">
        <v>6812</v>
      </c>
      <c r="L313" s="3"/>
      <c r="M313" s="3"/>
      <c r="N313" s="3"/>
      <c r="O313" s="3"/>
      <c r="P313" s="1">
        <v>1.11201215E8</v>
      </c>
      <c r="Q313" s="1" t="b">
        <v>1</v>
      </c>
      <c r="R313" s="1">
        <v>177.0</v>
      </c>
      <c r="S313" s="1" t="s">
        <v>5078</v>
      </c>
      <c r="U313" s="1" t="s">
        <v>4672</v>
      </c>
      <c r="V313" s="1" t="s">
        <v>4673</v>
      </c>
      <c r="W313" s="1" t="s">
        <v>6813</v>
      </c>
      <c r="X313" s="1" t="b">
        <v>0</v>
      </c>
      <c r="Y313" s="1" t="s">
        <v>4675</v>
      </c>
      <c r="Z313" s="1" t="s">
        <v>6814</v>
      </c>
      <c r="AB313" s="1" t="s">
        <v>4677</v>
      </c>
      <c r="AC313" s="1" t="s">
        <v>4678</v>
      </c>
      <c r="AD313" s="1" t="s">
        <v>4679</v>
      </c>
      <c r="AE313" s="1" t="s">
        <v>6814</v>
      </c>
      <c r="AF313" s="1" t="s">
        <v>5054</v>
      </c>
      <c r="AG313" s="1" t="s">
        <v>4682</v>
      </c>
      <c r="AH313" s="1">
        <v>75.0</v>
      </c>
      <c r="AI313" s="1" t="b">
        <v>0</v>
      </c>
      <c r="AJ313" s="1" t="b">
        <v>0</v>
      </c>
      <c r="AK313" s="1" t="s">
        <v>6815</v>
      </c>
      <c r="AL313" s="1" t="s">
        <v>4684</v>
      </c>
      <c r="AM313" s="1" t="s">
        <v>4685</v>
      </c>
      <c r="AN313" s="1" t="s">
        <v>4686</v>
      </c>
      <c r="AO313" s="1" t="s">
        <v>6816</v>
      </c>
      <c r="AP313" s="1" t="s">
        <v>4687</v>
      </c>
      <c r="AQ313" s="1" t="s">
        <v>4688</v>
      </c>
      <c r="AR313" s="1">
        <v>102.0</v>
      </c>
      <c r="AS313" s="3"/>
      <c r="AT313" s="3"/>
      <c r="AU313" s="4" t="s">
        <v>4856</v>
      </c>
      <c r="BB313" s="3"/>
      <c r="BC313" s="3"/>
      <c r="BD313" s="3"/>
      <c r="BE313" s="1" t="b">
        <v>1</v>
      </c>
      <c r="BF313" s="3"/>
      <c r="BG313" s="3"/>
      <c r="BH313" s="3"/>
      <c r="BI313" s="3"/>
      <c r="BJ313" s="3"/>
      <c r="BK313" s="4" t="s">
        <v>4780</v>
      </c>
    </row>
    <row r="314">
      <c r="A314" s="1" t="s">
        <v>1719</v>
      </c>
      <c r="B314" s="1" t="s">
        <v>1717</v>
      </c>
      <c r="C314" s="3"/>
      <c r="D314" s="3"/>
      <c r="E314" s="3"/>
      <c r="F314" s="3"/>
      <c r="G314" s="3"/>
      <c r="H314" s="3"/>
      <c r="I314" s="3"/>
      <c r="J314" s="3"/>
      <c r="K314" s="3"/>
      <c r="L314" s="3"/>
      <c r="M314" s="3"/>
      <c r="N314" s="3"/>
      <c r="O314" s="3"/>
      <c r="P314" s="3"/>
      <c r="Q314" s="1" t="b">
        <v>0</v>
      </c>
      <c r="R314" s="1">
        <v>2.0</v>
      </c>
      <c r="S314" s="1" t="s">
        <v>5116</v>
      </c>
      <c r="U314" s="1" t="s">
        <v>4672</v>
      </c>
      <c r="V314" s="1" t="s">
        <v>4673</v>
      </c>
      <c r="W314" s="1" t="s">
        <v>6817</v>
      </c>
      <c r="X314" s="1" t="b">
        <v>0</v>
      </c>
      <c r="Y314" s="1" t="s">
        <v>4675</v>
      </c>
      <c r="Z314" s="1" t="s">
        <v>6818</v>
      </c>
      <c r="AB314" s="3"/>
      <c r="AC314" s="3"/>
      <c r="AD314" s="3"/>
      <c r="AE314" s="3"/>
      <c r="AF314" s="3"/>
      <c r="AG314" s="3"/>
      <c r="AH314" s="3"/>
      <c r="AI314" s="1" t="b">
        <v>0</v>
      </c>
      <c r="AJ314" s="1" t="b">
        <v>0</v>
      </c>
      <c r="AK314" s="1" t="s">
        <v>6819</v>
      </c>
      <c r="AL314" s="1" t="s">
        <v>4719</v>
      </c>
      <c r="AM314" s="1" t="s">
        <v>4685</v>
      </c>
      <c r="AN314" s="1" t="s">
        <v>4686</v>
      </c>
      <c r="AO314" s="1" t="s">
        <v>6818</v>
      </c>
      <c r="AP314" s="1" t="s">
        <v>4687</v>
      </c>
      <c r="AQ314" s="1" t="s">
        <v>4688</v>
      </c>
      <c r="AR314" s="1">
        <v>2.0</v>
      </c>
      <c r="AS314" s="3"/>
      <c r="AT314" s="3"/>
      <c r="AU314" s="3"/>
      <c r="AV314" s="3"/>
      <c r="AW314" s="3"/>
      <c r="AX314" s="3"/>
      <c r="AY314" s="3"/>
      <c r="AZ314" s="3"/>
      <c r="BA314" s="3"/>
      <c r="BB314" s="3"/>
      <c r="BC314" s="3"/>
      <c r="BD314" s="3"/>
      <c r="BE314" s="1" t="b">
        <v>1</v>
      </c>
      <c r="BF314" s="3"/>
      <c r="BG314" s="3"/>
      <c r="BH314" s="3"/>
      <c r="BI314" s="3"/>
      <c r="BJ314" s="3"/>
      <c r="BK314" s="3"/>
      <c r="BL314" s="3"/>
    </row>
    <row r="315">
      <c r="A315" s="1" t="s">
        <v>625</v>
      </c>
      <c r="B315" s="1" t="s">
        <v>623</v>
      </c>
      <c r="C315" s="1" t="s">
        <v>623</v>
      </c>
      <c r="D315" s="1" t="s">
        <v>4696</v>
      </c>
      <c r="E315" s="1" t="s">
        <v>6820</v>
      </c>
      <c r="F315" s="1" t="s">
        <v>6821</v>
      </c>
      <c r="G315" s="3"/>
      <c r="H315" s="1" t="s">
        <v>4861</v>
      </c>
      <c r="I315" s="1" t="s">
        <v>4828</v>
      </c>
      <c r="J315" s="1" t="s">
        <v>6822</v>
      </c>
      <c r="K315" s="3">
        <f>+821080127985</f>
        <v>821080127985</v>
      </c>
      <c r="L315" s="3"/>
      <c r="M315" s="3"/>
      <c r="N315" s="3"/>
      <c r="O315" s="3"/>
      <c r="P315" s="1">
        <v>1.16950994E8</v>
      </c>
      <c r="Q315" s="1" t="b">
        <v>1</v>
      </c>
      <c r="R315" s="1">
        <v>1029.0</v>
      </c>
      <c r="S315" s="1" t="s">
        <v>4885</v>
      </c>
      <c r="T315" s="3"/>
      <c r="U315" s="1" t="s">
        <v>4672</v>
      </c>
      <c r="V315" s="1" t="s">
        <v>4673</v>
      </c>
      <c r="W315" s="1" t="s">
        <v>6823</v>
      </c>
      <c r="X315" s="1" t="b">
        <v>0</v>
      </c>
      <c r="Y315" s="1" t="s">
        <v>4675</v>
      </c>
      <c r="Z315" s="1" t="s">
        <v>6824</v>
      </c>
      <c r="AB315" s="1" t="s">
        <v>4677</v>
      </c>
      <c r="AC315" s="1" t="s">
        <v>4678</v>
      </c>
      <c r="AD315" s="1" t="s">
        <v>4679</v>
      </c>
      <c r="AE315" s="1" t="s">
        <v>6825</v>
      </c>
      <c r="AF315" s="1" t="s">
        <v>4681</v>
      </c>
      <c r="AG315" s="1" t="s">
        <v>4682</v>
      </c>
      <c r="AH315" s="1">
        <v>76.0</v>
      </c>
      <c r="AI315" s="1" t="b">
        <v>0</v>
      </c>
      <c r="AJ315" s="1" t="b">
        <v>0</v>
      </c>
      <c r="AK315" s="1" t="s">
        <v>6826</v>
      </c>
      <c r="AL315" s="1" t="s">
        <v>4684</v>
      </c>
      <c r="AM315" s="1" t="s">
        <v>4685</v>
      </c>
      <c r="AN315" s="1" t="s">
        <v>4686</v>
      </c>
      <c r="AO315" s="1" t="s">
        <v>6824</v>
      </c>
      <c r="AP315" s="1" t="s">
        <v>4687</v>
      </c>
      <c r="AQ315" s="1" t="s">
        <v>4688</v>
      </c>
      <c r="AR315" s="1">
        <v>953.0</v>
      </c>
      <c r="AS315" s="3"/>
      <c r="AT315" s="3"/>
      <c r="AU315" s="4" t="s">
        <v>4695</v>
      </c>
      <c r="AW315" s="3"/>
      <c r="AX315" s="3"/>
      <c r="AY315" s="3"/>
      <c r="AZ315" s="3"/>
      <c r="BA315" s="3"/>
      <c r="BB315" s="3"/>
      <c r="BC315" s="3"/>
      <c r="BD315" s="3"/>
      <c r="BE315" s="1" t="b">
        <v>1</v>
      </c>
      <c r="BF315" s="3"/>
      <c r="BG315" s="3"/>
      <c r="BH315" s="3"/>
      <c r="BI315" s="3"/>
      <c r="BJ315" s="3"/>
      <c r="BK315" s="4" t="s">
        <v>4695</v>
      </c>
    </row>
    <row r="316">
      <c r="A316" s="1" t="s">
        <v>196</v>
      </c>
      <c r="B316" s="1" t="s">
        <v>195</v>
      </c>
      <c r="C316" s="1" t="s">
        <v>195</v>
      </c>
      <c r="D316" s="1" t="s">
        <v>4696</v>
      </c>
      <c r="E316" s="1" t="s">
        <v>5490</v>
      </c>
      <c r="F316" s="1" t="s">
        <v>5491</v>
      </c>
      <c r="G316" s="3"/>
      <c r="H316" s="3"/>
      <c r="I316" s="1" t="s">
        <v>4742</v>
      </c>
      <c r="J316" s="1" t="s">
        <v>6827</v>
      </c>
      <c r="K316" s="3">
        <f>+821094975179</f>
        <v>821094975179</v>
      </c>
      <c r="L316" s="3"/>
      <c r="M316" s="3"/>
      <c r="N316" s="3"/>
      <c r="O316" s="3"/>
      <c r="P316" s="1">
        <v>1.17200274E8</v>
      </c>
      <c r="Q316" s="1" t="b">
        <v>1</v>
      </c>
      <c r="R316" s="1">
        <v>181.0</v>
      </c>
      <c r="S316" s="1" t="s">
        <v>4752</v>
      </c>
      <c r="T316" s="3"/>
      <c r="U316" s="1" t="s">
        <v>4672</v>
      </c>
      <c r="V316" s="1" t="s">
        <v>4673</v>
      </c>
      <c r="W316" s="1" t="s">
        <v>6828</v>
      </c>
      <c r="X316" s="1" t="b">
        <v>0</v>
      </c>
      <c r="Y316" s="1" t="s">
        <v>4675</v>
      </c>
      <c r="Z316" s="1" t="s">
        <v>6829</v>
      </c>
      <c r="AB316" s="1" t="s">
        <v>4677</v>
      </c>
      <c r="AC316" s="1" t="s">
        <v>4678</v>
      </c>
      <c r="AD316" s="1" t="s">
        <v>4679</v>
      </c>
      <c r="AE316" s="1" t="s">
        <v>6829</v>
      </c>
      <c r="AF316" s="1" t="s">
        <v>4681</v>
      </c>
      <c r="AG316" s="1" t="s">
        <v>4682</v>
      </c>
      <c r="AH316" s="1">
        <v>63.0</v>
      </c>
      <c r="AI316" s="1" t="b">
        <v>0</v>
      </c>
      <c r="AJ316" s="1" t="b">
        <v>0</v>
      </c>
      <c r="AK316" s="1" t="s">
        <v>6830</v>
      </c>
      <c r="AL316" s="1" t="s">
        <v>4719</v>
      </c>
      <c r="AM316" s="1" t="s">
        <v>4685</v>
      </c>
      <c r="AN316" s="1" t="s">
        <v>4720</v>
      </c>
      <c r="AO316" s="1" t="s">
        <v>6831</v>
      </c>
      <c r="AP316" s="1" t="s">
        <v>4721</v>
      </c>
      <c r="AQ316" s="1" t="s">
        <v>4722</v>
      </c>
      <c r="AR316" s="1">
        <v>118.0</v>
      </c>
      <c r="AS316" s="3"/>
      <c r="AT316" s="3"/>
      <c r="AU316" s="4" t="s">
        <v>4695</v>
      </c>
      <c r="AW316" s="3"/>
      <c r="AX316" s="3"/>
      <c r="AY316" s="3"/>
      <c r="AZ316" s="3"/>
      <c r="BA316" s="3"/>
      <c r="BB316" s="3"/>
      <c r="BC316" s="3"/>
      <c r="BD316" s="3"/>
      <c r="BE316" s="1" t="b">
        <v>1</v>
      </c>
      <c r="BF316" s="3"/>
      <c r="BG316" s="3"/>
      <c r="BH316" s="3"/>
      <c r="BI316" s="3"/>
      <c r="BJ316" s="3"/>
      <c r="BK316" s="4" t="s">
        <v>4881</v>
      </c>
      <c r="BL316" s="1" t="s">
        <v>4723</v>
      </c>
    </row>
    <row r="317">
      <c r="A317" s="1" t="s">
        <v>1092</v>
      </c>
      <c r="B317" s="1" t="s">
        <v>1091</v>
      </c>
      <c r="C317" s="3"/>
      <c r="D317" s="3"/>
      <c r="E317" s="3"/>
      <c r="F317" s="3"/>
      <c r="G317" s="3"/>
      <c r="H317" s="3"/>
      <c r="I317" s="3"/>
      <c r="J317" s="3"/>
      <c r="K317" s="3"/>
      <c r="L317" s="3"/>
      <c r="M317" s="3"/>
      <c r="N317" s="3"/>
      <c r="O317" s="3"/>
      <c r="P317" s="1" t="s">
        <v>6832</v>
      </c>
      <c r="Q317" s="1" t="b">
        <v>0</v>
      </c>
      <c r="R317" s="1">
        <v>1.0</v>
      </c>
      <c r="S317" s="1" t="s">
        <v>6676</v>
      </c>
      <c r="T317" s="3"/>
      <c r="U317" s="1" t="s">
        <v>4672</v>
      </c>
      <c r="V317" s="1" t="s">
        <v>4673</v>
      </c>
      <c r="W317" s="1" t="s">
        <v>6833</v>
      </c>
      <c r="X317" s="1" t="b">
        <v>0</v>
      </c>
      <c r="Y317" s="1" t="s">
        <v>4675</v>
      </c>
      <c r="Z317" s="1" t="s">
        <v>6833</v>
      </c>
      <c r="AB317" s="3"/>
      <c r="AC317" s="3"/>
      <c r="AD317" s="3"/>
      <c r="AE317" s="3"/>
      <c r="AF317" s="3"/>
      <c r="AG317" s="3"/>
      <c r="AH317" s="3"/>
      <c r="AI317" s="1" t="b">
        <v>0</v>
      </c>
      <c r="AJ317" s="1" t="b">
        <v>0</v>
      </c>
      <c r="AK317" s="1" t="s">
        <v>6834</v>
      </c>
      <c r="AL317" s="1" t="s">
        <v>4719</v>
      </c>
      <c r="AM317" s="1" t="s">
        <v>4685</v>
      </c>
      <c r="AN317" s="1" t="s">
        <v>4795</v>
      </c>
      <c r="AO317" s="1" t="s">
        <v>6833</v>
      </c>
      <c r="AP317" s="1" t="s">
        <v>4796</v>
      </c>
      <c r="AQ317" s="1" t="s">
        <v>4758</v>
      </c>
      <c r="AR317" s="1">
        <v>1.0</v>
      </c>
      <c r="AS317" s="3"/>
      <c r="AT317" s="3"/>
      <c r="AU317" s="4" t="s">
        <v>4970</v>
      </c>
      <c r="AV317" s="1" t="s">
        <v>4788</v>
      </c>
      <c r="AW317" s="1" t="s">
        <v>4971</v>
      </c>
      <c r="AX317" s="1" t="s">
        <v>4692</v>
      </c>
      <c r="AY317" s="1" t="s">
        <v>4790</v>
      </c>
      <c r="AZ317" s="1" t="s">
        <v>4791</v>
      </c>
      <c r="BA317" s="3"/>
      <c r="BB317" s="3"/>
      <c r="BC317" s="3"/>
      <c r="BD317" s="3"/>
      <c r="BE317" s="1" t="b">
        <v>1</v>
      </c>
      <c r="BF317" s="1" t="s">
        <v>5272</v>
      </c>
      <c r="BG317" s="1" t="s">
        <v>5271</v>
      </c>
      <c r="BH317" s="1" t="s">
        <v>5269</v>
      </c>
      <c r="BI317" s="1" t="s">
        <v>5328</v>
      </c>
      <c r="BJ317" s="1" t="s">
        <v>4791</v>
      </c>
      <c r="BK317" s="4" t="s">
        <v>4970</v>
      </c>
    </row>
    <row r="318">
      <c r="A318" s="1" t="s">
        <v>1895</v>
      </c>
      <c r="B318" s="1" t="s">
        <v>1894</v>
      </c>
      <c r="C318" s="1" t="s">
        <v>1894</v>
      </c>
      <c r="D318" s="1" t="s">
        <v>5000</v>
      </c>
      <c r="E318" s="1" t="s">
        <v>6371</v>
      </c>
      <c r="F318" s="1" t="s">
        <v>6372</v>
      </c>
      <c r="G318" s="3"/>
      <c r="H318" s="3"/>
      <c r="I318" s="1" t="s">
        <v>4742</v>
      </c>
      <c r="J318" s="1" t="s">
        <v>6835</v>
      </c>
      <c r="K318" s="3"/>
      <c r="L318" s="3"/>
      <c r="M318" s="3"/>
      <c r="N318" s="3"/>
      <c r="O318" s="3"/>
      <c r="P318" s="1">
        <v>1.12567829E8</v>
      </c>
      <c r="Q318" s="1" t="b">
        <v>1</v>
      </c>
      <c r="R318" s="1">
        <v>95.0</v>
      </c>
      <c r="S318" s="1" t="s">
        <v>6374</v>
      </c>
      <c r="T318" s="3"/>
      <c r="U318" s="1" t="s">
        <v>4672</v>
      </c>
      <c r="V318" s="1" t="s">
        <v>4673</v>
      </c>
      <c r="W318" s="1" t="s">
        <v>6836</v>
      </c>
      <c r="X318" s="1" t="b">
        <v>0</v>
      </c>
      <c r="Y318" s="1" t="s">
        <v>4675</v>
      </c>
      <c r="Z318" s="1" t="s">
        <v>6837</v>
      </c>
      <c r="AB318" s="1" t="s">
        <v>4677</v>
      </c>
      <c r="AC318" s="1" t="s">
        <v>4678</v>
      </c>
      <c r="AD318" s="1" t="s">
        <v>6838</v>
      </c>
      <c r="AE318" s="1" t="s">
        <v>6839</v>
      </c>
      <c r="AF318" s="1" t="s">
        <v>4757</v>
      </c>
      <c r="AG318" s="1" t="s">
        <v>4758</v>
      </c>
      <c r="AH318" s="1">
        <v>38.0</v>
      </c>
      <c r="AI318" s="1" t="b">
        <v>0</v>
      </c>
      <c r="AJ318" s="1" t="b">
        <v>0</v>
      </c>
      <c r="AK318" s="1" t="s">
        <v>6840</v>
      </c>
      <c r="AL318" s="1" t="s">
        <v>4684</v>
      </c>
      <c r="AM318" s="1" t="s">
        <v>4685</v>
      </c>
      <c r="AN318" s="1" t="s">
        <v>4686</v>
      </c>
      <c r="AO318" s="1" t="s">
        <v>6837</v>
      </c>
      <c r="AP318" s="1" t="s">
        <v>4687</v>
      </c>
      <c r="AQ318" s="1" t="s">
        <v>4688</v>
      </c>
      <c r="AR318" s="1">
        <v>57.0</v>
      </c>
      <c r="AS318" s="3"/>
      <c r="AT318" s="3"/>
      <c r="AU318" s="4" t="s">
        <v>4695</v>
      </c>
      <c r="AW318" s="3"/>
      <c r="AX318" s="3"/>
      <c r="AY318" s="3"/>
      <c r="AZ318" s="3"/>
      <c r="BA318" s="3"/>
      <c r="BB318" s="3"/>
      <c r="BC318" s="3"/>
      <c r="BD318" s="3"/>
      <c r="BE318" s="1" t="b">
        <v>1</v>
      </c>
      <c r="BF318" s="3"/>
      <c r="BG318" s="3"/>
      <c r="BH318" s="3"/>
      <c r="BI318" s="3"/>
      <c r="BJ318" s="3"/>
      <c r="BK318" s="4" t="s">
        <v>4695</v>
      </c>
    </row>
    <row r="319">
      <c r="A319" s="1" t="s">
        <v>1761</v>
      </c>
      <c r="B319" s="1" t="s">
        <v>314</v>
      </c>
      <c r="C319" s="1" t="s">
        <v>314</v>
      </c>
      <c r="D319" s="1" t="s">
        <v>5684</v>
      </c>
      <c r="E319" s="1" t="s">
        <v>4697</v>
      </c>
      <c r="F319" s="1" t="s">
        <v>4698</v>
      </c>
      <c r="G319" s="3"/>
      <c r="H319" s="3"/>
      <c r="I319" s="1" t="s">
        <v>6841</v>
      </c>
      <c r="J319" s="1" t="s">
        <v>6842</v>
      </c>
      <c r="K319" s="3">
        <f>+821044508444</f>
        <v>821044508444</v>
      </c>
      <c r="L319" s="3"/>
      <c r="M319" s="3"/>
      <c r="N319" s="3"/>
      <c r="O319" s="3"/>
      <c r="P319" s="1">
        <v>1.22952507E8</v>
      </c>
      <c r="Q319" s="1" t="b">
        <v>1</v>
      </c>
      <c r="R319" s="1">
        <v>13.0</v>
      </c>
      <c r="S319" s="1" t="s">
        <v>4885</v>
      </c>
      <c r="T319" s="3"/>
      <c r="U319" s="1" t="s">
        <v>4672</v>
      </c>
      <c r="V319" s="1" t="s">
        <v>4673</v>
      </c>
      <c r="W319" s="1" t="s">
        <v>6843</v>
      </c>
      <c r="X319" s="1" t="b">
        <v>0</v>
      </c>
      <c r="Y319" s="1" t="s">
        <v>4675</v>
      </c>
      <c r="Z319" s="1" t="s">
        <v>6844</v>
      </c>
      <c r="AB319" s="3"/>
      <c r="AC319" s="3"/>
      <c r="AD319" s="3"/>
      <c r="AE319" s="3"/>
      <c r="AF319" s="3"/>
      <c r="AG319" s="3"/>
      <c r="AH319" s="3"/>
      <c r="AI319" s="1" t="b">
        <v>0</v>
      </c>
      <c r="AJ319" s="1" t="b">
        <v>0</v>
      </c>
      <c r="AK319" s="1" t="s">
        <v>6845</v>
      </c>
      <c r="AL319" s="1" t="s">
        <v>4719</v>
      </c>
      <c r="AM319" s="1" t="s">
        <v>4685</v>
      </c>
      <c r="AN319" s="1" t="s">
        <v>4686</v>
      </c>
      <c r="AO319" s="1" t="s">
        <v>6844</v>
      </c>
      <c r="AP319" s="1" t="s">
        <v>4687</v>
      </c>
      <c r="AQ319" s="1" t="s">
        <v>4688</v>
      </c>
      <c r="AR319" s="1">
        <v>13.0</v>
      </c>
      <c r="AS319" s="3"/>
      <c r="AT319" s="3"/>
      <c r="AU319" s="4" t="s">
        <v>4695</v>
      </c>
      <c r="AW319" s="3"/>
      <c r="AX319" s="3"/>
      <c r="AY319" s="3"/>
      <c r="AZ319" s="3"/>
      <c r="BA319" s="3"/>
      <c r="BB319" s="3"/>
      <c r="BC319" s="3"/>
      <c r="BD319" s="3"/>
      <c r="BE319" s="1" t="b">
        <v>1</v>
      </c>
      <c r="BF319" s="3"/>
      <c r="BG319" s="3"/>
      <c r="BH319" s="3"/>
      <c r="BI319" s="3"/>
      <c r="BJ319" s="3"/>
      <c r="BK319" s="4" t="s">
        <v>4695</v>
      </c>
    </row>
    <row r="320">
      <c r="A320" s="1" t="s">
        <v>326</v>
      </c>
      <c r="B320" s="1" t="s">
        <v>324</v>
      </c>
      <c r="C320" s="3"/>
      <c r="D320" s="3"/>
      <c r="E320" s="3"/>
      <c r="F320" s="3"/>
      <c r="G320" s="3"/>
      <c r="H320" s="3"/>
      <c r="I320" s="3"/>
      <c r="J320" s="3"/>
      <c r="K320" s="3"/>
      <c r="L320" s="3"/>
      <c r="M320" s="3"/>
      <c r="N320" s="3"/>
      <c r="O320" s="3"/>
      <c r="P320" s="1" t="s">
        <v>6846</v>
      </c>
      <c r="Q320" s="1" t="b">
        <v>0</v>
      </c>
      <c r="R320" s="1">
        <v>4.0</v>
      </c>
      <c r="S320" s="1" t="s">
        <v>4752</v>
      </c>
      <c r="T320" s="3"/>
      <c r="U320" s="1" t="s">
        <v>4672</v>
      </c>
      <c r="V320" s="1" t="s">
        <v>4673</v>
      </c>
      <c r="W320" s="1" t="s">
        <v>6847</v>
      </c>
      <c r="X320" s="1" t="b">
        <v>0</v>
      </c>
      <c r="Y320" s="1" t="s">
        <v>4675</v>
      </c>
      <c r="Z320" s="1" t="s">
        <v>6848</v>
      </c>
      <c r="AB320" s="3"/>
      <c r="AC320" s="3"/>
      <c r="AD320" s="3"/>
      <c r="AE320" s="3"/>
      <c r="AF320" s="3"/>
      <c r="AG320" s="3"/>
      <c r="AH320" s="3"/>
      <c r="AI320" s="1" t="b">
        <v>0</v>
      </c>
      <c r="AJ320" s="1" t="b">
        <v>0</v>
      </c>
      <c r="AK320" s="1" t="s">
        <v>6849</v>
      </c>
      <c r="AL320" s="1" t="s">
        <v>4719</v>
      </c>
      <c r="AM320" s="1" t="s">
        <v>4685</v>
      </c>
      <c r="AN320" s="1" t="s">
        <v>4686</v>
      </c>
      <c r="AO320" s="1" t="s">
        <v>6848</v>
      </c>
      <c r="AP320" s="1" t="s">
        <v>4687</v>
      </c>
      <c r="AQ320" s="1" t="s">
        <v>4688</v>
      </c>
      <c r="AR320" s="1">
        <v>4.0</v>
      </c>
      <c r="AS320" s="3"/>
      <c r="AT320" s="3"/>
      <c r="AU320" s="4" t="s">
        <v>4689</v>
      </c>
      <c r="AW320" s="3"/>
      <c r="AX320" s="3"/>
      <c r="AY320" s="3"/>
      <c r="AZ320" s="3"/>
      <c r="BA320" s="3"/>
      <c r="BB320" s="3"/>
      <c r="BC320" s="3"/>
      <c r="BD320" s="3"/>
      <c r="BE320" s="1" t="b">
        <v>1</v>
      </c>
      <c r="BF320" s="3"/>
      <c r="BG320" s="3"/>
      <c r="BH320" s="3"/>
      <c r="BI320" s="3"/>
      <c r="BJ320" s="3"/>
      <c r="BK320" s="4" t="s">
        <v>4689</v>
      </c>
    </row>
    <row r="321">
      <c r="A321" s="1" t="s">
        <v>1160</v>
      </c>
      <c r="B321" s="1" t="s">
        <v>1159</v>
      </c>
      <c r="C321" s="3"/>
      <c r="D321" s="3"/>
      <c r="E321" s="3"/>
      <c r="F321" s="3"/>
      <c r="G321" s="3"/>
      <c r="H321" s="3"/>
      <c r="I321" s="3"/>
      <c r="J321" s="3"/>
      <c r="K321" s="3"/>
      <c r="L321" s="3"/>
      <c r="M321" s="3"/>
      <c r="N321" s="3"/>
      <c r="O321" s="3"/>
      <c r="P321" s="1" t="s">
        <v>6850</v>
      </c>
      <c r="Q321" s="1" t="b">
        <v>0</v>
      </c>
      <c r="R321" s="1">
        <v>1.0</v>
      </c>
      <c r="S321" s="1" t="s">
        <v>4874</v>
      </c>
      <c r="T321" s="3"/>
      <c r="U321" s="1" t="s">
        <v>4672</v>
      </c>
      <c r="V321" s="1" t="s">
        <v>4673</v>
      </c>
      <c r="W321" s="1" t="s">
        <v>6851</v>
      </c>
      <c r="X321" s="1" t="b">
        <v>0</v>
      </c>
      <c r="Y321" s="1" t="s">
        <v>5087</v>
      </c>
      <c r="Z321" s="1" t="s">
        <v>6851</v>
      </c>
      <c r="AB321" s="3"/>
      <c r="AC321" s="3"/>
      <c r="AD321" s="3"/>
      <c r="AE321" s="3"/>
      <c r="AF321" s="3"/>
      <c r="AG321" s="3"/>
      <c r="AH321" s="3"/>
      <c r="AI321" s="1" t="b">
        <v>0</v>
      </c>
      <c r="AJ321" s="1" t="b">
        <v>0</v>
      </c>
      <c r="AK321" s="1" t="s">
        <v>6851</v>
      </c>
      <c r="AL321" s="1" t="s">
        <v>4719</v>
      </c>
      <c r="AM321" s="1" t="s">
        <v>4685</v>
      </c>
      <c r="AN321" s="1" t="s">
        <v>4795</v>
      </c>
      <c r="AO321" s="1" t="s">
        <v>6851</v>
      </c>
      <c r="AP321" s="1" t="s">
        <v>4796</v>
      </c>
      <c r="AQ321" s="1" t="s">
        <v>4758</v>
      </c>
      <c r="AR321" s="1">
        <v>1.0</v>
      </c>
      <c r="AS321" s="3"/>
      <c r="AT321" s="3"/>
      <c r="AU321" s="3"/>
      <c r="AV321" s="3"/>
      <c r="AW321" s="3"/>
      <c r="AX321" s="3"/>
      <c r="AY321" s="3"/>
      <c r="AZ321" s="3"/>
      <c r="BA321" s="3"/>
      <c r="BB321" s="3"/>
      <c r="BC321" s="3"/>
      <c r="BD321" s="3"/>
      <c r="BE321" s="1" t="b">
        <v>1</v>
      </c>
      <c r="BF321" s="3"/>
      <c r="BG321" s="3"/>
      <c r="BH321" s="3"/>
      <c r="BI321" s="3"/>
      <c r="BJ321" s="3"/>
      <c r="BK321" s="3"/>
      <c r="BL321" s="3"/>
    </row>
    <row r="322">
      <c r="A322" s="1" t="s">
        <v>673</v>
      </c>
      <c r="B322" s="1" t="s">
        <v>672</v>
      </c>
      <c r="C322" s="1" t="s">
        <v>672</v>
      </c>
      <c r="D322" s="1" t="s">
        <v>5669</v>
      </c>
      <c r="E322" s="1" t="s">
        <v>6852</v>
      </c>
      <c r="F322" s="1" t="s">
        <v>6853</v>
      </c>
      <c r="G322" s="3"/>
      <c r="H322" s="3"/>
      <c r="I322" s="1" t="s">
        <v>4925</v>
      </c>
      <c r="J322" s="1" t="s">
        <v>6854</v>
      </c>
      <c r="K322" s="3">
        <f>+821027187380</f>
        <v>821027187380</v>
      </c>
      <c r="L322" s="3"/>
      <c r="M322" s="3"/>
      <c r="N322" s="3"/>
      <c r="O322" s="3"/>
      <c r="P322" s="1">
        <v>1.12567542E8</v>
      </c>
      <c r="Q322" s="1" t="b">
        <v>1</v>
      </c>
      <c r="R322" s="1">
        <v>149.0</v>
      </c>
      <c r="S322" s="1" t="s">
        <v>4744</v>
      </c>
      <c r="T322" s="3"/>
      <c r="U322" s="1" t="s">
        <v>4672</v>
      </c>
      <c r="V322" s="1" t="s">
        <v>4673</v>
      </c>
      <c r="W322" s="1" t="s">
        <v>6855</v>
      </c>
      <c r="X322" s="1" t="b">
        <v>0</v>
      </c>
      <c r="Y322" s="1" t="s">
        <v>4675</v>
      </c>
      <c r="Z322" s="1" t="s">
        <v>6856</v>
      </c>
      <c r="AB322" s="1" t="s">
        <v>4677</v>
      </c>
      <c r="AC322" s="1" t="s">
        <v>4678</v>
      </c>
      <c r="AD322" s="1" t="s">
        <v>4832</v>
      </c>
      <c r="AE322" s="1" t="s">
        <v>6857</v>
      </c>
      <c r="AF322" s="1" t="s">
        <v>4757</v>
      </c>
      <c r="AG322" s="1" t="s">
        <v>4758</v>
      </c>
      <c r="AH322" s="1">
        <v>21.0</v>
      </c>
      <c r="AI322" s="1" t="b">
        <v>0</v>
      </c>
      <c r="AJ322" s="1" t="b">
        <v>0</v>
      </c>
      <c r="AK322" s="1" t="s">
        <v>6858</v>
      </c>
      <c r="AL322" s="1" t="s">
        <v>4684</v>
      </c>
      <c r="AM322" s="1" t="s">
        <v>4685</v>
      </c>
      <c r="AN322" s="1" t="s">
        <v>4686</v>
      </c>
      <c r="AO322" s="1" t="s">
        <v>6856</v>
      </c>
      <c r="AP322" s="1" t="s">
        <v>4687</v>
      </c>
      <c r="AQ322" s="1" t="s">
        <v>4688</v>
      </c>
      <c r="AR322" s="1">
        <v>128.0</v>
      </c>
      <c r="AS322" s="3"/>
      <c r="AT322" s="3"/>
      <c r="AU322" s="4" t="s">
        <v>4780</v>
      </c>
      <c r="AV322" s="1" t="s">
        <v>4788</v>
      </c>
      <c r="AW322" s="1" t="s">
        <v>4789</v>
      </c>
      <c r="AX322" s="1" t="s">
        <v>4692</v>
      </c>
      <c r="AY322" s="1" t="s">
        <v>4790</v>
      </c>
      <c r="AZ322" s="1" t="s">
        <v>4791</v>
      </c>
      <c r="BA322" s="3"/>
      <c r="BB322" s="3"/>
      <c r="BC322" s="3"/>
      <c r="BD322" s="3"/>
      <c r="BE322" s="1" t="b">
        <v>1</v>
      </c>
      <c r="BF322" s="1" t="s">
        <v>4790</v>
      </c>
      <c r="BG322" s="1" t="s">
        <v>4692</v>
      </c>
      <c r="BH322" s="1" t="s">
        <v>4788</v>
      </c>
      <c r="BI322" s="1" t="s">
        <v>4789</v>
      </c>
      <c r="BJ322" s="1" t="s">
        <v>4791</v>
      </c>
      <c r="BK322" s="4" t="s">
        <v>4771</v>
      </c>
    </row>
    <row r="323">
      <c r="A323" s="1" t="s">
        <v>1456</v>
      </c>
      <c r="B323" s="1" t="s">
        <v>1455</v>
      </c>
      <c r="C323" s="1" t="s">
        <v>1455</v>
      </c>
      <c r="D323" s="1" t="s">
        <v>4711</v>
      </c>
      <c r="E323" s="1" t="s">
        <v>6859</v>
      </c>
      <c r="F323" s="1" t="s">
        <v>6860</v>
      </c>
      <c r="G323" s="3"/>
      <c r="H323" s="3"/>
      <c r="I323" s="1" t="s">
        <v>5301</v>
      </c>
      <c r="J323" s="1" t="s">
        <v>6861</v>
      </c>
      <c r="K323" s="3">
        <f>+821056150360</f>
        <v>821056150360</v>
      </c>
      <c r="L323" s="3"/>
      <c r="M323" s="3"/>
      <c r="N323" s="3"/>
      <c r="O323" s="3"/>
      <c r="P323" s="1">
        <v>2.08587738E9</v>
      </c>
      <c r="Q323" s="1" t="b">
        <v>1</v>
      </c>
      <c r="R323" s="1">
        <v>31.0</v>
      </c>
      <c r="S323" s="1" t="s">
        <v>6862</v>
      </c>
      <c r="T323" s="1" t="s">
        <v>6862</v>
      </c>
      <c r="U323" s="1" t="s">
        <v>6863</v>
      </c>
      <c r="V323" s="1" t="s">
        <v>6864</v>
      </c>
      <c r="W323" s="1" t="s">
        <v>6865</v>
      </c>
      <c r="X323" s="1" t="b">
        <v>0</v>
      </c>
      <c r="Y323" s="1" t="s">
        <v>4675</v>
      </c>
      <c r="Z323" s="1" t="s">
        <v>6866</v>
      </c>
      <c r="AB323" s="3"/>
      <c r="AC323" s="3"/>
      <c r="AD323" s="3"/>
      <c r="AE323" s="3"/>
      <c r="AF323" s="3"/>
      <c r="AG323" s="3"/>
      <c r="AH323" s="3"/>
      <c r="AI323" s="1" t="b">
        <v>0</v>
      </c>
      <c r="AJ323" s="1" t="b">
        <v>0</v>
      </c>
      <c r="AK323" s="1" t="s">
        <v>6867</v>
      </c>
      <c r="AL323" s="1" t="s">
        <v>4707</v>
      </c>
      <c r="AM323" s="1" t="s">
        <v>4708</v>
      </c>
      <c r="AN323" s="1" t="s">
        <v>4686</v>
      </c>
      <c r="AO323" s="1" t="s">
        <v>6866</v>
      </c>
      <c r="AP323" s="1" t="s">
        <v>4709</v>
      </c>
      <c r="AQ323" s="1" t="s">
        <v>4688</v>
      </c>
      <c r="AR323" s="1">
        <v>31.0</v>
      </c>
      <c r="AS323" s="3"/>
      <c r="AT323" s="3"/>
      <c r="AU323" s="4" t="s">
        <v>4856</v>
      </c>
      <c r="BB323" s="3"/>
      <c r="BC323" s="3"/>
      <c r="BD323" s="3"/>
      <c r="BE323" s="1" t="b">
        <v>1</v>
      </c>
      <c r="BF323" s="3"/>
      <c r="BG323" s="3"/>
      <c r="BH323" s="3"/>
      <c r="BI323" s="3"/>
      <c r="BJ323" s="3"/>
      <c r="BK323" s="4" t="s">
        <v>4695</v>
      </c>
    </row>
    <row r="324">
      <c r="A324" s="1" t="s">
        <v>1026</v>
      </c>
      <c r="B324" s="1" t="s">
        <v>1025</v>
      </c>
      <c r="C324" s="1" t="s">
        <v>1025</v>
      </c>
      <c r="D324" s="1" t="s">
        <v>4724</v>
      </c>
      <c r="E324" s="1" t="s">
        <v>6868</v>
      </c>
      <c r="F324" s="1" t="s">
        <v>6869</v>
      </c>
      <c r="G324" s="3"/>
      <c r="H324" s="3"/>
      <c r="I324" s="3"/>
      <c r="J324" s="1" t="s">
        <v>6870</v>
      </c>
      <c r="K324" s="3">
        <f>+821093913539</f>
        <v>821093913539</v>
      </c>
      <c r="L324" s="3"/>
      <c r="M324" s="3"/>
      <c r="N324" s="3"/>
      <c r="O324" s="3"/>
      <c r="P324" s="1">
        <v>1.22945817E8</v>
      </c>
      <c r="Q324" s="1" t="b">
        <v>1</v>
      </c>
      <c r="R324" s="1">
        <v>9.0</v>
      </c>
      <c r="S324" s="1" t="s">
        <v>6871</v>
      </c>
      <c r="T324" s="3"/>
      <c r="U324" s="1" t="s">
        <v>4672</v>
      </c>
      <c r="V324" s="1" t="s">
        <v>4673</v>
      </c>
      <c r="W324" s="1" t="s">
        <v>6872</v>
      </c>
      <c r="X324" s="1" t="b">
        <v>0</v>
      </c>
      <c r="Y324" s="1" t="s">
        <v>4675</v>
      </c>
      <c r="Z324" s="1" t="s">
        <v>6873</v>
      </c>
      <c r="AB324" s="3"/>
      <c r="AC324" s="3"/>
      <c r="AD324" s="3"/>
      <c r="AE324" s="3"/>
      <c r="AF324" s="3"/>
      <c r="AG324" s="3"/>
      <c r="AH324" s="3"/>
      <c r="AI324" s="1" t="b">
        <v>0</v>
      </c>
      <c r="AJ324" s="1" t="b">
        <v>0</v>
      </c>
      <c r="AK324" s="1" t="s">
        <v>6874</v>
      </c>
      <c r="AL324" s="1" t="s">
        <v>4707</v>
      </c>
      <c r="AM324" s="1" t="s">
        <v>4708</v>
      </c>
      <c r="AN324" s="1" t="s">
        <v>4686</v>
      </c>
      <c r="AO324" s="1" t="s">
        <v>6873</v>
      </c>
      <c r="AP324" s="1" t="s">
        <v>4709</v>
      </c>
      <c r="AQ324" s="1" t="s">
        <v>4688</v>
      </c>
      <c r="AR324" s="1">
        <v>9.0</v>
      </c>
      <c r="AS324" s="3"/>
      <c r="AT324" s="3"/>
      <c r="AU324" s="4" t="s">
        <v>4881</v>
      </c>
      <c r="AW324" s="3"/>
      <c r="AX324" s="3"/>
      <c r="AY324" s="3"/>
      <c r="AZ324" s="3"/>
      <c r="BA324" s="3"/>
      <c r="BB324" s="3"/>
      <c r="BC324" s="3"/>
      <c r="BD324" s="3"/>
      <c r="BE324" s="1" t="b">
        <v>1</v>
      </c>
      <c r="BF324" s="3"/>
      <c r="BG324" s="3"/>
      <c r="BH324" s="3"/>
      <c r="BI324" s="3"/>
      <c r="BJ324" s="3"/>
      <c r="BK324" s="4" t="s">
        <v>4881</v>
      </c>
    </row>
    <row r="325">
      <c r="A325" s="1" t="s">
        <v>1241</v>
      </c>
      <c r="B325" s="1" t="s">
        <v>1240</v>
      </c>
      <c r="C325" s="3"/>
      <c r="D325" s="3"/>
      <c r="E325" s="3"/>
      <c r="F325" s="3"/>
      <c r="G325" s="3"/>
      <c r="H325" s="3"/>
      <c r="I325" s="3"/>
      <c r="J325" s="3"/>
      <c r="K325" s="3"/>
      <c r="L325" s="3"/>
      <c r="M325" s="3"/>
      <c r="N325" s="3"/>
      <c r="O325" s="3"/>
      <c r="P325" s="1" t="s">
        <v>6875</v>
      </c>
      <c r="Q325" s="1" t="b">
        <v>0</v>
      </c>
      <c r="R325" s="1">
        <v>5.0</v>
      </c>
      <c r="S325" s="1" t="s">
        <v>5147</v>
      </c>
      <c r="T325" s="3"/>
      <c r="U325" s="1" t="s">
        <v>4672</v>
      </c>
      <c r="V325" s="1" t="s">
        <v>4673</v>
      </c>
      <c r="W325" s="1" t="s">
        <v>6876</v>
      </c>
      <c r="X325" s="1" t="b">
        <v>0</v>
      </c>
      <c r="Y325" s="1" t="s">
        <v>4675</v>
      </c>
      <c r="Z325" s="1" t="s">
        <v>6877</v>
      </c>
      <c r="AB325" s="3"/>
      <c r="AC325" s="3"/>
      <c r="AD325" s="3"/>
      <c r="AE325" s="3"/>
      <c r="AF325" s="3"/>
      <c r="AG325" s="3"/>
      <c r="AH325" s="3"/>
      <c r="AI325" s="1" t="b">
        <v>0</v>
      </c>
      <c r="AJ325" s="1" t="b">
        <v>0</v>
      </c>
      <c r="AK325" s="1" t="s">
        <v>6878</v>
      </c>
      <c r="AL325" s="1" t="s">
        <v>4719</v>
      </c>
      <c r="AM325" s="1" t="s">
        <v>4685</v>
      </c>
      <c r="AN325" s="1" t="s">
        <v>4720</v>
      </c>
      <c r="AO325" s="1" t="s">
        <v>6877</v>
      </c>
      <c r="AP325" s="1" t="s">
        <v>4721</v>
      </c>
      <c r="AQ325" s="1" t="s">
        <v>4722</v>
      </c>
      <c r="AR325" s="1">
        <v>5.0</v>
      </c>
      <c r="AS325" s="3"/>
      <c r="AT325" s="3"/>
      <c r="AU325" s="4" t="s">
        <v>6431</v>
      </c>
      <c r="AW325" s="3"/>
      <c r="AX325" s="3"/>
      <c r="AY325" s="3"/>
      <c r="AZ325" s="3"/>
      <c r="BA325" s="3"/>
      <c r="BB325" s="3"/>
      <c r="BC325" s="3"/>
      <c r="BD325" s="3"/>
      <c r="BE325" s="1" t="b">
        <v>1</v>
      </c>
      <c r="BF325" s="3"/>
      <c r="BG325" s="3"/>
      <c r="BH325" s="3"/>
      <c r="BI325" s="3"/>
      <c r="BJ325" s="3"/>
      <c r="BK325" s="4" t="s">
        <v>4695</v>
      </c>
    </row>
    <row r="326">
      <c r="A326" s="1" t="s">
        <v>1552</v>
      </c>
      <c r="B326" s="1" t="s">
        <v>1550</v>
      </c>
      <c r="C326" s="1" t="s">
        <v>1550</v>
      </c>
      <c r="D326" s="1" t="s">
        <v>4772</v>
      </c>
      <c r="E326" s="1" t="s">
        <v>6879</v>
      </c>
      <c r="F326" s="1" t="s">
        <v>6880</v>
      </c>
      <c r="G326" s="3"/>
      <c r="H326" s="3"/>
      <c r="I326" s="1" t="s">
        <v>4742</v>
      </c>
      <c r="J326" s="1" t="s">
        <v>6881</v>
      </c>
      <c r="L326" s="3"/>
      <c r="M326" s="3"/>
      <c r="N326" s="3"/>
      <c r="O326" s="3"/>
      <c r="P326" s="1">
        <v>1.12315249E8</v>
      </c>
      <c r="Q326" s="1" t="b">
        <v>1</v>
      </c>
      <c r="R326" s="1">
        <v>22.0</v>
      </c>
      <c r="S326" s="1" t="s">
        <v>4918</v>
      </c>
      <c r="T326" s="3"/>
      <c r="U326" s="1" t="s">
        <v>4672</v>
      </c>
      <c r="V326" s="1" t="s">
        <v>4673</v>
      </c>
      <c r="W326" s="1" t="s">
        <v>6882</v>
      </c>
      <c r="X326" s="1" t="b">
        <v>0</v>
      </c>
      <c r="Y326" s="1" t="s">
        <v>4675</v>
      </c>
      <c r="Z326" s="1" t="s">
        <v>6883</v>
      </c>
      <c r="AB326" s="3"/>
      <c r="AC326" s="3"/>
      <c r="AD326" s="3"/>
      <c r="AE326" s="3"/>
      <c r="AF326" s="3"/>
      <c r="AG326" s="3"/>
      <c r="AH326" s="3"/>
      <c r="AI326" s="1" t="b">
        <v>0</v>
      </c>
      <c r="AJ326" s="1" t="b">
        <v>0</v>
      </c>
      <c r="AK326" s="1" t="s">
        <v>6883</v>
      </c>
      <c r="AL326" s="1" t="s">
        <v>4719</v>
      </c>
      <c r="AM326" s="1" t="s">
        <v>4685</v>
      </c>
      <c r="AN326" s="1" t="s">
        <v>4686</v>
      </c>
      <c r="AO326" s="1" t="s">
        <v>6883</v>
      </c>
      <c r="AP326" s="1" t="s">
        <v>4687</v>
      </c>
      <c r="AQ326" s="1" t="s">
        <v>4688</v>
      </c>
      <c r="AR326" s="1">
        <v>22.0</v>
      </c>
      <c r="AS326" s="3"/>
      <c r="AT326" s="3"/>
      <c r="AU326" s="4" t="s">
        <v>4695</v>
      </c>
      <c r="AW326" s="3"/>
      <c r="AX326" s="3"/>
      <c r="AY326" s="3"/>
      <c r="AZ326" s="3"/>
      <c r="BA326" s="3"/>
      <c r="BB326" s="3"/>
      <c r="BC326" s="3"/>
      <c r="BD326" s="3"/>
      <c r="BE326" s="1" t="b">
        <v>1</v>
      </c>
      <c r="BF326" s="3"/>
      <c r="BG326" s="3"/>
      <c r="BH326" s="3"/>
      <c r="BI326" s="3"/>
      <c r="BJ326" s="3"/>
      <c r="BK326" s="4" t="s">
        <v>4695</v>
      </c>
      <c r="BL326" s="1" t="s">
        <v>4723</v>
      </c>
    </row>
    <row r="327">
      <c r="A327" s="1" t="s">
        <v>212</v>
      </c>
      <c r="B327" s="1" t="s">
        <v>211</v>
      </c>
      <c r="C327" s="1" t="s">
        <v>211</v>
      </c>
      <c r="D327" s="1" t="s">
        <v>5669</v>
      </c>
      <c r="E327" s="1" t="s">
        <v>6884</v>
      </c>
      <c r="F327" s="1" t="s">
        <v>6885</v>
      </c>
      <c r="G327" s="3"/>
      <c r="H327" s="3"/>
      <c r="I327" s="1" t="s">
        <v>4742</v>
      </c>
      <c r="J327" s="1" t="s">
        <v>6886</v>
      </c>
      <c r="K327" s="3">
        <f>+821023326064</f>
        <v>821023326064</v>
      </c>
      <c r="L327" s="3"/>
      <c r="M327" s="3"/>
      <c r="N327" s="3"/>
      <c r="O327" s="3"/>
      <c r="P327" s="1">
        <v>1.12465528E8</v>
      </c>
      <c r="Q327" s="1" t="b">
        <v>1</v>
      </c>
      <c r="R327" s="1">
        <v>114.0</v>
      </c>
      <c r="S327" s="1" t="s">
        <v>4885</v>
      </c>
      <c r="T327" s="3"/>
      <c r="U327" s="1" t="s">
        <v>4672</v>
      </c>
      <c r="V327" s="1" t="s">
        <v>4673</v>
      </c>
      <c r="W327" s="1" t="s">
        <v>6887</v>
      </c>
      <c r="X327" s="1" t="b">
        <v>0</v>
      </c>
      <c r="Y327" s="1" t="s">
        <v>4675</v>
      </c>
      <c r="Z327" s="1" t="s">
        <v>6888</v>
      </c>
      <c r="AB327" s="1" t="s">
        <v>4677</v>
      </c>
      <c r="AC327" s="1" t="s">
        <v>4678</v>
      </c>
      <c r="AD327" s="1" t="s">
        <v>4679</v>
      </c>
      <c r="AE327" s="1" t="s">
        <v>6889</v>
      </c>
      <c r="AF327" s="1" t="s">
        <v>6890</v>
      </c>
      <c r="AG327" s="1" t="s">
        <v>4682</v>
      </c>
      <c r="AH327" s="1">
        <v>67.0</v>
      </c>
      <c r="AI327" s="1" t="b">
        <v>0</v>
      </c>
      <c r="AJ327" s="1" t="b">
        <v>0</v>
      </c>
      <c r="AK327" s="1" t="s">
        <v>6891</v>
      </c>
      <c r="AL327" s="1" t="s">
        <v>4684</v>
      </c>
      <c r="AM327" s="1" t="s">
        <v>4685</v>
      </c>
      <c r="AN327" s="1" t="s">
        <v>4720</v>
      </c>
      <c r="AO327" s="1" t="s">
        <v>6888</v>
      </c>
      <c r="AP327" s="1" t="s">
        <v>4721</v>
      </c>
      <c r="AQ327" s="1" t="s">
        <v>4722</v>
      </c>
      <c r="AR327" s="1">
        <v>47.0</v>
      </c>
      <c r="AS327" s="3"/>
      <c r="AT327" s="3"/>
      <c r="AU327" s="4" t="s">
        <v>4780</v>
      </c>
      <c r="AV327" s="1" t="s">
        <v>4690</v>
      </c>
      <c r="AW327" s="1" t="s">
        <v>4691</v>
      </c>
      <c r="AX327" s="1" t="s">
        <v>4692</v>
      </c>
      <c r="AY327" s="1" t="s">
        <v>4693</v>
      </c>
      <c r="AZ327" s="1" t="s">
        <v>4694</v>
      </c>
      <c r="BA327" s="3"/>
      <c r="BB327" s="3"/>
      <c r="BC327" s="3"/>
      <c r="BD327" s="3"/>
      <c r="BE327" s="1" t="b">
        <v>1</v>
      </c>
      <c r="BF327" s="1" t="s">
        <v>4693</v>
      </c>
      <c r="BG327" s="1" t="s">
        <v>4692</v>
      </c>
      <c r="BH327" s="1" t="s">
        <v>4690</v>
      </c>
      <c r="BI327" s="1" t="s">
        <v>4691</v>
      </c>
      <c r="BJ327" s="1" t="s">
        <v>4694</v>
      </c>
      <c r="BK327" s="4" t="s">
        <v>4695</v>
      </c>
    </row>
    <row r="328">
      <c r="A328" s="1" t="s">
        <v>123</v>
      </c>
      <c r="B328" s="1" t="s">
        <v>122</v>
      </c>
      <c r="C328" s="1" t="s">
        <v>122</v>
      </c>
      <c r="D328" s="1" t="s">
        <v>5092</v>
      </c>
      <c r="E328" s="1" t="s">
        <v>6892</v>
      </c>
      <c r="F328" s="1" t="s">
        <v>6893</v>
      </c>
      <c r="G328" s="3"/>
      <c r="H328" s="3"/>
      <c r="I328" s="3"/>
      <c r="J328" s="1" t="s">
        <v>6894</v>
      </c>
      <c r="L328" s="3"/>
      <c r="M328" s="3"/>
      <c r="N328" s="3"/>
      <c r="O328" s="3"/>
      <c r="P328" s="1">
        <v>1.12419698E8</v>
      </c>
      <c r="Q328" s="1" t="b">
        <v>1</v>
      </c>
      <c r="R328" s="1">
        <v>52.0</v>
      </c>
      <c r="S328" s="1" t="s">
        <v>6374</v>
      </c>
      <c r="T328" s="3"/>
      <c r="U328" s="1" t="s">
        <v>4672</v>
      </c>
      <c r="V328" s="1" t="s">
        <v>4673</v>
      </c>
      <c r="W328" s="1" t="s">
        <v>6895</v>
      </c>
      <c r="X328" s="1" t="b">
        <v>0</v>
      </c>
      <c r="Y328" s="1" t="s">
        <v>5087</v>
      </c>
      <c r="Z328" s="1" t="s">
        <v>6896</v>
      </c>
      <c r="AB328" s="1" t="s">
        <v>4677</v>
      </c>
      <c r="AC328" s="1" t="s">
        <v>4678</v>
      </c>
      <c r="AD328" s="1" t="s">
        <v>4679</v>
      </c>
      <c r="AE328" s="1" t="s">
        <v>6897</v>
      </c>
      <c r="AF328" s="1" t="s">
        <v>4681</v>
      </c>
      <c r="AG328" s="1" t="s">
        <v>4682</v>
      </c>
      <c r="AH328" s="1">
        <v>39.0</v>
      </c>
      <c r="AI328" s="1" t="b">
        <v>0</v>
      </c>
      <c r="AJ328" s="1" t="b">
        <v>0</v>
      </c>
      <c r="AK328" s="1" t="s">
        <v>6898</v>
      </c>
      <c r="AL328" s="1" t="s">
        <v>4719</v>
      </c>
      <c r="AM328" s="1" t="s">
        <v>4685</v>
      </c>
      <c r="AN328" s="1" t="s">
        <v>4686</v>
      </c>
      <c r="AO328" s="1" t="s">
        <v>6896</v>
      </c>
      <c r="AP328" s="1" t="s">
        <v>4687</v>
      </c>
      <c r="AQ328" s="1" t="s">
        <v>4688</v>
      </c>
      <c r="AR328" s="1">
        <v>13.0</v>
      </c>
      <c r="AS328" s="3"/>
      <c r="AT328" s="3"/>
      <c r="AU328" s="4" t="s">
        <v>4695</v>
      </c>
      <c r="AV328" s="1" t="s">
        <v>5871</v>
      </c>
      <c r="AW328" s="1" t="s">
        <v>5872</v>
      </c>
      <c r="AX328" s="1" t="s">
        <v>4692</v>
      </c>
      <c r="AY328" s="1" t="s">
        <v>4790</v>
      </c>
      <c r="AZ328" s="1" t="s">
        <v>6899</v>
      </c>
      <c r="BA328" s="3"/>
      <c r="BB328" s="3"/>
      <c r="BC328" s="3"/>
      <c r="BD328" s="3"/>
      <c r="BE328" s="1" t="b">
        <v>1</v>
      </c>
      <c r="BF328" s="1" t="s">
        <v>4790</v>
      </c>
      <c r="BG328" s="1" t="s">
        <v>4936</v>
      </c>
      <c r="BH328" s="1" t="s">
        <v>6900</v>
      </c>
      <c r="BI328" s="1" t="s">
        <v>5872</v>
      </c>
      <c r="BJ328" s="1" t="s">
        <v>6899</v>
      </c>
      <c r="BK328" s="4" t="s">
        <v>4695</v>
      </c>
    </row>
    <row r="329">
      <c r="A329" s="1" t="s">
        <v>1266</v>
      </c>
      <c r="B329" s="1" t="s">
        <v>1265</v>
      </c>
      <c r="C329" s="1" t="s">
        <v>1265</v>
      </c>
      <c r="D329" s="1" t="s">
        <v>4858</v>
      </c>
      <c r="E329" s="1" t="s">
        <v>6901</v>
      </c>
      <c r="F329" s="1" t="s">
        <v>6902</v>
      </c>
      <c r="G329" s="3"/>
      <c r="H329" s="3"/>
      <c r="I329" s="1" t="s">
        <v>4669</v>
      </c>
      <c r="J329" s="1" t="s">
        <v>6903</v>
      </c>
      <c r="K329" s="3">
        <f>+821040954647</f>
        <v>821040954647</v>
      </c>
      <c r="L329" s="3"/>
      <c r="M329" s="3"/>
      <c r="N329" s="3"/>
      <c r="O329" s="3"/>
      <c r="P329" s="1">
        <v>1.12354288E8</v>
      </c>
      <c r="Q329" s="1" t="b">
        <v>1</v>
      </c>
      <c r="R329" s="1">
        <v>191.0</v>
      </c>
      <c r="S329" s="1" t="s">
        <v>4752</v>
      </c>
      <c r="T329" s="3"/>
      <c r="U329" s="1" t="s">
        <v>4672</v>
      </c>
      <c r="V329" s="1" t="s">
        <v>4673</v>
      </c>
      <c r="W329" s="1" t="s">
        <v>6904</v>
      </c>
      <c r="X329" s="1" t="b">
        <v>0</v>
      </c>
      <c r="Y329" s="1" t="s">
        <v>4675</v>
      </c>
      <c r="Z329" s="1" t="s">
        <v>6905</v>
      </c>
      <c r="AB329" s="1" t="s">
        <v>4677</v>
      </c>
      <c r="AC329" s="1" t="s">
        <v>4678</v>
      </c>
      <c r="AD329" s="1" t="s">
        <v>4877</v>
      </c>
      <c r="AE329" s="1" t="s">
        <v>6906</v>
      </c>
      <c r="AF329" s="1" t="s">
        <v>4757</v>
      </c>
      <c r="AG329" s="1" t="s">
        <v>4758</v>
      </c>
      <c r="AH329" s="1">
        <v>94.0</v>
      </c>
      <c r="AI329" s="1" t="b">
        <v>0</v>
      </c>
      <c r="AJ329" s="1" t="b">
        <v>0</v>
      </c>
      <c r="AK329" s="1" t="s">
        <v>6907</v>
      </c>
      <c r="AL329" s="1" t="s">
        <v>4719</v>
      </c>
      <c r="AM329" s="1" t="s">
        <v>4685</v>
      </c>
      <c r="AN329" s="1" t="s">
        <v>4686</v>
      </c>
      <c r="AO329" s="1" t="s">
        <v>6905</v>
      </c>
      <c r="AP329" s="1" t="s">
        <v>4687</v>
      </c>
      <c r="AQ329" s="1" t="s">
        <v>4688</v>
      </c>
      <c r="AR329" s="1">
        <v>97.0</v>
      </c>
      <c r="AS329" s="3"/>
      <c r="AT329" s="3"/>
      <c r="AU329" s="4" t="s">
        <v>4695</v>
      </c>
      <c r="AW329" s="3"/>
      <c r="AX329" s="3"/>
      <c r="AY329" s="3"/>
      <c r="AZ329" s="3"/>
      <c r="BA329" s="3"/>
      <c r="BB329" s="3"/>
      <c r="BC329" s="3"/>
      <c r="BD329" s="3"/>
      <c r="BE329" s="1" t="b">
        <v>1</v>
      </c>
      <c r="BF329" s="3"/>
      <c r="BG329" s="3"/>
      <c r="BH329" s="3"/>
      <c r="BI329" s="3"/>
      <c r="BJ329" s="3"/>
      <c r="BK329" s="4" t="s">
        <v>4695</v>
      </c>
    </row>
    <row r="330">
      <c r="A330" s="1" t="s">
        <v>1111</v>
      </c>
      <c r="B330" s="1" t="s">
        <v>1109</v>
      </c>
      <c r="C330" s="1" t="s">
        <v>1109</v>
      </c>
      <c r="D330" s="1" t="s">
        <v>4858</v>
      </c>
      <c r="E330" s="1" t="s">
        <v>6908</v>
      </c>
      <c r="F330" s="1" t="s">
        <v>6909</v>
      </c>
      <c r="G330" s="3"/>
      <c r="H330" s="3"/>
      <c r="I330" s="1" t="s">
        <v>4742</v>
      </c>
      <c r="J330" s="1" t="s">
        <v>6910</v>
      </c>
      <c r="K330" s="3">
        <f>+821079381403</f>
        <v>821079381403</v>
      </c>
      <c r="L330" s="3"/>
      <c r="M330" s="3"/>
      <c r="N330" s="3"/>
      <c r="O330" s="3"/>
      <c r="P330" s="1">
        <v>1.08830389E8</v>
      </c>
      <c r="Q330" s="1" t="b">
        <v>1</v>
      </c>
      <c r="R330" s="1">
        <v>51.0</v>
      </c>
      <c r="S330" s="1" t="s">
        <v>6911</v>
      </c>
      <c r="T330" s="3"/>
      <c r="U330" s="1" t="s">
        <v>4672</v>
      </c>
      <c r="V330" s="1" t="s">
        <v>4673</v>
      </c>
      <c r="W330" s="1" t="s">
        <v>6912</v>
      </c>
      <c r="X330" s="1" t="b">
        <v>0</v>
      </c>
      <c r="Y330" s="1" t="s">
        <v>4675</v>
      </c>
      <c r="Z330" s="1" t="s">
        <v>6913</v>
      </c>
      <c r="AB330" s="1" t="s">
        <v>4677</v>
      </c>
      <c r="AC330" s="1" t="s">
        <v>4678</v>
      </c>
      <c r="AD330" s="1" t="s">
        <v>4679</v>
      </c>
      <c r="AE330" s="1" t="s">
        <v>6913</v>
      </c>
      <c r="AF330" s="1" t="s">
        <v>4681</v>
      </c>
      <c r="AG330" s="1" t="s">
        <v>4682</v>
      </c>
      <c r="AH330" s="1">
        <v>46.0</v>
      </c>
      <c r="AI330" s="1" t="b">
        <v>0</v>
      </c>
      <c r="AJ330" s="1" t="b">
        <v>0</v>
      </c>
      <c r="AK330" s="1" t="s">
        <v>6914</v>
      </c>
      <c r="AL330" s="1" t="s">
        <v>4707</v>
      </c>
      <c r="AM330" s="1" t="s">
        <v>4708</v>
      </c>
      <c r="AN330" s="1" t="s">
        <v>4686</v>
      </c>
      <c r="AO330" s="1" t="s">
        <v>6915</v>
      </c>
      <c r="AP330" s="1" t="s">
        <v>4709</v>
      </c>
      <c r="AQ330" s="1" t="s">
        <v>4688</v>
      </c>
      <c r="AR330" s="1">
        <v>5.0</v>
      </c>
      <c r="AS330" s="3"/>
      <c r="AT330" s="3"/>
      <c r="AU330" s="4" t="s">
        <v>4771</v>
      </c>
      <c r="AW330" s="3"/>
      <c r="AX330" s="3"/>
      <c r="AY330" s="3"/>
      <c r="AZ330" s="3"/>
      <c r="BA330" s="3"/>
      <c r="BB330" s="3"/>
      <c r="BC330" s="3"/>
      <c r="BD330" s="3"/>
      <c r="BE330" s="1" t="b">
        <v>1</v>
      </c>
      <c r="BF330" s="3"/>
      <c r="BG330" s="3"/>
      <c r="BH330" s="3"/>
      <c r="BI330" s="3"/>
      <c r="BJ330" s="3"/>
      <c r="BK330" s="4" t="s">
        <v>4881</v>
      </c>
      <c r="BL330" s="1" t="s">
        <v>4723</v>
      </c>
    </row>
    <row r="331">
      <c r="A331" s="1" t="s">
        <v>144</v>
      </c>
      <c r="B331" s="1" t="s">
        <v>141</v>
      </c>
      <c r="C331" s="1" t="s">
        <v>141</v>
      </c>
      <c r="D331" s="1" t="s">
        <v>4711</v>
      </c>
      <c r="E331" s="1" t="s">
        <v>6916</v>
      </c>
      <c r="F331" s="1" t="s">
        <v>6917</v>
      </c>
      <c r="G331" s="3"/>
      <c r="H331" s="3"/>
      <c r="I331" s="1" t="s">
        <v>4733</v>
      </c>
      <c r="J331" s="1" t="s">
        <v>6918</v>
      </c>
      <c r="K331" s="3">
        <f>+821043830310</f>
        <v>821043830310</v>
      </c>
      <c r="L331" s="3"/>
      <c r="M331" s="3"/>
      <c r="N331" s="3"/>
      <c r="O331" s="3"/>
      <c r="P331" s="1">
        <v>1.11167577E8</v>
      </c>
      <c r="Q331" s="1" t="b">
        <v>1</v>
      </c>
      <c r="R331" s="1">
        <v>29.0</v>
      </c>
      <c r="S331" s="1" t="s">
        <v>5234</v>
      </c>
      <c r="T331" s="3"/>
      <c r="U331" s="1" t="s">
        <v>4672</v>
      </c>
      <c r="V331" s="1" t="s">
        <v>4673</v>
      </c>
      <c r="W331" s="1" t="s">
        <v>6919</v>
      </c>
      <c r="X331" s="1" t="b">
        <v>0</v>
      </c>
      <c r="Y331" s="1" t="s">
        <v>4675</v>
      </c>
      <c r="Z331" s="1" t="s">
        <v>6920</v>
      </c>
      <c r="AB331" s="1" t="s">
        <v>4677</v>
      </c>
      <c r="AC331" s="1" t="s">
        <v>4678</v>
      </c>
      <c r="AD331" s="1" t="s">
        <v>4679</v>
      </c>
      <c r="AE331" s="1" t="s">
        <v>6921</v>
      </c>
      <c r="AF331" s="1" t="s">
        <v>4681</v>
      </c>
      <c r="AG331" s="1" t="s">
        <v>4682</v>
      </c>
      <c r="AH331" s="1">
        <v>10.0</v>
      </c>
      <c r="AI331" s="1" t="b">
        <v>0</v>
      </c>
      <c r="AJ331" s="1" t="b">
        <v>0</v>
      </c>
      <c r="AK331" s="1" t="s">
        <v>6922</v>
      </c>
      <c r="AL331" s="1" t="s">
        <v>4719</v>
      </c>
      <c r="AM331" s="1" t="s">
        <v>4685</v>
      </c>
      <c r="AN331" s="1" t="s">
        <v>4720</v>
      </c>
      <c r="AO331" s="1" t="s">
        <v>6920</v>
      </c>
      <c r="AP331" s="1" t="s">
        <v>4721</v>
      </c>
      <c r="AQ331" s="1" t="s">
        <v>4722</v>
      </c>
      <c r="AR331" s="1">
        <v>19.0</v>
      </c>
      <c r="AS331" s="3"/>
      <c r="AT331" s="3"/>
      <c r="AU331" s="4" t="s">
        <v>4695</v>
      </c>
      <c r="AV331" s="1" t="s">
        <v>4690</v>
      </c>
      <c r="AW331" s="1" t="s">
        <v>4691</v>
      </c>
      <c r="AX331" s="1" t="s">
        <v>4692</v>
      </c>
      <c r="AY331" s="1" t="s">
        <v>4693</v>
      </c>
      <c r="AZ331" s="1" t="s">
        <v>5257</v>
      </c>
      <c r="BA331" s="3"/>
      <c r="BB331" s="3"/>
      <c r="BC331" s="3"/>
      <c r="BD331" s="3"/>
      <c r="BE331" s="1" t="b">
        <v>1</v>
      </c>
      <c r="BF331" s="1" t="s">
        <v>4693</v>
      </c>
      <c r="BG331" s="1" t="s">
        <v>4692</v>
      </c>
      <c r="BH331" s="1" t="s">
        <v>4690</v>
      </c>
      <c r="BI331" s="1" t="s">
        <v>4691</v>
      </c>
      <c r="BJ331" s="1" t="s">
        <v>5257</v>
      </c>
      <c r="BK331" s="4" t="s">
        <v>4695</v>
      </c>
      <c r="BL331" s="1" t="s">
        <v>4723</v>
      </c>
    </row>
    <row r="332">
      <c r="A332" s="1" t="s">
        <v>1572</v>
      </c>
      <c r="B332" s="1" t="s">
        <v>1571</v>
      </c>
      <c r="C332" s="3"/>
      <c r="D332" s="3"/>
      <c r="E332" s="3"/>
      <c r="F332" s="3"/>
      <c r="G332" s="3"/>
      <c r="H332" s="3"/>
      <c r="I332" s="1" t="s">
        <v>4669</v>
      </c>
      <c r="J332" s="3"/>
      <c r="K332" s="3"/>
      <c r="L332" s="3"/>
      <c r="M332" s="3"/>
      <c r="N332" s="3"/>
      <c r="O332" s="3"/>
      <c r="P332" s="1" t="s">
        <v>6923</v>
      </c>
      <c r="Q332" s="1" t="b">
        <v>0</v>
      </c>
      <c r="R332" s="1">
        <v>3.0</v>
      </c>
      <c r="S332" s="1" t="s">
        <v>6388</v>
      </c>
      <c r="U332" s="1" t="s">
        <v>4672</v>
      </c>
      <c r="V332" s="1" t="s">
        <v>4673</v>
      </c>
      <c r="W332" s="1" t="s">
        <v>6924</v>
      </c>
      <c r="X332" s="1" t="b">
        <v>0</v>
      </c>
      <c r="Y332" s="1" t="s">
        <v>4675</v>
      </c>
      <c r="Z332" s="1" t="s">
        <v>6925</v>
      </c>
      <c r="AB332" s="3"/>
      <c r="AC332" s="3"/>
      <c r="AD332" s="3"/>
      <c r="AE332" s="3"/>
      <c r="AF332" s="3"/>
      <c r="AG332" s="3"/>
      <c r="AH332" s="3"/>
      <c r="AI332" s="1" t="b">
        <v>0</v>
      </c>
      <c r="AJ332" s="1" t="b">
        <v>0</v>
      </c>
      <c r="AK332" s="1" t="s">
        <v>6925</v>
      </c>
      <c r="AL332" s="1" t="s">
        <v>4707</v>
      </c>
      <c r="AM332" s="1" t="s">
        <v>4708</v>
      </c>
      <c r="AN332" s="1" t="s">
        <v>4686</v>
      </c>
      <c r="AO332" s="1" t="s">
        <v>6925</v>
      </c>
      <c r="AP332" s="1" t="s">
        <v>4709</v>
      </c>
      <c r="AQ332" s="1" t="s">
        <v>4688</v>
      </c>
      <c r="AR332" s="1">
        <v>3.0</v>
      </c>
      <c r="AS332" s="3"/>
      <c r="AT332" s="3"/>
      <c r="AU332" s="4" t="s">
        <v>4780</v>
      </c>
      <c r="AV332" s="1" t="s">
        <v>4788</v>
      </c>
      <c r="AW332" s="1" t="s">
        <v>4789</v>
      </c>
      <c r="AX332" s="1" t="s">
        <v>4692</v>
      </c>
      <c r="AY332" s="1" t="s">
        <v>4790</v>
      </c>
      <c r="AZ332" s="1" t="s">
        <v>4791</v>
      </c>
      <c r="BA332" s="3"/>
      <c r="BB332" s="3"/>
      <c r="BC332" s="3"/>
      <c r="BD332" s="3"/>
      <c r="BE332" s="1" t="b">
        <v>1</v>
      </c>
      <c r="BF332" s="1" t="s">
        <v>4790</v>
      </c>
      <c r="BG332" s="1" t="s">
        <v>4692</v>
      </c>
      <c r="BH332" s="1" t="s">
        <v>4788</v>
      </c>
      <c r="BI332" s="1" t="s">
        <v>4789</v>
      </c>
      <c r="BJ332" s="1" t="s">
        <v>4791</v>
      </c>
      <c r="BK332" s="4" t="s">
        <v>4780</v>
      </c>
    </row>
    <row r="333">
      <c r="A333" s="1" t="s">
        <v>1546</v>
      </c>
      <c r="B333" s="1" t="s">
        <v>1545</v>
      </c>
      <c r="C333" s="1" t="s">
        <v>1545</v>
      </c>
      <c r="D333" s="1" t="s">
        <v>4696</v>
      </c>
      <c r="E333" s="1" t="s">
        <v>6926</v>
      </c>
      <c r="F333" s="1" t="s">
        <v>6927</v>
      </c>
      <c r="G333" s="3"/>
      <c r="H333" s="1" t="s">
        <v>4861</v>
      </c>
      <c r="I333" s="1" t="s">
        <v>4828</v>
      </c>
      <c r="J333" s="1" t="s">
        <v>6928</v>
      </c>
      <c r="K333" s="3">
        <f>+821021247930</f>
        <v>821021247930</v>
      </c>
      <c r="L333" s="3"/>
      <c r="M333" s="3"/>
      <c r="N333" s="3"/>
      <c r="O333" s="3"/>
      <c r="P333" s="1">
        <v>1.1119909E8</v>
      </c>
      <c r="Q333" s="1" t="b">
        <v>1</v>
      </c>
      <c r="R333" s="1">
        <v>108.0</v>
      </c>
      <c r="S333" s="1" t="s">
        <v>5429</v>
      </c>
      <c r="T333" s="3"/>
      <c r="U333" s="1" t="s">
        <v>4672</v>
      </c>
      <c r="V333" s="1" t="s">
        <v>4673</v>
      </c>
      <c r="W333" s="1" t="s">
        <v>6929</v>
      </c>
      <c r="X333" s="1" t="b">
        <v>0</v>
      </c>
      <c r="Y333" s="1" t="s">
        <v>4675</v>
      </c>
      <c r="Z333" s="1" t="s">
        <v>6930</v>
      </c>
      <c r="AB333" s="3"/>
      <c r="AC333" s="3"/>
      <c r="AD333" s="3"/>
      <c r="AE333" s="3"/>
      <c r="AF333" s="3"/>
      <c r="AG333" s="3"/>
      <c r="AH333" s="3"/>
      <c r="AI333" s="1" t="b">
        <v>0</v>
      </c>
      <c r="AJ333" s="1" t="b">
        <v>0</v>
      </c>
      <c r="AK333" s="1" t="s">
        <v>6931</v>
      </c>
      <c r="AL333" s="1" t="s">
        <v>4684</v>
      </c>
      <c r="AM333" s="1" t="s">
        <v>4685</v>
      </c>
      <c r="AN333" s="1" t="s">
        <v>4686</v>
      </c>
      <c r="AO333" s="1" t="s">
        <v>6930</v>
      </c>
      <c r="AP333" s="1" t="s">
        <v>4687</v>
      </c>
      <c r="AQ333" s="1" t="s">
        <v>4688</v>
      </c>
      <c r="AR333" s="1">
        <v>108.0</v>
      </c>
      <c r="AS333" s="3"/>
      <c r="AT333" s="3"/>
      <c r="AU333" s="4" t="s">
        <v>4695</v>
      </c>
      <c r="AW333" s="3"/>
      <c r="AX333" s="3"/>
      <c r="AY333" s="3"/>
      <c r="AZ333" s="3"/>
      <c r="BA333" s="3"/>
      <c r="BB333" s="3"/>
      <c r="BC333" s="3"/>
      <c r="BD333" s="3"/>
      <c r="BE333" s="1" t="b">
        <v>1</v>
      </c>
      <c r="BF333" s="3"/>
      <c r="BG333" s="3"/>
      <c r="BH333" s="3"/>
      <c r="BI333" s="3"/>
      <c r="BJ333" s="3"/>
      <c r="BK333" s="4" t="s">
        <v>4695</v>
      </c>
    </row>
    <row r="334">
      <c r="A334" s="1" t="s">
        <v>1088</v>
      </c>
      <c r="B334" s="1" t="s">
        <v>1087</v>
      </c>
      <c r="C334" s="1" t="s">
        <v>1087</v>
      </c>
      <c r="D334" s="1" t="s">
        <v>6932</v>
      </c>
      <c r="E334" s="1" t="s">
        <v>6933</v>
      </c>
      <c r="F334" s="1" t="s">
        <v>6934</v>
      </c>
      <c r="G334" s="3"/>
      <c r="H334" s="3"/>
      <c r="I334" s="3"/>
      <c r="J334" s="1" t="s">
        <v>6935</v>
      </c>
      <c r="K334" s="3"/>
      <c r="L334" s="3"/>
      <c r="M334" s="3"/>
      <c r="N334" s="3"/>
      <c r="O334" s="3"/>
      <c r="P334" s="1">
        <v>1.12347891E8</v>
      </c>
      <c r="Q334" s="1" t="b">
        <v>1</v>
      </c>
      <c r="R334" s="1">
        <v>101.0</v>
      </c>
      <c r="S334" s="1" t="s">
        <v>4752</v>
      </c>
      <c r="T334" s="3"/>
      <c r="U334" s="1" t="s">
        <v>4672</v>
      </c>
      <c r="V334" s="1" t="s">
        <v>4673</v>
      </c>
      <c r="W334" s="1" t="s">
        <v>6936</v>
      </c>
      <c r="X334" s="1" t="b">
        <v>0</v>
      </c>
      <c r="Y334" s="1" t="s">
        <v>4675</v>
      </c>
      <c r="Z334" s="1" t="s">
        <v>6937</v>
      </c>
      <c r="AB334" s="1" t="s">
        <v>4677</v>
      </c>
      <c r="AC334" s="1" t="s">
        <v>4678</v>
      </c>
      <c r="AD334" s="1" t="s">
        <v>4679</v>
      </c>
      <c r="AE334" s="1" t="s">
        <v>6938</v>
      </c>
      <c r="AF334" s="1" t="s">
        <v>4681</v>
      </c>
      <c r="AG334" s="1" t="s">
        <v>4682</v>
      </c>
      <c r="AH334" s="1">
        <v>13.0</v>
      </c>
      <c r="AI334" s="1" t="b">
        <v>0</v>
      </c>
      <c r="AJ334" s="1" t="b">
        <v>0</v>
      </c>
      <c r="AK334" s="1" t="s">
        <v>6939</v>
      </c>
      <c r="AL334" s="1" t="s">
        <v>4719</v>
      </c>
      <c r="AM334" s="1" t="s">
        <v>4685</v>
      </c>
      <c r="AN334" s="1" t="s">
        <v>4686</v>
      </c>
      <c r="AO334" s="1" t="s">
        <v>6937</v>
      </c>
      <c r="AP334" s="1" t="s">
        <v>4687</v>
      </c>
      <c r="AQ334" s="1" t="s">
        <v>4688</v>
      </c>
      <c r="AR334" s="1">
        <v>88.0</v>
      </c>
      <c r="AS334" s="3"/>
      <c r="AT334" s="3"/>
      <c r="AU334" s="4" t="s">
        <v>4780</v>
      </c>
      <c r="AW334" s="3"/>
      <c r="AX334" s="3"/>
      <c r="AY334" s="3"/>
      <c r="AZ334" s="3"/>
      <c r="BA334" s="3"/>
      <c r="BB334" s="3"/>
      <c r="BC334" s="3"/>
      <c r="BD334" s="3"/>
      <c r="BE334" s="1" t="b">
        <v>1</v>
      </c>
      <c r="BF334" s="3"/>
      <c r="BG334" s="3"/>
      <c r="BH334" s="3"/>
      <c r="BI334" s="3"/>
      <c r="BJ334" s="3"/>
      <c r="BK334" s="4" t="s">
        <v>4780</v>
      </c>
    </row>
    <row r="335">
      <c r="A335" s="1" t="s">
        <v>372</v>
      </c>
      <c r="B335" s="1" t="s">
        <v>371</v>
      </c>
      <c r="C335" s="1" t="s">
        <v>371</v>
      </c>
      <c r="D335" s="1" t="s">
        <v>4724</v>
      </c>
      <c r="E335" s="1" t="s">
        <v>6940</v>
      </c>
      <c r="F335" s="1" t="s">
        <v>6941</v>
      </c>
      <c r="G335" s="3"/>
      <c r="H335" s="3"/>
      <c r="I335" s="3"/>
      <c r="J335" s="1" t="s">
        <v>6942</v>
      </c>
      <c r="K335" s="3">
        <f>+821099456085</f>
        <v>821099456085</v>
      </c>
      <c r="L335" s="3"/>
      <c r="M335" s="3"/>
      <c r="N335" s="3"/>
      <c r="O335" s="3"/>
      <c r="P335" s="1">
        <v>1.22991608E8</v>
      </c>
      <c r="Q335" s="1" t="b">
        <v>1</v>
      </c>
      <c r="R335" s="1">
        <v>2.0</v>
      </c>
      <c r="S335" s="1" t="s">
        <v>6155</v>
      </c>
      <c r="T335" s="3"/>
      <c r="U335" s="1" t="s">
        <v>4672</v>
      </c>
      <c r="V335" s="1" t="s">
        <v>4673</v>
      </c>
      <c r="W335" s="1" t="s">
        <v>6943</v>
      </c>
      <c r="X335" s="1" t="b">
        <v>0</v>
      </c>
      <c r="Y335" s="1" t="s">
        <v>4675</v>
      </c>
      <c r="Z335" s="1" t="s">
        <v>6944</v>
      </c>
      <c r="AB335" s="3"/>
      <c r="AC335" s="3"/>
      <c r="AD335" s="3"/>
      <c r="AE335" s="3"/>
      <c r="AF335" s="3"/>
      <c r="AG335" s="3"/>
      <c r="AH335" s="3"/>
      <c r="AI335" s="1" t="b">
        <v>0</v>
      </c>
      <c r="AJ335" s="1" t="b">
        <v>0</v>
      </c>
      <c r="AK335" s="1" t="s">
        <v>6945</v>
      </c>
      <c r="AL335" s="1" t="s">
        <v>5306</v>
      </c>
      <c r="AM335" s="1" t="s">
        <v>5307</v>
      </c>
      <c r="AN335" s="1" t="s">
        <v>4686</v>
      </c>
      <c r="AO335" s="1" t="s">
        <v>6944</v>
      </c>
      <c r="AP335" s="1" t="s">
        <v>4687</v>
      </c>
      <c r="AQ335" s="1" t="s">
        <v>4688</v>
      </c>
      <c r="AR335" s="1">
        <v>2.0</v>
      </c>
      <c r="AS335" s="3"/>
      <c r="AT335" s="3"/>
      <c r="AU335" s="4" t="s">
        <v>4780</v>
      </c>
      <c r="AV335" s="1" t="s">
        <v>5871</v>
      </c>
      <c r="AW335" s="1" t="s">
        <v>6482</v>
      </c>
      <c r="AX335" s="1" t="s">
        <v>4692</v>
      </c>
      <c r="AY335" s="1" t="s">
        <v>4790</v>
      </c>
      <c r="AZ335" s="1" t="s">
        <v>6946</v>
      </c>
      <c r="BA335" s="3"/>
      <c r="BB335" s="3"/>
      <c r="BC335" s="3"/>
      <c r="BD335" s="3"/>
      <c r="BE335" s="1" t="b">
        <v>1</v>
      </c>
      <c r="BF335" s="1" t="s">
        <v>4790</v>
      </c>
      <c r="BG335" s="1" t="s">
        <v>4692</v>
      </c>
      <c r="BH335" s="1" t="s">
        <v>5871</v>
      </c>
      <c r="BI335" s="1" t="s">
        <v>6482</v>
      </c>
      <c r="BJ335" s="1" t="s">
        <v>6946</v>
      </c>
      <c r="BK335" s="4" t="s">
        <v>4780</v>
      </c>
    </row>
    <row r="336">
      <c r="A336" s="1" t="s">
        <v>160</v>
      </c>
      <c r="B336" s="1" t="s">
        <v>158</v>
      </c>
      <c r="C336" s="1" t="s">
        <v>158</v>
      </c>
      <c r="D336" s="1" t="s">
        <v>5092</v>
      </c>
      <c r="E336" s="1" t="s">
        <v>6947</v>
      </c>
      <c r="F336" s="1" t="s">
        <v>6948</v>
      </c>
      <c r="G336" s="3"/>
      <c r="H336" s="3"/>
      <c r="I336" s="3"/>
      <c r="J336" s="1" t="s">
        <v>6949</v>
      </c>
      <c r="L336" s="3"/>
      <c r="M336" s="3"/>
      <c r="N336" s="3"/>
      <c r="O336" s="3"/>
      <c r="P336" s="1">
        <v>1.22993553E8</v>
      </c>
      <c r="Q336" s="1" t="b">
        <v>1</v>
      </c>
      <c r="R336" s="1">
        <v>3.0</v>
      </c>
      <c r="S336" s="1" t="s">
        <v>5332</v>
      </c>
      <c r="T336" s="3"/>
      <c r="U336" s="1" t="s">
        <v>4672</v>
      </c>
      <c r="V336" s="1" t="s">
        <v>4673</v>
      </c>
      <c r="W336" s="1" t="s">
        <v>6950</v>
      </c>
      <c r="X336" s="1" t="b">
        <v>0</v>
      </c>
      <c r="Y336" s="1" t="s">
        <v>4675</v>
      </c>
      <c r="Z336" s="1" t="s">
        <v>6951</v>
      </c>
      <c r="AB336" s="3"/>
      <c r="AC336" s="3"/>
      <c r="AD336" s="3"/>
      <c r="AE336" s="3"/>
      <c r="AF336" s="3"/>
      <c r="AG336" s="3"/>
      <c r="AH336" s="3"/>
      <c r="AI336" s="1" t="b">
        <v>0</v>
      </c>
      <c r="AJ336" s="1" t="b">
        <v>0</v>
      </c>
      <c r="AK336" s="1" t="s">
        <v>6951</v>
      </c>
      <c r="AL336" s="1" t="s">
        <v>4684</v>
      </c>
      <c r="AM336" s="1" t="s">
        <v>4685</v>
      </c>
      <c r="AN336" s="1" t="s">
        <v>4686</v>
      </c>
      <c r="AO336" s="1" t="s">
        <v>6951</v>
      </c>
      <c r="AP336" s="1" t="s">
        <v>4687</v>
      </c>
      <c r="AQ336" s="1" t="s">
        <v>4688</v>
      </c>
      <c r="AR336" s="1">
        <v>3.0</v>
      </c>
      <c r="AS336" s="3"/>
      <c r="AT336" s="3"/>
      <c r="AU336" s="3"/>
      <c r="AV336" s="3"/>
      <c r="AW336" s="3"/>
      <c r="AX336" s="3"/>
      <c r="AY336" s="3"/>
      <c r="AZ336" s="3"/>
      <c r="BA336" s="3"/>
      <c r="BB336" s="3"/>
      <c r="BC336" s="3"/>
      <c r="BD336" s="3"/>
      <c r="BE336" s="1" t="b">
        <v>1</v>
      </c>
      <c r="BF336" s="3"/>
      <c r="BG336" s="3"/>
      <c r="BH336" s="3"/>
      <c r="BI336" s="3"/>
      <c r="BJ336" s="3"/>
      <c r="BK336" s="3"/>
      <c r="BL336" s="3"/>
    </row>
    <row r="337">
      <c r="A337" s="1" t="s">
        <v>848</v>
      </c>
      <c r="B337" s="1" t="s">
        <v>847</v>
      </c>
      <c r="C337" s="1" t="s">
        <v>847</v>
      </c>
      <c r="D337" s="1" t="s">
        <v>4696</v>
      </c>
      <c r="E337" s="1" t="s">
        <v>5246</v>
      </c>
      <c r="F337" s="1" t="s">
        <v>5247</v>
      </c>
      <c r="G337" s="3"/>
      <c r="H337" s="3"/>
      <c r="I337" s="1" t="s">
        <v>6952</v>
      </c>
      <c r="J337" s="1" t="s">
        <v>6953</v>
      </c>
      <c r="K337" s="3"/>
      <c r="L337" s="3"/>
      <c r="M337" s="3"/>
      <c r="N337" s="3"/>
      <c r="O337" s="3"/>
      <c r="P337" s="1">
        <v>1.12425019E8</v>
      </c>
      <c r="Q337" s="1" t="b">
        <v>1</v>
      </c>
      <c r="R337" s="1">
        <v>133.0</v>
      </c>
      <c r="S337" s="1" t="s">
        <v>4671</v>
      </c>
      <c r="T337" s="3"/>
      <c r="U337" s="1" t="s">
        <v>4672</v>
      </c>
      <c r="V337" s="1" t="s">
        <v>4673</v>
      </c>
      <c r="W337" s="1" t="s">
        <v>6954</v>
      </c>
      <c r="X337" s="1" t="b">
        <v>0</v>
      </c>
      <c r="Y337" s="1" t="s">
        <v>4675</v>
      </c>
      <c r="Z337" s="1" t="s">
        <v>6955</v>
      </c>
      <c r="AB337" s="1" t="s">
        <v>4677</v>
      </c>
      <c r="AC337" s="1" t="s">
        <v>4678</v>
      </c>
      <c r="AD337" s="1" t="s">
        <v>4679</v>
      </c>
      <c r="AE337" s="1" t="s">
        <v>6955</v>
      </c>
      <c r="AF337" s="1" t="s">
        <v>5830</v>
      </c>
      <c r="AG337" s="1" t="s">
        <v>4682</v>
      </c>
      <c r="AH337" s="1">
        <v>88.0</v>
      </c>
      <c r="AI337" s="1" t="b">
        <v>0</v>
      </c>
      <c r="AJ337" s="1" t="b">
        <v>0</v>
      </c>
      <c r="AK337" s="1" t="s">
        <v>6955</v>
      </c>
      <c r="AL337" s="1" t="s">
        <v>4719</v>
      </c>
      <c r="AM337" s="1" t="s">
        <v>4685</v>
      </c>
      <c r="AN337" s="1" t="s">
        <v>4686</v>
      </c>
      <c r="AO337" s="1" t="s">
        <v>6956</v>
      </c>
      <c r="AP337" s="1" t="s">
        <v>4687</v>
      </c>
      <c r="AQ337" s="1" t="s">
        <v>4688</v>
      </c>
      <c r="AR337" s="1">
        <v>45.0</v>
      </c>
      <c r="AS337" s="3"/>
      <c r="AT337" s="3"/>
      <c r="AU337" s="4" t="s">
        <v>4695</v>
      </c>
      <c r="AW337" s="3"/>
      <c r="AX337" s="3"/>
      <c r="AY337" s="3"/>
      <c r="AZ337" s="3"/>
      <c r="BA337" s="3"/>
      <c r="BB337" s="3"/>
      <c r="BC337" s="3"/>
      <c r="BD337" s="3"/>
      <c r="BE337" s="1" t="b">
        <v>1</v>
      </c>
      <c r="BF337" s="3"/>
      <c r="BG337" s="3"/>
      <c r="BH337" s="3"/>
      <c r="BI337" s="3"/>
      <c r="BJ337" s="3"/>
      <c r="BK337" s="4" t="s">
        <v>4695</v>
      </c>
    </row>
    <row r="338">
      <c r="A338" s="1" t="s">
        <v>208</v>
      </c>
      <c r="B338" s="1" t="s">
        <v>207</v>
      </c>
      <c r="C338" s="1" t="s">
        <v>207</v>
      </c>
      <c r="D338" s="3"/>
      <c r="E338" s="1" t="s">
        <v>6957</v>
      </c>
      <c r="F338" s="1" t="s">
        <v>6958</v>
      </c>
      <c r="G338" s="3"/>
      <c r="H338" s="3"/>
      <c r="I338" s="3"/>
      <c r="J338" s="1" t="s">
        <v>6959</v>
      </c>
      <c r="K338" s="3">
        <f>+821028952645</f>
        <v>821028952645</v>
      </c>
      <c r="L338" s="3"/>
      <c r="M338" s="3"/>
      <c r="N338" s="3"/>
      <c r="O338" s="3"/>
      <c r="P338" s="1">
        <v>1.22991415E8</v>
      </c>
      <c r="Q338" s="1" t="b">
        <v>1</v>
      </c>
      <c r="R338" s="1">
        <v>2.0</v>
      </c>
      <c r="S338" s="1" t="s">
        <v>6960</v>
      </c>
      <c r="T338" s="3"/>
      <c r="U338" s="1" t="s">
        <v>4672</v>
      </c>
      <c r="V338" s="1" t="s">
        <v>4673</v>
      </c>
      <c r="W338" s="1" t="s">
        <v>6961</v>
      </c>
      <c r="X338" s="1" t="b">
        <v>0</v>
      </c>
      <c r="Y338" s="1" t="s">
        <v>4675</v>
      </c>
      <c r="Z338" s="1" t="s">
        <v>6962</v>
      </c>
      <c r="AB338" s="3"/>
      <c r="AC338" s="3"/>
      <c r="AD338" s="3"/>
      <c r="AE338" s="3"/>
      <c r="AF338" s="3"/>
      <c r="AG338" s="3"/>
      <c r="AH338" s="3"/>
      <c r="AI338" s="1" t="b">
        <v>0</v>
      </c>
      <c r="AJ338" s="1" t="b">
        <v>0</v>
      </c>
      <c r="AK338" s="1" t="s">
        <v>6963</v>
      </c>
      <c r="AL338" s="1" t="s">
        <v>4769</v>
      </c>
      <c r="AM338" s="1" t="s">
        <v>4708</v>
      </c>
      <c r="AN338" s="1" t="s">
        <v>4686</v>
      </c>
      <c r="AO338" s="1" t="s">
        <v>6962</v>
      </c>
      <c r="AP338" s="1" t="s">
        <v>4709</v>
      </c>
      <c r="AQ338" s="1" t="s">
        <v>4688</v>
      </c>
      <c r="AR338" s="1">
        <v>2.0</v>
      </c>
      <c r="AS338" s="3"/>
      <c r="AT338" s="3"/>
      <c r="AU338" s="4" t="s">
        <v>6964</v>
      </c>
      <c r="AV338" s="1" t="s">
        <v>4788</v>
      </c>
      <c r="AW338" s="1" t="s">
        <v>4789</v>
      </c>
      <c r="AX338" s="1" t="s">
        <v>4692</v>
      </c>
      <c r="AY338" s="1" t="s">
        <v>4790</v>
      </c>
      <c r="AZ338" s="1" t="s">
        <v>4791</v>
      </c>
      <c r="BA338" s="3"/>
      <c r="BB338" s="3"/>
      <c r="BC338" s="3"/>
      <c r="BD338" s="3"/>
      <c r="BE338" s="1" t="b">
        <v>1</v>
      </c>
      <c r="BF338" s="1" t="s">
        <v>4790</v>
      </c>
      <c r="BG338" s="1" t="s">
        <v>4692</v>
      </c>
      <c r="BH338" s="1" t="s">
        <v>4788</v>
      </c>
      <c r="BI338" s="1" t="s">
        <v>4789</v>
      </c>
      <c r="BJ338" s="1" t="s">
        <v>4791</v>
      </c>
      <c r="BK338" s="4" t="s">
        <v>4780</v>
      </c>
    </row>
    <row r="339">
      <c r="A339" s="1" t="s">
        <v>1714</v>
      </c>
      <c r="B339" s="1" t="s">
        <v>1712</v>
      </c>
      <c r="C339" s="1" t="s">
        <v>1712</v>
      </c>
      <c r="D339" s="1" t="s">
        <v>4711</v>
      </c>
      <c r="E339" s="1" t="s">
        <v>6965</v>
      </c>
      <c r="F339" s="1" t="s">
        <v>6966</v>
      </c>
      <c r="G339" s="3"/>
      <c r="H339" s="3"/>
      <c r="I339" s="1" t="s">
        <v>4742</v>
      </c>
      <c r="J339" s="1" t="s">
        <v>6967</v>
      </c>
      <c r="K339" s="3">
        <f>+821033315960</f>
        <v>821033315960</v>
      </c>
      <c r="L339" s="3"/>
      <c r="M339" s="3"/>
      <c r="N339" s="3"/>
      <c r="O339" s="3"/>
      <c r="P339" s="1">
        <v>1.16921524E8</v>
      </c>
      <c r="Q339" s="1" t="b">
        <v>1</v>
      </c>
      <c r="R339" s="1">
        <v>11.0</v>
      </c>
      <c r="S339" s="1" t="s">
        <v>6968</v>
      </c>
      <c r="T339" s="3"/>
      <c r="U339" s="1" t="s">
        <v>4672</v>
      </c>
      <c r="V339" s="1" t="s">
        <v>4673</v>
      </c>
      <c r="W339" s="1" t="s">
        <v>6969</v>
      </c>
      <c r="X339" s="1" t="b">
        <v>0</v>
      </c>
      <c r="Y339" s="1" t="s">
        <v>4675</v>
      </c>
      <c r="Z339" s="1" t="s">
        <v>6970</v>
      </c>
      <c r="AB339" s="3"/>
      <c r="AC339" s="3"/>
      <c r="AD339" s="3"/>
      <c r="AE339" s="3"/>
      <c r="AF339" s="3"/>
      <c r="AG339" s="3"/>
      <c r="AH339" s="3"/>
      <c r="AI339" s="1" t="b">
        <v>0</v>
      </c>
      <c r="AJ339" s="1" t="b">
        <v>0</v>
      </c>
      <c r="AK339" s="1" t="s">
        <v>6971</v>
      </c>
      <c r="AL339" s="1" t="s">
        <v>4707</v>
      </c>
      <c r="AM339" s="1" t="s">
        <v>4708</v>
      </c>
      <c r="AN339" s="1" t="s">
        <v>4686</v>
      </c>
      <c r="AO339" s="1" t="s">
        <v>6972</v>
      </c>
      <c r="AP339" s="1" t="s">
        <v>4709</v>
      </c>
      <c r="AQ339" s="1" t="s">
        <v>4688</v>
      </c>
      <c r="AR339" s="1">
        <v>11.0</v>
      </c>
      <c r="AS339" s="3"/>
      <c r="AT339" s="3"/>
      <c r="AU339" s="4" t="s">
        <v>4780</v>
      </c>
      <c r="AV339" s="1" t="s">
        <v>4788</v>
      </c>
      <c r="AW339" s="1" t="s">
        <v>4789</v>
      </c>
      <c r="AX339" s="1" t="s">
        <v>4692</v>
      </c>
      <c r="AY339" s="1" t="s">
        <v>4790</v>
      </c>
      <c r="AZ339" s="1" t="s">
        <v>4791</v>
      </c>
      <c r="BA339" s="3"/>
      <c r="BB339" s="3"/>
      <c r="BC339" s="3"/>
      <c r="BD339" s="3"/>
      <c r="BE339" s="1" t="b">
        <v>1</v>
      </c>
      <c r="BF339" s="1" t="s">
        <v>4790</v>
      </c>
      <c r="BG339" s="1" t="s">
        <v>4692</v>
      </c>
      <c r="BH339" s="1" t="s">
        <v>4788</v>
      </c>
      <c r="BI339" s="1" t="s">
        <v>4789</v>
      </c>
      <c r="BJ339" s="1" t="s">
        <v>4791</v>
      </c>
      <c r="BK339" s="4" t="s">
        <v>4780</v>
      </c>
    </row>
    <row r="340">
      <c r="A340" s="1" t="s">
        <v>581</v>
      </c>
      <c r="B340" s="1" t="s">
        <v>580</v>
      </c>
      <c r="C340" s="1" t="s">
        <v>580</v>
      </c>
      <c r="D340" s="1" t="s">
        <v>4696</v>
      </c>
      <c r="E340" s="1" t="s">
        <v>5321</v>
      </c>
      <c r="F340" s="1" t="s">
        <v>5322</v>
      </c>
      <c r="G340" s="3"/>
      <c r="H340" s="3"/>
      <c r="I340" s="1" t="s">
        <v>4872</v>
      </c>
      <c r="J340" s="1" t="s">
        <v>6973</v>
      </c>
      <c r="K340" s="3">
        <f>+821097324236</f>
        <v>821097324236</v>
      </c>
      <c r="L340" s="3"/>
      <c r="M340" s="3"/>
      <c r="N340" s="3"/>
      <c r="O340" s="3"/>
      <c r="P340" s="1">
        <v>177556.0</v>
      </c>
      <c r="Q340" s="1" t="b">
        <v>1</v>
      </c>
      <c r="R340" s="1">
        <v>10614.0</v>
      </c>
      <c r="S340" s="1" t="s">
        <v>4752</v>
      </c>
      <c r="T340" s="3"/>
      <c r="U340" s="1" t="s">
        <v>4672</v>
      </c>
      <c r="V340" s="1" t="s">
        <v>4673</v>
      </c>
      <c r="W340" s="1" t="s">
        <v>6974</v>
      </c>
      <c r="X340" s="1" t="b">
        <v>0</v>
      </c>
      <c r="Y340" s="1" t="s">
        <v>4675</v>
      </c>
      <c r="Z340" s="1" t="s">
        <v>6975</v>
      </c>
      <c r="AB340" s="1" t="s">
        <v>4677</v>
      </c>
      <c r="AC340" s="1" t="s">
        <v>4678</v>
      </c>
      <c r="AD340" s="1" t="s">
        <v>4755</v>
      </c>
      <c r="AE340" s="1" t="s">
        <v>6976</v>
      </c>
      <c r="AF340" s="1" t="s">
        <v>5787</v>
      </c>
      <c r="AG340" s="1" t="s">
        <v>4758</v>
      </c>
      <c r="AH340" s="1">
        <v>32.0</v>
      </c>
      <c r="AI340" s="1" t="b">
        <v>0</v>
      </c>
      <c r="AJ340" s="1" t="b">
        <v>0</v>
      </c>
      <c r="AK340" s="1" t="s">
        <v>6977</v>
      </c>
      <c r="AL340" s="1" t="s">
        <v>4719</v>
      </c>
      <c r="AM340" s="1" t="s">
        <v>4685</v>
      </c>
      <c r="AN340" s="1" t="s">
        <v>4720</v>
      </c>
      <c r="AO340" s="1" t="s">
        <v>6975</v>
      </c>
      <c r="AP340" s="1" t="s">
        <v>4721</v>
      </c>
      <c r="AQ340" s="1" t="s">
        <v>4722</v>
      </c>
      <c r="AR340" s="1">
        <v>10582.0</v>
      </c>
      <c r="AS340" s="3"/>
      <c r="AT340" s="3"/>
      <c r="AU340" s="4" t="s">
        <v>4695</v>
      </c>
      <c r="AV340" s="1" t="s">
        <v>6978</v>
      </c>
      <c r="AW340" s="1" t="s">
        <v>6979</v>
      </c>
      <c r="AX340" s="1" t="s">
        <v>4761</v>
      </c>
      <c r="AY340" s="1" t="s">
        <v>4761</v>
      </c>
      <c r="AZ340" s="1" t="s">
        <v>6980</v>
      </c>
      <c r="BA340" s="3"/>
      <c r="BB340" s="3"/>
      <c r="BC340" s="3"/>
      <c r="BD340" s="3"/>
      <c r="BE340" s="1" t="b">
        <v>1</v>
      </c>
      <c r="BF340" s="1" t="s">
        <v>6981</v>
      </c>
      <c r="BG340" s="1" t="s">
        <v>5271</v>
      </c>
      <c r="BH340" s="1" t="s">
        <v>6982</v>
      </c>
      <c r="BI340" s="1" t="s">
        <v>6983</v>
      </c>
      <c r="BJ340" s="1" t="s">
        <v>4791</v>
      </c>
      <c r="BK340" s="4" t="s">
        <v>6984</v>
      </c>
    </row>
    <row r="341">
      <c r="A341" s="1" t="s">
        <v>307</v>
      </c>
      <c r="B341" s="1" t="s">
        <v>304</v>
      </c>
      <c r="C341" s="1" t="s">
        <v>304</v>
      </c>
      <c r="D341" s="1" t="s">
        <v>4696</v>
      </c>
      <c r="E341" s="1" t="s">
        <v>6985</v>
      </c>
      <c r="F341" s="1" t="s">
        <v>6986</v>
      </c>
      <c r="G341" s="3"/>
      <c r="H341" s="3"/>
      <c r="I341" s="1" t="s">
        <v>6987</v>
      </c>
      <c r="J341" s="1" t="s">
        <v>6988</v>
      </c>
      <c r="K341" s="3">
        <f>+821083420087</f>
        <v>821083420087</v>
      </c>
      <c r="L341" s="3"/>
      <c r="M341" s="3"/>
      <c r="N341" s="3"/>
      <c r="O341" s="3"/>
      <c r="P341" s="1">
        <v>1.12355637E8</v>
      </c>
      <c r="Q341" s="1" t="b">
        <v>1</v>
      </c>
      <c r="R341" s="1">
        <v>205.0</v>
      </c>
      <c r="S341" s="1" t="s">
        <v>4752</v>
      </c>
      <c r="T341" s="3"/>
      <c r="U341" s="1" t="s">
        <v>4672</v>
      </c>
      <c r="V341" s="1" t="s">
        <v>4673</v>
      </c>
      <c r="W341" s="1" t="s">
        <v>6989</v>
      </c>
      <c r="X341" s="1" t="b">
        <v>0</v>
      </c>
      <c r="Y341" s="1" t="s">
        <v>4675</v>
      </c>
      <c r="Z341" s="1" t="s">
        <v>6990</v>
      </c>
      <c r="AB341" s="1" t="s">
        <v>4677</v>
      </c>
      <c r="AC341" s="1" t="s">
        <v>4678</v>
      </c>
      <c r="AD341" s="1" t="s">
        <v>4679</v>
      </c>
      <c r="AE341" s="1" t="s">
        <v>6991</v>
      </c>
      <c r="AF341" s="1" t="s">
        <v>6992</v>
      </c>
      <c r="AG341" s="1" t="s">
        <v>4682</v>
      </c>
      <c r="AH341" s="1">
        <v>31.0</v>
      </c>
      <c r="AI341" s="1" t="b">
        <v>0</v>
      </c>
      <c r="AJ341" s="1" t="b">
        <v>0</v>
      </c>
      <c r="AK341" s="1" t="s">
        <v>6993</v>
      </c>
      <c r="AL341" s="1" t="s">
        <v>4684</v>
      </c>
      <c r="AM341" s="1" t="s">
        <v>4685</v>
      </c>
      <c r="AN341" s="1" t="s">
        <v>4686</v>
      </c>
      <c r="AO341" s="1" t="s">
        <v>6990</v>
      </c>
      <c r="AP341" s="1" t="s">
        <v>4687</v>
      </c>
      <c r="AQ341" s="1" t="s">
        <v>4688</v>
      </c>
      <c r="AR341" s="1">
        <v>174.0</v>
      </c>
      <c r="AS341" s="3"/>
      <c r="AT341" s="3"/>
      <c r="AU341" s="4" t="s">
        <v>4695</v>
      </c>
      <c r="AW341" s="3"/>
      <c r="AX341" s="3"/>
      <c r="AY341" s="3"/>
      <c r="AZ341" s="3"/>
      <c r="BA341" s="3"/>
      <c r="BB341" s="3"/>
      <c r="BC341" s="3"/>
      <c r="BD341" s="3"/>
      <c r="BE341" s="1" t="b">
        <v>1</v>
      </c>
      <c r="BF341" s="3"/>
      <c r="BG341" s="3"/>
      <c r="BH341" s="3"/>
      <c r="BI341" s="3"/>
      <c r="BJ341" s="3"/>
      <c r="BK341" s="4" t="s">
        <v>4695</v>
      </c>
    </row>
    <row r="342">
      <c r="A342" s="1" t="s">
        <v>1426</v>
      </c>
      <c r="B342" s="1" t="s">
        <v>1424</v>
      </c>
      <c r="C342" s="1" t="s">
        <v>1424</v>
      </c>
      <c r="D342" s="1" t="s">
        <v>4696</v>
      </c>
      <c r="E342" s="1" t="s">
        <v>6994</v>
      </c>
      <c r="F342" s="1" t="s">
        <v>6995</v>
      </c>
      <c r="G342" s="3"/>
      <c r="H342" s="3"/>
      <c r="I342" s="1" t="s">
        <v>4742</v>
      </c>
      <c r="J342" s="1" t="s">
        <v>6996</v>
      </c>
      <c r="K342" s="3">
        <f>+821064017070</f>
        <v>821064017070</v>
      </c>
      <c r="L342" s="3"/>
      <c r="M342" s="3"/>
      <c r="N342" s="3"/>
      <c r="O342" s="3"/>
      <c r="P342" s="1">
        <v>1.1116517E8</v>
      </c>
      <c r="Q342" s="1" t="b">
        <v>1</v>
      </c>
      <c r="R342" s="1">
        <v>404.0</v>
      </c>
      <c r="S342" s="1" t="s">
        <v>6997</v>
      </c>
      <c r="T342" s="1" t="s">
        <v>6997</v>
      </c>
      <c r="U342" s="1" t="s">
        <v>4672</v>
      </c>
      <c r="V342" s="1" t="s">
        <v>4673</v>
      </c>
      <c r="W342" s="1" t="s">
        <v>6998</v>
      </c>
      <c r="X342" s="1" t="b">
        <v>0</v>
      </c>
      <c r="Y342" s="1" t="s">
        <v>4675</v>
      </c>
      <c r="Z342" s="1" t="s">
        <v>6999</v>
      </c>
      <c r="AB342" s="1" t="s">
        <v>4677</v>
      </c>
      <c r="AC342" s="1" t="s">
        <v>4678</v>
      </c>
      <c r="AD342" s="1" t="s">
        <v>4679</v>
      </c>
      <c r="AE342" s="1" t="s">
        <v>7000</v>
      </c>
      <c r="AF342" s="1" t="s">
        <v>4681</v>
      </c>
      <c r="AG342" s="1" t="s">
        <v>4682</v>
      </c>
      <c r="AH342" s="1">
        <v>3.0</v>
      </c>
      <c r="AI342" s="1" t="b">
        <v>0</v>
      </c>
      <c r="AJ342" s="1" t="b">
        <v>0</v>
      </c>
      <c r="AK342" s="1" t="s">
        <v>7001</v>
      </c>
      <c r="AL342" s="1" t="s">
        <v>4719</v>
      </c>
      <c r="AM342" s="1" t="s">
        <v>4685</v>
      </c>
      <c r="AN342" s="1" t="s">
        <v>4686</v>
      </c>
      <c r="AO342" s="1" t="s">
        <v>6999</v>
      </c>
      <c r="AP342" s="1" t="s">
        <v>4687</v>
      </c>
      <c r="AQ342" s="1" t="s">
        <v>4688</v>
      </c>
      <c r="AR342" s="1">
        <v>401.0</v>
      </c>
      <c r="AS342" s="3"/>
      <c r="AT342" s="3"/>
      <c r="AU342" s="4" t="s">
        <v>5009</v>
      </c>
      <c r="AV342" s="3"/>
      <c r="AW342" s="3"/>
      <c r="AX342" s="3"/>
      <c r="AY342" s="3"/>
      <c r="AZ342" s="3"/>
      <c r="BA342" s="3"/>
      <c r="BB342" s="3"/>
      <c r="BC342" s="3"/>
      <c r="BD342" s="3"/>
      <c r="BE342" s="1" t="b">
        <v>1</v>
      </c>
      <c r="BF342" s="3"/>
      <c r="BG342" s="3"/>
      <c r="BH342" s="3"/>
      <c r="BI342" s="3"/>
      <c r="BJ342" s="3"/>
      <c r="BK342" s="4" t="s">
        <v>5009</v>
      </c>
      <c r="BL342" s="3"/>
    </row>
    <row r="343">
      <c r="A343" s="1" t="s">
        <v>1332</v>
      </c>
      <c r="B343" s="1" t="s">
        <v>1331</v>
      </c>
      <c r="C343" s="3"/>
      <c r="D343" s="3"/>
      <c r="E343" s="3"/>
      <c r="F343" s="3"/>
      <c r="G343" s="3"/>
      <c r="H343" s="3"/>
      <c r="I343" s="3"/>
      <c r="J343" s="3"/>
      <c r="K343" s="3"/>
      <c r="L343" s="3"/>
      <c r="M343" s="3"/>
      <c r="N343" s="3"/>
      <c r="O343" s="3"/>
      <c r="P343" s="1" t="s">
        <v>7002</v>
      </c>
      <c r="Q343" s="1" t="b">
        <v>0</v>
      </c>
      <c r="R343" s="1">
        <v>1.0</v>
      </c>
      <c r="S343" s="1" t="s">
        <v>5965</v>
      </c>
      <c r="T343" s="3"/>
      <c r="U343" s="1" t="s">
        <v>4672</v>
      </c>
      <c r="V343" s="1" t="s">
        <v>4673</v>
      </c>
      <c r="W343" s="1" t="s">
        <v>7003</v>
      </c>
      <c r="X343" s="1" t="b">
        <v>0</v>
      </c>
      <c r="Y343" s="1" t="s">
        <v>4675</v>
      </c>
      <c r="Z343" s="1" t="s">
        <v>7003</v>
      </c>
      <c r="AB343" s="3"/>
      <c r="AC343" s="3"/>
      <c r="AD343" s="3"/>
      <c r="AE343" s="3"/>
      <c r="AF343" s="3"/>
      <c r="AG343" s="3"/>
      <c r="AH343" s="3"/>
      <c r="AI343" s="1" t="b">
        <v>0</v>
      </c>
      <c r="AJ343" s="1" t="b">
        <v>0</v>
      </c>
      <c r="AK343" s="1" t="s">
        <v>7003</v>
      </c>
      <c r="AL343" s="1" t="s">
        <v>5486</v>
      </c>
      <c r="AM343" s="1" t="s">
        <v>4685</v>
      </c>
      <c r="AN343" s="1" t="s">
        <v>4686</v>
      </c>
      <c r="AO343" s="1" t="s">
        <v>7003</v>
      </c>
      <c r="AP343" s="1" t="s">
        <v>4687</v>
      </c>
      <c r="AQ343" s="1" t="s">
        <v>4688</v>
      </c>
      <c r="AR343" s="1">
        <v>1.0</v>
      </c>
      <c r="AS343" s="3"/>
      <c r="AT343" s="3"/>
      <c r="AU343" s="3"/>
      <c r="AV343" s="3"/>
      <c r="AW343" s="3"/>
      <c r="AX343" s="3"/>
      <c r="AY343" s="3"/>
      <c r="AZ343" s="3"/>
      <c r="BA343" s="3"/>
      <c r="BB343" s="3"/>
      <c r="BC343" s="3"/>
      <c r="BD343" s="3"/>
      <c r="BE343" s="1" t="b">
        <v>1</v>
      </c>
      <c r="BF343" s="3"/>
      <c r="BG343" s="3"/>
      <c r="BH343" s="3"/>
      <c r="BI343" s="3"/>
      <c r="BJ343" s="3"/>
      <c r="BK343" s="3"/>
      <c r="BL343" s="3"/>
    </row>
    <row r="344">
      <c r="A344" s="1" t="s">
        <v>413</v>
      </c>
      <c r="B344" s="1" t="s">
        <v>412</v>
      </c>
      <c r="C344" s="3"/>
      <c r="D344" s="3"/>
      <c r="E344" s="3"/>
      <c r="F344" s="3"/>
      <c r="G344" s="3"/>
      <c r="H344" s="3"/>
      <c r="I344" s="3"/>
      <c r="J344" s="3"/>
      <c r="K344" s="3"/>
      <c r="L344" s="3"/>
      <c r="M344" s="3"/>
      <c r="N344" s="3"/>
      <c r="O344" s="3"/>
      <c r="P344" s="1" t="s">
        <v>7004</v>
      </c>
      <c r="Q344" s="1" t="b">
        <v>0</v>
      </c>
      <c r="R344" s="1">
        <v>1.0</v>
      </c>
      <c r="S344" s="1" t="s">
        <v>4973</v>
      </c>
      <c r="U344" s="1" t="s">
        <v>4672</v>
      </c>
      <c r="V344" s="1" t="s">
        <v>4673</v>
      </c>
      <c r="W344" s="1" t="s">
        <v>7005</v>
      </c>
      <c r="X344" s="1" t="b">
        <v>0</v>
      </c>
      <c r="Y344" s="1" t="s">
        <v>4675</v>
      </c>
      <c r="Z344" s="1" t="s">
        <v>7005</v>
      </c>
      <c r="AB344" s="3"/>
      <c r="AC344" s="3"/>
      <c r="AD344" s="3"/>
      <c r="AE344" s="3"/>
      <c r="AF344" s="3"/>
      <c r="AG344" s="3"/>
      <c r="AH344" s="3"/>
      <c r="AI344" s="1" t="b">
        <v>0</v>
      </c>
      <c r="AJ344" s="1" t="b">
        <v>0</v>
      </c>
      <c r="AK344" s="1" t="s">
        <v>7005</v>
      </c>
      <c r="AL344" s="1" t="s">
        <v>5134</v>
      </c>
      <c r="AM344" s="1" t="s">
        <v>5135</v>
      </c>
      <c r="AN344" s="1" t="s">
        <v>4679</v>
      </c>
      <c r="AO344" s="1" t="s">
        <v>7005</v>
      </c>
      <c r="AP344" s="1" t="s">
        <v>4681</v>
      </c>
      <c r="AQ344" s="1" t="s">
        <v>4682</v>
      </c>
      <c r="AR344" s="1">
        <v>1.0</v>
      </c>
      <c r="AS344" s="3"/>
      <c r="AT344" s="3"/>
      <c r="AU344" s="4" t="s">
        <v>4970</v>
      </c>
      <c r="AV344" s="1" t="s">
        <v>5871</v>
      </c>
      <c r="AW344" s="1" t="s">
        <v>5872</v>
      </c>
      <c r="AX344" s="1" t="s">
        <v>4692</v>
      </c>
      <c r="AY344" s="1" t="s">
        <v>4790</v>
      </c>
      <c r="AZ344" s="3"/>
      <c r="BA344" s="3"/>
      <c r="BB344" s="3"/>
      <c r="BC344" s="3"/>
      <c r="BD344" s="3"/>
      <c r="BE344" s="1" t="b">
        <v>1</v>
      </c>
      <c r="BF344" s="1" t="s">
        <v>4790</v>
      </c>
      <c r="BG344" s="1" t="s">
        <v>4692</v>
      </c>
      <c r="BH344" s="1" t="s">
        <v>5871</v>
      </c>
      <c r="BI344" s="1" t="s">
        <v>5872</v>
      </c>
      <c r="BJ344" s="3"/>
      <c r="BK344" s="4" t="s">
        <v>4970</v>
      </c>
    </row>
    <row r="345">
      <c r="A345" s="1" t="s">
        <v>756</v>
      </c>
      <c r="B345" s="1" t="s">
        <v>755</v>
      </c>
      <c r="C345" s="1" t="s">
        <v>755</v>
      </c>
      <c r="D345" s="1" t="s">
        <v>4696</v>
      </c>
      <c r="E345" s="1" t="s">
        <v>7006</v>
      </c>
      <c r="F345" s="1" t="s">
        <v>7007</v>
      </c>
      <c r="G345" s="3"/>
      <c r="H345" s="3"/>
      <c r="I345" s="1" t="s">
        <v>4742</v>
      </c>
      <c r="J345" s="1" t="s">
        <v>7008</v>
      </c>
      <c r="K345" s="3">
        <f>+821062739042</f>
        <v>821062739042</v>
      </c>
      <c r="L345" s="3"/>
      <c r="M345" s="3"/>
      <c r="N345" s="3"/>
      <c r="O345" s="3"/>
      <c r="P345" s="1">
        <v>1.17314463E8</v>
      </c>
      <c r="Q345" s="1" t="b">
        <v>1</v>
      </c>
      <c r="R345" s="1">
        <v>134.0</v>
      </c>
      <c r="S345" s="1" t="s">
        <v>4744</v>
      </c>
      <c r="T345" s="3"/>
      <c r="U345" s="1" t="s">
        <v>4672</v>
      </c>
      <c r="V345" s="1" t="s">
        <v>4673</v>
      </c>
      <c r="W345" s="1" t="s">
        <v>7009</v>
      </c>
      <c r="X345" s="1" t="b">
        <v>0</v>
      </c>
      <c r="Y345" s="1" t="s">
        <v>4675</v>
      </c>
      <c r="Z345" s="1" t="s">
        <v>7010</v>
      </c>
      <c r="AB345" s="1" t="s">
        <v>4677</v>
      </c>
      <c r="AC345" s="1" t="s">
        <v>6190</v>
      </c>
      <c r="AD345" s="1" t="s">
        <v>4679</v>
      </c>
      <c r="AE345" s="1" t="s">
        <v>7011</v>
      </c>
      <c r="AF345" s="1" t="s">
        <v>4854</v>
      </c>
      <c r="AG345" s="1" t="s">
        <v>4682</v>
      </c>
      <c r="AH345" s="1">
        <v>1.0</v>
      </c>
      <c r="AI345" s="1" t="b">
        <v>0</v>
      </c>
      <c r="AJ345" s="1" t="b">
        <v>0</v>
      </c>
      <c r="AK345" s="1" t="s">
        <v>7012</v>
      </c>
      <c r="AL345" s="1" t="s">
        <v>4684</v>
      </c>
      <c r="AM345" s="1" t="s">
        <v>4685</v>
      </c>
      <c r="AN345" s="1" t="s">
        <v>4720</v>
      </c>
      <c r="AO345" s="1" t="s">
        <v>7010</v>
      </c>
      <c r="AP345" s="1" t="s">
        <v>4721</v>
      </c>
      <c r="AQ345" s="1" t="s">
        <v>4722</v>
      </c>
      <c r="AR345" s="1">
        <v>133.0</v>
      </c>
      <c r="AS345" s="3"/>
      <c r="AT345" s="3"/>
      <c r="AU345" s="4" t="s">
        <v>4710</v>
      </c>
      <c r="AX345" s="3"/>
      <c r="AY345" s="3"/>
      <c r="AZ345" s="3"/>
      <c r="BA345" s="3"/>
      <c r="BB345" s="3"/>
      <c r="BC345" s="3"/>
      <c r="BD345" s="3"/>
      <c r="BE345" s="1" t="b">
        <v>1</v>
      </c>
      <c r="BF345" s="3"/>
      <c r="BG345" s="3"/>
      <c r="BH345" s="3"/>
      <c r="BI345" s="3"/>
      <c r="BJ345" s="3"/>
      <c r="BK345" s="4" t="s">
        <v>4710</v>
      </c>
    </row>
    <row r="346">
      <c r="A346" s="1" t="s">
        <v>1812</v>
      </c>
      <c r="B346" s="1" t="s">
        <v>1810</v>
      </c>
      <c r="C346" s="1" t="s">
        <v>1810</v>
      </c>
      <c r="D346" s="1" t="s">
        <v>4696</v>
      </c>
      <c r="E346" s="1" t="s">
        <v>7013</v>
      </c>
      <c r="F346" s="1" t="s">
        <v>7014</v>
      </c>
      <c r="G346" s="3"/>
      <c r="H346" s="1" t="s">
        <v>4861</v>
      </c>
      <c r="I346" s="1" t="s">
        <v>4742</v>
      </c>
      <c r="J346" s="1" t="s">
        <v>7015</v>
      </c>
      <c r="K346" s="3">
        <f>+821094893696</f>
        <v>821094893696</v>
      </c>
      <c r="L346" s="3"/>
      <c r="M346" s="3"/>
      <c r="N346" s="3"/>
      <c r="O346" s="3"/>
      <c r="P346" s="1">
        <v>2.085709543E9</v>
      </c>
      <c r="Q346" s="1" t="b">
        <v>1</v>
      </c>
      <c r="R346" s="1">
        <v>307.0</v>
      </c>
      <c r="S346" s="1" t="s">
        <v>4942</v>
      </c>
      <c r="U346" s="1" t="s">
        <v>4672</v>
      </c>
      <c r="V346" s="1" t="s">
        <v>4673</v>
      </c>
      <c r="W346" s="1" t="s">
        <v>7016</v>
      </c>
      <c r="X346" s="1" t="b">
        <v>0</v>
      </c>
      <c r="Y346" s="1" t="s">
        <v>4675</v>
      </c>
      <c r="Z346" s="1" t="s">
        <v>7017</v>
      </c>
      <c r="AB346" s="3"/>
      <c r="AC346" s="3"/>
      <c r="AD346" s="3"/>
      <c r="AE346" s="3"/>
      <c r="AF346" s="3"/>
      <c r="AG346" s="3"/>
      <c r="AH346" s="3"/>
      <c r="AI346" s="1" t="b">
        <v>0</v>
      </c>
      <c r="AJ346" s="1" t="b">
        <v>0</v>
      </c>
      <c r="AK346" s="1" t="s">
        <v>7018</v>
      </c>
      <c r="AL346" s="1" t="s">
        <v>4684</v>
      </c>
      <c r="AM346" s="1" t="s">
        <v>4685</v>
      </c>
      <c r="AN346" s="1" t="s">
        <v>4686</v>
      </c>
      <c r="AO346" s="1" t="s">
        <v>7017</v>
      </c>
      <c r="AP346" s="1" t="s">
        <v>4687</v>
      </c>
      <c r="AQ346" s="1" t="s">
        <v>4688</v>
      </c>
      <c r="AR346" s="1">
        <v>307.0</v>
      </c>
      <c r="AS346" s="3"/>
      <c r="AT346" s="3"/>
      <c r="AU346" s="4" t="s">
        <v>4856</v>
      </c>
      <c r="BB346" s="3"/>
      <c r="BC346" s="3"/>
      <c r="BD346" s="3"/>
      <c r="BE346" s="1" t="b">
        <v>1</v>
      </c>
      <c r="BF346" s="3"/>
      <c r="BG346" s="3"/>
      <c r="BH346" s="3"/>
      <c r="BI346" s="3"/>
      <c r="BJ346" s="3"/>
      <c r="BK346" s="4" t="s">
        <v>4695</v>
      </c>
    </row>
    <row r="347">
      <c r="A347" s="1" t="s">
        <v>245</v>
      </c>
      <c r="B347" s="1" t="s">
        <v>243</v>
      </c>
      <c r="C347" s="3"/>
      <c r="D347" s="3"/>
      <c r="E347" s="3"/>
      <c r="F347" s="3"/>
      <c r="G347" s="3"/>
      <c r="H347" s="3"/>
      <c r="I347" s="3"/>
      <c r="J347" s="3"/>
      <c r="K347" s="3"/>
      <c r="L347" s="3"/>
      <c r="M347" s="3"/>
      <c r="N347" s="3"/>
      <c r="O347" s="3"/>
      <c r="P347" s="1" t="s">
        <v>7019</v>
      </c>
      <c r="Q347" s="1" t="b">
        <v>0</v>
      </c>
      <c r="R347" s="1">
        <v>11.0</v>
      </c>
      <c r="S347" s="1" t="s">
        <v>4752</v>
      </c>
      <c r="T347" s="3"/>
      <c r="U347" s="1" t="s">
        <v>4672</v>
      </c>
      <c r="V347" s="1" t="s">
        <v>4673</v>
      </c>
      <c r="W347" s="1" t="s">
        <v>7020</v>
      </c>
      <c r="X347" s="1" t="b">
        <v>0</v>
      </c>
      <c r="Y347" s="1" t="s">
        <v>4675</v>
      </c>
      <c r="Z347" s="1" t="s">
        <v>7021</v>
      </c>
      <c r="AB347" s="3"/>
      <c r="AC347" s="3"/>
      <c r="AD347" s="3"/>
      <c r="AE347" s="3"/>
      <c r="AF347" s="3"/>
      <c r="AG347" s="3"/>
      <c r="AH347" s="3"/>
      <c r="AI347" s="1" t="b">
        <v>0</v>
      </c>
      <c r="AJ347" s="1" t="b">
        <v>0</v>
      </c>
      <c r="AK347" s="1" t="s">
        <v>7022</v>
      </c>
      <c r="AL347" s="1" t="s">
        <v>4684</v>
      </c>
      <c r="AM347" s="1" t="s">
        <v>4685</v>
      </c>
      <c r="AN347" s="1" t="s">
        <v>4686</v>
      </c>
      <c r="AO347" s="1" t="s">
        <v>7021</v>
      </c>
      <c r="AP347" s="1" t="s">
        <v>4687</v>
      </c>
      <c r="AQ347" s="1" t="s">
        <v>4688</v>
      </c>
      <c r="AR347" s="1">
        <v>11.0</v>
      </c>
      <c r="AS347" s="3"/>
      <c r="AT347" s="3"/>
      <c r="AU347" s="4" t="s">
        <v>5732</v>
      </c>
      <c r="AW347" s="3"/>
      <c r="AX347" s="3"/>
      <c r="AY347" s="3"/>
      <c r="AZ347" s="3"/>
      <c r="BA347" s="3"/>
      <c r="BB347" s="3"/>
      <c r="BC347" s="3"/>
      <c r="BD347" s="3"/>
      <c r="BE347" s="1" t="b">
        <v>1</v>
      </c>
      <c r="BF347" s="3"/>
      <c r="BG347" s="3"/>
      <c r="BH347" s="3"/>
      <c r="BI347" s="3"/>
      <c r="BJ347" s="3"/>
      <c r="BK347" s="4" t="s">
        <v>4695</v>
      </c>
    </row>
    <row r="348">
      <c r="A348" s="1" t="s">
        <v>429</v>
      </c>
      <c r="B348" s="1" t="s">
        <v>428</v>
      </c>
      <c r="C348" s="3"/>
      <c r="D348" s="3"/>
      <c r="E348" s="3"/>
      <c r="F348" s="3"/>
      <c r="G348" s="3"/>
      <c r="H348" s="3"/>
      <c r="I348" s="3"/>
      <c r="J348" s="3"/>
      <c r="K348" s="3"/>
      <c r="L348" s="3"/>
      <c r="M348" s="3"/>
      <c r="N348" s="3"/>
      <c r="O348" s="3"/>
      <c r="P348" s="1" t="s">
        <v>7023</v>
      </c>
      <c r="Q348" s="1" t="b">
        <v>0</v>
      </c>
      <c r="R348" s="1">
        <v>1.0</v>
      </c>
      <c r="S348" s="1" t="s">
        <v>4961</v>
      </c>
      <c r="T348" s="3"/>
      <c r="U348" s="1" t="s">
        <v>4672</v>
      </c>
      <c r="V348" s="1" t="s">
        <v>4673</v>
      </c>
      <c r="W348" s="1" t="s">
        <v>7024</v>
      </c>
      <c r="X348" s="1" t="b">
        <v>0</v>
      </c>
      <c r="Y348" s="1" t="s">
        <v>4675</v>
      </c>
      <c r="Z348" s="1" t="s">
        <v>7024</v>
      </c>
      <c r="AB348" s="3"/>
      <c r="AC348" s="3"/>
      <c r="AD348" s="3"/>
      <c r="AE348" s="3"/>
      <c r="AF348" s="3"/>
      <c r="AG348" s="3"/>
      <c r="AH348" s="3"/>
      <c r="AI348" s="1" t="b">
        <v>0</v>
      </c>
      <c r="AJ348" s="1" t="b">
        <v>0</v>
      </c>
      <c r="AK348" s="1" t="s">
        <v>7024</v>
      </c>
      <c r="AL348" s="1" t="s">
        <v>5134</v>
      </c>
      <c r="AM348" s="1" t="s">
        <v>5135</v>
      </c>
      <c r="AN348" s="1" t="s">
        <v>4679</v>
      </c>
      <c r="AO348" s="1" t="s">
        <v>7024</v>
      </c>
      <c r="AP348" s="1" t="s">
        <v>4681</v>
      </c>
      <c r="AQ348" s="1" t="s">
        <v>4682</v>
      </c>
      <c r="AR348" s="1">
        <v>1.0</v>
      </c>
      <c r="AS348" s="3"/>
      <c r="AT348" s="3"/>
      <c r="AU348" s="4" t="s">
        <v>4970</v>
      </c>
      <c r="AW348" s="3"/>
      <c r="AX348" s="3"/>
      <c r="AY348" s="3"/>
      <c r="AZ348" s="3"/>
      <c r="BA348" s="3"/>
      <c r="BB348" s="3"/>
      <c r="BC348" s="3"/>
      <c r="BD348" s="3"/>
      <c r="BE348" s="1" t="b">
        <v>1</v>
      </c>
      <c r="BF348" s="3"/>
      <c r="BG348" s="3"/>
      <c r="BH348" s="3"/>
      <c r="BI348" s="3"/>
      <c r="BJ348" s="3"/>
      <c r="BK348" s="4" t="s">
        <v>4970</v>
      </c>
    </row>
    <row r="349">
      <c r="A349" s="1" t="s">
        <v>1125</v>
      </c>
      <c r="B349" s="1" t="s">
        <v>1124</v>
      </c>
      <c r="C349" s="1" t="s">
        <v>1124</v>
      </c>
      <c r="D349" s="1" t="s">
        <v>4922</v>
      </c>
      <c r="E349" s="1" t="s">
        <v>6504</v>
      </c>
      <c r="F349" s="1" t="s">
        <v>6505</v>
      </c>
      <c r="G349" s="3"/>
      <c r="H349" s="3"/>
      <c r="I349" s="1" t="s">
        <v>7025</v>
      </c>
      <c r="J349" s="1" t="s">
        <v>7026</v>
      </c>
      <c r="K349" s="3">
        <f>+821023219987</f>
        <v>821023219987</v>
      </c>
      <c r="L349" s="3"/>
      <c r="M349" s="3"/>
      <c r="N349" s="3"/>
      <c r="O349" s="3"/>
      <c r="P349" s="1">
        <v>1.12456723E8</v>
      </c>
      <c r="Q349" s="1" t="b">
        <v>1</v>
      </c>
      <c r="R349" s="1">
        <v>48.0</v>
      </c>
      <c r="S349" s="1" t="s">
        <v>6562</v>
      </c>
      <c r="U349" s="1" t="s">
        <v>4672</v>
      </c>
      <c r="V349" s="1" t="s">
        <v>4673</v>
      </c>
      <c r="W349" s="1" t="s">
        <v>7027</v>
      </c>
      <c r="X349" s="1" t="b">
        <v>0</v>
      </c>
      <c r="Y349" s="1" t="s">
        <v>4675</v>
      </c>
      <c r="Z349" s="1" t="s">
        <v>7028</v>
      </c>
      <c r="AB349" s="1" t="s">
        <v>4677</v>
      </c>
      <c r="AC349" s="1" t="s">
        <v>4678</v>
      </c>
      <c r="AD349" s="1" t="s">
        <v>4951</v>
      </c>
      <c r="AE349" s="1" t="s">
        <v>7028</v>
      </c>
      <c r="AF349" s="1" t="s">
        <v>4757</v>
      </c>
      <c r="AG349" s="1" t="s">
        <v>4758</v>
      </c>
      <c r="AH349" s="1">
        <v>6.0</v>
      </c>
      <c r="AI349" s="1" t="b">
        <v>0</v>
      </c>
      <c r="AJ349" s="1" t="b">
        <v>0</v>
      </c>
      <c r="AK349" s="1" t="s">
        <v>7029</v>
      </c>
      <c r="AL349" s="1" t="s">
        <v>4719</v>
      </c>
      <c r="AM349" s="1" t="s">
        <v>4685</v>
      </c>
      <c r="AN349" s="1" t="s">
        <v>4686</v>
      </c>
      <c r="AO349" s="1" t="s">
        <v>7030</v>
      </c>
      <c r="AP349" s="1" t="s">
        <v>4687</v>
      </c>
      <c r="AQ349" s="1" t="s">
        <v>4688</v>
      </c>
      <c r="AR349" s="1">
        <v>42.0</v>
      </c>
      <c r="AS349" s="3"/>
      <c r="AT349" s="3"/>
      <c r="AU349" s="4" t="s">
        <v>4695</v>
      </c>
      <c r="AW349" s="3"/>
      <c r="AX349" s="3"/>
      <c r="AY349" s="3"/>
      <c r="AZ349" s="3"/>
      <c r="BA349" s="3"/>
      <c r="BB349" s="3"/>
      <c r="BC349" s="3"/>
      <c r="BD349" s="3"/>
      <c r="BE349" s="1" t="b">
        <v>1</v>
      </c>
      <c r="BF349" s="3"/>
      <c r="BG349" s="3"/>
      <c r="BH349" s="3"/>
      <c r="BI349" s="3"/>
      <c r="BJ349" s="3"/>
      <c r="BK349" s="4" t="s">
        <v>4695</v>
      </c>
    </row>
    <row r="350">
      <c r="A350" s="1" t="s">
        <v>110</v>
      </c>
      <c r="B350" s="1" t="s">
        <v>109</v>
      </c>
      <c r="C350" s="3"/>
      <c r="D350" s="3"/>
      <c r="E350" s="3"/>
      <c r="F350" s="3"/>
      <c r="G350" s="3"/>
      <c r="H350" s="3"/>
      <c r="I350" s="3"/>
      <c r="J350" s="3"/>
      <c r="K350" s="3"/>
      <c r="L350" s="3"/>
      <c r="M350" s="3"/>
      <c r="N350" s="3"/>
      <c r="O350" s="3"/>
      <c r="P350" s="1" t="s">
        <v>7031</v>
      </c>
      <c r="Q350" s="1" t="b">
        <v>0</v>
      </c>
      <c r="R350" s="1">
        <v>1.0</v>
      </c>
      <c r="S350" s="1" t="s">
        <v>5281</v>
      </c>
      <c r="T350" s="3"/>
      <c r="U350" s="1" t="s">
        <v>4672</v>
      </c>
      <c r="V350" s="1" t="s">
        <v>4673</v>
      </c>
      <c r="W350" s="1" t="s">
        <v>7032</v>
      </c>
      <c r="X350" s="1" t="b">
        <v>0</v>
      </c>
      <c r="Y350" s="1" t="s">
        <v>4675</v>
      </c>
      <c r="Z350" s="1" t="s">
        <v>7032</v>
      </c>
      <c r="AB350" s="3"/>
      <c r="AC350" s="3"/>
      <c r="AD350" s="3"/>
      <c r="AE350" s="3"/>
      <c r="AF350" s="3"/>
      <c r="AG350" s="3"/>
      <c r="AH350" s="3"/>
      <c r="AI350" s="1" t="b">
        <v>0</v>
      </c>
      <c r="AJ350" s="1" t="b">
        <v>0</v>
      </c>
      <c r="AK350" s="1" t="s">
        <v>7032</v>
      </c>
      <c r="AL350" s="1" t="s">
        <v>6319</v>
      </c>
      <c r="AM350" s="1" t="s">
        <v>6051</v>
      </c>
      <c r="AN350" s="1" t="s">
        <v>4679</v>
      </c>
      <c r="AO350" s="1" t="s">
        <v>7032</v>
      </c>
      <c r="AP350" s="1" t="s">
        <v>6320</v>
      </c>
      <c r="AQ350" s="1" t="s">
        <v>4682</v>
      </c>
      <c r="AR350" s="1">
        <v>1.0</v>
      </c>
      <c r="AS350" s="3"/>
      <c r="AT350" s="3"/>
      <c r="AU350" s="3"/>
      <c r="AV350" s="1" t="s">
        <v>6053</v>
      </c>
      <c r="AW350" s="1" t="s">
        <v>6054</v>
      </c>
      <c r="AX350" s="1" t="s">
        <v>5271</v>
      </c>
      <c r="AY350" s="1" t="s">
        <v>5272</v>
      </c>
      <c r="AZ350" s="1" t="s">
        <v>7033</v>
      </c>
      <c r="BB350" s="3"/>
      <c r="BC350" s="3"/>
      <c r="BD350" s="3"/>
      <c r="BE350" s="1" t="b">
        <v>1</v>
      </c>
      <c r="BF350" s="1" t="s">
        <v>5272</v>
      </c>
      <c r="BG350" s="1" t="s">
        <v>5271</v>
      </c>
      <c r="BH350" s="1" t="s">
        <v>6053</v>
      </c>
      <c r="BI350" s="1" t="s">
        <v>6054</v>
      </c>
      <c r="BJ350" s="1" t="s">
        <v>7033</v>
      </c>
      <c r="BL350" s="3"/>
    </row>
    <row r="351">
      <c r="A351" s="1" t="s">
        <v>2000</v>
      </c>
      <c r="B351" s="1" t="s">
        <v>1999</v>
      </c>
      <c r="C351" s="1" t="s">
        <v>1999</v>
      </c>
      <c r="D351" s="1" t="s">
        <v>4711</v>
      </c>
      <c r="E351" s="1" t="s">
        <v>7034</v>
      </c>
      <c r="F351" s="1" t="s">
        <v>7035</v>
      </c>
      <c r="G351" s="3"/>
      <c r="H351" s="3"/>
      <c r="I351" s="1" t="s">
        <v>4742</v>
      </c>
      <c r="J351" s="1" t="s">
        <v>7036</v>
      </c>
      <c r="K351" s="3">
        <f>+821024008532</f>
        <v>821024008532</v>
      </c>
      <c r="L351" s="3"/>
      <c r="M351" s="3"/>
      <c r="N351" s="3"/>
      <c r="O351" s="3"/>
      <c r="P351" s="1">
        <v>1.08942352E8</v>
      </c>
      <c r="Q351" s="1" t="b">
        <v>1</v>
      </c>
      <c r="R351" s="1">
        <v>163.0</v>
      </c>
      <c r="S351" s="1" t="s">
        <v>5281</v>
      </c>
      <c r="T351" s="3"/>
      <c r="U351" s="1" t="s">
        <v>4672</v>
      </c>
      <c r="V351" s="1" t="s">
        <v>4673</v>
      </c>
      <c r="W351" s="1" t="s">
        <v>7037</v>
      </c>
      <c r="X351" s="1" t="b">
        <v>0</v>
      </c>
      <c r="Y351" s="1" t="s">
        <v>4675</v>
      </c>
      <c r="Z351" s="1" t="s">
        <v>7038</v>
      </c>
      <c r="AB351" s="3"/>
      <c r="AC351" s="3"/>
      <c r="AD351" s="3"/>
      <c r="AE351" s="3"/>
      <c r="AF351" s="3"/>
      <c r="AG351" s="3"/>
      <c r="AH351" s="3"/>
      <c r="AI351" s="1" t="b">
        <v>0</v>
      </c>
      <c r="AJ351" s="1" t="b">
        <v>0</v>
      </c>
      <c r="AK351" s="1" t="s">
        <v>7039</v>
      </c>
      <c r="AL351" s="1" t="s">
        <v>4707</v>
      </c>
      <c r="AM351" s="1" t="s">
        <v>4708</v>
      </c>
      <c r="AN351" s="1" t="s">
        <v>4686</v>
      </c>
      <c r="AO351" s="1" t="s">
        <v>7038</v>
      </c>
      <c r="AP351" s="1" t="s">
        <v>4709</v>
      </c>
      <c r="AQ351" s="1" t="s">
        <v>4688</v>
      </c>
      <c r="AR351" s="1">
        <v>163.0</v>
      </c>
      <c r="AS351" s="3"/>
      <c r="AT351" s="3"/>
      <c r="AU351" s="3"/>
      <c r="AV351" s="3"/>
      <c r="AW351" s="3"/>
      <c r="AX351" s="3"/>
      <c r="AY351" s="3"/>
      <c r="AZ351" s="3"/>
      <c r="BA351" s="3"/>
      <c r="BB351" s="3"/>
      <c r="BC351" s="3"/>
      <c r="BD351" s="3"/>
      <c r="BE351" s="1" t="b">
        <v>1</v>
      </c>
      <c r="BF351" s="3"/>
      <c r="BG351" s="3"/>
      <c r="BH351" s="3"/>
      <c r="BI351" s="3"/>
      <c r="BJ351" s="3"/>
      <c r="BK351" s="3"/>
      <c r="BL351" s="3"/>
    </row>
    <row r="352">
      <c r="A352" s="1" t="s">
        <v>1007</v>
      </c>
      <c r="B352" s="1" t="s">
        <v>1006</v>
      </c>
      <c r="C352" s="1" t="s">
        <v>1006</v>
      </c>
      <c r="D352" s="1" t="s">
        <v>4724</v>
      </c>
      <c r="E352" s="1" t="s">
        <v>7040</v>
      </c>
      <c r="F352" s="1" t="s">
        <v>7041</v>
      </c>
      <c r="G352" s="3"/>
      <c r="H352" s="3"/>
      <c r="I352" s="3"/>
      <c r="J352" s="1" t="s">
        <v>7042</v>
      </c>
      <c r="K352" s="3">
        <f>+821084950097</f>
        <v>821084950097</v>
      </c>
      <c r="L352" s="3"/>
      <c r="M352" s="3"/>
      <c r="N352" s="3"/>
      <c r="O352" s="3"/>
      <c r="P352" s="1">
        <v>1.22993685E8</v>
      </c>
      <c r="Q352" s="1" t="b">
        <v>1</v>
      </c>
      <c r="R352" s="1">
        <v>4.0</v>
      </c>
      <c r="S352" s="1" t="s">
        <v>4885</v>
      </c>
      <c r="T352" s="3"/>
      <c r="U352" s="1" t="s">
        <v>4672</v>
      </c>
      <c r="V352" s="1" t="s">
        <v>4673</v>
      </c>
      <c r="W352" s="1" t="s">
        <v>7043</v>
      </c>
      <c r="X352" s="1" t="b">
        <v>0</v>
      </c>
      <c r="Y352" s="1" t="s">
        <v>4675</v>
      </c>
      <c r="Z352" s="1" t="s">
        <v>7044</v>
      </c>
      <c r="AB352" s="3"/>
      <c r="AC352" s="3"/>
      <c r="AD352" s="3"/>
      <c r="AE352" s="3"/>
      <c r="AF352" s="3"/>
      <c r="AG352" s="3"/>
      <c r="AH352" s="3"/>
      <c r="AI352" s="1" t="b">
        <v>0</v>
      </c>
      <c r="AJ352" s="1" t="b">
        <v>0</v>
      </c>
      <c r="AK352" s="1" t="s">
        <v>7045</v>
      </c>
      <c r="AL352" s="1" t="s">
        <v>4719</v>
      </c>
      <c r="AM352" s="1" t="s">
        <v>4685</v>
      </c>
      <c r="AN352" s="1" t="s">
        <v>4686</v>
      </c>
      <c r="AO352" s="1" t="s">
        <v>7044</v>
      </c>
      <c r="AP352" s="1" t="s">
        <v>4687</v>
      </c>
      <c r="AQ352" s="1" t="s">
        <v>4688</v>
      </c>
      <c r="AR352" s="1">
        <v>4.0</v>
      </c>
      <c r="AS352" s="3"/>
      <c r="AT352" s="3"/>
      <c r="AU352" s="4" t="s">
        <v>4695</v>
      </c>
      <c r="AW352" s="3"/>
      <c r="AX352" s="3"/>
      <c r="AY352" s="3"/>
      <c r="AZ352" s="3"/>
      <c r="BA352" s="3"/>
      <c r="BB352" s="3"/>
      <c r="BC352" s="3"/>
      <c r="BD352" s="3"/>
      <c r="BE352" s="1" t="b">
        <v>1</v>
      </c>
      <c r="BF352" s="3"/>
      <c r="BG352" s="3"/>
      <c r="BH352" s="3"/>
      <c r="BI352" s="3"/>
      <c r="BJ352" s="3"/>
      <c r="BK352" s="4" t="s">
        <v>4695</v>
      </c>
    </row>
    <row r="353">
      <c r="A353" s="1" t="s">
        <v>550</v>
      </c>
      <c r="B353" s="1" t="s">
        <v>548</v>
      </c>
      <c r="C353" s="1" t="s">
        <v>548</v>
      </c>
      <c r="D353" s="1" t="s">
        <v>4711</v>
      </c>
      <c r="E353" s="1" t="s">
        <v>7046</v>
      </c>
      <c r="F353" s="1" t="s">
        <v>7047</v>
      </c>
      <c r="G353" s="3"/>
      <c r="H353" s="3"/>
      <c r="I353" s="1" t="s">
        <v>5026</v>
      </c>
      <c r="J353" s="1" t="s">
        <v>7048</v>
      </c>
      <c r="K353" s="3">
        <f>+821080305329</f>
        <v>821080305329</v>
      </c>
      <c r="L353" s="3"/>
      <c r="M353" s="3"/>
      <c r="N353" s="3"/>
      <c r="O353" s="3"/>
      <c r="P353" s="1">
        <v>2.085891369E9</v>
      </c>
      <c r="Q353" s="1" t="b">
        <v>1</v>
      </c>
      <c r="R353" s="1">
        <v>15.0</v>
      </c>
      <c r="S353" s="1" t="s">
        <v>7049</v>
      </c>
      <c r="T353" s="3"/>
      <c r="U353" s="1" t="s">
        <v>4672</v>
      </c>
      <c r="V353" s="1" t="s">
        <v>4673</v>
      </c>
      <c r="W353" s="1" t="s">
        <v>7050</v>
      </c>
      <c r="X353" s="1" t="b">
        <v>0</v>
      </c>
      <c r="Y353" s="1" t="s">
        <v>4675</v>
      </c>
      <c r="Z353" s="1" t="s">
        <v>7051</v>
      </c>
      <c r="AB353" s="3"/>
      <c r="AC353" s="3"/>
      <c r="AD353" s="3"/>
      <c r="AE353" s="3"/>
      <c r="AF353" s="3"/>
      <c r="AG353" s="3"/>
      <c r="AH353" s="3"/>
      <c r="AI353" s="1" t="b">
        <v>0</v>
      </c>
      <c r="AJ353" s="1" t="b">
        <v>0</v>
      </c>
      <c r="AK353" s="1" t="s">
        <v>7052</v>
      </c>
      <c r="AL353" s="1" t="s">
        <v>4719</v>
      </c>
      <c r="AM353" s="1" t="s">
        <v>4685</v>
      </c>
      <c r="AN353" s="1" t="s">
        <v>4686</v>
      </c>
      <c r="AO353" s="1" t="s">
        <v>7051</v>
      </c>
      <c r="AP353" s="1" t="s">
        <v>4687</v>
      </c>
      <c r="AQ353" s="1" t="s">
        <v>4688</v>
      </c>
      <c r="AR353" s="1">
        <v>15.0</v>
      </c>
      <c r="AS353" s="3"/>
      <c r="AT353" s="3"/>
      <c r="AU353" s="4" t="s">
        <v>4771</v>
      </c>
      <c r="AV353" s="1" t="s">
        <v>6088</v>
      </c>
      <c r="AW353" s="3"/>
      <c r="AX353" s="1" t="s">
        <v>5489</v>
      </c>
      <c r="AY353" s="1" t="s">
        <v>4790</v>
      </c>
      <c r="AZ353" s="1" t="s">
        <v>4791</v>
      </c>
      <c r="BA353" s="3"/>
      <c r="BB353" s="3"/>
      <c r="BC353" s="3"/>
      <c r="BD353" s="3"/>
      <c r="BE353" s="1" t="b">
        <v>1</v>
      </c>
      <c r="BF353" s="1" t="s">
        <v>4790</v>
      </c>
      <c r="BG353" s="1" t="s">
        <v>5489</v>
      </c>
      <c r="BH353" s="1" t="s">
        <v>6088</v>
      </c>
      <c r="BI353" s="3"/>
      <c r="BJ353" s="1" t="s">
        <v>4791</v>
      </c>
      <c r="BK353" s="4" t="s">
        <v>4771</v>
      </c>
      <c r="BL353" s="1" t="s">
        <v>4723</v>
      </c>
    </row>
    <row r="354">
      <c r="A354" s="1" t="s">
        <v>228</v>
      </c>
      <c r="B354" s="1" t="s">
        <v>227</v>
      </c>
      <c r="C354" s="1" t="s">
        <v>227</v>
      </c>
      <c r="D354" s="1" t="s">
        <v>4696</v>
      </c>
      <c r="E354" s="1" t="s">
        <v>7053</v>
      </c>
      <c r="F354" s="1" t="s">
        <v>7054</v>
      </c>
      <c r="G354" s="3"/>
      <c r="H354" s="1" t="s">
        <v>4861</v>
      </c>
      <c r="I354" s="1" t="s">
        <v>4742</v>
      </c>
      <c r="J354" s="1" t="s">
        <v>7055</v>
      </c>
      <c r="K354" s="3">
        <f>+821032838470</f>
        <v>821032838470</v>
      </c>
      <c r="L354" s="3"/>
      <c r="M354" s="3"/>
      <c r="N354" s="3"/>
      <c r="O354" s="3"/>
      <c r="P354" s="1">
        <v>1.09908656E8</v>
      </c>
      <c r="Q354" s="1" t="b">
        <v>1</v>
      </c>
      <c r="R354" s="1">
        <v>117.0</v>
      </c>
      <c r="S354" s="1" t="s">
        <v>4752</v>
      </c>
      <c r="T354" s="3"/>
      <c r="U354" s="1" t="s">
        <v>4672</v>
      </c>
      <c r="V354" s="1" t="s">
        <v>4673</v>
      </c>
      <c r="W354" s="1" t="s">
        <v>7056</v>
      </c>
      <c r="X354" s="1" t="b">
        <v>0</v>
      </c>
      <c r="Y354" s="1" t="s">
        <v>4675</v>
      </c>
      <c r="Z354" s="1" t="s">
        <v>7057</v>
      </c>
      <c r="AB354" s="1" t="s">
        <v>4677</v>
      </c>
      <c r="AC354" s="1" t="s">
        <v>4678</v>
      </c>
      <c r="AD354" s="1" t="s">
        <v>4679</v>
      </c>
      <c r="AE354" s="1" t="s">
        <v>7058</v>
      </c>
      <c r="AF354" s="1" t="s">
        <v>5830</v>
      </c>
      <c r="AG354" s="1" t="s">
        <v>4682</v>
      </c>
      <c r="AH354" s="1">
        <v>48.0</v>
      </c>
      <c r="AI354" s="1" t="b">
        <v>0</v>
      </c>
      <c r="AJ354" s="1" t="b">
        <v>0</v>
      </c>
      <c r="AK354" s="1" t="s">
        <v>7059</v>
      </c>
      <c r="AL354" s="1" t="s">
        <v>4684</v>
      </c>
      <c r="AM354" s="1" t="s">
        <v>4685</v>
      </c>
      <c r="AN354" s="1" t="s">
        <v>4720</v>
      </c>
      <c r="AO354" s="1" t="s">
        <v>7057</v>
      </c>
      <c r="AP354" s="1" t="s">
        <v>4721</v>
      </c>
      <c r="AQ354" s="1" t="s">
        <v>4722</v>
      </c>
      <c r="AR354" s="1">
        <v>69.0</v>
      </c>
      <c r="AS354" s="3"/>
      <c r="AT354" s="3"/>
      <c r="AU354" s="4" t="s">
        <v>4695</v>
      </c>
      <c r="AV354" s="1" t="s">
        <v>4690</v>
      </c>
      <c r="AW354" s="1" t="s">
        <v>4691</v>
      </c>
      <c r="AX354" s="1" t="s">
        <v>4692</v>
      </c>
      <c r="AY354" s="1" t="s">
        <v>4693</v>
      </c>
      <c r="AZ354" s="1" t="s">
        <v>4694</v>
      </c>
      <c r="BA354" s="3"/>
      <c r="BB354" s="3"/>
      <c r="BC354" s="3"/>
      <c r="BD354" s="3"/>
      <c r="BE354" s="1" t="b">
        <v>1</v>
      </c>
      <c r="BF354" s="1" t="s">
        <v>4693</v>
      </c>
      <c r="BG354" s="1" t="s">
        <v>4692</v>
      </c>
      <c r="BH354" s="1" t="s">
        <v>4690</v>
      </c>
      <c r="BI354" s="1" t="s">
        <v>4691</v>
      </c>
      <c r="BJ354" s="1" t="s">
        <v>4694</v>
      </c>
      <c r="BK354" s="4" t="s">
        <v>4695</v>
      </c>
    </row>
    <row r="355">
      <c r="A355" s="1" t="s">
        <v>316</v>
      </c>
      <c r="B355" s="1" t="s">
        <v>314</v>
      </c>
      <c r="C355" s="1" t="s">
        <v>314</v>
      </c>
      <c r="D355" s="3"/>
      <c r="E355" s="3"/>
      <c r="F355" s="3"/>
      <c r="G355" s="3"/>
      <c r="H355" s="3"/>
      <c r="I355" s="3"/>
      <c r="J355" s="1" t="s">
        <v>6842</v>
      </c>
      <c r="K355" s="3">
        <f>+821044508444</f>
        <v>821044508444</v>
      </c>
      <c r="L355" s="3"/>
      <c r="M355" s="3"/>
      <c r="N355" s="3"/>
      <c r="O355" s="3"/>
      <c r="P355" s="1" t="s">
        <v>7060</v>
      </c>
      <c r="Q355" s="1" t="b">
        <v>0</v>
      </c>
      <c r="R355" s="1">
        <v>5.0</v>
      </c>
      <c r="S355" s="1" t="s">
        <v>4918</v>
      </c>
      <c r="T355" s="3"/>
      <c r="U355" s="1" t="s">
        <v>4672</v>
      </c>
      <c r="V355" s="1" t="s">
        <v>4673</v>
      </c>
      <c r="W355" s="1" t="s">
        <v>7061</v>
      </c>
      <c r="X355" s="1" t="b">
        <v>0</v>
      </c>
      <c r="Y355" s="1" t="s">
        <v>4675</v>
      </c>
      <c r="Z355" s="1" t="s">
        <v>7062</v>
      </c>
      <c r="AB355" s="3"/>
      <c r="AC355" s="3"/>
      <c r="AD355" s="3"/>
      <c r="AE355" s="3"/>
      <c r="AF355" s="3"/>
      <c r="AG355" s="3"/>
      <c r="AH355" s="3"/>
      <c r="AI355" s="1" t="b">
        <v>0</v>
      </c>
      <c r="AJ355" s="1" t="b">
        <v>0</v>
      </c>
      <c r="AK355" s="1" t="s">
        <v>7063</v>
      </c>
      <c r="AL355" s="1" t="s">
        <v>4684</v>
      </c>
      <c r="AM355" s="1" t="s">
        <v>4685</v>
      </c>
      <c r="AN355" s="1" t="s">
        <v>4686</v>
      </c>
      <c r="AO355" s="1" t="s">
        <v>7062</v>
      </c>
      <c r="AP355" s="1" t="s">
        <v>4687</v>
      </c>
      <c r="AQ355" s="1" t="s">
        <v>4688</v>
      </c>
      <c r="AR355" s="1">
        <v>5.0</v>
      </c>
      <c r="AS355" s="3"/>
      <c r="AT355" s="3"/>
      <c r="AU355" s="4" t="s">
        <v>4695</v>
      </c>
      <c r="AW355" s="3"/>
      <c r="AX355" s="3"/>
      <c r="AY355" s="3"/>
      <c r="AZ355" s="3"/>
      <c r="BA355" s="3"/>
      <c r="BB355" s="3"/>
      <c r="BC355" s="3"/>
      <c r="BD355" s="3"/>
      <c r="BE355" s="1" t="b">
        <v>1</v>
      </c>
      <c r="BF355" s="3"/>
      <c r="BG355" s="3"/>
      <c r="BH355" s="3"/>
      <c r="BI355" s="3"/>
      <c r="BJ355" s="3"/>
      <c r="BK355" s="4" t="s">
        <v>4695</v>
      </c>
    </row>
    <row r="356">
      <c r="A356" s="1" t="s">
        <v>1683</v>
      </c>
      <c r="B356" s="1" t="s">
        <v>1682</v>
      </c>
      <c r="C356" s="1" t="s">
        <v>1682</v>
      </c>
      <c r="D356" s="1" t="s">
        <v>5412</v>
      </c>
      <c r="E356" s="1" t="s">
        <v>7064</v>
      </c>
      <c r="F356" s="1" t="s">
        <v>7065</v>
      </c>
      <c r="G356" s="3"/>
      <c r="H356" s="3"/>
      <c r="I356" s="1" t="s">
        <v>5026</v>
      </c>
      <c r="J356" s="1" t="s">
        <v>7066</v>
      </c>
      <c r="K356" s="3">
        <f>+821044152816</f>
        <v>821044152816</v>
      </c>
      <c r="L356" s="3"/>
      <c r="M356" s="3"/>
      <c r="N356" s="3"/>
      <c r="O356" s="3"/>
      <c r="P356" s="1">
        <v>1.22953173E8</v>
      </c>
      <c r="Q356" s="1" t="b">
        <v>1</v>
      </c>
      <c r="R356" s="1">
        <v>16.0</v>
      </c>
      <c r="S356" s="1" t="s">
        <v>4752</v>
      </c>
      <c r="T356" s="3"/>
      <c r="U356" s="1" t="s">
        <v>4672</v>
      </c>
      <c r="V356" s="1" t="s">
        <v>4673</v>
      </c>
      <c r="W356" s="1" t="s">
        <v>7067</v>
      </c>
      <c r="X356" s="1" t="b">
        <v>0</v>
      </c>
      <c r="Y356" s="1" t="s">
        <v>4675</v>
      </c>
      <c r="Z356" s="1" t="s">
        <v>7068</v>
      </c>
      <c r="AB356" s="1" t="s">
        <v>4677</v>
      </c>
      <c r="AC356" s="1" t="s">
        <v>4678</v>
      </c>
      <c r="AD356" s="1" t="s">
        <v>4679</v>
      </c>
      <c r="AE356" s="1" t="s">
        <v>7069</v>
      </c>
      <c r="AF356" s="1" t="s">
        <v>4681</v>
      </c>
      <c r="AG356" s="1" t="s">
        <v>4682</v>
      </c>
      <c r="AH356" s="1">
        <v>2.0</v>
      </c>
      <c r="AI356" s="1" t="b">
        <v>0</v>
      </c>
      <c r="AJ356" s="1" t="b">
        <v>0</v>
      </c>
      <c r="AK356" s="1" t="s">
        <v>7070</v>
      </c>
      <c r="AL356" s="1" t="s">
        <v>4719</v>
      </c>
      <c r="AM356" s="1" t="s">
        <v>4685</v>
      </c>
      <c r="AN356" s="1" t="s">
        <v>4720</v>
      </c>
      <c r="AO356" s="1" t="s">
        <v>7071</v>
      </c>
      <c r="AP356" s="1" t="s">
        <v>4721</v>
      </c>
      <c r="AQ356" s="1" t="s">
        <v>4722</v>
      </c>
      <c r="AR356" s="1">
        <v>14.0</v>
      </c>
      <c r="AS356" s="3"/>
      <c r="AT356" s="3"/>
      <c r="AU356" s="4" t="s">
        <v>4780</v>
      </c>
      <c r="AV356" s="1" t="s">
        <v>4788</v>
      </c>
      <c r="AW356" s="1" t="s">
        <v>4789</v>
      </c>
      <c r="AX356" s="1" t="s">
        <v>4692</v>
      </c>
      <c r="AY356" s="1" t="s">
        <v>4790</v>
      </c>
      <c r="AZ356" s="1" t="s">
        <v>4791</v>
      </c>
      <c r="BA356" s="3"/>
      <c r="BB356" s="3"/>
      <c r="BC356" s="3"/>
      <c r="BD356" s="3"/>
      <c r="BE356" s="1" t="b">
        <v>1</v>
      </c>
      <c r="BF356" s="1" t="s">
        <v>4790</v>
      </c>
      <c r="BG356" s="1" t="s">
        <v>4692</v>
      </c>
      <c r="BH356" s="1" t="s">
        <v>4788</v>
      </c>
      <c r="BI356" s="1" t="s">
        <v>4789</v>
      </c>
      <c r="BJ356" s="1" t="s">
        <v>4791</v>
      </c>
      <c r="BK356" s="4" t="s">
        <v>4970</v>
      </c>
    </row>
    <row r="357">
      <c r="A357" s="1" t="s">
        <v>301</v>
      </c>
      <c r="B357" s="1" t="s">
        <v>300</v>
      </c>
      <c r="C357" s="1" t="s">
        <v>300</v>
      </c>
      <c r="D357" s="1" t="s">
        <v>4922</v>
      </c>
      <c r="E357" s="1" t="s">
        <v>7072</v>
      </c>
      <c r="F357" s="1" t="s">
        <v>7073</v>
      </c>
      <c r="G357" s="3"/>
      <c r="H357" s="3"/>
      <c r="I357" s="3"/>
      <c r="J357" s="1" t="s">
        <v>7074</v>
      </c>
      <c r="K357" s="3">
        <f>+821041546466</f>
        <v>821041546466</v>
      </c>
      <c r="L357" s="3"/>
      <c r="M357" s="3"/>
      <c r="N357" s="3"/>
      <c r="O357" s="3"/>
      <c r="P357" s="1">
        <v>1.22990325E8</v>
      </c>
      <c r="Q357" s="1" t="b">
        <v>1</v>
      </c>
      <c r="R357" s="1">
        <v>5.0</v>
      </c>
      <c r="S357" s="1" t="s">
        <v>4752</v>
      </c>
      <c r="T357" s="3"/>
      <c r="U357" s="1" t="s">
        <v>4672</v>
      </c>
      <c r="V357" s="1" t="s">
        <v>4673</v>
      </c>
      <c r="W357" s="1" t="s">
        <v>7075</v>
      </c>
      <c r="X357" s="1" t="b">
        <v>0</v>
      </c>
      <c r="Y357" s="1" t="s">
        <v>4675</v>
      </c>
      <c r="Z357" s="1" t="s">
        <v>7076</v>
      </c>
      <c r="AB357" s="3"/>
      <c r="AC357" s="3"/>
      <c r="AD357" s="3"/>
      <c r="AE357" s="3"/>
      <c r="AF357" s="3"/>
      <c r="AG357" s="3"/>
      <c r="AH357" s="3"/>
      <c r="AI357" s="1" t="b">
        <v>0</v>
      </c>
      <c r="AJ357" s="1" t="b">
        <v>0</v>
      </c>
      <c r="AK357" s="1" t="s">
        <v>7077</v>
      </c>
      <c r="AL357" s="1" t="s">
        <v>4719</v>
      </c>
      <c r="AM357" s="1" t="s">
        <v>4685</v>
      </c>
      <c r="AN357" s="1" t="s">
        <v>4686</v>
      </c>
      <c r="AO357" s="1" t="s">
        <v>7076</v>
      </c>
      <c r="AP357" s="1" t="s">
        <v>4687</v>
      </c>
      <c r="AQ357" s="1" t="s">
        <v>4688</v>
      </c>
      <c r="AR357" s="1">
        <v>5.0</v>
      </c>
      <c r="AS357" s="3"/>
      <c r="AT357" s="3"/>
      <c r="AU357" s="4" t="s">
        <v>4695</v>
      </c>
      <c r="AW357" s="3"/>
      <c r="AX357" s="3"/>
      <c r="AY357" s="3"/>
      <c r="AZ357" s="3"/>
      <c r="BA357" s="3"/>
      <c r="BB357" s="3"/>
      <c r="BC357" s="3"/>
      <c r="BD357" s="3"/>
      <c r="BE357" s="1" t="b">
        <v>1</v>
      </c>
      <c r="BF357" s="3"/>
      <c r="BG357" s="3"/>
      <c r="BH357" s="3"/>
      <c r="BI357" s="3"/>
      <c r="BJ357" s="3"/>
      <c r="BK357" s="4" t="s">
        <v>4695</v>
      </c>
    </row>
    <row r="358">
      <c r="A358" s="1" t="s">
        <v>1673</v>
      </c>
      <c r="B358" s="1" t="s">
        <v>1672</v>
      </c>
      <c r="C358" s="1" t="s">
        <v>1672</v>
      </c>
      <c r="D358" s="1" t="s">
        <v>4922</v>
      </c>
      <c r="E358" s="1" t="s">
        <v>7078</v>
      </c>
      <c r="F358" s="1" t="s">
        <v>7079</v>
      </c>
      <c r="G358" s="3"/>
      <c r="H358" s="3"/>
      <c r="I358" s="3"/>
      <c r="J358" s="1" t="s">
        <v>7080</v>
      </c>
      <c r="K358" s="3">
        <f>+821036066941</f>
        <v>821036066941</v>
      </c>
      <c r="L358" s="3"/>
      <c r="M358" s="3"/>
      <c r="N358" s="3"/>
      <c r="O358" s="3"/>
      <c r="P358" s="1">
        <v>1.22952504E8</v>
      </c>
      <c r="Q358" s="1" t="b">
        <v>1</v>
      </c>
      <c r="R358" s="1">
        <v>7.0</v>
      </c>
      <c r="S358" s="1" t="s">
        <v>5383</v>
      </c>
      <c r="U358" s="1" t="s">
        <v>4672</v>
      </c>
      <c r="V358" s="1" t="s">
        <v>4673</v>
      </c>
      <c r="W358" s="1" t="s">
        <v>7081</v>
      </c>
      <c r="X358" s="1" t="b">
        <v>0</v>
      </c>
      <c r="Y358" s="1" t="s">
        <v>4675</v>
      </c>
      <c r="Z358" s="1" t="s">
        <v>7082</v>
      </c>
      <c r="AB358" s="3"/>
      <c r="AC358" s="3"/>
      <c r="AD358" s="3"/>
      <c r="AE358" s="3"/>
      <c r="AF358" s="3"/>
      <c r="AG358" s="3"/>
      <c r="AH358" s="3"/>
      <c r="AI358" s="1" t="b">
        <v>0</v>
      </c>
      <c r="AJ358" s="1" t="b">
        <v>0</v>
      </c>
      <c r="AK358" s="1" t="s">
        <v>7083</v>
      </c>
      <c r="AL358" s="1" t="s">
        <v>4719</v>
      </c>
      <c r="AM358" s="1" t="s">
        <v>4685</v>
      </c>
      <c r="AN358" s="1" t="s">
        <v>4686</v>
      </c>
      <c r="AO358" s="1" t="s">
        <v>7082</v>
      </c>
      <c r="AP358" s="1" t="s">
        <v>4687</v>
      </c>
      <c r="AQ358" s="1" t="s">
        <v>4688</v>
      </c>
      <c r="AR358" s="1">
        <v>7.0</v>
      </c>
      <c r="AS358" s="3"/>
      <c r="AT358" s="3"/>
      <c r="AU358" s="4" t="s">
        <v>4695</v>
      </c>
      <c r="AW358" s="3"/>
      <c r="AX358" s="3"/>
      <c r="AY358" s="3"/>
      <c r="AZ358" s="3"/>
      <c r="BA358" s="3"/>
      <c r="BB358" s="3"/>
      <c r="BC358" s="3"/>
      <c r="BD358" s="3"/>
      <c r="BE358" s="1" t="b">
        <v>1</v>
      </c>
      <c r="BF358" s="3"/>
      <c r="BG358" s="3"/>
      <c r="BH358" s="3"/>
      <c r="BI358" s="3"/>
      <c r="BJ358" s="3"/>
      <c r="BK358" s="4" t="s">
        <v>4695</v>
      </c>
    </row>
    <row r="359">
      <c r="A359" s="1" t="s">
        <v>740</v>
      </c>
      <c r="B359" s="1" t="s">
        <v>739</v>
      </c>
      <c r="C359" s="3"/>
      <c r="D359" s="3"/>
      <c r="E359" s="3"/>
      <c r="F359" s="3"/>
      <c r="G359" s="3"/>
      <c r="H359" s="3"/>
      <c r="I359" s="3"/>
      <c r="J359" s="3"/>
      <c r="K359" s="3"/>
      <c r="L359" s="3"/>
      <c r="M359" s="3"/>
      <c r="N359" s="3"/>
      <c r="O359" s="3"/>
      <c r="P359" s="1" t="s">
        <v>7084</v>
      </c>
      <c r="Q359" s="1" t="b">
        <v>0</v>
      </c>
      <c r="R359" s="1">
        <v>7.0</v>
      </c>
      <c r="S359" s="1" t="s">
        <v>5922</v>
      </c>
      <c r="T359" s="3"/>
      <c r="U359" s="1" t="s">
        <v>4672</v>
      </c>
      <c r="V359" s="1" t="s">
        <v>4673</v>
      </c>
      <c r="W359" s="1" t="s">
        <v>7085</v>
      </c>
      <c r="X359" s="1" t="b">
        <v>0</v>
      </c>
      <c r="Y359" s="1" t="s">
        <v>4675</v>
      </c>
      <c r="Z359" s="1" t="s">
        <v>7086</v>
      </c>
      <c r="AB359" s="3"/>
      <c r="AC359" s="3"/>
      <c r="AD359" s="3"/>
      <c r="AE359" s="3"/>
      <c r="AF359" s="3"/>
      <c r="AG359" s="3"/>
      <c r="AH359" s="3"/>
      <c r="AI359" s="1" t="b">
        <v>0</v>
      </c>
      <c r="AJ359" s="1" t="b">
        <v>0</v>
      </c>
      <c r="AK359" s="1" t="s">
        <v>7087</v>
      </c>
      <c r="AL359" s="1" t="s">
        <v>5486</v>
      </c>
      <c r="AM359" s="1" t="s">
        <v>4685</v>
      </c>
      <c r="AN359" s="1" t="s">
        <v>4686</v>
      </c>
      <c r="AO359" s="1" t="s">
        <v>7086</v>
      </c>
      <c r="AP359" s="1" t="s">
        <v>4687</v>
      </c>
      <c r="AQ359" s="1" t="s">
        <v>4688</v>
      </c>
      <c r="AR359" s="1">
        <v>7.0</v>
      </c>
      <c r="AS359" s="3"/>
      <c r="AT359" s="3"/>
      <c r="AU359" s="4" t="s">
        <v>4695</v>
      </c>
      <c r="AV359" s="1" t="s">
        <v>4690</v>
      </c>
      <c r="AW359" s="1" t="s">
        <v>4691</v>
      </c>
      <c r="AX359" s="1" t="s">
        <v>4692</v>
      </c>
      <c r="AY359" s="1" t="s">
        <v>4761</v>
      </c>
      <c r="AZ359" s="1" t="s">
        <v>4694</v>
      </c>
      <c r="BA359" s="3"/>
      <c r="BB359" s="3"/>
      <c r="BC359" s="3"/>
      <c r="BD359" s="3"/>
      <c r="BE359" s="1" t="b">
        <v>1</v>
      </c>
      <c r="BF359" s="1" t="s">
        <v>4761</v>
      </c>
      <c r="BG359" s="1" t="s">
        <v>4936</v>
      </c>
      <c r="BH359" s="1" t="s">
        <v>4788</v>
      </c>
      <c r="BI359" s="1" t="s">
        <v>5091</v>
      </c>
      <c r="BJ359" s="1" t="s">
        <v>4694</v>
      </c>
      <c r="BK359" s="4" t="s">
        <v>4695</v>
      </c>
    </row>
    <row r="360">
      <c r="A360" s="1" t="s">
        <v>1068</v>
      </c>
      <c r="B360" s="1" t="s">
        <v>1067</v>
      </c>
      <c r="C360" s="1" t="s">
        <v>1067</v>
      </c>
      <c r="D360" s="1" t="s">
        <v>4696</v>
      </c>
      <c r="E360" s="1" t="s">
        <v>7088</v>
      </c>
      <c r="F360" s="1" t="s">
        <v>7089</v>
      </c>
      <c r="G360" s="3"/>
      <c r="H360" s="3"/>
      <c r="I360" s="1" t="s">
        <v>4742</v>
      </c>
      <c r="J360" s="1" t="s">
        <v>7090</v>
      </c>
      <c r="K360" s="3">
        <f>+821028073797</f>
        <v>821028073797</v>
      </c>
      <c r="L360" s="3"/>
      <c r="M360" s="3"/>
      <c r="N360" s="3"/>
      <c r="O360" s="3"/>
      <c r="P360" s="1">
        <v>1.9335365E8</v>
      </c>
      <c r="Q360" s="1" t="b">
        <v>1</v>
      </c>
      <c r="R360" s="1">
        <v>875.0</v>
      </c>
      <c r="S360" s="1" t="s">
        <v>5035</v>
      </c>
      <c r="T360" s="3"/>
      <c r="U360" s="1" t="s">
        <v>4672</v>
      </c>
      <c r="V360" s="1" t="s">
        <v>4673</v>
      </c>
      <c r="W360" s="1" t="s">
        <v>7091</v>
      </c>
      <c r="X360" s="1" t="b">
        <v>0</v>
      </c>
      <c r="Y360" s="1" t="s">
        <v>4675</v>
      </c>
      <c r="Z360" s="1" t="s">
        <v>7092</v>
      </c>
      <c r="AB360" s="3"/>
      <c r="AC360" s="3"/>
      <c r="AD360" s="3"/>
      <c r="AE360" s="3"/>
      <c r="AF360" s="3"/>
      <c r="AG360" s="3"/>
      <c r="AH360" s="3"/>
      <c r="AI360" s="1" t="b">
        <v>0</v>
      </c>
      <c r="AJ360" s="1" t="b">
        <v>0</v>
      </c>
      <c r="AK360" s="1" t="s">
        <v>7093</v>
      </c>
      <c r="AL360" s="1" t="s">
        <v>4684</v>
      </c>
      <c r="AM360" s="1" t="s">
        <v>4685</v>
      </c>
      <c r="AN360" s="1" t="s">
        <v>4686</v>
      </c>
      <c r="AO360" s="1" t="s">
        <v>7092</v>
      </c>
      <c r="AP360" s="1" t="s">
        <v>4687</v>
      </c>
      <c r="AQ360" s="1" t="s">
        <v>4688</v>
      </c>
      <c r="AR360" s="1">
        <v>875.0</v>
      </c>
      <c r="AS360" s="3"/>
      <c r="AT360" s="3"/>
      <c r="AU360" s="4" t="s">
        <v>4695</v>
      </c>
      <c r="AW360" s="3"/>
      <c r="AX360" s="3"/>
      <c r="AY360" s="3"/>
      <c r="AZ360" s="3"/>
      <c r="BA360" s="3"/>
      <c r="BB360" s="3"/>
      <c r="BC360" s="3"/>
      <c r="BD360" s="3"/>
      <c r="BE360" s="1" t="b">
        <v>1</v>
      </c>
      <c r="BF360" s="3"/>
      <c r="BG360" s="3"/>
      <c r="BH360" s="3"/>
      <c r="BI360" s="3"/>
      <c r="BJ360" s="3"/>
      <c r="BK360" s="4" t="s">
        <v>4695</v>
      </c>
    </row>
    <row r="361">
      <c r="A361" s="1" t="s">
        <v>764</v>
      </c>
      <c r="B361" s="1" t="s">
        <v>763</v>
      </c>
      <c r="C361" s="1" t="s">
        <v>763</v>
      </c>
      <c r="D361" s="1" t="s">
        <v>4711</v>
      </c>
      <c r="E361" s="1" t="s">
        <v>7094</v>
      </c>
      <c r="F361" s="1" t="s">
        <v>7095</v>
      </c>
      <c r="G361" s="3"/>
      <c r="H361" s="3"/>
      <c r="I361" s="1" t="s">
        <v>6041</v>
      </c>
      <c r="J361" s="1" t="s">
        <v>7096</v>
      </c>
      <c r="K361" s="3">
        <f>+821020047967</f>
        <v>821020047967</v>
      </c>
      <c r="L361" s="3"/>
      <c r="M361" s="3"/>
      <c r="N361" s="3"/>
      <c r="O361" s="3"/>
      <c r="P361" s="1">
        <v>1.11132633E8</v>
      </c>
      <c r="Q361" s="1" t="b">
        <v>1</v>
      </c>
      <c r="R361" s="1">
        <v>11.0</v>
      </c>
      <c r="S361" s="1" t="s">
        <v>4752</v>
      </c>
      <c r="T361" s="3"/>
      <c r="U361" s="1" t="s">
        <v>4672</v>
      </c>
      <c r="V361" s="1" t="s">
        <v>4673</v>
      </c>
      <c r="W361" s="1" t="s">
        <v>7097</v>
      </c>
      <c r="X361" s="1" t="b">
        <v>0</v>
      </c>
      <c r="Y361" s="1" t="s">
        <v>4675</v>
      </c>
      <c r="Z361" s="1" t="s">
        <v>7098</v>
      </c>
      <c r="AB361" s="3"/>
      <c r="AC361" s="3"/>
      <c r="AD361" s="3"/>
      <c r="AE361" s="3"/>
      <c r="AF361" s="3"/>
      <c r="AG361" s="3"/>
      <c r="AH361" s="3"/>
      <c r="AI361" s="1" t="b">
        <v>0</v>
      </c>
      <c r="AJ361" s="1" t="b">
        <v>0</v>
      </c>
      <c r="AK361" s="1" t="s">
        <v>7099</v>
      </c>
      <c r="AL361" s="1" t="s">
        <v>4719</v>
      </c>
      <c r="AM361" s="1" t="s">
        <v>4685</v>
      </c>
      <c r="AN361" s="1" t="s">
        <v>4686</v>
      </c>
      <c r="AO361" s="1" t="s">
        <v>7098</v>
      </c>
      <c r="AP361" s="1" t="s">
        <v>4687</v>
      </c>
      <c r="AQ361" s="1" t="s">
        <v>4688</v>
      </c>
      <c r="AR361" s="1">
        <v>11.0</v>
      </c>
      <c r="AS361" s="3"/>
      <c r="AT361" s="3"/>
      <c r="AU361" s="4" t="s">
        <v>4695</v>
      </c>
      <c r="AV361" s="1" t="s">
        <v>4788</v>
      </c>
      <c r="AW361" s="1" t="s">
        <v>5091</v>
      </c>
      <c r="AX361" s="1" t="s">
        <v>4936</v>
      </c>
      <c r="AY361" s="1" t="s">
        <v>4761</v>
      </c>
      <c r="AZ361" s="3"/>
      <c r="BA361" s="3"/>
      <c r="BB361" s="3"/>
      <c r="BC361" s="3"/>
      <c r="BD361" s="3"/>
      <c r="BE361" s="1" t="b">
        <v>1</v>
      </c>
      <c r="BF361" s="1" t="s">
        <v>4761</v>
      </c>
      <c r="BG361" s="1" t="s">
        <v>4936</v>
      </c>
      <c r="BH361" s="1" t="s">
        <v>4788</v>
      </c>
      <c r="BI361" s="1" t="s">
        <v>5091</v>
      </c>
      <c r="BJ361" s="3"/>
      <c r="BK361" s="4" t="s">
        <v>4695</v>
      </c>
      <c r="BL361" s="1" t="s">
        <v>4723</v>
      </c>
    </row>
    <row r="362">
      <c r="A362" s="1" t="s">
        <v>1901</v>
      </c>
      <c r="B362" s="1" t="s">
        <v>1900</v>
      </c>
      <c r="C362" s="1" t="s">
        <v>1900</v>
      </c>
      <c r="D362" s="1" t="s">
        <v>4711</v>
      </c>
      <c r="E362" s="1" t="s">
        <v>7100</v>
      </c>
      <c r="F362" s="1" t="s">
        <v>7101</v>
      </c>
      <c r="G362" s="3"/>
      <c r="H362" s="3"/>
      <c r="I362" s="1" t="s">
        <v>4742</v>
      </c>
      <c r="J362" s="1" t="s">
        <v>7102</v>
      </c>
      <c r="K362" s="3">
        <f>+821073203334</f>
        <v>821073203334</v>
      </c>
      <c r="L362" s="3"/>
      <c r="M362" s="3"/>
      <c r="N362" s="3"/>
      <c r="O362" s="3"/>
      <c r="P362" s="1">
        <v>1.1685176E8</v>
      </c>
      <c r="Q362" s="1" t="b">
        <v>1</v>
      </c>
      <c r="R362" s="1">
        <v>967.0</v>
      </c>
      <c r="S362" s="1" t="s">
        <v>4671</v>
      </c>
      <c r="T362" s="3"/>
      <c r="U362" s="1" t="s">
        <v>4672</v>
      </c>
      <c r="V362" s="1" t="s">
        <v>4673</v>
      </c>
      <c r="W362" s="1" t="s">
        <v>7103</v>
      </c>
      <c r="X362" s="1" t="b">
        <v>0</v>
      </c>
      <c r="Y362" s="1" t="s">
        <v>4675</v>
      </c>
      <c r="Z362" s="1" t="s">
        <v>7104</v>
      </c>
      <c r="AB362" s="3"/>
      <c r="AC362" s="3"/>
      <c r="AD362" s="3"/>
      <c r="AE362" s="3"/>
      <c r="AF362" s="3"/>
      <c r="AG362" s="3"/>
      <c r="AH362" s="3"/>
      <c r="AI362" s="1" t="b">
        <v>0</v>
      </c>
      <c r="AJ362" s="1" t="b">
        <v>0</v>
      </c>
      <c r="AK362" s="1" t="s">
        <v>7105</v>
      </c>
      <c r="AL362" s="1" t="s">
        <v>4684</v>
      </c>
      <c r="AM362" s="1" t="s">
        <v>4685</v>
      </c>
      <c r="AN362" s="1" t="s">
        <v>4686</v>
      </c>
      <c r="AO362" s="1" t="s">
        <v>7104</v>
      </c>
      <c r="AP362" s="1" t="s">
        <v>4687</v>
      </c>
      <c r="AQ362" s="1" t="s">
        <v>4688</v>
      </c>
      <c r="AR362" s="1">
        <v>967.0</v>
      </c>
      <c r="AS362" s="3"/>
      <c r="AT362" s="3"/>
      <c r="AU362" s="4" t="s">
        <v>4780</v>
      </c>
      <c r="AW362" s="3"/>
      <c r="AX362" s="3"/>
      <c r="AY362" s="3"/>
      <c r="AZ362" s="3"/>
      <c r="BA362" s="3"/>
      <c r="BB362" s="3"/>
      <c r="BC362" s="3"/>
      <c r="BD362" s="3"/>
      <c r="BE362" s="1" t="b">
        <v>1</v>
      </c>
      <c r="BF362" s="3"/>
      <c r="BG362" s="3"/>
      <c r="BH362" s="3"/>
      <c r="BI362" s="3"/>
      <c r="BJ362" s="3"/>
      <c r="BK362" s="4" t="s">
        <v>4780</v>
      </c>
    </row>
    <row r="363">
      <c r="A363" s="1" t="s">
        <v>1217</v>
      </c>
      <c r="B363" s="1" t="s">
        <v>1216</v>
      </c>
      <c r="C363" s="1" t="s">
        <v>1216</v>
      </c>
      <c r="D363" s="1" t="s">
        <v>4696</v>
      </c>
      <c r="E363" s="1" t="s">
        <v>7106</v>
      </c>
      <c r="F363" s="1" t="s">
        <v>7107</v>
      </c>
      <c r="G363" s="3"/>
      <c r="H363" s="3"/>
      <c r="I363" s="1" t="s">
        <v>4742</v>
      </c>
      <c r="J363" s="1" t="s">
        <v>7108</v>
      </c>
      <c r="K363" s="3"/>
      <c r="L363" s="3"/>
      <c r="M363" s="3"/>
      <c r="N363" s="3"/>
      <c r="O363" s="3"/>
      <c r="P363" s="1">
        <v>2.086161346E9</v>
      </c>
      <c r="Q363" s="1" t="b">
        <v>1</v>
      </c>
      <c r="R363" s="1">
        <v>118.0</v>
      </c>
      <c r="S363" s="1" t="s">
        <v>4805</v>
      </c>
      <c r="T363" s="3"/>
      <c r="U363" s="1" t="s">
        <v>4672</v>
      </c>
      <c r="V363" s="1" t="s">
        <v>4673</v>
      </c>
      <c r="W363" s="1" t="s">
        <v>7109</v>
      </c>
      <c r="X363" s="1" t="b">
        <v>0</v>
      </c>
      <c r="Y363" s="1" t="s">
        <v>4675</v>
      </c>
      <c r="Z363" s="1" t="s">
        <v>7110</v>
      </c>
      <c r="AB363" s="1" t="s">
        <v>4677</v>
      </c>
      <c r="AC363" s="1" t="s">
        <v>4678</v>
      </c>
      <c r="AD363" s="1" t="s">
        <v>4679</v>
      </c>
      <c r="AE363" s="1" t="s">
        <v>7111</v>
      </c>
      <c r="AF363" s="1" t="s">
        <v>4681</v>
      </c>
      <c r="AG363" s="1" t="s">
        <v>4682</v>
      </c>
      <c r="AH363" s="1">
        <v>1.0</v>
      </c>
      <c r="AI363" s="1" t="b">
        <v>0</v>
      </c>
      <c r="AJ363" s="1" t="b">
        <v>0</v>
      </c>
      <c r="AK363" s="1" t="s">
        <v>7112</v>
      </c>
      <c r="AL363" s="1" t="s">
        <v>4719</v>
      </c>
      <c r="AM363" s="1" t="s">
        <v>4685</v>
      </c>
      <c r="AN363" s="1" t="s">
        <v>4686</v>
      </c>
      <c r="AO363" s="1" t="s">
        <v>7110</v>
      </c>
      <c r="AP363" s="1" t="s">
        <v>4687</v>
      </c>
      <c r="AQ363" s="1" t="s">
        <v>4688</v>
      </c>
      <c r="AR363" s="1">
        <v>117.0</v>
      </c>
      <c r="AS363" s="3"/>
      <c r="AT363" s="3"/>
      <c r="AU363" s="4" t="s">
        <v>4695</v>
      </c>
      <c r="AW363" s="3"/>
      <c r="AX363" s="3"/>
      <c r="AY363" s="3"/>
      <c r="AZ363" s="3"/>
      <c r="BA363" s="3"/>
      <c r="BB363" s="3"/>
      <c r="BC363" s="3"/>
      <c r="BD363" s="3"/>
      <c r="BE363" s="1" t="b">
        <v>1</v>
      </c>
      <c r="BF363" s="3"/>
      <c r="BG363" s="3"/>
      <c r="BH363" s="3"/>
      <c r="BI363" s="3"/>
      <c r="BJ363" s="3"/>
      <c r="BK363" s="4" t="s">
        <v>4695</v>
      </c>
      <c r="BL363" s="1" t="s">
        <v>4723</v>
      </c>
    </row>
    <row r="364">
      <c r="A364" s="1" t="s">
        <v>825</v>
      </c>
      <c r="B364" s="1" t="s">
        <v>824</v>
      </c>
      <c r="C364" s="1" t="s">
        <v>824</v>
      </c>
      <c r="D364" s="1" t="s">
        <v>4711</v>
      </c>
      <c r="E364" s="1" t="s">
        <v>7113</v>
      </c>
      <c r="F364" s="1" t="s">
        <v>7114</v>
      </c>
      <c r="G364" s="3"/>
      <c r="H364" s="3"/>
      <c r="I364" s="3"/>
      <c r="J364" s="1" t="s">
        <v>7115</v>
      </c>
      <c r="K364" s="3">
        <f>+821058424020</f>
        <v>821058424020</v>
      </c>
      <c r="L364" s="3"/>
      <c r="M364" s="3"/>
      <c r="N364" s="3"/>
      <c r="O364" s="3"/>
      <c r="P364" s="1">
        <v>2.085877642E9</v>
      </c>
      <c r="Q364" s="1" t="b">
        <v>1</v>
      </c>
      <c r="R364" s="1">
        <v>30.0</v>
      </c>
      <c r="S364" s="1" t="s">
        <v>4752</v>
      </c>
      <c r="T364" s="3"/>
      <c r="U364" s="1" t="s">
        <v>4672</v>
      </c>
      <c r="V364" s="1" t="s">
        <v>4673</v>
      </c>
      <c r="W364" s="1" t="s">
        <v>7116</v>
      </c>
      <c r="X364" s="1" t="b">
        <v>0</v>
      </c>
      <c r="Y364" s="1" t="s">
        <v>4675</v>
      </c>
      <c r="Z364" s="1" t="s">
        <v>7117</v>
      </c>
      <c r="AB364" s="3"/>
      <c r="AC364" s="3"/>
      <c r="AD364" s="3"/>
      <c r="AE364" s="3"/>
      <c r="AF364" s="3"/>
      <c r="AG364" s="3"/>
      <c r="AH364" s="3"/>
      <c r="AI364" s="1" t="b">
        <v>0</v>
      </c>
      <c r="AJ364" s="1" t="b">
        <v>0</v>
      </c>
      <c r="AK364" s="1" t="s">
        <v>7118</v>
      </c>
      <c r="AL364" s="1" t="s">
        <v>4719</v>
      </c>
      <c r="AM364" s="1" t="s">
        <v>4685</v>
      </c>
      <c r="AN364" s="1" t="s">
        <v>4686</v>
      </c>
      <c r="AO364" s="1" t="s">
        <v>7117</v>
      </c>
      <c r="AP364" s="1" t="s">
        <v>4687</v>
      </c>
      <c r="AQ364" s="1" t="s">
        <v>4688</v>
      </c>
      <c r="AR364" s="1">
        <v>30.0</v>
      </c>
      <c r="AS364" s="3"/>
      <c r="AT364" s="3"/>
      <c r="AU364" s="4" t="s">
        <v>4695</v>
      </c>
      <c r="AW364" s="3"/>
      <c r="AX364" s="3"/>
      <c r="AY364" s="3"/>
      <c r="AZ364" s="3"/>
      <c r="BA364" s="3"/>
      <c r="BB364" s="3"/>
      <c r="BC364" s="3"/>
      <c r="BD364" s="3"/>
      <c r="BE364" s="1" t="b">
        <v>1</v>
      </c>
      <c r="BF364" s="3"/>
      <c r="BG364" s="3"/>
      <c r="BH364" s="3"/>
      <c r="BI364" s="3"/>
      <c r="BJ364" s="3"/>
      <c r="BK364" s="4" t="s">
        <v>4771</v>
      </c>
      <c r="BL364" s="1" t="s">
        <v>4723</v>
      </c>
    </row>
    <row r="365">
      <c r="A365" s="1" t="s">
        <v>138</v>
      </c>
      <c r="B365" s="1" t="s">
        <v>137</v>
      </c>
      <c r="C365" s="1" t="s">
        <v>137</v>
      </c>
      <c r="D365" s="1" t="s">
        <v>4696</v>
      </c>
      <c r="E365" s="1" t="s">
        <v>7119</v>
      </c>
      <c r="F365" s="1" t="s">
        <v>7120</v>
      </c>
      <c r="G365" s="3"/>
      <c r="H365" s="3"/>
      <c r="I365" s="1" t="s">
        <v>7121</v>
      </c>
      <c r="J365" s="1" t="s">
        <v>7122</v>
      </c>
      <c r="K365" s="3">
        <f>+821053450917</f>
        <v>821053450917</v>
      </c>
      <c r="L365" s="3"/>
      <c r="M365" s="3"/>
      <c r="N365" s="3"/>
      <c r="O365" s="3"/>
      <c r="P365" s="1">
        <v>1.11341533E8</v>
      </c>
      <c r="Q365" s="1" t="b">
        <v>1</v>
      </c>
      <c r="R365" s="1">
        <v>77.0</v>
      </c>
      <c r="S365" s="1" t="s">
        <v>6316</v>
      </c>
      <c r="T365" s="3"/>
      <c r="U365" s="1" t="s">
        <v>4672</v>
      </c>
      <c r="V365" s="1" t="s">
        <v>4673</v>
      </c>
      <c r="W365" s="1" t="s">
        <v>7123</v>
      </c>
      <c r="X365" s="1" t="b">
        <v>0</v>
      </c>
      <c r="Y365" s="1" t="s">
        <v>4675</v>
      </c>
      <c r="Z365" s="1" t="s">
        <v>7124</v>
      </c>
      <c r="AB365" s="3"/>
      <c r="AC365" s="3"/>
      <c r="AD365" s="3"/>
      <c r="AE365" s="3"/>
      <c r="AF365" s="3"/>
      <c r="AG365" s="3"/>
      <c r="AH365" s="3"/>
      <c r="AI365" s="1" t="b">
        <v>0</v>
      </c>
      <c r="AJ365" s="1" t="b">
        <v>0</v>
      </c>
      <c r="AK365" s="1" t="s">
        <v>7125</v>
      </c>
      <c r="AL365" s="1" t="s">
        <v>4719</v>
      </c>
      <c r="AM365" s="1" t="s">
        <v>4685</v>
      </c>
      <c r="AN365" s="1" t="s">
        <v>4686</v>
      </c>
      <c r="AO365" s="1" t="s">
        <v>7124</v>
      </c>
      <c r="AP365" s="1" t="s">
        <v>4687</v>
      </c>
      <c r="AQ365" s="1" t="s">
        <v>4688</v>
      </c>
      <c r="AR365" s="1">
        <v>77.0</v>
      </c>
      <c r="AS365" s="3"/>
      <c r="AT365" s="3"/>
      <c r="AU365" s="4" t="s">
        <v>4881</v>
      </c>
      <c r="AW365" s="3"/>
      <c r="AX365" s="3"/>
      <c r="AY365" s="3"/>
      <c r="AZ365" s="3"/>
      <c r="BA365" s="3"/>
      <c r="BB365" s="3"/>
      <c r="BC365" s="3"/>
      <c r="BD365" s="3"/>
      <c r="BE365" s="1" t="b">
        <v>1</v>
      </c>
      <c r="BF365" s="3"/>
      <c r="BG365" s="3"/>
      <c r="BH365" s="3"/>
      <c r="BI365" s="3"/>
      <c r="BJ365" s="3"/>
      <c r="BK365" s="4" t="s">
        <v>4695</v>
      </c>
    </row>
    <row r="366">
      <c r="A366" s="1" t="s">
        <v>898</v>
      </c>
      <c r="B366" s="1" t="s">
        <v>897</v>
      </c>
      <c r="C366" s="1" t="s">
        <v>897</v>
      </c>
      <c r="D366" s="1" t="s">
        <v>5000</v>
      </c>
      <c r="E366" s="1" t="s">
        <v>7126</v>
      </c>
      <c r="F366" s="1" t="s">
        <v>7127</v>
      </c>
      <c r="G366" s="3"/>
      <c r="H366" s="3"/>
      <c r="I366" s="1" t="s">
        <v>4742</v>
      </c>
      <c r="J366" s="1" t="s">
        <v>7128</v>
      </c>
      <c r="K366" s="3"/>
      <c r="L366" s="3"/>
      <c r="M366" s="3"/>
      <c r="N366" s="3"/>
      <c r="O366" s="3"/>
      <c r="P366" s="1">
        <v>1.1106485E8</v>
      </c>
      <c r="Q366" s="1" t="b">
        <v>1</v>
      </c>
      <c r="R366" s="1">
        <v>197.0</v>
      </c>
      <c r="S366" s="1" t="s">
        <v>7129</v>
      </c>
      <c r="T366" s="3"/>
      <c r="U366" s="1" t="s">
        <v>4672</v>
      </c>
      <c r="V366" s="1" t="s">
        <v>4673</v>
      </c>
      <c r="W366" s="1" t="s">
        <v>7130</v>
      </c>
      <c r="X366" s="1" t="b">
        <v>0</v>
      </c>
      <c r="Y366" s="1" t="s">
        <v>4675</v>
      </c>
      <c r="Z366" s="1" t="s">
        <v>7131</v>
      </c>
      <c r="AB366" s="1" t="s">
        <v>4677</v>
      </c>
      <c r="AC366" s="1" t="s">
        <v>4678</v>
      </c>
      <c r="AD366" s="1" t="s">
        <v>4877</v>
      </c>
      <c r="AE366" s="1" t="s">
        <v>7132</v>
      </c>
      <c r="AF366" s="1" t="s">
        <v>4757</v>
      </c>
      <c r="AG366" s="1" t="s">
        <v>4758</v>
      </c>
      <c r="AH366" s="1">
        <v>29.0</v>
      </c>
      <c r="AI366" s="1" t="b">
        <v>0</v>
      </c>
      <c r="AJ366" s="1" t="b">
        <v>0</v>
      </c>
      <c r="AK366" s="1" t="s">
        <v>7133</v>
      </c>
      <c r="AL366" s="1" t="s">
        <v>4719</v>
      </c>
      <c r="AM366" s="1" t="s">
        <v>4685</v>
      </c>
      <c r="AN366" s="1" t="s">
        <v>4686</v>
      </c>
      <c r="AO366" s="1" t="s">
        <v>7131</v>
      </c>
      <c r="AP366" s="1" t="s">
        <v>4687</v>
      </c>
      <c r="AQ366" s="1" t="s">
        <v>4688</v>
      </c>
      <c r="AR366" s="1">
        <v>168.0</v>
      </c>
      <c r="AS366" s="3"/>
      <c r="AT366" s="3"/>
      <c r="AU366" s="4" t="s">
        <v>7134</v>
      </c>
      <c r="BE366" s="1" t="b">
        <v>1</v>
      </c>
      <c r="BF366" s="3"/>
      <c r="BG366" s="3"/>
      <c r="BH366" s="3"/>
      <c r="BI366" s="3"/>
      <c r="BJ366" s="3"/>
      <c r="BK366" s="4" t="s">
        <v>4695</v>
      </c>
    </row>
    <row r="367">
      <c r="A367" s="1" t="s">
        <v>1620</v>
      </c>
      <c r="B367" s="1" t="s">
        <v>1618</v>
      </c>
      <c r="C367" s="1" t="s">
        <v>1618</v>
      </c>
      <c r="D367" s="1" t="s">
        <v>7135</v>
      </c>
      <c r="E367" s="1" t="s">
        <v>7136</v>
      </c>
      <c r="F367" s="1" t="s">
        <v>7137</v>
      </c>
      <c r="G367" s="3"/>
      <c r="H367" s="3"/>
      <c r="I367" s="1" t="s">
        <v>5338</v>
      </c>
      <c r="J367" s="1" t="s">
        <v>7138</v>
      </c>
      <c r="L367" s="3"/>
      <c r="M367" s="3"/>
      <c r="N367" s="3"/>
      <c r="O367" s="3"/>
      <c r="P367" s="1">
        <v>1.12348095E8</v>
      </c>
      <c r="Q367" s="1" t="b">
        <v>1</v>
      </c>
      <c r="R367" s="1">
        <v>28.0</v>
      </c>
      <c r="S367" s="1" t="s">
        <v>4918</v>
      </c>
      <c r="T367" s="3"/>
      <c r="U367" s="1" t="s">
        <v>4672</v>
      </c>
      <c r="V367" s="1" t="s">
        <v>4673</v>
      </c>
      <c r="W367" s="1" t="s">
        <v>7139</v>
      </c>
      <c r="X367" s="1" t="b">
        <v>0</v>
      </c>
      <c r="Y367" s="1" t="s">
        <v>4675</v>
      </c>
      <c r="Z367" s="1" t="s">
        <v>7140</v>
      </c>
      <c r="AB367" s="1" t="s">
        <v>4677</v>
      </c>
      <c r="AC367" s="1" t="s">
        <v>4678</v>
      </c>
      <c r="AD367" s="1" t="s">
        <v>4679</v>
      </c>
      <c r="AE367" s="1" t="s">
        <v>7141</v>
      </c>
      <c r="AF367" s="1" t="s">
        <v>4681</v>
      </c>
      <c r="AG367" s="1" t="s">
        <v>4682</v>
      </c>
      <c r="AH367" s="1">
        <v>3.0</v>
      </c>
      <c r="AI367" s="1" t="b">
        <v>0</v>
      </c>
      <c r="AJ367" s="1" t="b">
        <v>0</v>
      </c>
      <c r="AK367" s="1" t="s">
        <v>7140</v>
      </c>
      <c r="AL367" s="1" t="s">
        <v>4719</v>
      </c>
      <c r="AM367" s="1" t="s">
        <v>4685</v>
      </c>
      <c r="AN367" s="1" t="s">
        <v>4686</v>
      </c>
      <c r="AO367" s="1" t="s">
        <v>7140</v>
      </c>
      <c r="AP367" s="1" t="s">
        <v>4687</v>
      </c>
      <c r="AQ367" s="1" t="s">
        <v>4688</v>
      </c>
      <c r="AR367" s="1">
        <v>25.0</v>
      </c>
      <c r="AS367" s="3"/>
      <c r="AT367" s="3"/>
      <c r="AU367" s="3"/>
      <c r="AV367" s="3"/>
      <c r="AW367" s="3"/>
      <c r="AX367" s="3"/>
      <c r="AY367" s="3"/>
      <c r="AZ367" s="3"/>
      <c r="BA367" s="3"/>
      <c r="BB367" s="3"/>
      <c r="BC367" s="3"/>
      <c r="BD367" s="3"/>
      <c r="BE367" s="1" t="b">
        <v>1</v>
      </c>
      <c r="BF367" s="3"/>
      <c r="BG367" s="3"/>
      <c r="BH367" s="3"/>
      <c r="BI367" s="3"/>
      <c r="BJ367" s="3"/>
      <c r="BK367" s="3"/>
      <c r="BL367" s="3"/>
    </row>
    <row r="368">
      <c r="A368" s="1" t="s">
        <v>491</v>
      </c>
      <c r="B368" s="1" t="s">
        <v>490</v>
      </c>
      <c r="C368" s="1" t="s">
        <v>490</v>
      </c>
      <c r="D368" s="1" t="s">
        <v>4696</v>
      </c>
      <c r="E368" s="1" t="s">
        <v>7142</v>
      </c>
      <c r="F368" s="1" t="s">
        <v>7143</v>
      </c>
      <c r="G368" s="3"/>
      <c r="H368" s="3"/>
      <c r="I368" s="1" t="s">
        <v>4742</v>
      </c>
      <c r="J368" s="1" t="s">
        <v>7144</v>
      </c>
      <c r="K368" s="3">
        <f>+821073596333</f>
        <v>821073596333</v>
      </c>
      <c r="L368" s="3"/>
      <c r="M368" s="3"/>
      <c r="N368" s="3"/>
      <c r="O368" s="3"/>
      <c r="P368" s="1">
        <v>1.17207733E8</v>
      </c>
      <c r="Q368" s="1" t="b">
        <v>1</v>
      </c>
      <c r="R368" s="1">
        <v>206.0</v>
      </c>
      <c r="S368" s="1" t="s">
        <v>4902</v>
      </c>
      <c r="T368" s="3"/>
      <c r="U368" s="1" t="s">
        <v>4672</v>
      </c>
      <c r="V368" s="1" t="s">
        <v>4673</v>
      </c>
      <c r="W368" s="1" t="s">
        <v>7145</v>
      </c>
      <c r="X368" s="1" t="b">
        <v>0</v>
      </c>
      <c r="Y368" s="1" t="s">
        <v>4675</v>
      </c>
      <c r="Z368" s="1" t="s">
        <v>7146</v>
      </c>
      <c r="AB368" s="1" t="s">
        <v>4677</v>
      </c>
      <c r="AC368" s="1" t="s">
        <v>4678</v>
      </c>
      <c r="AD368" s="1" t="s">
        <v>4679</v>
      </c>
      <c r="AE368" s="1" t="s">
        <v>7147</v>
      </c>
      <c r="AF368" s="1" t="s">
        <v>4681</v>
      </c>
      <c r="AG368" s="1" t="s">
        <v>4682</v>
      </c>
      <c r="AH368" s="1">
        <v>9.0</v>
      </c>
      <c r="AI368" s="1" t="b">
        <v>0</v>
      </c>
      <c r="AJ368" s="1" t="b">
        <v>0</v>
      </c>
      <c r="AK368" s="1" t="s">
        <v>7148</v>
      </c>
      <c r="AL368" s="1" t="s">
        <v>4684</v>
      </c>
      <c r="AM368" s="1" t="s">
        <v>4685</v>
      </c>
      <c r="AN368" s="1" t="s">
        <v>4686</v>
      </c>
      <c r="AO368" s="1" t="s">
        <v>7146</v>
      </c>
      <c r="AP368" s="1" t="s">
        <v>4687</v>
      </c>
      <c r="AQ368" s="1" t="s">
        <v>4688</v>
      </c>
      <c r="AR368" s="1">
        <v>197.0</v>
      </c>
      <c r="AS368" s="3"/>
      <c r="AT368" s="3"/>
      <c r="AU368" s="4" t="s">
        <v>7149</v>
      </c>
      <c r="AW368" s="3"/>
      <c r="AX368" s="3"/>
      <c r="AY368" s="3"/>
      <c r="AZ368" s="3"/>
      <c r="BA368" s="3"/>
      <c r="BB368" s="3"/>
      <c r="BC368" s="3"/>
      <c r="BD368" s="3"/>
      <c r="BE368" s="1" t="b">
        <v>1</v>
      </c>
      <c r="BF368" s="3"/>
      <c r="BG368" s="3"/>
      <c r="BH368" s="3"/>
      <c r="BI368" s="3"/>
      <c r="BJ368" s="3"/>
      <c r="BK368" s="4" t="s">
        <v>7149</v>
      </c>
    </row>
    <row r="369">
      <c r="A369" s="1" t="s">
        <v>631</v>
      </c>
      <c r="B369" s="1" t="s">
        <v>630</v>
      </c>
      <c r="C369" s="3"/>
      <c r="D369" s="3"/>
      <c r="E369" s="3"/>
      <c r="F369" s="3"/>
      <c r="G369" s="3"/>
      <c r="H369" s="3"/>
      <c r="I369" s="3"/>
      <c r="J369" s="3"/>
      <c r="K369" s="3"/>
      <c r="L369" s="3"/>
      <c r="M369" s="3"/>
      <c r="N369" s="3"/>
      <c r="O369" s="3"/>
      <c r="P369" s="1" t="s">
        <v>7150</v>
      </c>
      <c r="Q369" s="1" t="b">
        <v>0</v>
      </c>
      <c r="R369" s="1">
        <v>6.0</v>
      </c>
      <c r="S369" s="1" t="s">
        <v>4752</v>
      </c>
      <c r="T369" s="3"/>
      <c r="U369" s="1" t="s">
        <v>4672</v>
      </c>
      <c r="V369" s="1" t="s">
        <v>4673</v>
      </c>
      <c r="W369" s="1" t="s">
        <v>7151</v>
      </c>
      <c r="X369" s="1" t="b">
        <v>0</v>
      </c>
      <c r="Y369" s="1" t="s">
        <v>4675</v>
      </c>
      <c r="Z369" s="1" t="s">
        <v>7152</v>
      </c>
      <c r="AB369" s="3"/>
      <c r="AC369" s="3"/>
      <c r="AD369" s="3"/>
      <c r="AE369" s="3"/>
      <c r="AF369" s="3"/>
      <c r="AG369" s="3"/>
      <c r="AH369" s="3"/>
      <c r="AI369" s="1" t="b">
        <v>0</v>
      </c>
      <c r="AJ369" s="1" t="b">
        <v>0</v>
      </c>
      <c r="AK369" s="1" t="s">
        <v>7153</v>
      </c>
      <c r="AL369" s="1" t="s">
        <v>4719</v>
      </c>
      <c r="AM369" s="1" t="s">
        <v>4685</v>
      </c>
      <c r="AN369" s="1" t="s">
        <v>4720</v>
      </c>
      <c r="AO369" s="1" t="s">
        <v>7152</v>
      </c>
      <c r="AP369" s="1" t="s">
        <v>4721</v>
      </c>
      <c r="AQ369" s="1" t="s">
        <v>4722</v>
      </c>
      <c r="AR369" s="1">
        <v>6.0</v>
      </c>
      <c r="AS369" s="3"/>
      <c r="AT369" s="3"/>
      <c r="AU369" s="4" t="s">
        <v>4695</v>
      </c>
      <c r="AW369" s="3"/>
      <c r="AX369" s="3"/>
      <c r="AY369" s="3"/>
      <c r="AZ369" s="3"/>
      <c r="BA369" s="3"/>
      <c r="BB369" s="3"/>
      <c r="BC369" s="3"/>
      <c r="BD369" s="3"/>
      <c r="BE369" s="1" t="b">
        <v>1</v>
      </c>
      <c r="BF369" s="3"/>
      <c r="BG369" s="3"/>
      <c r="BH369" s="3"/>
      <c r="BI369" s="3"/>
      <c r="BJ369" s="3"/>
      <c r="BK369" s="4" t="s">
        <v>4695</v>
      </c>
    </row>
    <row r="370">
      <c r="A370" s="1" t="s">
        <v>2019</v>
      </c>
      <c r="B370" s="1" t="s">
        <v>2017</v>
      </c>
      <c r="C370" s="1" t="s">
        <v>2017</v>
      </c>
      <c r="D370" s="1" t="s">
        <v>4711</v>
      </c>
      <c r="E370" s="1" t="s">
        <v>7154</v>
      </c>
      <c r="F370" s="1" t="s">
        <v>7155</v>
      </c>
      <c r="G370" s="3"/>
      <c r="H370" s="3"/>
      <c r="I370" s="1" t="s">
        <v>5338</v>
      </c>
      <c r="J370" s="1" t="s">
        <v>7156</v>
      </c>
      <c r="K370" s="3">
        <f>+821092465577</f>
        <v>821092465577</v>
      </c>
      <c r="L370" s="3"/>
      <c r="M370" s="3"/>
      <c r="N370" s="3"/>
      <c r="O370" s="3"/>
      <c r="P370" s="1">
        <v>1.10199199E8</v>
      </c>
      <c r="Q370" s="1" t="b">
        <v>1</v>
      </c>
      <c r="R370" s="1">
        <v>39.0</v>
      </c>
      <c r="S370" s="1" t="s">
        <v>4800</v>
      </c>
      <c r="T370" s="3"/>
      <c r="U370" s="1" t="s">
        <v>4672</v>
      </c>
      <c r="V370" s="1" t="s">
        <v>4673</v>
      </c>
      <c r="W370" s="1" t="s">
        <v>7157</v>
      </c>
      <c r="X370" s="1" t="b">
        <v>0</v>
      </c>
      <c r="Y370" s="1" t="s">
        <v>4675</v>
      </c>
      <c r="Z370" s="1" t="s">
        <v>7158</v>
      </c>
      <c r="AB370" s="3"/>
      <c r="AC370" s="3"/>
      <c r="AD370" s="3"/>
      <c r="AE370" s="3"/>
      <c r="AF370" s="3"/>
      <c r="AG370" s="3"/>
      <c r="AH370" s="3"/>
      <c r="AI370" s="1" t="b">
        <v>0</v>
      </c>
      <c r="AJ370" s="1" t="b">
        <v>0</v>
      </c>
      <c r="AK370" s="1" t="s">
        <v>7159</v>
      </c>
      <c r="AL370" s="1" t="s">
        <v>4719</v>
      </c>
      <c r="AM370" s="1" t="s">
        <v>4685</v>
      </c>
      <c r="AN370" s="1" t="s">
        <v>4686</v>
      </c>
      <c r="AO370" s="1" t="s">
        <v>7158</v>
      </c>
      <c r="AP370" s="1" t="s">
        <v>4687</v>
      </c>
      <c r="AQ370" s="1" t="s">
        <v>4688</v>
      </c>
      <c r="AR370" s="1">
        <v>39.0</v>
      </c>
      <c r="AS370" s="3"/>
      <c r="AT370" s="3"/>
      <c r="AU370" s="4" t="s">
        <v>4856</v>
      </c>
      <c r="BB370" s="3"/>
      <c r="BC370" s="3"/>
      <c r="BD370" s="3"/>
      <c r="BE370" s="1" t="b">
        <v>1</v>
      </c>
      <c r="BF370" s="3"/>
      <c r="BG370" s="3"/>
      <c r="BH370" s="3"/>
      <c r="BI370" s="3"/>
      <c r="BJ370" s="3"/>
      <c r="BK370" s="4" t="s">
        <v>4695</v>
      </c>
      <c r="BL370" s="1" t="s">
        <v>4723</v>
      </c>
    </row>
    <row r="371">
      <c r="A371" s="1" t="s">
        <v>890</v>
      </c>
      <c r="B371" s="1" t="s">
        <v>889</v>
      </c>
      <c r="C371" s="1" t="s">
        <v>889</v>
      </c>
      <c r="D371" s="1" t="s">
        <v>4696</v>
      </c>
      <c r="E371" s="1" t="s">
        <v>7160</v>
      </c>
      <c r="F371" s="1" t="s">
        <v>7161</v>
      </c>
      <c r="G371" s="3"/>
      <c r="H371" s="3"/>
      <c r="I371" s="3"/>
      <c r="J371" s="1" t="s">
        <v>7162</v>
      </c>
      <c r="L371" s="3"/>
      <c r="M371" s="3"/>
      <c r="N371" s="3"/>
      <c r="O371" s="3"/>
      <c r="P371" s="1">
        <v>1.09944406E8</v>
      </c>
      <c r="Q371" s="1" t="b">
        <v>1</v>
      </c>
      <c r="R371" s="1">
        <v>65.0</v>
      </c>
      <c r="S371" s="1" t="s">
        <v>7163</v>
      </c>
      <c r="T371" s="3"/>
      <c r="U371" s="1" t="s">
        <v>4672</v>
      </c>
      <c r="V371" s="1" t="s">
        <v>4673</v>
      </c>
      <c r="W371" s="1" t="s">
        <v>7164</v>
      </c>
      <c r="X371" s="1" t="b">
        <v>0</v>
      </c>
      <c r="Y371" s="1" t="s">
        <v>5087</v>
      </c>
      <c r="Z371" s="1" t="s">
        <v>7165</v>
      </c>
      <c r="AB371" s="3"/>
      <c r="AC371" s="3"/>
      <c r="AD371" s="3"/>
      <c r="AE371" s="3"/>
      <c r="AF371" s="3"/>
      <c r="AG371" s="3"/>
      <c r="AH371" s="3"/>
      <c r="AI371" s="1" t="b">
        <v>0</v>
      </c>
      <c r="AJ371" s="1" t="b">
        <v>0</v>
      </c>
      <c r="AK371" s="1" t="s">
        <v>7166</v>
      </c>
      <c r="AL371" s="1" t="s">
        <v>4719</v>
      </c>
      <c r="AM371" s="1" t="s">
        <v>4685</v>
      </c>
      <c r="AN371" s="1" t="s">
        <v>4720</v>
      </c>
      <c r="AO371" s="1" t="s">
        <v>7165</v>
      </c>
      <c r="AP371" s="1" t="s">
        <v>4721</v>
      </c>
      <c r="AQ371" s="1" t="s">
        <v>4722</v>
      </c>
      <c r="AR371" s="1">
        <v>65.0</v>
      </c>
      <c r="AS371" s="3"/>
      <c r="AT371" s="3"/>
      <c r="AU371" s="4" t="s">
        <v>4695</v>
      </c>
      <c r="AW371" s="3"/>
      <c r="AX371" s="3"/>
      <c r="AY371" s="3"/>
      <c r="AZ371" s="3"/>
      <c r="BA371" s="3"/>
      <c r="BB371" s="3"/>
      <c r="BC371" s="3"/>
      <c r="BD371" s="3"/>
      <c r="BE371" s="1" t="b">
        <v>1</v>
      </c>
      <c r="BF371" s="3"/>
      <c r="BG371" s="3"/>
      <c r="BH371" s="3"/>
      <c r="BI371" s="3"/>
      <c r="BJ371" s="3"/>
      <c r="BK371" s="4" t="s">
        <v>4695</v>
      </c>
    </row>
    <row r="372">
      <c r="A372" s="1" t="s">
        <v>397</v>
      </c>
      <c r="B372" s="1" t="s">
        <v>396</v>
      </c>
      <c r="C372" s="3"/>
      <c r="D372" s="3"/>
      <c r="E372" s="3"/>
      <c r="F372" s="3"/>
      <c r="G372" s="3"/>
      <c r="H372" s="3"/>
      <c r="I372" s="3"/>
      <c r="J372" s="3"/>
      <c r="K372" s="3"/>
      <c r="L372" s="3"/>
      <c r="M372" s="3"/>
      <c r="N372" s="3"/>
      <c r="O372" s="3"/>
      <c r="P372" s="1" t="s">
        <v>7167</v>
      </c>
      <c r="Q372" s="1" t="b">
        <v>0</v>
      </c>
      <c r="R372" s="1">
        <v>2.0</v>
      </c>
      <c r="S372" s="1" t="s">
        <v>6439</v>
      </c>
      <c r="U372" s="1" t="s">
        <v>4672</v>
      </c>
      <c r="V372" s="1" t="s">
        <v>4673</v>
      </c>
      <c r="W372" s="1" t="s">
        <v>7168</v>
      </c>
      <c r="X372" s="1" t="b">
        <v>0</v>
      </c>
      <c r="Y372" s="1" t="s">
        <v>4675</v>
      </c>
      <c r="Z372" s="1" t="s">
        <v>7169</v>
      </c>
      <c r="AB372" s="3"/>
      <c r="AC372" s="3"/>
      <c r="AD372" s="3"/>
      <c r="AE372" s="3"/>
      <c r="AF372" s="3"/>
      <c r="AG372" s="3"/>
      <c r="AH372" s="3"/>
      <c r="AI372" s="1" t="b">
        <v>0</v>
      </c>
      <c r="AJ372" s="1" t="b">
        <v>0</v>
      </c>
      <c r="AK372" s="1" t="s">
        <v>7170</v>
      </c>
      <c r="AL372" s="1" t="s">
        <v>5285</v>
      </c>
      <c r="AM372" s="1" t="s">
        <v>5286</v>
      </c>
      <c r="AN372" s="1" t="s">
        <v>6225</v>
      </c>
      <c r="AO372" s="1" t="s">
        <v>7169</v>
      </c>
      <c r="AP372" s="1" t="s">
        <v>4757</v>
      </c>
      <c r="AQ372" s="1" t="s">
        <v>4758</v>
      </c>
      <c r="AR372" s="1">
        <v>2.0</v>
      </c>
      <c r="AS372" s="3"/>
      <c r="AT372" s="3"/>
      <c r="AU372" s="4" t="s">
        <v>5287</v>
      </c>
      <c r="AV372" s="1" t="s">
        <v>6053</v>
      </c>
      <c r="AW372" s="1" t="s">
        <v>6054</v>
      </c>
      <c r="AX372" s="1" t="s">
        <v>5271</v>
      </c>
      <c r="AY372" s="1" t="s">
        <v>5272</v>
      </c>
      <c r="AZ372" s="1" t="s">
        <v>7033</v>
      </c>
      <c r="BB372" s="3"/>
      <c r="BC372" s="3"/>
      <c r="BD372" s="3"/>
      <c r="BE372" s="1" t="b">
        <v>1</v>
      </c>
      <c r="BF372" s="1" t="s">
        <v>5272</v>
      </c>
      <c r="BG372" s="1" t="s">
        <v>5271</v>
      </c>
      <c r="BH372" s="1" t="s">
        <v>5288</v>
      </c>
      <c r="BI372" s="1" t="s">
        <v>7171</v>
      </c>
      <c r="BJ372" s="1" t="s">
        <v>7172</v>
      </c>
      <c r="BK372" s="4" t="s">
        <v>5287</v>
      </c>
    </row>
    <row r="373">
      <c r="A373" s="1" t="s">
        <v>1913</v>
      </c>
      <c r="B373" s="1" t="s">
        <v>1910</v>
      </c>
      <c r="C373" s="1" t="s">
        <v>1910</v>
      </c>
      <c r="D373" s="3"/>
      <c r="E373" s="3"/>
      <c r="F373" s="3"/>
      <c r="G373" s="3"/>
      <c r="H373" s="3"/>
      <c r="I373" s="3"/>
      <c r="J373" s="1" t="s">
        <v>7173</v>
      </c>
      <c r="L373" s="3"/>
      <c r="M373" s="3"/>
      <c r="N373" s="3"/>
      <c r="O373" s="3"/>
      <c r="P373" s="3"/>
      <c r="Q373" s="1" t="b">
        <v>0</v>
      </c>
      <c r="R373" s="3"/>
      <c r="S373" s="3"/>
      <c r="T373" s="3"/>
      <c r="U373" s="3"/>
      <c r="V373" s="3"/>
      <c r="W373" s="1" t="s">
        <v>7174</v>
      </c>
      <c r="X373" s="1" t="b">
        <v>0</v>
      </c>
      <c r="Y373" s="1" t="s">
        <v>4675</v>
      </c>
      <c r="Z373" s="1" t="s">
        <v>7175</v>
      </c>
      <c r="AB373" s="3"/>
      <c r="AC373" s="3"/>
      <c r="AD373" s="3"/>
      <c r="AE373" s="3"/>
      <c r="AF373" s="3"/>
      <c r="AG373" s="3"/>
      <c r="AH373" s="3"/>
      <c r="AI373" s="1" t="b">
        <v>0</v>
      </c>
      <c r="AJ373" s="1" t="b">
        <v>0</v>
      </c>
      <c r="AK373" s="1" t="s">
        <v>7176</v>
      </c>
      <c r="AM373" s="3"/>
      <c r="AN373" s="3"/>
      <c r="AO373" s="3"/>
      <c r="AP373" s="3"/>
      <c r="AQ373" s="3"/>
      <c r="AR373" s="3"/>
      <c r="AS373" s="3"/>
      <c r="AT373" s="3"/>
      <c r="AU373" s="3"/>
      <c r="AV373" s="3"/>
      <c r="AW373" s="3"/>
      <c r="AX373" s="3"/>
      <c r="AY373" s="3"/>
      <c r="AZ373" s="3"/>
      <c r="BA373" s="3"/>
      <c r="BB373" s="3"/>
      <c r="BC373" s="3"/>
      <c r="BD373" s="3"/>
      <c r="BE373" s="1" t="b">
        <v>1</v>
      </c>
      <c r="BF373" s="3"/>
      <c r="BG373" s="3"/>
      <c r="BH373" s="3"/>
      <c r="BI373" s="3"/>
      <c r="BJ373" s="3"/>
      <c r="BK373" s="3"/>
      <c r="BL373" s="3"/>
    </row>
    <row r="374">
      <c r="A374" s="1" t="s">
        <v>903</v>
      </c>
      <c r="B374" s="1" t="s">
        <v>901</v>
      </c>
      <c r="C374" s="1" t="s">
        <v>901</v>
      </c>
      <c r="D374" s="1" t="s">
        <v>4696</v>
      </c>
      <c r="E374" s="1" t="s">
        <v>7177</v>
      </c>
      <c r="F374" s="1" t="s">
        <v>7178</v>
      </c>
      <c r="G374" s="3"/>
      <c r="H374" s="3"/>
      <c r="I374" s="3"/>
      <c r="J374" s="1" t="s">
        <v>7179</v>
      </c>
      <c r="K374" s="3">
        <f>+821086670758</f>
        <v>821086670758</v>
      </c>
      <c r="L374" s="3"/>
      <c r="M374" s="3"/>
      <c r="N374" s="3"/>
      <c r="O374" s="3"/>
      <c r="P374" s="1">
        <v>1.16885628E8</v>
      </c>
      <c r="Q374" s="1" t="b">
        <v>1</v>
      </c>
      <c r="R374" s="1">
        <v>30.0</v>
      </c>
      <c r="S374" s="1" t="s">
        <v>4701</v>
      </c>
      <c r="T374" s="3"/>
      <c r="U374" s="1" t="s">
        <v>4672</v>
      </c>
      <c r="V374" s="1" t="s">
        <v>4673</v>
      </c>
      <c r="W374" s="1" t="s">
        <v>7180</v>
      </c>
      <c r="X374" s="1" t="b">
        <v>0</v>
      </c>
      <c r="Y374" s="1" t="s">
        <v>4675</v>
      </c>
      <c r="Z374" s="1" t="s">
        <v>7181</v>
      </c>
      <c r="AB374" s="3"/>
      <c r="AC374" s="3"/>
      <c r="AD374" s="3"/>
      <c r="AE374" s="3"/>
      <c r="AF374" s="3"/>
      <c r="AG374" s="3"/>
      <c r="AH374" s="3"/>
      <c r="AI374" s="1" t="b">
        <v>0</v>
      </c>
      <c r="AJ374" s="1" t="b">
        <v>0</v>
      </c>
      <c r="AK374" s="1" t="s">
        <v>7182</v>
      </c>
      <c r="AL374" s="1" t="s">
        <v>5486</v>
      </c>
      <c r="AM374" s="1" t="s">
        <v>4685</v>
      </c>
      <c r="AN374" s="1" t="s">
        <v>4720</v>
      </c>
      <c r="AO374" s="1" t="s">
        <v>7183</v>
      </c>
      <c r="AP374" s="1" t="s">
        <v>4721</v>
      </c>
      <c r="AQ374" s="1" t="s">
        <v>4722</v>
      </c>
      <c r="AR374" s="1">
        <v>30.0</v>
      </c>
      <c r="AS374" s="3"/>
      <c r="AT374" s="3"/>
      <c r="AU374" s="4" t="s">
        <v>4710</v>
      </c>
      <c r="AX374" s="3"/>
      <c r="AY374" s="3"/>
      <c r="AZ374" s="3"/>
      <c r="BA374" s="3"/>
      <c r="BB374" s="3"/>
      <c r="BC374" s="3"/>
      <c r="BD374" s="3"/>
      <c r="BE374" s="1" t="b">
        <v>1</v>
      </c>
      <c r="BF374" s="3"/>
      <c r="BG374" s="3"/>
      <c r="BH374" s="3"/>
      <c r="BI374" s="3"/>
      <c r="BJ374" s="3"/>
      <c r="BK374" s="4" t="s">
        <v>4689</v>
      </c>
      <c r="BL374" s="1" t="s">
        <v>4723</v>
      </c>
    </row>
    <row r="375">
      <c r="A375" s="1" t="s">
        <v>1416</v>
      </c>
      <c r="B375" s="1" t="s">
        <v>1414</v>
      </c>
      <c r="C375" s="1" t="s">
        <v>1414</v>
      </c>
      <c r="D375" s="1" t="s">
        <v>4817</v>
      </c>
      <c r="E375" s="1" t="s">
        <v>7184</v>
      </c>
      <c r="F375" s="1" t="s">
        <v>7185</v>
      </c>
      <c r="G375" s="3"/>
      <c r="H375" s="3"/>
      <c r="I375" s="1" t="s">
        <v>7186</v>
      </c>
      <c r="J375" s="1" t="s">
        <v>2907</v>
      </c>
      <c r="K375" s="3">
        <f>+821088575772</f>
        <v>821088575772</v>
      </c>
      <c r="L375" s="3"/>
      <c r="M375" s="3"/>
      <c r="N375" s="3"/>
      <c r="O375" s="3"/>
      <c r="P375" s="1">
        <v>1.22917722E8</v>
      </c>
      <c r="Q375" s="1" t="b">
        <v>1</v>
      </c>
      <c r="R375" s="1">
        <v>28.0</v>
      </c>
      <c r="S375" s="1" t="s">
        <v>5429</v>
      </c>
      <c r="T375" s="3"/>
      <c r="U375" s="1" t="s">
        <v>4672</v>
      </c>
      <c r="V375" s="1" t="s">
        <v>4673</v>
      </c>
      <c r="W375" s="1" t="s">
        <v>7187</v>
      </c>
      <c r="X375" s="1" t="b">
        <v>0</v>
      </c>
      <c r="Y375" s="1" t="s">
        <v>4675</v>
      </c>
      <c r="Z375" s="1" t="s">
        <v>7188</v>
      </c>
      <c r="AB375" s="3"/>
      <c r="AC375" s="3"/>
      <c r="AD375" s="3"/>
      <c r="AE375" s="3"/>
      <c r="AF375" s="3"/>
      <c r="AG375" s="3"/>
      <c r="AH375" s="3"/>
      <c r="AI375" s="1" t="b">
        <v>0</v>
      </c>
      <c r="AJ375" s="1" t="b">
        <v>0</v>
      </c>
      <c r="AK375" s="1" t="s">
        <v>7189</v>
      </c>
      <c r="AL375" s="1" t="s">
        <v>4719</v>
      </c>
      <c r="AM375" s="1" t="s">
        <v>4685</v>
      </c>
      <c r="AN375" s="1" t="s">
        <v>4686</v>
      </c>
      <c r="AO375" s="1" t="s">
        <v>7188</v>
      </c>
      <c r="AP375" s="1" t="s">
        <v>4687</v>
      </c>
      <c r="AQ375" s="1" t="s">
        <v>4688</v>
      </c>
      <c r="AR375" s="1">
        <v>28.0</v>
      </c>
      <c r="AS375" s="3"/>
      <c r="AT375" s="3"/>
      <c r="AU375" s="4" t="s">
        <v>4695</v>
      </c>
      <c r="AV375" s="1" t="s">
        <v>4690</v>
      </c>
      <c r="AW375" s="1" t="s">
        <v>4691</v>
      </c>
      <c r="AX375" s="1" t="s">
        <v>4692</v>
      </c>
      <c r="AY375" s="1" t="s">
        <v>4693</v>
      </c>
      <c r="AZ375" s="1" t="s">
        <v>4694</v>
      </c>
      <c r="BA375" s="3"/>
      <c r="BB375" s="3"/>
      <c r="BC375" s="3"/>
      <c r="BD375" s="3"/>
      <c r="BE375" s="1" t="b">
        <v>1</v>
      </c>
      <c r="BF375" s="1" t="s">
        <v>4693</v>
      </c>
      <c r="BG375" s="1" t="s">
        <v>4692</v>
      </c>
      <c r="BH375" s="1" t="s">
        <v>4690</v>
      </c>
      <c r="BI375" s="1" t="s">
        <v>4691</v>
      </c>
      <c r="BJ375" s="1" t="s">
        <v>4694</v>
      </c>
      <c r="BK375" s="4" t="s">
        <v>4695</v>
      </c>
    </row>
    <row r="376">
      <c r="A376" s="1" t="s">
        <v>1390</v>
      </c>
      <c r="B376" s="1" t="s">
        <v>1389</v>
      </c>
      <c r="C376" s="1" t="s">
        <v>1389</v>
      </c>
      <c r="D376" s="1" t="s">
        <v>4772</v>
      </c>
      <c r="E376" s="1" t="s">
        <v>7190</v>
      </c>
      <c r="F376" s="1" t="s">
        <v>7191</v>
      </c>
      <c r="G376" s="3"/>
      <c r="H376" s="3"/>
      <c r="I376" s="1" t="s">
        <v>7192</v>
      </c>
      <c r="J376" s="1" t="s">
        <v>7193</v>
      </c>
      <c r="K376" s="3"/>
      <c r="L376" s="3"/>
      <c r="M376" s="3"/>
      <c r="N376" s="3"/>
      <c r="O376" s="3"/>
      <c r="P376" s="1">
        <v>1.12106228E8</v>
      </c>
      <c r="Q376" s="1" t="b">
        <v>1</v>
      </c>
      <c r="R376" s="1">
        <v>270.0</v>
      </c>
      <c r="S376" s="1" t="s">
        <v>5631</v>
      </c>
      <c r="T376" s="3"/>
      <c r="U376" s="1" t="s">
        <v>4672</v>
      </c>
      <c r="V376" s="1" t="s">
        <v>4673</v>
      </c>
      <c r="W376" s="1" t="s">
        <v>7194</v>
      </c>
      <c r="X376" s="1" t="b">
        <v>0</v>
      </c>
      <c r="Y376" s="1" t="s">
        <v>4675</v>
      </c>
      <c r="Z376" s="1" t="s">
        <v>7195</v>
      </c>
      <c r="AB376" s="1" t="s">
        <v>4677</v>
      </c>
      <c r="AC376" s="1" t="s">
        <v>4678</v>
      </c>
      <c r="AD376" s="1" t="s">
        <v>4679</v>
      </c>
      <c r="AE376" s="1" t="s">
        <v>7195</v>
      </c>
      <c r="AF376" s="1" t="s">
        <v>5955</v>
      </c>
      <c r="AG376" s="1" t="s">
        <v>4682</v>
      </c>
      <c r="AH376" s="1">
        <v>64.0</v>
      </c>
      <c r="AI376" s="1" t="b">
        <v>0</v>
      </c>
      <c r="AJ376" s="1" t="b">
        <v>0</v>
      </c>
      <c r="AK376" s="1" t="s">
        <v>7196</v>
      </c>
      <c r="AL376" s="1" t="s">
        <v>4769</v>
      </c>
      <c r="AM376" s="1" t="s">
        <v>4708</v>
      </c>
      <c r="AN376" s="1" t="s">
        <v>4686</v>
      </c>
      <c r="AO376" s="1" t="s">
        <v>7197</v>
      </c>
      <c r="AP376" s="1" t="s">
        <v>4709</v>
      </c>
      <c r="AQ376" s="1" t="s">
        <v>4688</v>
      </c>
      <c r="AR376" s="1">
        <v>206.0</v>
      </c>
      <c r="AS376" s="3"/>
      <c r="AT376" s="3"/>
      <c r="AU376" s="4" t="s">
        <v>4881</v>
      </c>
      <c r="AW376" s="3"/>
      <c r="AX376" s="3"/>
      <c r="AY376" s="3"/>
      <c r="AZ376" s="3"/>
      <c r="BA376" s="3"/>
      <c r="BB376" s="3"/>
      <c r="BC376" s="3"/>
      <c r="BD376" s="3"/>
      <c r="BE376" s="1" t="b">
        <v>1</v>
      </c>
      <c r="BF376" s="3"/>
      <c r="BG376" s="3"/>
      <c r="BH376" s="3"/>
      <c r="BI376" s="3"/>
      <c r="BJ376" s="3"/>
      <c r="BK376" s="4" t="s">
        <v>4880</v>
      </c>
    </row>
    <row r="377">
      <c r="A377" s="1" t="s">
        <v>479</v>
      </c>
      <c r="B377" s="1" t="s">
        <v>478</v>
      </c>
      <c r="C377" s="3"/>
      <c r="D377" s="3"/>
      <c r="E377" s="3"/>
      <c r="F377" s="3"/>
      <c r="G377" s="3"/>
      <c r="H377" s="3"/>
      <c r="I377" s="3"/>
      <c r="J377" s="3"/>
      <c r="K377" s="3"/>
      <c r="L377" s="3"/>
      <c r="M377" s="3"/>
      <c r="N377" s="3"/>
      <c r="O377" s="3"/>
      <c r="P377" s="1" t="s">
        <v>7198</v>
      </c>
      <c r="Q377" s="1" t="b">
        <v>0</v>
      </c>
      <c r="R377" s="1">
        <v>9.0</v>
      </c>
      <c r="S377" s="1" t="s">
        <v>4805</v>
      </c>
      <c r="T377" s="3"/>
      <c r="U377" s="1" t="s">
        <v>4672</v>
      </c>
      <c r="V377" s="1" t="s">
        <v>4673</v>
      </c>
      <c r="W377" s="1" t="s">
        <v>7199</v>
      </c>
      <c r="X377" s="1" t="b">
        <v>0</v>
      </c>
      <c r="Y377" s="1" t="s">
        <v>4675</v>
      </c>
      <c r="Z377" s="1" t="s">
        <v>7200</v>
      </c>
      <c r="AB377" s="3"/>
      <c r="AC377" s="3"/>
      <c r="AD377" s="3"/>
      <c r="AE377" s="3"/>
      <c r="AF377" s="3"/>
      <c r="AG377" s="3"/>
      <c r="AH377" s="3"/>
      <c r="AI377" s="1" t="b">
        <v>0</v>
      </c>
      <c r="AJ377" s="1" t="b">
        <v>0</v>
      </c>
      <c r="AK377" s="1" t="s">
        <v>7200</v>
      </c>
      <c r="AL377" s="1" t="s">
        <v>5486</v>
      </c>
      <c r="AM377" s="1" t="s">
        <v>4685</v>
      </c>
      <c r="AN377" s="1" t="s">
        <v>4720</v>
      </c>
      <c r="AO377" s="1" t="s">
        <v>7200</v>
      </c>
      <c r="AP377" s="1" t="s">
        <v>4721</v>
      </c>
      <c r="AQ377" s="1" t="s">
        <v>4722</v>
      </c>
      <c r="AR377" s="1">
        <v>9.0</v>
      </c>
      <c r="AS377" s="3"/>
      <c r="AT377" s="3"/>
      <c r="AU377" s="4" t="s">
        <v>4695</v>
      </c>
      <c r="AW377" s="3"/>
      <c r="AX377" s="3"/>
      <c r="AY377" s="3"/>
      <c r="AZ377" s="3"/>
      <c r="BA377" s="3"/>
      <c r="BB377" s="3"/>
      <c r="BC377" s="3"/>
      <c r="BD377" s="3"/>
      <c r="BE377" s="1" t="b">
        <v>1</v>
      </c>
      <c r="BF377" s="3"/>
      <c r="BG377" s="3"/>
      <c r="BH377" s="3"/>
      <c r="BI377" s="3"/>
      <c r="BJ377" s="3"/>
      <c r="BK377" s="4" t="s">
        <v>4695</v>
      </c>
    </row>
    <row r="378">
      <c r="A378" s="1" t="s">
        <v>1285</v>
      </c>
      <c r="B378" s="1" t="s">
        <v>1284</v>
      </c>
      <c r="C378" s="1" t="s">
        <v>1284</v>
      </c>
      <c r="D378" s="1" t="s">
        <v>4858</v>
      </c>
      <c r="E378" s="1" t="s">
        <v>7201</v>
      </c>
      <c r="F378" s="1" t="s">
        <v>7202</v>
      </c>
      <c r="G378" s="3"/>
      <c r="H378" s="1" t="s">
        <v>3850</v>
      </c>
      <c r="I378" s="1" t="s">
        <v>4742</v>
      </c>
      <c r="J378" s="1" t="s">
        <v>7203</v>
      </c>
      <c r="K378" s="3">
        <f>+821063699716</f>
        <v>821063699716</v>
      </c>
      <c r="L378" s="3"/>
      <c r="M378" s="3"/>
      <c r="N378" s="3"/>
      <c r="O378" s="3"/>
      <c r="P378" s="1">
        <v>2.086130124E9</v>
      </c>
      <c r="Q378" s="1" t="b">
        <v>1</v>
      </c>
      <c r="R378" s="1">
        <v>1091.0</v>
      </c>
      <c r="S378" s="1" t="s">
        <v>7204</v>
      </c>
      <c r="T378" s="3"/>
      <c r="U378" s="1" t="s">
        <v>4672</v>
      </c>
      <c r="V378" s="1" t="s">
        <v>4673</v>
      </c>
      <c r="W378" s="1" t="s">
        <v>7205</v>
      </c>
      <c r="X378" s="1" t="b">
        <v>0</v>
      </c>
      <c r="Y378" s="1" t="s">
        <v>4675</v>
      </c>
      <c r="Z378" s="1" t="s">
        <v>7206</v>
      </c>
      <c r="AB378" s="1" t="s">
        <v>4677</v>
      </c>
      <c r="AC378" s="1" t="s">
        <v>4678</v>
      </c>
      <c r="AD378" s="1" t="s">
        <v>4679</v>
      </c>
      <c r="AE378" s="1" t="s">
        <v>7207</v>
      </c>
      <c r="AF378" s="1" t="s">
        <v>4681</v>
      </c>
      <c r="AG378" s="1" t="s">
        <v>4682</v>
      </c>
      <c r="AH378" s="1">
        <v>11.0</v>
      </c>
      <c r="AI378" s="1" t="b">
        <v>0</v>
      </c>
      <c r="AJ378" s="1" t="b">
        <v>0</v>
      </c>
      <c r="AK378" s="1" t="s">
        <v>7208</v>
      </c>
      <c r="AL378" s="1" t="s">
        <v>4719</v>
      </c>
      <c r="AM378" s="1" t="s">
        <v>4685</v>
      </c>
      <c r="AN378" s="1" t="s">
        <v>4686</v>
      </c>
      <c r="AO378" s="1" t="s">
        <v>7206</v>
      </c>
      <c r="AP378" s="1" t="s">
        <v>4687</v>
      </c>
      <c r="AQ378" s="1" t="s">
        <v>4688</v>
      </c>
      <c r="AR378" s="1">
        <v>1080.0</v>
      </c>
      <c r="AS378" s="3"/>
      <c r="AT378" s="3"/>
      <c r="AU378" s="4" t="s">
        <v>4695</v>
      </c>
      <c r="AW378" s="3"/>
      <c r="AX378" s="3"/>
      <c r="AY378" s="3"/>
      <c r="AZ378" s="3"/>
      <c r="BA378" s="3"/>
      <c r="BB378" s="3"/>
      <c r="BC378" s="3"/>
      <c r="BD378" s="3"/>
      <c r="BE378" s="1" t="b">
        <v>1</v>
      </c>
      <c r="BF378" s="3"/>
      <c r="BG378" s="3"/>
      <c r="BH378" s="3"/>
      <c r="BI378" s="3"/>
      <c r="BJ378" s="3"/>
      <c r="BK378" s="4" t="s">
        <v>4780</v>
      </c>
    </row>
    <row r="379">
      <c r="A379" s="1" t="s">
        <v>692</v>
      </c>
      <c r="B379" s="1" t="s">
        <v>691</v>
      </c>
      <c r="C379" s="1" t="s">
        <v>691</v>
      </c>
      <c r="D379" s="1" t="s">
        <v>4711</v>
      </c>
      <c r="E379" s="1" t="s">
        <v>7209</v>
      </c>
      <c r="F379" s="1" t="s">
        <v>7210</v>
      </c>
      <c r="G379" s="3"/>
      <c r="H379" s="3"/>
      <c r="I379" s="3"/>
      <c r="J379" s="1" t="s">
        <v>7211</v>
      </c>
      <c r="K379" s="3">
        <f>+821053301053</f>
        <v>821053301053</v>
      </c>
      <c r="L379" s="3"/>
      <c r="M379" s="3"/>
      <c r="N379" s="3"/>
      <c r="O379" s="3"/>
      <c r="P379" s="1">
        <v>1.16846716E8</v>
      </c>
      <c r="Q379" s="1" t="b">
        <v>1</v>
      </c>
      <c r="R379" s="1">
        <v>3.0</v>
      </c>
      <c r="S379" s="1" t="s">
        <v>4744</v>
      </c>
      <c r="T379" s="3"/>
      <c r="U379" s="1" t="s">
        <v>4672</v>
      </c>
      <c r="V379" s="1" t="s">
        <v>4673</v>
      </c>
      <c r="W379" s="1" t="s">
        <v>7212</v>
      </c>
      <c r="X379" s="1" t="b">
        <v>0</v>
      </c>
      <c r="Y379" s="1" t="s">
        <v>4675</v>
      </c>
      <c r="Z379" s="1" t="s">
        <v>7213</v>
      </c>
      <c r="AB379" s="3"/>
      <c r="AC379" s="3"/>
      <c r="AD379" s="3"/>
      <c r="AE379" s="3"/>
      <c r="AF379" s="3"/>
      <c r="AG379" s="3"/>
      <c r="AH379" s="3"/>
      <c r="AI379" s="1" t="b">
        <v>0</v>
      </c>
      <c r="AJ379" s="1" t="b">
        <v>0</v>
      </c>
      <c r="AK379" s="1" t="s">
        <v>7214</v>
      </c>
      <c r="AL379" s="1" t="s">
        <v>4719</v>
      </c>
      <c r="AM379" s="1" t="s">
        <v>4685</v>
      </c>
      <c r="AN379" s="1" t="s">
        <v>4686</v>
      </c>
      <c r="AO379" s="1" t="s">
        <v>7213</v>
      </c>
      <c r="AP379" s="1" t="s">
        <v>4687</v>
      </c>
      <c r="AQ379" s="1" t="s">
        <v>4688</v>
      </c>
      <c r="AR379" s="1">
        <v>3.0</v>
      </c>
      <c r="AS379" s="3"/>
      <c r="AT379" s="3"/>
      <c r="AU379" s="4" t="s">
        <v>5683</v>
      </c>
      <c r="AW379" s="3"/>
      <c r="AX379" s="3"/>
      <c r="AY379" s="3"/>
      <c r="AZ379" s="3"/>
      <c r="BA379" s="3"/>
      <c r="BB379" s="3"/>
      <c r="BC379" s="3"/>
      <c r="BD379" s="3"/>
      <c r="BE379" s="1" t="b">
        <v>1</v>
      </c>
      <c r="BF379" s="3"/>
      <c r="BG379" s="3"/>
      <c r="BH379" s="3"/>
      <c r="BI379" s="3"/>
      <c r="BJ379" s="3"/>
      <c r="BK379" s="4" t="s">
        <v>4695</v>
      </c>
    </row>
    <row r="380">
      <c r="A380" s="1" t="s">
        <v>1258</v>
      </c>
      <c r="B380" s="1" t="s">
        <v>1257</v>
      </c>
      <c r="C380" s="1" t="s">
        <v>1257</v>
      </c>
      <c r="D380" s="1" t="s">
        <v>4858</v>
      </c>
      <c r="E380" s="1" t="s">
        <v>7215</v>
      </c>
      <c r="F380" s="1" t="s">
        <v>7216</v>
      </c>
      <c r="G380" s="3"/>
      <c r="H380" s="3"/>
      <c r="I380" s="1" t="s">
        <v>4742</v>
      </c>
      <c r="J380" s="1" t="s">
        <v>7217</v>
      </c>
      <c r="K380" s="3">
        <f>+821098700529</f>
        <v>821098700529</v>
      </c>
      <c r="L380" s="3"/>
      <c r="M380" s="3"/>
      <c r="N380" s="3"/>
      <c r="O380" s="3"/>
      <c r="P380" s="1">
        <v>1.11236081E8</v>
      </c>
      <c r="Q380" s="1" t="b">
        <v>1</v>
      </c>
      <c r="R380" s="1">
        <v>79.0</v>
      </c>
      <c r="S380" s="1" t="s">
        <v>4752</v>
      </c>
      <c r="T380" s="3"/>
      <c r="U380" s="1" t="s">
        <v>4672</v>
      </c>
      <c r="V380" s="1" t="s">
        <v>4673</v>
      </c>
      <c r="W380" s="1" t="s">
        <v>7218</v>
      </c>
      <c r="X380" s="1" t="b">
        <v>0</v>
      </c>
      <c r="Y380" s="1" t="s">
        <v>4675</v>
      </c>
      <c r="Z380" s="1" t="s">
        <v>7219</v>
      </c>
      <c r="AB380" s="3"/>
      <c r="AC380" s="3"/>
      <c r="AD380" s="3"/>
      <c r="AE380" s="3"/>
      <c r="AF380" s="3"/>
      <c r="AG380" s="3"/>
      <c r="AH380" s="3"/>
      <c r="AI380" s="1" t="b">
        <v>0</v>
      </c>
      <c r="AJ380" s="1" t="b">
        <v>0</v>
      </c>
      <c r="AK380" s="1" t="s">
        <v>7220</v>
      </c>
      <c r="AL380" s="1" t="s">
        <v>4719</v>
      </c>
      <c r="AM380" s="1" t="s">
        <v>4685</v>
      </c>
      <c r="AN380" s="1" t="s">
        <v>4686</v>
      </c>
      <c r="AO380" s="1" t="s">
        <v>7219</v>
      </c>
      <c r="AP380" s="1" t="s">
        <v>4687</v>
      </c>
      <c r="AQ380" s="1" t="s">
        <v>4688</v>
      </c>
      <c r="AR380" s="1">
        <v>79.0</v>
      </c>
      <c r="AS380" s="3"/>
      <c r="AT380" s="3"/>
      <c r="AU380" s="4" t="s">
        <v>4695</v>
      </c>
      <c r="AV380" s="1" t="s">
        <v>7221</v>
      </c>
      <c r="AW380" s="1" t="s">
        <v>7221</v>
      </c>
      <c r="AX380" s="1" t="s">
        <v>7222</v>
      </c>
      <c r="AY380" s="1" t="s">
        <v>175</v>
      </c>
      <c r="AZ380" s="3"/>
      <c r="BA380" s="3"/>
      <c r="BB380" s="3"/>
      <c r="BC380" s="3"/>
      <c r="BD380" s="3"/>
      <c r="BE380" s="1" t="b">
        <v>1</v>
      </c>
      <c r="BF380" s="1" t="s">
        <v>175</v>
      </c>
      <c r="BG380" s="1" t="s">
        <v>7222</v>
      </c>
      <c r="BH380" s="1" t="s">
        <v>7221</v>
      </c>
      <c r="BI380" s="1" t="s">
        <v>7221</v>
      </c>
      <c r="BJ380" s="3"/>
      <c r="BK380" s="4" t="s">
        <v>4710</v>
      </c>
    </row>
    <row r="381">
      <c r="A381" s="1" t="s">
        <v>1046</v>
      </c>
      <c r="B381" s="1" t="s">
        <v>1045</v>
      </c>
      <c r="C381" s="1" t="s">
        <v>1045</v>
      </c>
      <c r="D381" s="1" t="s">
        <v>4858</v>
      </c>
      <c r="E381" s="1" t="s">
        <v>7223</v>
      </c>
      <c r="F381" s="1" t="s">
        <v>7224</v>
      </c>
      <c r="G381" s="3"/>
      <c r="H381" s="3"/>
      <c r="I381" s="1" t="s">
        <v>4742</v>
      </c>
      <c r="J381" s="1" t="s">
        <v>7225</v>
      </c>
      <c r="K381" s="3">
        <f>+821055508140</f>
        <v>821055508140</v>
      </c>
      <c r="L381" s="3"/>
      <c r="M381" s="3"/>
      <c r="N381" s="3"/>
      <c r="O381" s="3"/>
      <c r="P381" s="1">
        <v>1.11098939E8</v>
      </c>
      <c r="Q381" s="1" t="b">
        <v>1</v>
      </c>
      <c r="R381" s="1">
        <v>345.0</v>
      </c>
      <c r="S381" s="1" t="s">
        <v>4885</v>
      </c>
      <c r="T381" s="3"/>
      <c r="U381" s="1" t="s">
        <v>4672</v>
      </c>
      <c r="V381" s="1" t="s">
        <v>4673</v>
      </c>
      <c r="W381" s="1" t="s">
        <v>7226</v>
      </c>
      <c r="X381" s="1" t="b">
        <v>0</v>
      </c>
      <c r="Y381" s="1" t="s">
        <v>4675</v>
      </c>
      <c r="Z381" s="1" t="s">
        <v>7227</v>
      </c>
      <c r="AB381" s="3"/>
      <c r="AC381" s="3"/>
      <c r="AD381" s="3"/>
      <c r="AE381" s="3"/>
      <c r="AF381" s="3"/>
      <c r="AG381" s="3"/>
      <c r="AH381" s="3"/>
      <c r="AI381" s="1" t="b">
        <v>0</v>
      </c>
      <c r="AJ381" s="1" t="b">
        <v>0</v>
      </c>
      <c r="AK381" s="1" t="s">
        <v>7228</v>
      </c>
      <c r="AL381" s="1" t="s">
        <v>4719</v>
      </c>
      <c r="AM381" s="1" t="s">
        <v>4685</v>
      </c>
      <c r="AN381" s="1" t="s">
        <v>4720</v>
      </c>
      <c r="AO381" s="1" t="s">
        <v>7227</v>
      </c>
      <c r="AP381" s="1" t="s">
        <v>4721</v>
      </c>
      <c r="AQ381" s="1" t="s">
        <v>4722</v>
      </c>
      <c r="AR381" s="1">
        <v>345.0</v>
      </c>
      <c r="AS381" s="3"/>
      <c r="AT381" s="3"/>
      <c r="AU381" s="4" t="s">
        <v>4934</v>
      </c>
      <c r="AW381" s="3"/>
      <c r="AX381" s="3"/>
      <c r="AY381" s="1" t="s">
        <v>4761</v>
      </c>
      <c r="AZ381" s="3"/>
      <c r="BA381" s="3"/>
      <c r="BB381" s="3"/>
      <c r="BC381" s="3"/>
      <c r="BD381" s="3"/>
      <c r="BE381" s="1" t="b">
        <v>1</v>
      </c>
      <c r="BF381" s="1" t="s">
        <v>4761</v>
      </c>
      <c r="BG381" s="3"/>
      <c r="BH381" s="3"/>
      <c r="BI381" s="3"/>
      <c r="BJ381" s="3"/>
      <c r="BK381" s="4" t="s">
        <v>4710</v>
      </c>
    </row>
    <row r="382">
      <c r="A382" s="1" t="s">
        <v>388</v>
      </c>
      <c r="B382" s="1" t="s">
        <v>387</v>
      </c>
      <c r="C382" s="3"/>
      <c r="D382" s="3"/>
      <c r="E382" s="3"/>
      <c r="F382" s="3"/>
      <c r="G382" s="3"/>
      <c r="H382" s="3"/>
      <c r="I382" s="3"/>
      <c r="J382" s="3"/>
      <c r="K382" s="3"/>
      <c r="L382" s="3"/>
      <c r="M382" s="3"/>
      <c r="N382" s="3"/>
      <c r="O382" s="3"/>
      <c r="P382" s="1" t="s">
        <v>7229</v>
      </c>
      <c r="Q382" s="1" t="b">
        <v>0</v>
      </c>
      <c r="R382" s="1">
        <v>1.0</v>
      </c>
      <c r="S382" s="1" t="s">
        <v>4805</v>
      </c>
      <c r="T382" s="3"/>
      <c r="U382" s="1" t="s">
        <v>4672</v>
      </c>
      <c r="V382" s="1" t="s">
        <v>4673</v>
      </c>
      <c r="W382" s="1" t="s">
        <v>7230</v>
      </c>
      <c r="X382" s="1" t="b">
        <v>0</v>
      </c>
      <c r="Y382" s="1" t="s">
        <v>4675</v>
      </c>
      <c r="Z382" s="1" t="s">
        <v>7230</v>
      </c>
      <c r="AB382" s="3"/>
      <c r="AC382" s="3"/>
      <c r="AD382" s="3"/>
      <c r="AE382" s="3"/>
      <c r="AF382" s="3"/>
      <c r="AG382" s="3"/>
      <c r="AH382" s="3"/>
      <c r="AI382" s="1" t="b">
        <v>0</v>
      </c>
      <c r="AJ382" s="1" t="b">
        <v>0</v>
      </c>
      <c r="AK382" s="1" t="s">
        <v>7230</v>
      </c>
      <c r="AL382" s="1" t="s">
        <v>7231</v>
      </c>
      <c r="AM382" s="1" t="s">
        <v>7232</v>
      </c>
      <c r="AN382" s="1" t="s">
        <v>4679</v>
      </c>
      <c r="AO382" s="1" t="s">
        <v>7230</v>
      </c>
      <c r="AP382" s="1" t="s">
        <v>4681</v>
      </c>
      <c r="AQ382" s="1" t="s">
        <v>4682</v>
      </c>
      <c r="AR382" s="1">
        <v>1.0</v>
      </c>
      <c r="AS382" s="3"/>
      <c r="AT382" s="3"/>
      <c r="AU382" s="4" t="s">
        <v>4695</v>
      </c>
      <c r="AW382" s="3"/>
      <c r="AX382" s="3"/>
      <c r="AY382" s="3"/>
      <c r="AZ382" s="3"/>
      <c r="BA382" s="3"/>
      <c r="BB382" s="3"/>
      <c r="BC382" s="3"/>
      <c r="BD382" s="3"/>
      <c r="BE382" s="1" t="b">
        <v>1</v>
      </c>
      <c r="BF382" s="3"/>
      <c r="BG382" s="3"/>
      <c r="BH382" s="3"/>
      <c r="BI382" s="3"/>
      <c r="BJ382" s="3"/>
      <c r="BK382" s="4" t="s">
        <v>4695</v>
      </c>
    </row>
    <row r="383">
      <c r="A383" s="1" t="s">
        <v>471</v>
      </c>
      <c r="B383" s="1" t="s">
        <v>470</v>
      </c>
      <c r="C383" s="1" t="s">
        <v>470</v>
      </c>
      <c r="D383" s="1" t="s">
        <v>4724</v>
      </c>
      <c r="E383" s="1" t="s">
        <v>7233</v>
      </c>
      <c r="F383" s="1" t="s">
        <v>7234</v>
      </c>
      <c r="G383" s="3"/>
      <c r="H383" s="3"/>
      <c r="I383" s="3"/>
      <c r="J383" s="1" t="s">
        <v>7235</v>
      </c>
      <c r="K383" s="3">
        <f>+821053402164</f>
        <v>821053402164</v>
      </c>
      <c r="L383" s="3"/>
      <c r="M383" s="3"/>
      <c r="N383" s="3"/>
      <c r="O383" s="3"/>
      <c r="P383" s="1">
        <v>1.22991448E8</v>
      </c>
      <c r="Q383" s="1" t="b">
        <v>1</v>
      </c>
      <c r="R383" s="1">
        <v>1.0</v>
      </c>
      <c r="S383" s="1" t="s">
        <v>4701</v>
      </c>
      <c r="T383" s="3"/>
      <c r="U383" s="1" t="s">
        <v>4672</v>
      </c>
      <c r="V383" s="1" t="s">
        <v>4673</v>
      </c>
      <c r="W383" s="1" t="s">
        <v>7236</v>
      </c>
      <c r="X383" s="1" t="b">
        <v>0</v>
      </c>
      <c r="Y383" s="1" t="s">
        <v>4675</v>
      </c>
      <c r="Z383" s="1" t="s">
        <v>7236</v>
      </c>
      <c r="AB383" s="3"/>
      <c r="AC383" s="3"/>
      <c r="AD383" s="3"/>
      <c r="AE383" s="3"/>
      <c r="AF383" s="3"/>
      <c r="AG383" s="3"/>
      <c r="AH383" s="3"/>
      <c r="AI383" s="1" t="b">
        <v>0</v>
      </c>
      <c r="AJ383" s="1" t="b">
        <v>0</v>
      </c>
      <c r="AK383" s="1" t="s">
        <v>7237</v>
      </c>
      <c r="AL383" s="1" t="s">
        <v>4719</v>
      </c>
      <c r="AM383" s="1" t="s">
        <v>4685</v>
      </c>
      <c r="AN383" s="1" t="s">
        <v>4720</v>
      </c>
      <c r="AO383" s="1" t="s">
        <v>7236</v>
      </c>
      <c r="AP383" s="1" t="s">
        <v>4721</v>
      </c>
      <c r="AQ383" s="1" t="s">
        <v>4722</v>
      </c>
      <c r="AR383" s="1">
        <v>1.0</v>
      </c>
      <c r="AS383" s="3"/>
      <c r="AT383" s="3"/>
      <c r="AU383" s="3"/>
      <c r="AV383" s="3"/>
      <c r="AW383" s="3"/>
      <c r="AX383" s="3"/>
      <c r="AY383" s="3"/>
      <c r="AZ383" s="3"/>
      <c r="BA383" s="3"/>
      <c r="BB383" s="3"/>
      <c r="BC383" s="3"/>
      <c r="BD383" s="3"/>
      <c r="BE383" s="1" t="b">
        <v>1</v>
      </c>
      <c r="BF383" s="3"/>
      <c r="BG383" s="3"/>
      <c r="BH383" s="3"/>
      <c r="BI383" s="3"/>
      <c r="BJ383" s="3"/>
      <c r="BK383" s="3"/>
      <c r="BL383" s="3"/>
    </row>
    <row r="384">
      <c r="A384" s="1" t="s">
        <v>1515</v>
      </c>
      <c r="B384" s="1" t="s">
        <v>1514</v>
      </c>
      <c r="C384" s="1" t="s">
        <v>1514</v>
      </c>
      <c r="D384" s="1" t="s">
        <v>5120</v>
      </c>
      <c r="E384" s="1" t="s">
        <v>7238</v>
      </c>
      <c r="F384" s="1" t="s">
        <v>7239</v>
      </c>
      <c r="G384" s="3"/>
      <c r="H384" s="3"/>
      <c r="I384" s="1" t="s">
        <v>7240</v>
      </c>
      <c r="J384" s="1" t="s">
        <v>7241</v>
      </c>
      <c r="K384" s="3">
        <f>+821024608619</f>
        <v>821024608619</v>
      </c>
      <c r="L384" s="3"/>
      <c r="M384" s="3"/>
      <c r="N384" s="3"/>
      <c r="O384" s="3"/>
      <c r="P384" s="1">
        <v>1.22946035E8</v>
      </c>
      <c r="Q384" s="1" t="b">
        <v>1</v>
      </c>
      <c r="R384" s="1">
        <v>3.0</v>
      </c>
      <c r="S384" s="1" t="s">
        <v>5429</v>
      </c>
      <c r="T384" s="3"/>
      <c r="U384" s="1" t="s">
        <v>4672</v>
      </c>
      <c r="V384" s="1" t="s">
        <v>4673</v>
      </c>
      <c r="W384" s="1" t="s">
        <v>7242</v>
      </c>
      <c r="X384" s="1" t="b">
        <v>0</v>
      </c>
      <c r="Y384" s="1" t="s">
        <v>4675</v>
      </c>
      <c r="Z384" s="1" t="s">
        <v>7243</v>
      </c>
      <c r="AB384" s="3"/>
      <c r="AC384" s="3"/>
      <c r="AD384" s="3"/>
      <c r="AE384" s="3"/>
      <c r="AF384" s="3"/>
      <c r="AG384" s="3"/>
      <c r="AH384" s="3"/>
      <c r="AI384" s="1" t="b">
        <v>0</v>
      </c>
      <c r="AJ384" s="1" t="b">
        <v>0</v>
      </c>
      <c r="AK384" s="1" t="s">
        <v>7244</v>
      </c>
      <c r="AL384" s="1" t="s">
        <v>4719</v>
      </c>
      <c r="AM384" s="1" t="s">
        <v>4685</v>
      </c>
      <c r="AN384" s="1" t="s">
        <v>4720</v>
      </c>
      <c r="AO384" s="1" t="s">
        <v>7243</v>
      </c>
      <c r="AP384" s="1" t="s">
        <v>4721</v>
      </c>
      <c r="AQ384" s="1" t="s">
        <v>4722</v>
      </c>
      <c r="AR384" s="1">
        <v>3.0</v>
      </c>
      <c r="AS384" s="3"/>
      <c r="AT384" s="3"/>
      <c r="AU384" s="4" t="s">
        <v>4780</v>
      </c>
      <c r="AV384" s="1" t="s">
        <v>4788</v>
      </c>
      <c r="AW384" s="1" t="s">
        <v>4789</v>
      </c>
      <c r="AX384" s="1" t="s">
        <v>4692</v>
      </c>
      <c r="AY384" s="1" t="s">
        <v>4790</v>
      </c>
      <c r="AZ384" s="1" t="s">
        <v>4791</v>
      </c>
      <c r="BA384" s="3"/>
      <c r="BB384" s="3"/>
      <c r="BC384" s="3"/>
      <c r="BD384" s="3"/>
      <c r="BE384" s="1" t="b">
        <v>1</v>
      </c>
      <c r="BF384" s="1" t="s">
        <v>4790</v>
      </c>
      <c r="BG384" s="1" t="s">
        <v>4692</v>
      </c>
      <c r="BH384" s="1" t="s">
        <v>4788</v>
      </c>
      <c r="BI384" s="1" t="s">
        <v>4789</v>
      </c>
      <c r="BJ384" s="1" t="s">
        <v>4791</v>
      </c>
      <c r="BK384" s="4" t="s">
        <v>4780</v>
      </c>
    </row>
  </sheetData>
  <mergeCells count="1010">
    <mergeCell ref="BK147:BL147"/>
    <mergeCell ref="BK150:BL150"/>
    <mergeCell ref="BK153:BL153"/>
    <mergeCell ref="BK154:BL154"/>
    <mergeCell ref="BK156:BL156"/>
    <mergeCell ref="BK160:BL160"/>
    <mergeCell ref="BK163:BL163"/>
    <mergeCell ref="BK164:BL164"/>
    <mergeCell ref="BK165:BL165"/>
    <mergeCell ref="BK166:BL166"/>
    <mergeCell ref="BK167:BL167"/>
    <mergeCell ref="BK168:BL168"/>
    <mergeCell ref="BK169:BL169"/>
    <mergeCell ref="BK170:BL170"/>
    <mergeCell ref="BK99:BL99"/>
    <mergeCell ref="BK100:BL100"/>
    <mergeCell ref="BK102:BL102"/>
    <mergeCell ref="BK103:BL103"/>
    <mergeCell ref="BK104:BL104"/>
    <mergeCell ref="BK106:BL106"/>
    <mergeCell ref="BK108:BL108"/>
    <mergeCell ref="BK109:BL109"/>
    <mergeCell ref="BK110:BL110"/>
    <mergeCell ref="BK111:BL111"/>
    <mergeCell ref="BK112:BL112"/>
    <mergeCell ref="BK113:BL113"/>
    <mergeCell ref="BK114:BL114"/>
    <mergeCell ref="BK115:BL115"/>
    <mergeCell ref="BK116:BL116"/>
    <mergeCell ref="BK117:BL117"/>
    <mergeCell ref="BK118:BL118"/>
    <mergeCell ref="BK120:BL120"/>
    <mergeCell ref="BK121:BL121"/>
    <mergeCell ref="BK122:BL122"/>
    <mergeCell ref="BK123:BL123"/>
    <mergeCell ref="BK124:BL124"/>
    <mergeCell ref="BK125:BL125"/>
    <mergeCell ref="BK126:BL126"/>
    <mergeCell ref="BK127:BL127"/>
    <mergeCell ref="BK128:BL128"/>
    <mergeCell ref="BK129:BL129"/>
    <mergeCell ref="BK130:BL130"/>
    <mergeCell ref="BK131:BL131"/>
    <mergeCell ref="BK132:BL132"/>
    <mergeCell ref="BK133:BL133"/>
    <mergeCell ref="BK134:BL134"/>
    <mergeCell ref="BK137:BL137"/>
    <mergeCell ref="BK138:BL138"/>
    <mergeCell ref="BK139:BL139"/>
    <mergeCell ref="BK140:BL140"/>
    <mergeCell ref="BK141:BL141"/>
    <mergeCell ref="BK142:BL142"/>
    <mergeCell ref="BK143:BL143"/>
    <mergeCell ref="BK144:BL144"/>
    <mergeCell ref="BK145:BL145"/>
    <mergeCell ref="BK146:BL146"/>
    <mergeCell ref="BK174:BL174"/>
    <mergeCell ref="BK175:BL175"/>
    <mergeCell ref="BK176:BL176"/>
    <mergeCell ref="BK185:BL185"/>
    <mergeCell ref="BK194:BL194"/>
    <mergeCell ref="BK196:BL196"/>
    <mergeCell ref="BK206:BL206"/>
    <mergeCell ref="BK235:BL235"/>
    <mergeCell ref="BK236:BL236"/>
    <mergeCell ref="BK237:BL237"/>
    <mergeCell ref="BK238:BL238"/>
    <mergeCell ref="BK239:BL239"/>
    <mergeCell ref="BK240:BL240"/>
    <mergeCell ref="BK241:BL241"/>
    <mergeCell ref="BK243:BL243"/>
    <mergeCell ref="BK245:BL245"/>
    <mergeCell ref="BK246:BL246"/>
    <mergeCell ref="BK249:BL249"/>
    <mergeCell ref="BK250:BL250"/>
    <mergeCell ref="BK251:BL251"/>
    <mergeCell ref="BK253:BL253"/>
    <mergeCell ref="BK254:BL254"/>
    <mergeCell ref="BK255:BL255"/>
    <mergeCell ref="BK256:BL256"/>
    <mergeCell ref="BK257:BL257"/>
    <mergeCell ref="BK258:BL258"/>
    <mergeCell ref="BI259:BJ259"/>
    <mergeCell ref="BK259:BL259"/>
    <mergeCell ref="BK260:BL260"/>
    <mergeCell ref="BK261:BL261"/>
    <mergeCell ref="BK262:BL262"/>
    <mergeCell ref="BK263:BL263"/>
    <mergeCell ref="BK264:BL264"/>
    <mergeCell ref="BK265:BL265"/>
    <mergeCell ref="BK266:BL266"/>
    <mergeCell ref="BK267:BL267"/>
    <mergeCell ref="BK268:BL268"/>
    <mergeCell ref="BK270:BL270"/>
    <mergeCell ref="BK271:BL271"/>
    <mergeCell ref="BK272:BL272"/>
    <mergeCell ref="BK273:BL273"/>
    <mergeCell ref="BK274:BL274"/>
    <mergeCell ref="BK276:BL276"/>
    <mergeCell ref="BK277:BL277"/>
    <mergeCell ref="BK278:BL278"/>
    <mergeCell ref="BK279:BL279"/>
    <mergeCell ref="BK282:BL282"/>
    <mergeCell ref="BK285:BL285"/>
    <mergeCell ref="BK286:BL286"/>
    <mergeCell ref="BK290:BL290"/>
    <mergeCell ref="BK292:BL292"/>
    <mergeCell ref="BK293:BL293"/>
    <mergeCell ref="BK296:BL296"/>
    <mergeCell ref="BK297:BL297"/>
    <mergeCell ref="BK298:BL298"/>
    <mergeCell ref="BK299:BL299"/>
    <mergeCell ref="BK378:BL378"/>
    <mergeCell ref="BK379:BL379"/>
    <mergeCell ref="BK380:BL380"/>
    <mergeCell ref="BK381:BL381"/>
    <mergeCell ref="BK382:BL382"/>
    <mergeCell ref="BK384:BL384"/>
    <mergeCell ref="BK368:BL368"/>
    <mergeCell ref="BK369:BL369"/>
    <mergeCell ref="BK371:BL371"/>
    <mergeCell ref="BK372:BL372"/>
    <mergeCell ref="BK375:BL375"/>
    <mergeCell ref="BK376:BL376"/>
    <mergeCell ref="BK377:BL377"/>
    <mergeCell ref="BK302:BL302"/>
    <mergeCell ref="BK303:BL303"/>
    <mergeCell ref="BK304:BL304"/>
    <mergeCell ref="BK306:BL306"/>
    <mergeCell ref="BK307:BL307"/>
    <mergeCell ref="BK308:BL308"/>
    <mergeCell ref="BK310:BL310"/>
    <mergeCell ref="BK311:BL311"/>
    <mergeCell ref="BK312:BL312"/>
    <mergeCell ref="BK313:BL313"/>
    <mergeCell ref="BK315:BL315"/>
    <mergeCell ref="BK317:BL317"/>
    <mergeCell ref="BK318:BL318"/>
    <mergeCell ref="BK319:BL319"/>
    <mergeCell ref="BK320:BL320"/>
    <mergeCell ref="BK322:BL322"/>
    <mergeCell ref="BK323:BL323"/>
    <mergeCell ref="BK324:BL324"/>
    <mergeCell ref="BK325:BL325"/>
    <mergeCell ref="BK327:BL327"/>
    <mergeCell ref="BK328:BL328"/>
    <mergeCell ref="BK329:BL329"/>
    <mergeCell ref="BK332:BL332"/>
    <mergeCell ref="BK333:BL333"/>
    <mergeCell ref="BK334:BL334"/>
    <mergeCell ref="BK335:BL335"/>
    <mergeCell ref="BK337:BL337"/>
    <mergeCell ref="BK338:BL338"/>
    <mergeCell ref="BK339:BL339"/>
    <mergeCell ref="BK340:BL340"/>
    <mergeCell ref="BK341:BL341"/>
    <mergeCell ref="BK344:BL344"/>
    <mergeCell ref="BK345:BL345"/>
    <mergeCell ref="BK346:BL346"/>
    <mergeCell ref="BK347:BL347"/>
    <mergeCell ref="BK348:BL348"/>
    <mergeCell ref="BK349:BL349"/>
    <mergeCell ref="BJ350:BK350"/>
    <mergeCell ref="BK352:BL352"/>
    <mergeCell ref="BK354:BL354"/>
    <mergeCell ref="BK355:BL355"/>
    <mergeCell ref="BK356:BL356"/>
    <mergeCell ref="BK357:BL357"/>
    <mergeCell ref="BK358:BL358"/>
    <mergeCell ref="BK359:BL359"/>
    <mergeCell ref="BK360:BL360"/>
    <mergeCell ref="BK362:BL362"/>
    <mergeCell ref="BK365:BL365"/>
    <mergeCell ref="BK366:BL366"/>
    <mergeCell ref="AU94:AV94"/>
    <mergeCell ref="AU95:AV95"/>
    <mergeCell ref="AU97:BA97"/>
    <mergeCell ref="AU98:AV98"/>
    <mergeCell ref="AU100:AV100"/>
    <mergeCell ref="AU101:BD101"/>
    <mergeCell ref="AU103:AV103"/>
    <mergeCell ref="AU104:AV104"/>
    <mergeCell ref="AU106:AV106"/>
    <mergeCell ref="AU107:AV107"/>
    <mergeCell ref="AU108:AZ108"/>
    <mergeCell ref="AU109:AV109"/>
    <mergeCell ref="AU111:AV111"/>
    <mergeCell ref="AU113:AV113"/>
    <mergeCell ref="AU114:AV114"/>
    <mergeCell ref="AU115:AV115"/>
    <mergeCell ref="AU116:AV116"/>
    <mergeCell ref="AU117:AV117"/>
    <mergeCell ref="AU118:AV118"/>
    <mergeCell ref="AU120:BA120"/>
    <mergeCell ref="AU121:BD121"/>
    <mergeCell ref="AU122:AV122"/>
    <mergeCell ref="AU124:AV124"/>
    <mergeCell ref="AU125:AV125"/>
    <mergeCell ref="AU126:AV126"/>
    <mergeCell ref="AU127:AV127"/>
    <mergeCell ref="AU131:BA131"/>
    <mergeCell ref="AU132:AV132"/>
    <mergeCell ref="AU150:BD150"/>
    <mergeCell ref="AU151:BB151"/>
    <mergeCell ref="AU133:AV133"/>
    <mergeCell ref="AU134:AV134"/>
    <mergeCell ref="AU135:AV135"/>
    <mergeCell ref="AU137:AX137"/>
    <mergeCell ref="AU138:AV138"/>
    <mergeCell ref="AU139:AV139"/>
    <mergeCell ref="AU142:BD142"/>
    <mergeCell ref="AU154:AV154"/>
    <mergeCell ref="AU156:AV156"/>
    <mergeCell ref="AU159:AV159"/>
    <mergeCell ref="AU160:BD160"/>
    <mergeCell ref="AZ167:BA167"/>
    <mergeCell ref="AU140:AV140"/>
    <mergeCell ref="AU143:AV143"/>
    <mergeCell ref="AU144:AV144"/>
    <mergeCell ref="AU145:AV145"/>
    <mergeCell ref="AU147:AV147"/>
    <mergeCell ref="AU149:AV149"/>
    <mergeCell ref="AU153:AV153"/>
    <mergeCell ref="AU163:AV163"/>
    <mergeCell ref="AU165:AV165"/>
    <mergeCell ref="AU166:AW166"/>
    <mergeCell ref="AU168:AV168"/>
    <mergeCell ref="AU170:AV170"/>
    <mergeCell ref="AU171:AW171"/>
    <mergeCell ref="AU172:AV172"/>
    <mergeCell ref="AU173:AV173"/>
    <mergeCell ref="AU174:AV174"/>
    <mergeCell ref="AU175:AV175"/>
    <mergeCell ref="AU177:AV177"/>
    <mergeCell ref="AU178:AV178"/>
    <mergeCell ref="AU179:AV179"/>
    <mergeCell ref="AU180:AV180"/>
    <mergeCell ref="AU181:AV181"/>
    <mergeCell ref="AU184:AV184"/>
    <mergeCell ref="AU186:AY186"/>
    <mergeCell ref="AU187:AV187"/>
    <mergeCell ref="AU188:AV188"/>
    <mergeCell ref="AZ189:BA189"/>
    <mergeCell ref="AU191:AV191"/>
    <mergeCell ref="AU192:AV192"/>
    <mergeCell ref="AU193:BA193"/>
    <mergeCell ref="AU195:AV195"/>
    <mergeCell ref="AU197:AV197"/>
    <mergeCell ref="AU199:AV199"/>
    <mergeCell ref="AU201:AV201"/>
    <mergeCell ref="AU202:AV202"/>
    <mergeCell ref="AU203:AV203"/>
    <mergeCell ref="AU204:AV204"/>
    <mergeCell ref="AU205:AV205"/>
    <mergeCell ref="AU207:AX207"/>
    <mergeCell ref="AU208:AV208"/>
    <mergeCell ref="AU210:AV210"/>
    <mergeCell ref="AZ211:BA211"/>
    <mergeCell ref="AU212:AV212"/>
    <mergeCell ref="AU213:AV213"/>
    <mergeCell ref="AU215:AV215"/>
    <mergeCell ref="AU216:AV216"/>
    <mergeCell ref="AU217:AZ217"/>
    <mergeCell ref="AU218:AV218"/>
    <mergeCell ref="AU219:BB219"/>
    <mergeCell ref="AU310:AV310"/>
    <mergeCell ref="AU311:AV311"/>
    <mergeCell ref="AU312:BA312"/>
    <mergeCell ref="AU313:BA313"/>
    <mergeCell ref="AU315:AV315"/>
    <mergeCell ref="AU316:AV316"/>
    <mergeCell ref="AU318:AV318"/>
    <mergeCell ref="AU319:AV319"/>
    <mergeCell ref="AU320:AV320"/>
    <mergeCell ref="AU323:BA323"/>
    <mergeCell ref="AU324:AV324"/>
    <mergeCell ref="AU325:AV325"/>
    <mergeCell ref="AU326:AV326"/>
    <mergeCell ref="AU329:AV329"/>
    <mergeCell ref="AU330:AV330"/>
    <mergeCell ref="AU333:AV333"/>
    <mergeCell ref="AU334:AV334"/>
    <mergeCell ref="AU337:AV337"/>
    <mergeCell ref="AU341:AV341"/>
    <mergeCell ref="AU345:AW345"/>
    <mergeCell ref="AU346:BA346"/>
    <mergeCell ref="AU347:AV347"/>
    <mergeCell ref="AU348:AV348"/>
    <mergeCell ref="AU349:AV349"/>
    <mergeCell ref="AZ350:BA350"/>
    <mergeCell ref="AU352:AV352"/>
    <mergeCell ref="AU355:AV355"/>
    <mergeCell ref="AU357:AV357"/>
    <mergeCell ref="AU358:AV358"/>
    <mergeCell ref="AU360:AV360"/>
    <mergeCell ref="AU362:AV362"/>
    <mergeCell ref="AU363:AV363"/>
    <mergeCell ref="AU364:AV364"/>
    <mergeCell ref="AU365:AV365"/>
    <mergeCell ref="AU366:BD366"/>
    <mergeCell ref="AU377:AV377"/>
    <mergeCell ref="AU378:AV378"/>
    <mergeCell ref="AU379:AV379"/>
    <mergeCell ref="AU381:AV381"/>
    <mergeCell ref="AU382:AV382"/>
    <mergeCell ref="AU368:AV368"/>
    <mergeCell ref="AU369:AV369"/>
    <mergeCell ref="AU370:BA370"/>
    <mergeCell ref="AU371:AV371"/>
    <mergeCell ref="AZ372:BA372"/>
    <mergeCell ref="AU374:AW374"/>
    <mergeCell ref="AU376:AV376"/>
    <mergeCell ref="AU234:BD234"/>
    <mergeCell ref="AU235:AV235"/>
    <mergeCell ref="AU236:AV236"/>
    <mergeCell ref="AU238:AV238"/>
    <mergeCell ref="AU241:AV241"/>
    <mergeCell ref="AU243:BA243"/>
    <mergeCell ref="AU244:AV244"/>
    <mergeCell ref="AU245:AV245"/>
    <mergeCell ref="AU246:AV246"/>
    <mergeCell ref="AU251:AV251"/>
    <mergeCell ref="AU253:AV253"/>
    <mergeCell ref="AU254:AV254"/>
    <mergeCell ref="AU255:AV255"/>
    <mergeCell ref="AU256:AV256"/>
    <mergeCell ref="AU269:AV269"/>
    <mergeCell ref="AU270:AV270"/>
    <mergeCell ref="AU271:AV271"/>
    <mergeCell ref="AU272:BD272"/>
    <mergeCell ref="AU258:AW258"/>
    <mergeCell ref="AU261:AV261"/>
    <mergeCell ref="AU262:AV262"/>
    <mergeCell ref="AU263:AV263"/>
    <mergeCell ref="AU264:AV264"/>
    <mergeCell ref="AU265:AV265"/>
    <mergeCell ref="AU267:AV267"/>
    <mergeCell ref="AU275:AV275"/>
    <mergeCell ref="AU276:AV276"/>
    <mergeCell ref="AU277:AV277"/>
    <mergeCell ref="AU278:AV278"/>
    <mergeCell ref="AU279:AV279"/>
    <mergeCell ref="AU280:AV280"/>
    <mergeCell ref="AU281:AV281"/>
    <mergeCell ref="AU282:AV282"/>
    <mergeCell ref="AU285:AV285"/>
    <mergeCell ref="AU288:AV288"/>
    <mergeCell ref="AU291:AV291"/>
    <mergeCell ref="AU294:AV294"/>
    <mergeCell ref="AU296:BD296"/>
    <mergeCell ref="AU297:AV297"/>
    <mergeCell ref="AU298:AV298"/>
    <mergeCell ref="AU299:BD299"/>
    <mergeCell ref="AU302:AV302"/>
    <mergeCell ref="AU303:AV303"/>
    <mergeCell ref="AU304:AV304"/>
    <mergeCell ref="AU306:AV306"/>
    <mergeCell ref="AU307:AV307"/>
    <mergeCell ref="J2:K2"/>
    <mergeCell ref="Z2:AA2"/>
    <mergeCell ref="BK2:BL2"/>
    <mergeCell ref="Z3:AA3"/>
    <mergeCell ref="AU3:AW3"/>
    <mergeCell ref="BK3:BL3"/>
    <mergeCell ref="AU4:AV4"/>
    <mergeCell ref="Z4:AA4"/>
    <mergeCell ref="Z5:AA5"/>
    <mergeCell ref="Z6:AA6"/>
    <mergeCell ref="AU6:AV6"/>
    <mergeCell ref="J7:K7"/>
    <mergeCell ref="AU7:AV7"/>
    <mergeCell ref="BK7:BL7"/>
    <mergeCell ref="Z7:AA7"/>
    <mergeCell ref="Z8:AA8"/>
    <mergeCell ref="AU8:AX8"/>
    <mergeCell ref="Z9:AA9"/>
    <mergeCell ref="AU9:AV9"/>
    <mergeCell ref="Z10:AA10"/>
    <mergeCell ref="AU10:AV10"/>
    <mergeCell ref="Z11:AA11"/>
    <mergeCell ref="Z12:AA12"/>
    <mergeCell ref="AU12:AV12"/>
    <mergeCell ref="Z13:AA13"/>
    <mergeCell ref="Z14:AA14"/>
    <mergeCell ref="AZ14:BA14"/>
    <mergeCell ref="AU15:AV15"/>
    <mergeCell ref="BK8:BL8"/>
    <mergeCell ref="BK10:BL10"/>
    <mergeCell ref="BK12:BL12"/>
    <mergeCell ref="BJ14:BK14"/>
    <mergeCell ref="BK15:BL15"/>
    <mergeCell ref="BK16:BL16"/>
    <mergeCell ref="BK18:BL18"/>
    <mergeCell ref="BK27:BL27"/>
    <mergeCell ref="BH28:BI28"/>
    <mergeCell ref="BK28:BL28"/>
    <mergeCell ref="BK19:BL19"/>
    <mergeCell ref="BK20:BL20"/>
    <mergeCell ref="BK21:BL21"/>
    <mergeCell ref="BK22:BL22"/>
    <mergeCell ref="BK24:BL24"/>
    <mergeCell ref="BK25:BL25"/>
    <mergeCell ref="BK26:BL26"/>
    <mergeCell ref="Z15:AA15"/>
    <mergeCell ref="Z16:AA16"/>
    <mergeCell ref="Z17:AA17"/>
    <mergeCell ref="Z18:AA18"/>
    <mergeCell ref="Z19:AA19"/>
    <mergeCell ref="Z20:AA20"/>
    <mergeCell ref="J22:K22"/>
    <mergeCell ref="Z28:AA28"/>
    <mergeCell ref="Z29:AA29"/>
    <mergeCell ref="S30:T30"/>
    <mergeCell ref="Z30:AA30"/>
    <mergeCell ref="Z21:AA21"/>
    <mergeCell ref="Z22:AA22"/>
    <mergeCell ref="Z23:AA23"/>
    <mergeCell ref="Z24:AA24"/>
    <mergeCell ref="Z25:AA25"/>
    <mergeCell ref="Z26:AA26"/>
    <mergeCell ref="Z27:AA27"/>
    <mergeCell ref="Z31:AA31"/>
    <mergeCell ref="Z32:AA32"/>
    <mergeCell ref="Z33:AA33"/>
    <mergeCell ref="Z34:AA34"/>
    <mergeCell ref="S35:T35"/>
    <mergeCell ref="Z35:AA35"/>
    <mergeCell ref="Z36:AA36"/>
    <mergeCell ref="Z37:AA37"/>
    <mergeCell ref="Z38:AA38"/>
    <mergeCell ref="J39:K39"/>
    <mergeCell ref="Z39:AA39"/>
    <mergeCell ref="Z40:AA40"/>
    <mergeCell ref="Z41:AA41"/>
    <mergeCell ref="Z42:AA42"/>
    <mergeCell ref="Z43:AA43"/>
    <mergeCell ref="Z44:AA44"/>
    <mergeCell ref="Z45:AA45"/>
    <mergeCell ref="Z46:AA46"/>
    <mergeCell ref="Z47:AA47"/>
    <mergeCell ref="Z48:AA48"/>
    <mergeCell ref="S49:T49"/>
    <mergeCell ref="Z53:AA53"/>
    <mergeCell ref="Z54:AA54"/>
    <mergeCell ref="S56:T56"/>
    <mergeCell ref="Z56:AA56"/>
    <mergeCell ref="S61:T61"/>
    <mergeCell ref="Z61:AA61"/>
    <mergeCell ref="Z49:AA49"/>
    <mergeCell ref="Z50:AA50"/>
    <mergeCell ref="J51:K51"/>
    <mergeCell ref="Z51:AA51"/>
    <mergeCell ref="S53:T53"/>
    <mergeCell ref="S54:T54"/>
    <mergeCell ref="S55:T55"/>
    <mergeCell ref="Z52:AA52"/>
    <mergeCell ref="Z55:AA55"/>
    <mergeCell ref="Z57:AA57"/>
    <mergeCell ref="Z58:AA58"/>
    <mergeCell ref="Z59:AA59"/>
    <mergeCell ref="Z60:AA60"/>
    <mergeCell ref="Z62:AA62"/>
    <mergeCell ref="Z63:AA63"/>
    <mergeCell ref="Z64:AA64"/>
    <mergeCell ref="Z65:AA65"/>
    <mergeCell ref="S66:T66"/>
    <mergeCell ref="Z66:AA66"/>
    <mergeCell ref="Z67:AA67"/>
    <mergeCell ref="S69:T69"/>
    <mergeCell ref="Z75:AA75"/>
    <mergeCell ref="Z76:AA76"/>
    <mergeCell ref="Z77:AA77"/>
    <mergeCell ref="J78:K78"/>
    <mergeCell ref="Z78:AA78"/>
    <mergeCell ref="Z68:AA68"/>
    <mergeCell ref="Z69:AA69"/>
    <mergeCell ref="Z70:AA70"/>
    <mergeCell ref="Z71:AA71"/>
    <mergeCell ref="Z72:AA72"/>
    <mergeCell ref="Z73:AA73"/>
    <mergeCell ref="Z74:AA74"/>
    <mergeCell ref="Z83:AA83"/>
    <mergeCell ref="Z79:AA79"/>
    <mergeCell ref="Z80:AA80"/>
    <mergeCell ref="Z81:AA81"/>
    <mergeCell ref="J82:K82"/>
    <mergeCell ref="Z82:AA82"/>
    <mergeCell ref="J84:K84"/>
    <mergeCell ref="J85:K85"/>
    <mergeCell ref="AU16:AV16"/>
    <mergeCell ref="AU18:AV18"/>
    <mergeCell ref="AU19:BA19"/>
    <mergeCell ref="AU21:AV21"/>
    <mergeCell ref="AU22:AW22"/>
    <mergeCell ref="AU23:AV23"/>
    <mergeCell ref="AU26:AV26"/>
    <mergeCell ref="AU42:AW42"/>
    <mergeCell ref="AU43:BA43"/>
    <mergeCell ref="AV28:AW28"/>
    <mergeCell ref="AU30:AV30"/>
    <mergeCell ref="AU31:AV31"/>
    <mergeCell ref="AU36:AV36"/>
    <mergeCell ref="AU38:AV38"/>
    <mergeCell ref="AU40:AV40"/>
    <mergeCell ref="AU41:AV41"/>
    <mergeCell ref="AU47:AV47"/>
    <mergeCell ref="AU48:AV48"/>
    <mergeCell ref="AU55:AV55"/>
    <mergeCell ref="AU56:AV56"/>
    <mergeCell ref="AU57:AV57"/>
    <mergeCell ref="AV58:AW58"/>
    <mergeCell ref="AU59:BA59"/>
    <mergeCell ref="AU60:AV60"/>
    <mergeCell ref="AU61:AV61"/>
    <mergeCell ref="AU62:AV62"/>
    <mergeCell ref="AU63:AV63"/>
    <mergeCell ref="AU64:AV64"/>
    <mergeCell ref="AU66:BD66"/>
    <mergeCell ref="AU67:AV67"/>
    <mergeCell ref="AU70:AV70"/>
    <mergeCell ref="AU71:AV71"/>
    <mergeCell ref="AU72:AV72"/>
    <mergeCell ref="AZ77:BA77"/>
    <mergeCell ref="AU78:AV78"/>
    <mergeCell ref="AU79:AV79"/>
    <mergeCell ref="AU83:AV83"/>
    <mergeCell ref="AU85:AV85"/>
    <mergeCell ref="AU86:AV86"/>
    <mergeCell ref="AU87:AV87"/>
    <mergeCell ref="AU88:AV88"/>
    <mergeCell ref="AU89:AV89"/>
    <mergeCell ref="AU90:AV90"/>
    <mergeCell ref="AU92:AV92"/>
    <mergeCell ref="BK177:BL177"/>
    <mergeCell ref="BK179:BL179"/>
    <mergeCell ref="BK180:BL180"/>
    <mergeCell ref="BK181:BL181"/>
    <mergeCell ref="BK184:BL184"/>
    <mergeCell ref="BK187:BL187"/>
    <mergeCell ref="BJ189:BK189"/>
    <mergeCell ref="BK191:BL191"/>
    <mergeCell ref="BK192:BL192"/>
    <mergeCell ref="BK195:BL195"/>
    <mergeCell ref="BK197:BL197"/>
    <mergeCell ref="BK199:BL199"/>
    <mergeCell ref="BI200:BJ200"/>
    <mergeCell ref="BK201:BL201"/>
    <mergeCell ref="BK202:BL202"/>
    <mergeCell ref="BK203:BL203"/>
    <mergeCell ref="BK204:BL204"/>
    <mergeCell ref="BK205:BL205"/>
    <mergeCell ref="BK207:BL207"/>
    <mergeCell ref="BK208:BL208"/>
    <mergeCell ref="BK210:BL210"/>
    <mergeCell ref="BK211:BL211"/>
    <mergeCell ref="BK212:BL212"/>
    <mergeCell ref="BK213:BL213"/>
    <mergeCell ref="BK215:BL215"/>
    <mergeCell ref="BK217:BL217"/>
    <mergeCell ref="BK218:BL218"/>
    <mergeCell ref="BK219:BL219"/>
    <mergeCell ref="BK230:BL230"/>
    <mergeCell ref="BJ231:BK231"/>
    <mergeCell ref="BK220:BL220"/>
    <mergeCell ref="BK222:BL222"/>
    <mergeCell ref="BK223:BL223"/>
    <mergeCell ref="BK225:BL225"/>
    <mergeCell ref="BK226:BL226"/>
    <mergeCell ref="BK227:BL227"/>
    <mergeCell ref="BK229:BL229"/>
    <mergeCell ref="BK30:BL30"/>
    <mergeCell ref="BK31:BL31"/>
    <mergeCell ref="BK34:BL34"/>
    <mergeCell ref="BK37:BL37"/>
    <mergeCell ref="BK38:BL38"/>
    <mergeCell ref="BK39:BL39"/>
    <mergeCell ref="BK40:BL40"/>
    <mergeCell ref="BK41:BL41"/>
    <mergeCell ref="BK42:BL42"/>
    <mergeCell ref="BK43:BL43"/>
    <mergeCell ref="BK44:BL44"/>
    <mergeCell ref="BK46:BL46"/>
    <mergeCell ref="BK47:BL47"/>
    <mergeCell ref="BK48:BL48"/>
    <mergeCell ref="BK50:BL50"/>
    <mergeCell ref="BK53:BL53"/>
    <mergeCell ref="BK54:BL54"/>
    <mergeCell ref="BK55:BL55"/>
    <mergeCell ref="BK56:BL56"/>
    <mergeCell ref="BH58:BI58"/>
    <mergeCell ref="BK58:BL58"/>
    <mergeCell ref="BK59:BL59"/>
    <mergeCell ref="BK60:BL60"/>
    <mergeCell ref="BK61:BL61"/>
    <mergeCell ref="BK62:BL62"/>
    <mergeCell ref="BK63:BL63"/>
    <mergeCell ref="BK64:BL64"/>
    <mergeCell ref="BK67:BL67"/>
    <mergeCell ref="BK68:BL68"/>
    <mergeCell ref="BK70:BL70"/>
    <mergeCell ref="BK72:BL72"/>
    <mergeCell ref="BK73:BL73"/>
    <mergeCell ref="BK74:BL74"/>
    <mergeCell ref="BI75:BJ75"/>
    <mergeCell ref="BK76:BL76"/>
    <mergeCell ref="BK77:BL77"/>
    <mergeCell ref="BK80:BL80"/>
    <mergeCell ref="BI82:BJ82"/>
    <mergeCell ref="BK83:BL83"/>
    <mergeCell ref="BK86:BL86"/>
    <mergeCell ref="BK87:BL87"/>
    <mergeCell ref="BK89:BL89"/>
    <mergeCell ref="BK90:BL90"/>
    <mergeCell ref="BK91:BL91"/>
    <mergeCell ref="BK92:BL92"/>
    <mergeCell ref="BK94:BL94"/>
    <mergeCell ref="BK95:BL95"/>
    <mergeCell ref="BK97:BL97"/>
    <mergeCell ref="BK98:BL98"/>
    <mergeCell ref="AU227:AV227"/>
    <mergeCell ref="AU230:AV230"/>
    <mergeCell ref="AU220:AV220"/>
    <mergeCell ref="AU221:AV221"/>
    <mergeCell ref="AU222:AV222"/>
    <mergeCell ref="AU223:AV223"/>
    <mergeCell ref="AU225:AV225"/>
    <mergeCell ref="AU226:AV226"/>
    <mergeCell ref="AU229:BD229"/>
    <mergeCell ref="AZ231:BA231"/>
    <mergeCell ref="J234:K234"/>
    <mergeCell ref="J237:K237"/>
    <mergeCell ref="J226:K226"/>
    <mergeCell ref="Z226:AA226"/>
    <mergeCell ref="J230:K230"/>
    <mergeCell ref="Z230:AA230"/>
    <mergeCell ref="J232:K232"/>
    <mergeCell ref="Z232:AA232"/>
    <mergeCell ref="Z234:AA234"/>
    <mergeCell ref="J180:K180"/>
    <mergeCell ref="Z180:AA180"/>
    <mergeCell ref="Z166:AA166"/>
    <mergeCell ref="Z167:AA167"/>
    <mergeCell ref="Z168:AA168"/>
    <mergeCell ref="Z169:AA169"/>
    <mergeCell ref="Z170:AA170"/>
    <mergeCell ref="J173:K173"/>
    <mergeCell ref="J174:K174"/>
    <mergeCell ref="Z181:AA181"/>
    <mergeCell ref="Z182:AA182"/>
    <mergeCell ref="J183:K183"/>
    <mergeCell ref="Z183:AA183"/>
    <mergeCell ref="S184:T184"/>
    <mergeCell ref="Z184:AA184"/>
    <mergeCell ref="Z185:AA185"/>
    <mergeCell ref="Z186:AA186"/>
    <mergeCell ref="Z187:AA187"/>
    <mergeCell ref="J188:K188"/>
    <mergeCell ref="Z188:AA188"/>
    <mergeCell ref="Z189:AA189"/>
    <mergeCell ref="Z190:AA190"/>
    <mergeCell ref="Z191:AA191"/>
    <mergeCell ref="Z192:AA192"/>
    <mergeCell ref="Z193:AA193"/>
    <mergeCell ref="Z194:AA194"/>
    <mergeCell ref="J195:K195"/>
    <mergeCell ref="Z195:AA195"/>
    <mergeCell ref="Z196:AA196"/>
    <mergeCell ref="Z197:AA197"/>
    <mergeCell ref="Z198:AA198"/>
    <mergeCell ref="J199:K199"/>
    <mergeCell ref="S199:T199"/>
    <mergeCell ref="Z199:AA199"/>
    <mergeCell ref="Z200:AA200"/>
    <mergeCell ref="Z201:AA201"/>
    <mergeCell ref="Z237:AA237"/>
    <mergeCell ref="S238:T238"/>
    <mergeCell ref="Z238:AA238"/>
    <mergeCell ref="S242:T242"/>
    <mergeCell ref="Z242:AA242"/>
    <mergeCell ref="S251:T251"/>
    <mergeCell ref="Z251:AA251"/>
    <mergeCell ref="J262:K262"/>
    <mergeCell ref="Z262:AA262"/>
    <mergeCell ref="J263:K263"/>
    <mergeCell ref="Z263:AA263"/>
    <mergeCell ref="S265:T265"/>
    <mergeCell ref="J268:K268"/>
    <mergeCell ref="S268:T268"/>
    <mergeCell ref="S270:T270"/>
    <mergeCell ref="Z270:AA270"/>
    <mergeCell ref="J274:K274"/>
    <mergeCell ref="Z274:AA274"/>
    <mergeCell ref="J275:K275"/>
    <mergeCell ref="Z275:AA275"/>
    <mergeCell ref="Z280:AA280"/>
    <mergeCell ref="S308:T308"/>
    <mergeCell ref="S312:T312"/>
    <mergeCell ref="S313:T313"/>
    <mergeCell ref="S314:T314"/>
    <mergeCell ref="S332:T332"/>
    <mergeCell ref="Z281:AA281"/>
    <mergeCell ref="S283:T283"/>
    <mergeCell ref="Z283:AA283"/>
    <mergeCell ref="Z285:AA285"/>
    <mergeCell ref="S305:T305"/>
    <mergeCell ref="Z305:AA305"/>
    <mergeCell ref="Z308:AA308"/>
    <mergeCell ref="Z313:AA313"/>
    <mergeCell ref="Z314:AA314"/>
    <mergeCell ref="Z326:AA326"/>
    <mergeCell ref="Z328:AA328"/>
    <mergeCell ref="Z332:AA332"/>
    <mergeCell ref="Z336:AA336"/>
    <mergeCell ref="Z265:AA265"/>
    <mergeCell ref="Z268:AA268"/>
    <mergeCell ref="Z299:AA299"/>
    <mergeCell ref="Z300:AA300"/>
    <mergeCell ref="Z301:AA301"/>
    <mergeCell ref="Z304:AA304"/>
    <mergeCell ref="Z312:AA312"/>
    <mergeCell ref="J313:K313"/>
    <mergeCell ref="J326:K326"/>
    <mergeCell ref="J328:K328"/>
    <mergeCell ref="J336:K336"/>
    <mergeCell ref="J280:K280"/>
    <mergeCell ref="J281:K281"/>
    <mergeCell ref="J285:K285"/>
    <mergeCell ref="J299:K299"/>
    <mergeCell ref="J300:K300"/>
    <mergeCell ref="J301:K301"/>
    <mergeCell ref="J304:K304"/>
    <mergeCell ref="Z257:AA257"/>
    <mergeCell ref="Z258:AA258"/>
    <mergeCell ref="Z259:AA259"/>
    <mergeCell ref="Z260:AA260"/>
    <mergeCell ref="Z261:AA261"/>
    <mergeCell ref="Z264:AA264"/>
    <mergeCell ref="Z266:AA266"/>
    <mergeCell ref="Z267:AA267"/>
    <mergeCell ref="Z269:AA269"/>
    <mergeCell ref="Z271:AA271"/>
    <mergeCell ref="Z272:AA272"/>
    <mergeCell ref="Z273:AA273"/>
    <mergeCell ref="Z276:AA276"/>
    <mergeCell ref="Z277:AA277"/>
    <mergeCell ref="Z278:AA278"/>
    <mergeCell ref="Z279:AA279"/>
    <mergeCell ref="Z282:AA282"/>
    <mergeCell ref="Z284:AA284"/>
    <mergeCell ref="Z286:AA286"/>
    <mergeCell ref="Z287:AA287"/>
    <mergeCell ref="Z288:AA288"/>
    <mergeCell ref="Z289:AA289"/>
    <mergeCell ref="Z290:AA290"/>
    <mergeCell ref="Z291:AA291"/>
    <mergeCell ref="Z292:AA292"/>
    <mergeCell ref="Z293:AA293"/>
    <mergeCell ref="Z294:AA294"/>
    <mergeCell ref="Z295:AA295"/>
    <mergeCell ref="Z296:AA296"/>
    <mergeCell ref="Z297:AA297"/>
    <mergeCell ref="Z298:AA298"/>
    <mergeCell ref="Z302:AA302"/>
    <mergeCell ref="Z303:AA303"/>
    <mergeCell ref="Z306:AA306"/>
    <mergeCell ref="Z307:AA307"/>
    <mergeCell ref="Z309:AA309"/>
    <mergeCell ref="Z310:AA310"/>
    <mergeCell ref="Z311:AA311"/>
    <mergeCell ref="Z315:AA315"/>
    <mergeCell ref="Z316:AA316"/>
    <mergeCell ref="Z317:AA317"/>
    <mergeCell ref="Z318:AA318"/>
    <mergeCell ref="Z319:AA319"/>
    <mergeCell ref="Z320:AA320"/>
    <mergeCell ref="Z321:AA321"/>
    <mergeCell ref="Z322:AA322"/>
    <mergeCell ref="Z323:AA323"/>
    <mergeCell ref="Z324:AA324"/>
    <mergeCell ref="Z325:AA325"/>
    <mergeCell ref="Z114:AA114"/>
    <mergeCell ref="Z115:AA115"/>
    <mergeCell ref="Z116:AA116"/>
    <mergeCell ref="J117:K117"/>
    <mergeCell ref="Z117:AA117"/>
    <mergeCell ref="J119:K119"/>
    <mergeCell ref="S119:T119"/>
    <mergeCell ref="Z118:AA118"/>
    <mergeCell ref="Z119:AA119"/>
    <mergeCell ref="Z120:AA120"/>
    <mergeCell ref="Z121:AA121"/>
    <mergeCell ref="S122:T122"/>
    <mergeCell ref="Z122:AA122"/>
    <mergeCell ref="Z123:AA123"/>
    <mergeCell ref="S94:T94"/>
    <mergeCell ref="Z94:AA94"/>
    <mergeCell ref="AK96:AL96"/>
    <mergeCell ref="Z84:AA84"/>
    <mergeCell ref="Z85:AA85"/>
    <mergeCell ref="Z86:AA86"/>
    <mergeCell ref="Z87:AA87"/>
    <mergeCell ref="Z88:AA88"/>
    <mergeCell ref="Z89:AA89"/>
    <mergeCell ref="S90:T90"/>
    <mergeCell ref="Z90:AA90"/>
    <mergeCell ref="Z91:AA91"/>
    <mergeCell ref="Z92:AA92"/>
    <mergeCell ref="Z93:AA93"/>
    <mergeCell ref="Z95:AA95"/>
    <mergeCell ref="Z96:AA96"/>
    <mergeCell ref="Z97:AA97"/>
    <mergeCell ref="Z98:AA98"/>
    <mergeCell ref="Z99:AA99"/>
    <mergeCell ref="Z100:AA100"/>
    <mergeCell ref="S101:T101"/>
    <mergeCell ref="Z101:AA101"/>
    <mergeCell ref="J102:K102"/>
    <mergeCell ref="S103:T103"/>
    <mergeCell ref="Z102:AA102"/>
    <mergeCell ref="Z103:AA103"/>
    <mergeCell ref="Z104:AA104"/>
    <mergeCell ref="Z105:AA105"/>
    <mergeCell ref="Z106:AA106"/>
    <mergeCell ref="S107:T107"/>
    <mergeCell ref="Z107:AA107"/>
    <mergeCell ref="Z108:AA108"/>
    <mergeCell ref="Z109:AA109"/>
    <mergeCell ref="Z110:AA110"/>
    <mergeCell ref="S111:T111"/>
    <mergeCell ref="Z111:AA111"/>
    <mergeCell ref="Z112:AA112"/>
    <mergeCell ref="Z113:AA113"/>
    <mergeCell ref="Z124:AA124"/>
    <mergeCell ref="J125:K125"/>
    <mergeCell ref="Z125:AA125"/>
    <mergeCell ref="Z126:AA126"/>
    <mergeCell ref="Z127:AA127"/>
    <mergeCell ref="Z128:AA128"/>
    <mergeCell ref="J130:K130"/>
    <mergeCell ref="Z152:AA152"/>
    <mergeCell ref="Z153:AA153"/>
    <mergeCell ref="J156:K156"/>
    <mergeCell ref="J157:K157"/>
    <mergeCell ref="S157:T157"/>
    <mergeCell ref="J158:K158"/>
    <mergeCell ref="J161:K161"/>
    <mergeCell ref="Z154:AA154"/>
    <mergeCell ref="Z161:AA161"/>
    <mergeCell ref="Z162:AA162"/>
    <mergeCell ref="Z163:AA163"/>
    <mergeCell ref="Z164:AA164"/>
    <mergeCell ref="Z165:AA165"/>
    <mergeCell ref="S167:T167"/>
    <mergeCell ref="Z136:AA136"/>
    <mergeCell ref="Z137:AA137"/>
    <mergeCell ref="Z138:AA138"/>
    <mergeCell ref="J139:K139"/>
    <mergeCell ref="Z139:AA139"/>
    <mergeCell ref="Z129:AA129"/>
    <mergeCell ref="Z130:AA130"/>
    <mergeCell ref="Z131:AA131"/>
    <mergeCell ref="Z132:AA132"/>
    <mergeCell ref="Z133:AA133"/>
    <mergeCell ref="Z134:AA134"/>
    <mergeCell ref="Z135:AA135"/>
    <mergeCell ref="Z140:AA140"/>
    <mergeCell ref="Z141:AA141"/>
    <mergeCell ref="Z142:AA142"/>
    <mergeCell ref="Z143:AA143"/>
    <mergeCell ref="Z144:AA144"/>
    <mergeCell ref="J145:K145"/>
    <mergeCell ref="Z145:AA145"/>
    <mergeCell ref="Z146:AA146"/>
    <mergeCell ref="Z147:AA147"/>
    <mergeCell ref="Z148:AA148"/>
    <mergeCell ref="Z149:AA149"/>
    <mergeCell ref="Z150:AA150"/>
    <mergeCell ref="Z151:AA151"/>
    <mergeCell ref="S152:T152"/>
    <mergeCell ref="Z156:AA156"/>
    <mergeCell ref="Z157:AA157"/>
    <mergeCell ref="Z155:AA155"/>
    <mergeCell ref="Z158:AA158"/>
    <mergeCell ref="Z159:AA159"/>
    <mergeCell ref="Z160:AA160"/>
    <mergeCell ref="Z172:AA172"/>
    <mergeCell ref="Z173:AA173"/>
    <mergeCell ref="Z218:AA218"/>
    <mergeCell ref="Z224:AA224"/>
    <mergeCell ref="AK232:AL232"/>
    <mergeCell ref="Z209:AA209"/>
    <mergeCell ref="S210:T210"/>
    <mergeCell ref="Z210:AA210"/>
    <mergeCell ref="J215:K215"/>
    <mergeCell ref="Z215:AA215"/>
    <mergeCell ref="J218:K218"/>
    <mergeCell ref="J224:K224"/>
    <mergeCell ref="Z171:AA171"/>
    <mergeCell ref="Z174:AA174"/>
    <mergeCell ref="Z175:AA175"/>
    <mergeCell ref="Z176:AA176"/>
    <mergeCell ref="Z177:AA177"/>
    <mergeCell ref="Z178:AA178"/>
    <mergeCell ref="Z179:AA179"/>
    <mergeCell ref="Z202:AA202"/>
    <mergeCell ref="Z203:AA203"/>
    <mergeCell ref="Z204:AA204"/>
    <mergeCell ref="Z205:AA205"/>
    <mergeCell ref="Z206:AA206"/>
    <mergeCell ref="Z207:AA207"/>
    <mergeCell ref="Z208:AA208"/>
    <mergeCell ref="Z211:AA211"/>
    <mergeCell ref="Z212:AA212"/>
    <mergeCell ref="Z213:AA213"/>
    <mergeCell ref="Z214:AA214"/>
    <mergeCell ref="Z216:AA216"/>
    <mergeCell ref="Z217:AA217"/>
    <mergeCell ref="Z219:AA219"/>
    <mergeCell ref="Z220:AA220"/>
    <mergeCell ref="Z221:AA221"/>
    <mergeCell ref="Z222:AA222"/>
    <mergeCell ref="Z223:AA223"/>
    <mergeCell ref="Z225:AA225"/>
    <mergeCell ref="Z227:AA227"/>
    <mergeCell ref="Z228:AA228"/>
    <mergeCell ref="Z229:AA229"/>
    <mergeCell ref="Z231:AA231"/>
    <mergeCell ref="Z233:AA233"/>
    <mergeCell ref="Z235:AA235"/>
    <mergeCell ref="Z236:AA236"/>
    <mergeCell ref="Z239:AA239"/>
    <mergeCell ref="Z240:AA240"/>
    <mergeCell ref="Z241:AA241"/>
    <mergeCell ref="Z243:AA243"/>
    <mergeCell ref="Z244:AA244"/>
    <mergeCell ref="Z245:AA245"/>
    <mergeCell ref="Z246:AA246"/>
    <mergeCell ref="Z247:AA247"/>
    <mergeCell ref="Z248:AA248"/>
    <mergeCell ref="Z249:AA249"/>
    <mergeCell ref="Z250:AA250"/>
    <mergeCell ref="Z252:AA252"/>
    <mergeCell ref="Z253:AA253"/>
    <mergeCell ref="Z254:AA254"/>
    <mergeCell ref="Z255:AA255"/>
    <mergeCell ref="Z256:AA256"/>
    <mergeCell ref="Z368:AA368"/>
    <mergeCell ref="Z369:AA369"/>
    <mergeCell ref="Z370:AA370"/>
    <mergeCell ref="J371:K371"/>
    <mergeCell ref="Z371:AA371"/>
    <mergeCell ref="S372:T372"/>
    <mergeCell ref="J373:K373"/>
    <mergeCell ref="Z378:AA378"/>
    <mergeCell ref="Z379:AA379"/>
    <mergeCell ref="Z380:AA380"/>
    <mergeCell ref="Z381:AA381"/>
    <mergeCell ref="Z382:AA382"/>
    <mergeCell ref="Z383:AA383"/>
    <mergeCell ref="Z384:AA384"/>
    <mergeCell ref="Z372:AA372"/>
    <mergeCell ref="Z373:AA373"/>
    <mergeCell ref="AK373:AL373"/>
    <mergeCell ref="Z374:AA374"/>
    <mergeCell ref="Z375:AA375"/>
    <mergeCell ref="Z376:AA376"/>
    <mergeCell ref="Z377:AA377"/>
    <mergeCell ref="Z327:AA327"/>
    <mergeCell ref="Z329:AA329"/>
    <mergeCell ref="Z330:AA330"/>
    <mergeCell ref="Z331:AA331"/>
    <mergeCell ref="Z333:AA333"/>
    <mergeCell ref="Z334:AA334"/>
    <mergeCell ref="Z335:AA335"/>
    <mergeCell ref="S346:T346"/>
    <mergeCell ref="Z346:AA346"/>
    <mergeCell ref="S349:T349"/>
    <mergeCell ref="Z349:AA349"/>
    <mergeCell ref="Z337:AA337"/>
    <mergeCell ref="Z338:AA338"/>
    <mergeCell ref="Z339:AA339"/>
    <mergeCell ref="Z340:AA340"/>
    <mergeCell ref="Z341:AA341"/>
    <mergeCell ref="Z342:AA342"/>
    <mergeCell ref="S344:T344"/>
    <mergeCell ref="Z343:AA343"/>
    <mergeCell ref="Z344:AA344"/>
    <mergeCell ref="Z345:AA345"/>
    <mergeCell ref="Z347:AA347"/>
    <mergeCell ref="Z348:AA348"/>
    <mergeCell ref="Z350:AA350"/>
    <mergeCell ref="Z351:AA351"/>
    <mergeCell ref="Z352:AA352"/>
    <mergeCell ref="Z353:AA353"/>
    <mergeCell ref="Z354:AA354"/>
    <mergeCell ref="Z355:AA355"/>
    <mergeCell ref="Z356:AA356"/>
    <mergeCell ref="Z357:AA357"/>
    <mergeCell ref="S358:T358"/>
    <mergeCell ref="Z365:AA365"/>
    <mergeCell ref="Z366:AA366"/>
    <mergeCell ref="J367:K367"/>
    <mergeCell ref="Z367:AA367"/>
    <mergeCell ref="Z358:AA358"/>
    <mergeCell ref="Z359:AA359"/>
    <mergeCell ref="Z360:AA360"/>
    <mergeCell ref="Z361:AA361"/>
    <mergeCell ref="Z362:AA362"/>
    <mergeCell ref="Z363:AA363"/>
    <mergeCell ref="Z364:AA364"/>
  </mergeCells>
  <hyperlinks>
    <hyperlink r:id="rId1" ref="C1"/>
    <hyperlink r:id="rId2" ref="AU2"/>
    <hyperlink r:id="rId3" ref="BK2"/>
    <hyperlink r:id="rId4" ref="AU3"/>
    <hyperlink r:id="rId5" ref="BK3"/>
    <hyperlink r:id="rId6" ref="AU4"/>
    <hyperlink r:id="rId7" ref="BK4"/>
    <hyperlink r:id="rId8" ref="AU6"/>
    <hyperlink r:id="rId9" ref="BK6"/>
    <hyperlink r:id="rId10" ref="AU7"/>
    <hyperlink r:id="rId11" ref="BK7"/>
    <hyperlink r:id="rId12" ref="AU8"/>
    <hyperlink r:id="rId13" ref="BK8"/>
    <hyperlink r:id="rId14" ref="AU9"/>
    <hyperlink r:id="rId15" ref="BK9"/>
    <hyperlink r:id="rId16" ref="AU10"/>
    <hyperlink r:id="rId17" ref="BK10"/>
    <hyperlink r:id="rId18" ref="AU11"/>
    <hyperlink r:id="rId19" ref="BK11"/>
    <hyperlink r:id="rId20" ref="AU12"/>
    <hyperlink r:id="rId21" ref="BK12"/>
    <hyperlink r:id="rId22" ref="AU13"/>
    <hyperlink r:id="rId23" ref="BK13"/>
    <hyperlink r:id="rId24" ref="AU15"/>
    <hyperlink r:id="rId25" ref="BK15"/>
    <hyperlink r:id="rId26" ref="AU16"/>
    <hyperlink r:id="rId27" ref="BK16"/>
    <hyperlink r:id="rId28" ref="AU18"/>
    <hyperlink r:id="rId29" ref="BK18"/>
    <hyperlink r:id="rId30" ref="AU19"/>
    <hyperlink r:id="rId31" ref="BK19"/>
    <hyperlink r:id="rId32" ref="AU20"/>
    <hyperlink r:id="rId33" ref="BK20"/>
    <hyperlink r:id="rId34" ref="AU21"/>
    <hyperlink r:id="rId35" ref="BK21"/>
    <hyperlink r:id="rId36" ref="AU22"/>
    <hyperlink r:id="rId37" ref="BK22"/>
    <hyperlink r:id="rId38" ref="AU23"/>
    <hyperlink r:id="rId39" ref="BK23"/>
    <hyperlink r:id="rId40" ref="AU24"/>
    <hyperlink r:id="rId41" ref="BK24"/>
    <hyperlink r:id="rId42" ref="AU25"/>
    <hyperlink r:id="rId43" ref="BK25"/>
    <hyperlink r:id="rId44" ref="AU26"/>
    <hyperlink r:id="rId45" ref="BK26"/>
    <hyperlink r:id="rId46" ref="AU27"/>
    <hyperlink r:id="rId47" ref="BK27"/>
    <hyperlink r:id="rId48" ref="AU28"/>
    <hyperlink r:id="rId49" ref="BK28"/>
    <hyperlink r:id="rId50" ref="AU30"/>
    <hyperlink r:id="rId51" ref="BK30"/>
    <hyperlink r:id="rId52" ref="AU31"/>
    <hyperlink r:id="rId53" ref="BK31"/>
    <hyperlink r:id="rId54" ref="AU32"/>
    <hyperlink r:id="rId55" ref="BK32"/>
    <hyperlink r:id="rId56" ref="AU34"/>
    <hyperlink r:id="rId57" ref="BK34"/>
    <hyperlink r:id="rId58" ref="AU35"/>
    <hyperlink r:id="rId59" ref="BK35"/>
    <hyperlink r:id="rId60" ref="AU36"/>
    <hyperlink r:id="rId61" ref="BK36"/>
    <hyperlink r:id="rId62" ref="AU37"/>
    <hyperlink r:id="rId63" ref="BK37"/>
    <hyperlink r:id="rId64" ref="AU38"/>
    <hyperlink r:id="rId65" ref="BK38"/>
    <hyperlink r:id="rId66" ref="AU39"/>
    <hyperlink r:id="rId67" ref="BK39"/>
    <hyperlink r:id="rId68" ref="AU40"/>
    <hyperlink r:id="rId69" ref="BK40"/>
    <hyperlink r:id="rId70" ref="AU41"/>
    <hyperlink r:id="rId71" ref="BK41"/>
    <hyperlink r:id="rId72" ref="AU42"/>
    <hyperlink r:id="rId73" ref="BK42"/>
    <hyperlink r:id="rId74" ref="AU43"/>
    <hyperlink r:id="rId75" ref="BK43"/>
    <hyperlink r:id="rId76" ref="AU44"/>
    <hyperlink r:id="rId77" ref="BK44"/>
    <hyperlink r:id="rId78" ref="AU45"/>
    <hyperlink r:id="rId79" ref="BK45"/>
    <hyperlink r:id="rId80" ref="AU46"/>
    <hyperlink r:id="rId81" ref="BK46"/>
    <hyperlink r:id="rId82" ref="AU47"/>
    <hyperlink r:id="rId83" ref="BK47"/>
    <hyperlink r:id="rId84" ref="AU48"/>
    <hyperlink r:id="rId85" ref="BK48"/>
    <hyperlink r:id="rId86" ref="AU49"/>
    <hyperlink r:id="rId87" ref="BK49"/>
    <hyperlink r:id="rId88" ref="AU50"/>
    <hyperlink r:id="rId89" ref="BK50"/>
    <hyperlink r:id="rId90" ref="AU53"/>
    <hyperlink r:id="rId91" ref="BK53"/>
    <hyperlink r:id="rId92" ref="AU54"/>
    <hyperlink r:id="rId93" ref="BK54"/>
    <hyperlink r:id="rId94" ref="AU55"/>
    <hyperlink r:id="rId95" ref="BK55"/>
    <hyperlink r:id="rId96" ref="AU56"/>
    <hyperlink r:id="rId97" ref="BK56"/>
    <hyperlink r:id="rId98" ref="AU57"/>
    <hyperlink r:id="rId99" ref="BK57"/>
    <hyperlink r:id="rId100" ref="AU58"/>
    <hyperlink r:id="rId101" ref="BK58"/>
    <hyperlink r:id="rId102" ref="AU59"/>
    <hyperlink r:id="rId103" ref="BK59"/>
    <hyperlink r:id="rId104" ref="AU60"/>
    <hyperlink r:id="rId105" ref="BK60"/>
    <hyperlink r:id="rId106" ref="AU61"/>
    <hyperlink r:id="rId107" ref="BK61"/>
    <hyperlink r:id="rId108" ref="AU62"/>
    <hyperlink r:id="rId109" ref="BK62"/>
    <hyperlink r:id="rId110" ref="AU63"/>
    <hyperlink r:id="rId111" ref="BK63"/>
    <hyperlink r:id="rId112" ref="AU64"/>
    <hyperlink r:id="rId113" ref="BK64"/>
    <hyperlink r:id="rId114" ref="AU65"/>
    <hyperlink r:id="rId115" ref="BK65"/>
    <hyperlink r:id="rId116" ref="AU66"/>
    <hyperlink r:id="rId117" ref="BK66"/>
    <hyperlink r:id="rId118" ref="AU67"/>
    <hyperlink r:id="rId119" ref="BK67"/>
    <hyperlink r:id="rId120" ref="AU68"/>
    <hyperlink r:id="rId121" ref="BK68"/>
    <hyperlink r:id="rId122" ref="AU70"/>
    <hyperlink r:id="rId123" ref="BK70"/>
    <hyperlink r:id="rId124" ref="AU71"/>
    <hyperlink r:id="rId125" ref="AU72"/>
    <hyperlink r:id="rId126" ref="BK72"/>
    <hyperlink r:id="rId127" ref="AU73"/>
    <hyperlink r:id="rId128" ref="BK73"/>
    <hyperlink r:id="rId129" ref="AU74"/>
    <hyperlink r:id="rId130" ref="BK74"/>
    <hyperlink r:id="rId131" ref="AU76"/>
    <hyperlink r:id="rId132" ref="BK76"/>
    <hyperlink r:id="rId133" ref="AU77"/>
    <hyperlink r:id="rId134" ref="BK77"/>
    <hyperlink r:id="rId135" ref="AU78"/>
    <hyperlink r:id="rId136" ref="BK78"/>
    <hyperlink r:id="rId137" ref="AU79"/>
    <hyperlink r:id="rId138" ref="BK79"/>
    <hyperlink r:id="rId139" ref="AU80"/>
    <hyperlink r:id="rId140" ref="BK80"/>
    <hyperlink r:id="rId141" ref="AU81"/>
    <hyperlink r:id="rId142" ref="BK81"/>
    <hyperlink r:id="rId143" ref="AU83"/>
    <hyperlink r:id="rId144" ref="BK83"/>
    <hyperlink r:id="rId145" ref="AU85"/>
    <hyperlink r:id="rId146" ref="BK85"/>
    <hyperlink r:id="rId147" ref="AU86"/>
    <hyperlink r:id="rId148" ref="BK86"/>
    <hyperlink r:id="rId149" ref="AU87"/>
    <hyperlink r:id="rId150" ref="BK87"/>
    <hyperlink r:id="rId151" ref="AU88"/>
    <hyperlink r:id="rId152" ref="BK88"/>
    <hyperlink r:id="rId153" ref="AU89"/>
    <hyperlink r:id="rId154" ref="BK89"/>
    <hyperlink r:id="rId155" ref="AU90"/>
    <hyperlink r:id="rId156" ref="BK90"/>
    <hyperlink r:id="rId157" ref="AU91"/>
    <hyperlink r:id="rId158" ref="BK91"/>
    <hyperlink r:id="rId159" ref="AU92"/>
    <hyperlink r:id="rId160" ref="BK92"/>
    <hyperlink r:id="rId161" ref="AU94"/>
    <hyperlink r:id="rId162" ref="BK94"/>
    <hyperlink r:id="rId163" ref="AU95"/>
    <hyperlink r:id="rId164" ref="BK95"/>
    <hyperlink r:id="rId165" ref="AU97"/>
    <hyperlink r:id="rId166" ref="BK97"/>
    <hyperlink r:id="rId167" ref="AU98"/>
    <hyperlink r:id="rId168" ref="BK98"/>
    <hyperlink r:id="rId169" ref="AU99"/>
    <hyperlink r:id="rId170" ref="BK99"/>
    <hyperlink r:id="rId171" ref="AU100"/>
    <hyperlink r:id="rId172" ref="BK100"/>
    <hyperlink r:id="rId173" ref="AU101"/>
    <hyperlink r:id="rId174" ref="BK101"/>
    <hyperlink r:id="rId175" ref="AU102"/>
    <hyperlink r:id="rId176" ref="BK102"/>
    <hyperlink r:id="rId177" ref="AU103"/>
    <hyperlink r:id="rId178" ref="BK103"/>
    <hyperlink r:id="rId179" ref="AU104"/>
    <hyperlink r:id="rId180" ref="BK104"/>
    <hyperlink r:id="rId181" ref="AU105"/>
    <hyperlink r:id="rId182" ref="BK105"/>
    <hyperlink r:id="rId183" ref="AU106"/>
    <hyperlink r:id="rId184" ref="BK106"/>
    <hyperlink r:id="rId185" ref="AU107"/>
    <hyperlink r:id="rId186" ref="BK107"/>
    <hyperlink r:id="rId187" ref="AU108"/>
    <hyperlink r:id="rId188" ref="BK108"/>
    <hyperlink r:id="rId189" ref="AU109"/>
    <hyperlink r:id="rId190" ref="BK109"/>
    <hyperlink r:id="rId191" ref="AU110"/>
    <hyperlink r:id="rId192" ref="BK110"/>
    <hyperlink r:id="rId193" ref="AU111"/>
    <hyperlink r:id="rId194" ref="BK111"/>
    <hyperlink r:id="rId195" ref="AU112"/>
    <hyperlink r:id="rId196" ref="BK112"/>
    <hyperlink r:id="rId197" ref="AU113"/>
    <hyperlink r:id="rId198" ref="BK113"/>
    <hyperlink r:id="rId199" ref="AU114"/>
    <hyperlink r:id="rId200" ref="BK114"/>
    <hyperlink r:id="rId201" ref="AU115"/>
    <hyperlink r:id="rId202" ref="BK115"/>
    <hyperlink r:id="rId203" ref="AU116"/>
    <hyperlink r:id="rId204" ref="BK116"/>
    <hyperlink r:id="rId205" ref="AU117"/>
    <hyperlink r:id="rId206" ref="BK117"/>
    <hyperlink r:id="rId207" ref="AU118"/>
    <hyperlink r:id="rId208" ref="BK118"/>
    <hyperlink r:id="rId209" ref="AU120"/>
    <hyperlink r:id="rId210" ref="BK120"/>
    <hyperlink r:id="rId211" ref="AU121"/>
    <hyperlink r:id="rId212" ref="BK121"/>
    <hyperlink r:id="rId213" ref="AU122"/>
    <hyperlink r:id="rId214" ref="BK122"/>
    <hyperlink r:id="rId215" ref="AU123"/>
    <hyperlink r:id="rId216" ref="BK123"/>
    <hyperlink r:id="rId217" ref="AU124"/>
    <hyperlink r:id="rId218" ref="BK124"/>
    <hyperlink r:id="rId219" ref="AU125"/>
    <hyperlink r:id="rId220" ref="BK125"/>
    <hyperlink r:id="rId221" ref="AU126"/>
    <hyperlink r:id="rId222" ref="BK126"/>
    <hyperlink r:id="rId223" ref="AU127"/>
    <hyperlink r:id="rId224" ref="BK127"/>
    <hyperlink r:id="rId225" ref="AU128"/>
    <hyperlink r:id="rId226" ref="BK128"/>
    <hyperlink r:id="rId227" ref="AU129"/>
    <hyperlink r:id="rId228" ref="BK129"/>
    <hyperlink r:id="rId229" ref="AU130"/>
    <hyperlink r:id="rId230" ref="BK130"/>
    <hyperlink r:id="rId231" ref="AU131"/>
    <hyperlink r:id="rId232" ref="BK131"/>
    <hyperlink r:id="rId233" ref="AU132"/>
    <hyperlink r:id="rId234" ref="BK132"/>
    <hyperlink r:id="rId235" ref="AU133"/>
    <hyperlink r:id="rId236" ref="BK133"/>
    <hyperlink r:id="rId237" ref="AU134"/>
    <hyperlink r:id="rId238" ref="BK134"/>
    <hyperlink r:id="rId239" ref="AU135"/>
    <hyperlink r:id="rId240" ref="BK135"/>
    <hyperlink r:id="rId241" ref="AU137"/>
    <hyperlink r:id="rId242" ref="BK137"/>
    <hyperlink r:id="rId243" ref="AU138"/>
    <hyperlink r:id="rId244" ref="BK138"/>
    <hyperlink r:id="rId245" ref="AU139"/>
    <hyperlink r:id="rId246" ref="BK139"/>
    <hyperlink r:id="rId247" ref="AU140"/>
    <hyperlink r:id="rId248" ref="BK140"/>
    <hyperlink r:id="rId249" ref="AU141"/>
    <hyperlink r:id="rId250" ref="BK141"/>
    <hyperlink r:id="rId251" ref="AU142"/>
    <hyperlink r:id="rId252" ref="BK142"/>
    <hyperlink r:id="rId253" ref="AU143"/>
    <hyperlink r:id="rId254" ref="BK143"/>
    <hyperlink r:id="rId255" ref="AU144"/>
    <hyperlink r:id="rId256" ref="BK144"/>
    <hyperlink r:id="rId257" ref="AU145"/>
    <hyperlink r:id="rId258" ref="BK145"/>
    <hyperlink r:id="rId259" ref="AU146"/>
    <hyperlink r:id="rId260" ref="BK146"/>
    <hyperlink r:id="rId261" ref="AU147"/>
    <hyperlink r:id="rId262" ref="BK147"/>
    <hyperlink r:id="rId263" ref="AU149"/>
    <hyperlink r:id="rId264" ref="BK149"/>
    <hyperlink r:id="rId265" ref="AU150"/>
    <hyperlink r:id="rId266" ref="BK150"/>
    <hyperlink r:id="rId267" ref="AU151"/>
    <hyperlink r:id="rId268" ref="BK151"/>
    <hyperlink r:id="rId269" ref="AU153"/>
    <hyperlink r:id="rId270" ref="BK153"/>
    <hyperlink r:id="rId271" ref="AU154"/>
    <hyperlink r:id="rId272" ref="BK154"/>
    <hyperlink r:id="rId273" ref="AU156"/>
    <hyperlink r:id="rId274" ref="BK156"/>
    <hyperlink r:id="rId275" ref="AU159"/>
    <hyperlink r:id="rId276" ref="BK159"/>
    <hyperlink r:id="rId277" ref="AU160"/>
    <hyperlink r:id="rId278" ref="BK160"/>
    <hyperlink r:id="rId279" ref="AU163"/>
    <hyperlink r:id="rId280" ref="BK163"/>
    <hyperlink r:id="rId281" ref="AU164"/>
    <hyperlink r:id="rId282" ref="BK164"/>
    <hyperlink r:id="rId283" ref="AU165"/>
    <hyperlink r:id="rId284" ref="BK165"/>
    <hyperlink r:id="rId285" ref="AU166"/>
    <hyperlink r:id="rId286" ref="BK166"/>
    <hyperlink r:id="rId287" ref="AU167"/>
    <hyperlink r:id="rId288" ref="BK167"/>
    <hyperlink r:id="rId289" ref="AU168"/>
    <hyperlink r:id="rId290" ref="BK168"/>
    <hyperlink r:id="rId291" ref="AU169"/>
    <hyperlink r:id="rId292" ref="BK169"/>
    <hyperlink r:id="rId293" ref="AU170"/>
    <hyperlink r:id="rId294" ref="BK170"/>
    <hyperlink r:id="rId295" ref="AU171"/>
    <hyperlink r:id="rId296" ref="BK171"/>
    <hyperlink r:id="rId297" ref="AU172"/>
    <hyperlink r:id="rId298" ref="BK172"/>
    <hyperlink r:id="rId299" ref="AU173"/>
    <hyperlink r:id="rId300" ref="BK173"/>
    <hyperlink r:id="rId301" ref="AU174"/>
    <hyperlink r:id="rId302" ref="BK174"/>
    <hyperlink r:id="rId303" ref="AU175"/>
    <hyperlink r:id="rId304" ref="BK175"/>
    <hyperlink r:id="rId305" ref="AU176"/>
    <hyperlink r:id="rId306" ref="BK176"/>
    <hyperlink r:id="rId307" ref="AU177"/>
    <hyperlink r:id="rId308" ref="BK177"/>
    <hyperlink r:id="rId309" ref="AU178"/>
    <hyperlink r:id="rId310" ref="BK178"/>
    <hyperlink r:id="rId311" ref="AU179"/>
    <hyperlink r:id="rId312" ref="BK179"/>
    <hyperlink r:id="rId313" ref="AU180"/>
    <hyperlink r:id="rId314" ref="BK180"/>
    <hyperlink r:id="rId315" ref="AU181"/>
    <hyperlink r:id="rId316" ref="BK181"/>
    <hyperlink r:id="rId317" ref="AU182"/>
    <hyperlink r:id="rId318" ref="BK182"/>
    <hyperlink r:id="rId319" ref="AU184"/>
    <hyperlink r:id="rId320" ref="BK184"/>
    <hyperlink r:id="rId321" ref="AU185"/>
    <hyperlink r:id="rId322" ref="BK185"/>
    <hyperlink r:id="rId323" ref="AU186"/>
    <hyperlink r:id="rId324" ref="BK186"/>
    <hyperlink r:id="rId325" ref="AU187"/>
    <hyperlink r:id="rId326" ref="BK187"/>
    <hyperlink r:id="rId327" ref="AU188"/>
    <hyperlink r:id="rId328" ref="BK188"/>
    <hyperlink r:id="rId329" ref="AU191"/>
    <hyperlink r:id="rId330" ref="BK191"/>
    <hyperlink r:id="rId331" ref="AU192"/>
    <hyperlink r:id="rId332" ref="BK192"/>
    <hyperlink r:id="rId333" ref="AU193"/>
    <hyperlink r:id="rId334" ref="AU194"/>
    <hyperlink r:id="rId335" ref="BK194"/>
    <hyperlink r:id="rId336" ref="AU195"/>
    <hyperlink r:id="rId337" ref="BK195"/>
    <hyperlink r:id="rId338" ref="AU196"/>
    <hyperlink r:id="rId339" ref="BK196"/>
    <hyperlink r:id="rId340" ref="AU197"/>
    <hyperlink r:id="rId341" ref="BK197"/>
    <hyperlink r:id="rId342" ref="AU199"/>
    <hyperlink r:id="rId343" ref="BK199"/>
    <hyperlink r:id="rId344" ref="AU201"/>
    <hyperlink r:id="rId345" ref="BK201"/>
    <hyperlink r:id="rId346" ref="AU202"/>
    <hyperlink r:id="rId347" ref="BK202"/>
    <hyperlink r:id="rId348" ref="AU203"/>
    <hyperlink r:id="rId349" ref="BK203"/>
    <hyperlink r:id="rId350" ref="AU204"/>
    <hyperlink r:id="rId351" ref="BK204"/>
    <hyperlink r:id="rId352" ref="AU205"/>
    <hyperlink r:id="rId353" ref="BK205"/>
    <hyperlink r:id="rId354" ref="AU206"/>
    <hyperlink r:id="rId355" ref="BK206"/>
    <hyperlink r:id="rId356" ref="AU207"/>
    <hyperlink r:id="rId357" ref="AY207"/>
    <hyperlink r:id="rId358" ref="BF207"/>
    <hyperlink r:id="rId359" ref="BK207"/>
    <hyperlink r:id="rId360" ref="AU208"/>
    <hyperlink r:id="rId361" ref="BK208"/>
    <hyperlink r:id="rId362" ref="AU210"/>
    <hyperlink r:id="rId363" ref="BK210"/>
    <hyperlink r:id="rId364" ref="AU211"/>
    <hyperlink r:id="rId365" ref="BK211"/>
    <hyperlink r:id="rId366" ref="AU212"/>
    <hyperlink r:id="rId367" ref="BK212"/>
    <hyperlink r:id="rId368" ref="AU213"/>
    <hyperlink r:id="rId369" ref="BK213"/>
    <hyperlink r:id="rId370" ref="AU215"/>
    <hyperlink r:id="rId371" ref="BK215"/>
    <hyperlink r:id="rId372" ref="AU216"/>
    <hyperlink r:id="rId373" ref="BK216"/>
    <hyperlink r:id="rId374" ref="AU217"/>
    <hyperlink r:id="rId375" ref="BK217"/>
    <hyperlink r:id="rId376" ref="AU218"/>
    <hyperlink r:id="rId377" ref="BK218"/>
    <hyperlink r:id="rId378" ref="AU219"/>
    <hyperlink r:id="rId379" ref="BK219"/>
    <hyperlink r:id="rId380" ref="AU220"/>
    <hyperlink r:id="rId381" ref="BK220"/>
    <hyperlink r:id="rId382" ref="AU221"/>
    <hyperlink r:id="rId383" ref="BK221"/>
    <hyperlink r:id="rId384" ref="AU222"/>
    <hyperlink r:id="rId385" ref="BK222"/>
    <hyperlink r:id="rId386" ref="AU223"/>
    <hyperlink r:id="rId387" ref="BK223"/>
    <hyperlink r:id="rId388" ref="AU224"/>
    <hyperlink r:id="rId389" ref="BK224"/>
    <hyperlink r:id="rId390" ref="AU225"/>
    <hyperlink r:id="rId391" ref="BK225"/>
    <hyperlink r:id="rId392" ref="AU226"/>
    <hyperlink r:id="rId393" ref="BK226"/>
    <hyperlink r:id="rId394" ref="AU227"/>
    <hyperlink r:id="rId395" ref="BK227"/>
    <hyperlink r:id="rId396" ref="AU229"/>
    <hyperlink r:id="rId397" ref="BK229"/>
    <hyperlink r:id="rId398" ref="AU230"/>
    <hyperlink r:id="rId399" ref="BK230"/>
    <hyperlink r:id="rId400" ref="AU233"/>
    <hyperlink r:id="rId401" ref="BK233"/>
    <hyperlink r:id="rId402" ref="AU234"/>
    <hyperlink r:id="rId403" ref="BK234"/>
    <hyperlink r:id="rId404" ref="AU235"/>
    <hyperlink r:id="rId405" ref="BK235"/>
    <hyperlink r:id="rId406" ref="AU236"/>
    <hyperlink r:id="rId407" ref="BK236"/>
    <hyperlink r:id="rId408" ref="AU237"/>
    <hyperlink r:id="rId409" ref="BK237"/>
    <hyperlink r:id="rId410" ref="AU238"/>
    <hyperlink r:id="rId411" ref="BK238"/>
    <hyperlink r:id="rId412" ref="AU239"/>
    <hyperlink r:id="rId413" ref="BK239"/>
    <hyperlink r:id="rId414" ref="AU240"/>
    <hyperlink r:id="rId415" ref="BK240"/>
    <hyperlink r:id="rId416" ref="AU241"/>
    <hyperlink r:id="rId417" ref="BK241"/>
    <hyperlink r:id="rId418" ref="AU243"/>
    <hyperlink r:id="rId419" ref="BK243"/>
    <hyperlink r:id="rId420" ref="AU244"/>
    <hyperlink r:id="rId421" ref="BK244"/>
    <hyperlink r:id="rId422" ref="AU245"/>
    <hyperlink r:id="rId423" ref="BK245"/>
    <hyperlink r:id="rId424" ref="AU246"/>
    <hyperlink r:id="rId425" ref="BK246"/>
    <hyperlink r:id="rId426" ref="AU249"/>
    <hyperlink r:id="rId427" ref="BK249"/>
    <hyperlink r:id="rId428" ref="AU250"/>
    <hyperlink r:id="rId429" ref="BK250"/>
    <hyperlink r:id="rId430" ref="AU251"/>
    <hyperlink r:id="rId431" ref="BK251"/>
    <hyperlink r:id="rId432" ref="AU253"/>
    <hyperlink r:id="rId433" ref="BK253"/>
    <hyperlink r:id="rId434" ref="AU254"/>
    <hyperlink r:id="rId435" ref="BK254"/>
    <hyperlink r:id="rId436" ref="AU255"/>
    <hyperlink r:id="rId437" ref="BK255"/>
    <hyperlink r:id="rId438" ref="AU256"/>
    <hyperlink r:id="rId439" ref="BK256"/>
    <hyperlink r:id="rId440" ref="AU257"/>
    <hyperlink r:id="rId441" ref="BK257"/>
    <hyperlink r:id="rId442" ref="AU258"/>
    <hyperlink r:id="rId443" ref="BK258"/>
    <hyperlink r:id="rId444" ref="AU259"/>
    <hyperlink r:id="rId445" ref="BK259"/>
    <hyperlink r:id="rId446" ref="AU260"/>
    <hyperlink r:id="rId447" ref="BK260"/>
    <hyperlink r:id="rId448" ref="AU261"/>
    <hyperlink r:id="rId449" ref="BK261"/>
    <hyperlink r:id="rId450" ref="AU262"/>
    <hyperlink r:id="rId451" ref="BK262"/>
    <hyperlink r:id="rId452" ref="AU263"/>
    <hyperlink r:id="rId453" ref="BK263"/>
    <hyperlink r:id="rId454" ref="AU264"/>
    <hyperlink r:id="rId455" ref="BK264"/>
    <hyperlink r:id="rId456" ref="AU265"/>
    <hyperlink r:id="rId457" ref="BK265"/>
    <hyperlink r:id="rId458" ref="AU266"/>
    <hyperlink r:id="rId459" ref="BK266"/>
    <hyperlink r:id="rId460" ref="AU267"/>
    <hyperlink r:id="rId461" ref="BK267"/>
    <hyperlink r:id="rId462" ref="AU268"/>
    <hyperlink r:id="rId463" ref="BK268"/>
    <hyperlink r:id="rId464" ref="AU269"/>
    <hyperlink r:id="rId465" ref="BK269"/>
    <hyperlink r:id="rId466" ref="AU270"/>
    <hyperlink r:id="rId467" ref="BK270"/>
    <hyperlink r:id="rId468" ref="AU271"/>
    <hyperlink r:id="rId469" ref="BK271"/>
    <hyperlink r:id="rId470" ref="AU272"/>
    <hyperlink r:id="rId471" ref="BK272"/>
    <hyperlink r:id="rId472" ref="AU273"/>
    <hyperlink r:id="rId473" ref="BK273"/>
    <hyperlink r:id="rId474" ref="AU274"/>
    <hyperlink r:id="rId475" ref="BK274"/>
    <hyperlink r:id="rId476" ref="AU275"/>
    <hyperlink r:id="rId477" ref="BK275"/>
    <hyperlink r:id="rId478" ref="AU276"/>
    <hyperlink r:id="rId479" ref="BK276"/>
    <hyperlink r:id="rId480" ref="AU277"/>
    <hyperlink r:id="rId481" ref="BK277"/>
    <hyperlink r:id="rId482" ref="AU278"/>
    <hyperlink r:id="rId483" ref="BK278"/>
    <hyperlink r:id="rId484" ref="AU279"/>
    <hyperlink r:id="rId485" ref="BK279"/>
    <hyperlink r:id="rId486" ref="AU280"/>
    <hyperlink r:id="rId487" ref="BK280"/>
    <hyperlink r:id="rId488" ref="AU281"/>
    <hyperlink r:id="rId489" ref="BK281"/>
    <hyperlink r:id="rId490" ref="AU282"/>
    <hyperlink r:id="rId491" ref="BK282"/>
    <hyperlink r:id="rId492" ref="AU283"/>
    <hyperlink r:id="rId493" ref="BK283"/>
    <hyperlink r:id="rId494" ref="AU285"/>
    <hyperlink r:id="rId495" ref="BK285"/>
    <hyperlink r:id="rId496" ref="AU286"/>
    <hyperlink r:id="rId497" ref="BK286"/>
    <hyperlink r:id="rId498" ref="AU288"/>
    <hyperlink r:id="rId499" ref="BK288"/>
    <hyperlink r:id="rId500" ref="AU289"/>
    <hyperlink r:id="rId501" ref="BK289"/>
    <hyperlink r:id="rId502" ref="AU290"/>
    <hyperlink r:id="rId503" ref="BK290"/>
    <hyperlink r:id="rId504" ref="AU291"/>
    <hyperlink r:id="rId505" ref="BK291"/>
    <hyperlink r:id="rId506" ref="AU292"/>
    <hyperlink r:id="rId507" ref="BK292"/>
    <hyperlink r:id="rId508" ref="AU293"/>
    <hyperlink r:id="rId509" ref="BK293"/>
    <hyperlink r:id="rId510" ref="AU294"/>
    <hyperlink r:id="rId511" ref="BK294"/>
    <hyperlink r:id="rId512" ref="AU296"/>
    <hyperlink r:id="rId513" ref="BK296"/>
    <hyperlink r:id="rId514" ref="AU298"/>
    <hyperlink r:id="rId515" ref="BK298"/>
    <hyperlink r:id="rId516" ref="AU299"/>
    <hyperlink r:id="rId517" ref="BK299"/>
    <hyperlink r:id="rId518" ref="AU302"/>
    <hyperlink r:id="rId519" ref="BK302"/>
    <hyperlink r:id="rId520" ref="AU303"/>
    <hyperlink r:id="rId521" ref="BK303"/>
    <hyperlink r:id="rId522" ref="AU304"/>
    <hyperlink r:id="rId523" ref="BK304"/>
    <hyperlink r:id="rId524" ref="AU306"/>
    <hyperlink r:id="rId525" ref="BK306"/>
    <hyperlink r:id="rId526" ref="AU307"/>
    <hyperlink r:id="rId527" ref="BK307"/>
    <hyperlink r:id="rId528" ref="AU308"/>
    <hyperlink r:id="rId529" ref="BK308"/>
    <hyperlink r:id="rId530" ref="AU310"/>
    <hyperlink r:id="rId531" ref="BK310"/>
    <hyperlink r:id="rId532" ref="AU311"/>
    <hyperlink r:id="rId533" ref="BK311"/>
    <hyperlink r:id="rId534" ref="AU312"/>
    <hyperlink r:id="rId535" ref="BK312"/>
    <hyperlink r:id="rId536" ref="AU313"/>
    <hyperlink r:id="rId537" ref="BK313"/>
    <hyperlink r:id="rId538" ref="AU315"/>
    <hyperlink r:id="rId539" ref="BK315"/>
    <hyperlink r:id="rId540" ref="AU316"/>
    <hyperlink r:id="rId541" ref="BK316"/>
    <hyperlink r:id="rId542" ref="AU317"/>
    <hyperlink r:id="rId543" ref="BK317"/>
    <hyperlink r:id="rId544" ref="AU318"/>
    <hyperlink r:id="rId545" ref="BK318"/>
    <hyperlink r:id="rId546" ref="AU319"/>
    <hyperlink r:id="rId547" ref="BK319"/>
    <hyperlink r:id="rId548" ref="AU320"/>
    <hyperlink r:id="rId549" ref="BK320"/>
    <hyperlink r:id="rId550" ref="AU322"/>
    <hyperlink r:id="rId551" ref="BK322"/>
    <hyperlink r:id="rId552" ref="AU323"/>
    <hyperlink r:id="rId553" ref="BK323"/>
    <hyperlink r:id="rId554" ref="AU324"/>
    <hyperlink r:id="rId555" ref="BK324"/>
    <hyperlink r:id="rId556" ref="AU325"/>
    <hyperlink r:id="rId557" ref="BK325"/>
    <hyperlink r:id="rId558" ref="AU326"/>
    <hyperlink r:id="rId559" ref="BK326"/>
    <hyperlink r:id="rId560" ref="AU327"/>
    <hyperlink r:id="rId561" ref="BK327"/>
    <hyperlink r:id="rId562" ref="AU328"/>
    <hyperlink r:id="rId563" ref="BK328"/>
    <hyperlink r:id="rId564" ref="AU329"/>
    <hyperlink r:id="rId565" ref="BK329"/>
    <hyperlink r:id="rId566" ref="AU330"/>
    <hyperlink r:id="rId567" ref="BK330"/>
    <hyperlink r:id="rId568" ref="AU331"/>
    <hyperlink r:id="rId569" ref="BK331"/>
    <hyperlink r:id="rId570" ref="AU332"/>
    <hyperlink r:id="rId571" ref="BK332"/>
    <hyperlink r:id="rId572" ref="AU333"/>
    <hyperlink r:id="rId573" ref="BK333"/>
    <hyperlink r:id="rId574" ref="AU334"/>
    <hyperlink r:id="rId575" ref="BK334"/>
    <hyperlink r:id="rId576" ref="AU335"/>
    <hyperlink r:id="rId577" ref="BK335"/>
    <hyperlink r:id="rId578" ref="AU337"/>
    <hyperlink r:id="rId579" ref="BK337"/>
    <hyperlink r:id="rId580" ref="AU338"/>
    <hyperlink r:id="rId581" ref="BK338"/>
    <hyperlink r:id="rId582" ref="AU339"/>
    <hyperlink r:id="rId583" ref="BK339"/>
    <hyperlink r:id="rId584" ref="AU340"/>
    <hyperlink r:id="rId585" ref="BK340"/>
    <hyperlink r:id="rId586" ref="AU341"/>
    <hyperlink r:id="rId587" ref="BK341"/>
    <hyperlink r:id="rId588" ref="AU342"/>
    <hyperlink r:id="rId589" ref="BK342"/>
    <hyperlink r:id="rId590" ref="AU344"/>
    <hyperlink r:id="rId591" ref="BK344"/>
    <hyperlink r:id="rId592" ref="AU345"/>
    <hyperlink r:id="rId593" ref="BK345"/>
    <hyperlink r:id="rId594" ref="AU346"/>
    <hyperlink r:id="rId595" ref="BK346"/>
    <hyperlink r:id="rId596" ref="AU347"/>
    <hyperlink r:id="rId597" ref="BK347"/>
    <hyperlink r:id="rId598" ref="AU348"/>
    <hyperlink r:id="rId599" ref="BK348"/>
    <hyperlink r:id="rId600" ref="AU349"/>
    <hyperlink r:id="rId601" ref="BK349"/>
    <hyperlink r:id="rId602" ref="AU352"/>
    <hyperlink r:id="rId603" ref="BK352"/>
    <hyperlink r:id="rId604" ref="AU353"/>
    <hyperlink r:id="rId605" ref="BK353"/>
    <hyperlink r:id="rId606" ref="AU354"/>
    <hyperlink r:id="rId607" ref="BK354"/>
    <hyperlink r:id="rId608" ref="AU355"/>
    <hyperlink r:id="rId609" ref="BK355"/>
    <hyperlink r:id="rId610" ref="AU356"/>
    <hyperlink r:id="rId611" ref="BK356"/>
    <hyperlink r:id="rId612" ref="AU357"/>
    <hyperlink r:id="rId613" ref="BK357"/>
    <hyperlink r:id="rId614" ref="AU358"/>
    <hyperlink r:id="rId615" ref="BK358"/>
    <hyperlink r:id="rId616" ref="AU359"/>
    <hyperlink r:id="rId617" ref="BK359"/>
    <hyperlink r:id="rId618" ref="AU360"/>
    <hyperlink r:id="rId619" ref="BK360"/>
    <hyperlink r:id="rId620" ref="AU361"/>
    <hyperlink r:id="rId621" ref="BK361"/>
    <hyperlink r:id="rId622" ref="AU362"/>
    <hyperlink r:id="rId623" ref="BK362"/>
    <hyperlink r:id="rId624" ref="AU363"/>
    <hyperlink r:id="rId625" ref="BK363"/>
    <hyperlink r:id="rId626" ref="AU364"/>
    <hyperlink r:id="rId627" ref="BK364"/>
    <hyperlink r:id="rId628" ref="AU365"/>
    <hyperlink r:id="rId629" ref="BK365"/>
    <hyperlink r:id="rId630" ref="AU366"/>
    <hyperlink r:id="rId631" ref="BK366"/>
    <hyperlink r:id="rId632" ref="AU368"/>
    <hyperlink r:id="rId633" ref="BK368"/>
    <hyperlink r:id="rId634" ref="AU369"/>
    <hyperlink r:id="rId635" ref="BK369"/>
    <hyperlink r:id="rId636" ref="AU370"/>
    <hyperlink r:id="rId637" ref="BK370"/>
    <hyperlink r:id="rId638" ref="AU371"/>
    <hyperlink r:id="rId639" ref="BK371"/>
    <hyperlink r:id="rId640" ref="AU372"/>
    <hyperlink r:id="rId641" ref="BK372"/>
    <hyperlink r:id="rId642" ref="AU374"/>
    <hyperlink r:id="rId643" ref="BK374"/>
    <hyperlink r:id="rId644" ref="AU375"/>
    <hyperlink r:id="rId645" ref="BK375"/>
    <hyperlink r:id="rId646" ref="AU376"/>
    <hyperlink r:id="rId647" ref="BK376"/>
    <hyperlink r:id="rId648" ref="AU377"/>
    <hyperlink r:id="rId649" ref="BK377"/>
    <hyperlink r:id="rId650" ref="AU378"/>
    <hyperlink r:id="rId651" ref="BK378"/>
    <hyperlink r:id="rId652" ref="AU379"/>
    <hyperlink r:id="rId653" ref="BK379"/>
    <hyperlink r:id="rId654" ref="AU380"/>
    <hyperlink r:id="rId655" ref="BK380"/>
    <hyperlink r:id="rId656" ref="AU381"/>
    <hyperlink r:id="rId657" ref="BK381"/>
    <hyperlink r:id="rId658" ref="AU382"/>
    <hyperlink r:id="rId659" ref="BK382"/>
    <hyperlink r:id="rId660" ref="AU384"/>
    <hyperlink r:id="rId661" ref="BK384"/>
  </hyperlinks>
  <drawing r:id="rId662"/>
</worksheet>
</file>